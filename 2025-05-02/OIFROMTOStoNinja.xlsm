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750" windowWidth="5175" windowHeight="190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A45" i="1" l="1"/>
  <c r="A4" i="1"/>
  <c r="C42" i="1" l="1"/>
  <c r="A1" i="2" l="1"/>
  <c r="X136" i="2" l="1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B84" i="2"/>
  <c r="B136" i="2" s="1"/>
  <c r="B44" i="2"/>
  <c r="C44" i="2" s="1"/>
  <c r="C84" i="2" s="1"/>
  <c r="C136" i="2" s="1"/>
  <c r="M44" i="2"/>
  <c r="O44" i="2" s="1"/>
  <c r="M3" i="2"/>
  <c r="O3" i="2" s="1"/>
  <c r="Q3" i="2" s="1"/>
  <c r="D44" i="2" l="1"/>
  <c r="Q44" i="2"/>
  <c r="S3" i="2"/>
  <c r="E44" i="2" l="1"/>
  <c r="E84" i="2" s="1"/>
  <c r="E136" i="2" s="1"/>
  <c r="D84" i="2"/>
  <c r="D136" i="2" s="1"/>
  <c r="F44" i="2"/>
  <c r="F84" i="2" s="1"/>
  <c r="F136" i="2" s="1"/>
  <c r="S44" i="2"/>
  <c r="U3" i="2"/>
  <c r="W3" i="2" s="1"/>
  <c r="U44" i="2" l="1"/>
  <c r="G44" i="2"/>
  <c r="G84" i="2" s="1"/>
  <c r="G136" i="2" s="1"/>
  <c r="H44" i="2" l="1"/>
  <c r="H84" i="2" s="1"/>
  <c r="H136" i="2" s="1"/>
  <c r="W44" i="2"/>
  <c r="I44" i="2" l="1"/>
  <c r="I84" i="2" s="1"/>
  <c r="I136" i="2" s="1"/>
  <c r="J44" i="2" l="1"/>
  <c r="J84" i="2" s="1"/>
  <c r="J136" i="2" s="1"/>
  <c r="C3" i="2" l="1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83" i="1" s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83" i="1" l="1"/>
  <c r="C135" i="1" s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86" i="2"/>
  <c r="B5" i="2"/>
  <c r="B139" i="2"/>
  <c r="B140" i="2"/>
  <c r="B46" i="2"/>
  <c r="B48" i="2"/>
  <c r="B138" i="2"/>
  <c r="B49" i="2"/>
  <c r="B47" i="2"/>
  <c r="B141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C139" i="2"/>
  <c r="C86" i="2"/>
  <c r="C140" i="2"/>
  <c r="C47" i="2"/>
  <c r="C141" i="2"/>
  <c r="C46" i="2"/>
  <c r="B50" i="2"/>
  <c r="C49" i="2"/>
  <c r="C142" i="2"/>
  <c r="B142" i="2"/>
  <c r="C50" i="2"/>
  <c r="C48" i="2"/>
  <c r="C138" i="2"/>
  <c r="C5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D50" i="2"/>
  <c r="D138" i="2"/>
  <c r="D142" i="2"/>
  <c r="D49" i="2"/>
  <c r="D48" i="2"/>
  <c r="D140" i="2"/>
  <c r="D5" i="2"/>
  <c r="D86" i="2"/>
  <c r="D46" i="2"/>
  <c r="D141" i="2"/>
  <c r="D47" i="2"/>
  <c r="D143" i="2"/>
  <c r="D51" i="2"/>
  <c r="D139" i="2"/>
  <c r="C51" i="2"/>
  <c r="B51" i="2"/>
  <c r="B143" i="2"/>
  <c r="C143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E47" i="2"/>
  <c r="D144" i="2"/>
  <c r="E49" i="2"/>
  <c r="E140" i="2"/>
  <c r="E138" i="2"/>
  <c r="E48" i="2"/>
  <c r="D52" i="2"/>
  <c r="E143" i="2"/>
  <c r="B144" i="2"/>
  <c r="E50" i="2"/>
  <c r="C144" i="2"/>
  <c r="E5" i="2"/>
  <c r="E142" i="2"/>
  <c r="E141" i="2"/>
  <c r="E52" i="2"/>
  <c r="B52" i="2"/>
  <c r="C52" i="2"/>
  <c r="E51" i="2"/>
  <c r="E144" i="2"/>
  <c r="E139" i="2"/>
  <c r="E46" i="2"/>
  <c r="E86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F52" i="2"/>
  <c r="C53" i="2"/>
  <c r="E145" i="2"/>
  <c r="F141" i="2"/>
  <c r="F86" i="2"/>
  <c r="F47" i="2"/>
  <c r="F139" i="2"/>
  <c r="F48" i="2"/>
  <c r="D145" i="2"/>
  <c r="F144" i="2"/>
  <c r="F53" i="2"/>
  <c r="F51" i="2"/>
  <c r="F142" i="2"/>
  <c r="F5" i="2"/>
  <c r="D53" i="2"/>
  <c r="F145" i="2"/>
  <c r="F46" i="2"/>
  <c r="B53" i="2"/>
  <c r="F49" i="2"/>
  <c r="F140" i="2"/>
  <c r="F138" i="2"/>
  <c r="B145" i="2"/>
  <c r="E53" i="2"/>
  <c r="C145" i="2"/>
  <c r="F143" i="2"/>
  <c r="F50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82" i="1"/>
  <c r="E134" i="1"/>
  <c r="B54" i="2"/>
  <c r="C146" i="2"/>
  <c r="G49" i="2"/>
  <c r="C54" i="2"/>
  <c r="G139" i="2"/>
  <c r="G50" i="2"/>
  <c r="G47" i="2"/>
  <c r="G5" i="2"/>
  <c r="G145" i="2"/>
  <c r="F54" i="2"/>
  <c r="G143" i="2"/>
  <c r="G140" i="2"/>
  <c r="G46" i="2"/>
  <c r="G52" i="2"/>
  <c r="D54" i="2"/>
  <c r="E146" i="2"/>
  <c r="G141" i="2"/>
  <c r="G146" i="2"/>
  <c r="G54" i="2"/>
  <c r="G142" i="2"/>
  <c r="B146" i="2"/>
  <c r="G144" i="2"/>
  <c r="F146" i="2"/>
  <c r="G138" i="2"/>
  <c r="G51" i="2"/>
  <c r="E54" i="2"/>
  <c r="G48" i="2"/>
  <c r="G86" i="2"/>
  <c r="D146" i="2"/>
  <c r="G53" i="2"/>
  <c r="G42" i="2" l="1"/>
  <c r="G82" i="2" s="1"/>
  <c r="G134" i="2" s="1"/>
  <c r="V43" i="2"/>
  <c r="W43" i="2"/>
  <c r="A146" i="1"/>
  <c r="A147" i="2" s="1"/>
  <c r="AZ145" i="1"/>
  <c r="A54" i="1"/>
  <c r="A55" i="2" s="1"/>
  <c r="AZ53" i="1"/>
  <c r="EI83" i="1"/>
  <c r="H47" i="2"/>
  <c r="H145" i="2"/>
  <c r="H5" i="2"/>
  <c r="G55" i="2"/>
  <c r="H143" i="2"/>
  <c r="H147" i="2"/>
  <c r="E147" i="2"/>
  <c r="H139" i="2"/>
  <c r="H55" i="2"/>
  <c r="B147" i="2"/>
  <c r="E55" i="2"/>
  <c r="H144" i="2"/>
  <c r="H46" i="2"/>
  <c r="H142" i="2"/>
  <c r="H138" i="2"/>
  <c r="H48" i="2"/>
  <c r="F55" i="2"/>
  <c r="H53" i="2"/>
  <c r="H140" i="2"/>
  <c r="H54" i="2"/>
  <c r="B55" i="2"/>
  <c r="F147" i="2"/>
  <c r="H141" i="2"/>
  <c r="D55" i="2"/>
  <c r="C55" i="2"/>
  <c r="H49" i="2"/>
  <c r="D147" i="2"/>
  <c r="H50" i="2"/>
  <c r="H51" i="2"/>
  <c r="H52" i="2"/>
  <c r="H146" i="2"/>
  <c r="G147" i="2"/>
  <c r="C147" i="2"/>
  <c r="H86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I145" i="2"/>
  <c r="I52" i="2"/>
  <c r="B56" i="2"/>
  <c r="H56" i="2"/>
  <c r="E56" i="2"/>
  <c r="I51" i="2"/>
  <c r="E148" i="2"/>
  <c r="I148" i="2"/>
  <c r="I48" i="2"/>
  <c r="F148" i="2"/>
  <c r="I47" i="2"/>
  <c r="I146" i="2"/>
  <c r="I55" i="2"/>
  <c r="I141" i="2"/>
  <c r="I142" i="2"/>
  <c r="G148" i="2"/>
  <c r="C56" i="2"/>
  <c r="I5" i="2"/>
  <c r="I53" i="2"/>
  <c r="I138" i="2"/>
  <c r="D148" i="2"/>
  <c r="I50" i="2"/>
  <c r="I144" i="2"/>
  <c r="I49" i="2"/>
  <c r="H148" i="2"/>
  <c r="I147" i="2"/>
  <c r="I56" i="2"/>
  <c r="I140" i="2"/>
  <c r="I139" i="2"/>
  <c r="I86" i="2"/>
  <c r="I143" i="2"/>
  <c r="I54" i="2"/>
  <c r="I46" i="2"/>
  <c r="G56" i="2"/>
  <c r="C148" i="2"/>
  <c r="B148" i="2"/>
  <c r="D56" i="2"/>
  <c r="F56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J52" i="2"/>
  <c r="F57" i="2"/>
  <c r="J138" i="2"/>
  <c r="J56" i="2"/>
  <c r="J140" i="2"/>
  <c r="J50" i="2"/>
  <c r="B149" i="2"/>
  <c r="J49" i="2"/>
  <c r="J54" i="2"/>
  <c r="J86" i="2"/>
  <c r="J148" i="2"/>
  <c r="J47" i="2"/>
  <c r="I57" i="2"/>
  <c r="D57" i="2"/>
  <c r="J144" i="2"/>
  <c r="I149" i="2"/>
  <c r="J48" i="2"/>
  <c r="J57" i="2"/>
  <c r="J46" i="2"/>
  <c r="C57" i="2"/>
  <c r="J141" i="2"/>
  <c r="J149" i="2"/>
  <c r="J55" i="2"/>
  <c r="J53" i="2"/>
  <c r="H57" i="2"/>
  <c r="B57" i="2"/>
  <c r="F149" i="2"/>
  <c r="G57" i="2"/>
  <c r="J143" i="2"/>
  <c r="E57" i="2"/>
  <c r="J139" i="2"/>
  <c r="D149" i="2"/>
  <c r="J146" i="2"/>
  <c r="H149" i="2"/>
  <c r="J145" i="2"/>
  <c r="J147" i="2"/>
  <c r="G149" i="2"/>
  <c r="J5" i="2"/>
  <c r="C149" i="2"/>
  <c r="J51" i="2"/>
  <c r="J142" i="2"/>
  <c r="E149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K139" i="2"/>
  <c r="C150" i="2"/>
  <c r="K140" i="2"/>
  <c r="K148" i="2"/>
  <c r="H58" i="2"/>
  <c r="E150" i="2"/>
  <c r="K54" i="2"/>
  <c r="K86" i="2"/>
  <c r="J58" i="2"/>
  <c r="I58" i="2"/>
  <c r="H150" i="2"/>
  <c r="K145" i="2"/>
  <c r="B150" i="2"/>
  <c r="K52" i="2"/>
  <c r="G58" i="2"/>
  <c r="K142" i="2"/>
  <c r="K56" i="2"/>
  <c r="K49" i="2"/>
  <c r="B58" i="2"/>
  <c r="F58" i="2"/>
  <c r="K51" i="2"/>
  <c r="K50" i="2"/>
  <c r="K146" i="2"/>
  <c r="D150" i="2"/>
  <c r="G150" i="2"/>
  <c r="K5" i="2"/>
  <c r="K47" i="2"/>
  <c r="K150" i="2"/>
  <c r="K58" i="2"/>
  <c r="K55" i="2"/>
  <c r="K147" i="2"/>
  <c r="D58" i="2"/>
  <c r="K144" i="2"/>
  <c r="K48" i="2"/>
  <c r="J150" i="2"/>
  <c r="F150" i="2"/>
  <c r="I150" i="2"/>
  <c r="C58" i="2"/>
  <c r="K53" i="2"/>
  <c r="E58" i="2"/>
  <c r="K141" i="2"/>
  <c r="K149" i="2"/>
  <c r="K143" i="2"/>
  <c r="K46" i="2"/>
  <c r="K57" i="2"/>
  <c r="K138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H59" i="2"/>
  <c r="L86" i="2"/>
  <c r="E151" i="2"/>
  <c r="I151" i="2"/>
  <c r="L49" i="2"/>
  <c r="H151" i="2"/>
  <c r="L57" i="2"/>
  <c r="L142" i="2"/>
  <c r="L144" i="2"/>
  <c r="E59" i="2"/>
  <c r="J151" i="2"/>
  <c r="L150" i="2"/>
  <c r="L141" i="2"/>
  <c r="L54" i="2"/>
  <c r="L143" i="2"/>
  <c r="F59" i="2"/>
  <c r="K59" i="2"/>
  <c r="G151" i="2"/>
  <c r="L5" i="2"/>
  <c r="L148" i="2"/>
  <c r="L138" i="2"/>
  <c r="L145" i="2"/>
  <c r="D151" i="2"/>
  <c r="L46" i="2"/>
  <c r="L47" i="2"/>
  <c r="L51" i="2"/>
  <c r="J59" i="2"/>
  <c r="L48" i="2"/>
  <c r="B151" i="2"/>
  <c r="F151" i="2"/>
  <c r="L151" i="2"/>
  <c r="L58" i="2"/>
  <c r="L149" i="2"/>
  <c r="L146" i="2"/>
  <c r="L53" i="2"/>
  <c r="L140" i="2"/>
  <c r="L139" i="2"/>
  <c r="L52" i="2"/>
  <c r="B59" i="2"/>
  <c r="G59" i="2"/>
  <c r="L59" i="2"/>
  <c r="L147" i="2"/>
  <c r="L56" i="2"/>
  <c r="C151" i="2"/>
  <c r="C59" i="2"/>
  <c r="L50" i="2"/>
  <c r="D59" i="2"/>
  <c r="I59" i="2"/>
  <c r="K151" i="2"/>
  <c r="L55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C152" i="2"/>
  <c r="M145" i="2"/>
  <c r="M57" i="2"/>
  <c r="M56" i="2"/>
  <c r="D152" i="2"/>
  <c r="B152" i="2"/>
  <c r="M54" i="2"/>
  <c r="M150" i="2"/>
  <c r="M143" i="2"/>
  <c r="M138" i="2"/>
  <c r="M52" i="2"/>
  <c r="M58" i="2"/>
  <c r="L60" i="2"/>
  <c r="J152" i="2"/>
  <c r="M147" i="2"/>
  <c r="M152" i="2"/>
  <c r="M48" i="2"/>
  <c r="C60" i="2"/>
  <c r="M146" i="2"/>
  <c r="B60" i="2"/>
  <c r="H60" i="2"/>
  <c r="M86" i="2"/>
  <c r="M5" i="2"/>
  <c r="M49" i="2"/>
  <c r="M55" i="2"/>
  <c r="J60" i="2"/>
  <c r="D60" i="2"/>
  <c r="F60" i="2"/>
  <c r="H152" i="2"/>
  <c r="I152" i="2"/>
  <c r="M151" i="2"/>
  <c r="M139" i="2"/>
  <c r="M59" i="2"/>
  <c r="M60" i="2"/>
  <c r="M144" i="2"/>
  <c r="M142" i="2"/>
  <c r="I60" i="2"/>
  <c r="E152" i="2"/>
  <c r="M53" i="2"/>
  <c r="E60" i="2"/>
  <c r="L152" i="2"/>
  <c r="G60" i="2"/>
  <c r="K152" i="2"/>
  <c r="F152" i="2"/>
  <c r="M141" i="2"/>
  <c r="M46" i="2"/>
  <c r="M148" i="2"/>
  <c r="M149" i="2"/>
  <c r="M140" i="2"/>
  <c r="K60" i="2"/>
  <c r="G152" i="2"/>
  <c r="M47" i="2"/>
  <c r="M50" i="2"/>
  <c r="M51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N139" i="2"/>
  <c r="N142" i="2"/>
  <c r="N153" i="2"/>
  <c r="N53" i="2"/>
  <c r="N145" i="2"/>
  <c r="L61" i="2"/>
  <c r="N141" i="2"/>
  <c r="F61" i="2"/>
  <c r="H153" i="2"/>
  <c r="B61" i="2"/>
  <c r="D61" i="2"/>
  <c r="N50" i="2"/>
  <c r="E61" i="2"/>
  <c r="N151" i="2"/>
  <c r="N143" i="2"/>
  <c r="H61" i="2"/>
  <c r="N149" i="2"/>
  <c r="N140" i="2"/>
  <c r="N48" i="2"/>
  <c r="N47" i="2"/>
  <c r="J61" i="2"/>
  <c r="F153" i="2"/>
  <c r="I61" i="2"/>
  <c r="N5" i="2"/>
  <c r="N54" i="2"/>
  <c r="M61" i="2"/>
  <c r="N51" i="2"/>
  <c r="K61" i="2"/>
  <c r="N144" i="2"/>
  <c r="I153" i="2"/>
  <c r="N150" i="2"/>
  <c r="G61" i="2"/>
  <c r="N46" i="2"/>
  <c r="N138" i="2"/>
  <c r="N55" i="2"/>
  <c r="B153" i="2"/>
  <c r="C153" i="2"/>
  <c r="N146" i="2"/>
  <c r="E153" i="2"/>
  <c r="L153" i="2"/>
  <c r="N148" i="2"/>
  <c r="N59" i="2"/>
  <c r="N86" i="2"/>
  <c r="N61" i="2"/>
  <c r="N152" i="2"/>
  <c r="C61" i="2"/>
  <c r="N49" i="2"/>
  <c r="N147" i="2"/>
  <c r="G153" i="2"/>
  <c r="N60" i="2"/>
  <c r="J153" i="2"/>
  <c r="N57" i="2"/>
  <c r="D153" i="2"/>
  <c r="K153" i="2"/>
  <c r="M153" i="2"/>
  <c r="N56" i="2"/>
  <c r="N58" i="2"/>
  <c r="N52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F47" i="1"/>
  <c r="DD53" i="1"/>
  <c r="DD49" i="1"/>
  <c r="DB48" i="1"/>
  <c r="DB61" i="1"/>
  <c r="DD51" i="1"/>
  <c r="DB57" i="1"/>
  <c r="DB56" i="1"/>
  <c r="DF52" i="1"/>
  <c r="DB47" i="1"/>
  <c r="DB54" i="1"/>
  <c r="DB59" i="1"/>
  <c r="DF51" i="1"/>
  <c r="DB4" i="1"/>
  <c r="DD57" i="1"/>
  <c r="DF53" i="1"/>
  <c r="DF48" i="1"/>
  <c r="DD55" i="1"/>
  <c r="DF56" i="1"/>
  <c r="DF54" i="1"/>
  <c r="DB60" i="1"/>
  <c r="DF60" i="1"/>
  <c r="DD48" i="1"/>
  <c r="DD58" i="1"/>
  <c r="DF49" i="1"/>
  <c r="DB51" i="1"/>
  <c r="DB55" i="1"/>
  <c r="DB58" i="1"/>
  <c r="DF55" i="1"/>
  <c r="DF46" i="1"/>
  <c r="DB50" i="1"/>
  <c r="DB53" i="1"/>
  <c r="DD47" i="1"/>
  <c r="DD46" i="1"/>
  <c r="DD52" i="1"/>
  <c r="DB46" i="1"/>
  <c r="DF61" i="1"/>
  <c r="DD45" i="1"/>
  <c r="DF57" i="1"/>
  <c r="DD56" i="1"/>
  <c r="DF58" i="1"/>
  <c r="DB52" i="1"/>
  <c r="DD54" i="1"/>
  <c r="DD59" i="1"/>
  <c r="DF45" i="1"/>
  <c r="DF59" i="1"/>
  <c r="DD50" i="1"/>
  <c r="DD61" i="1"/>
  <c r="DF50" i="1"/>
  <c r="DB45" i="1"/>
  <c r="DD60" i="1"/>
  <c r="DB49" i="1"/>
  <c r="O48" i="2"/>
  <c r="K154" i="2"/>
  <c r="I62" i="2"/>
  <c r="O149" i="2"/>
  <c r="O86" i="2"/>
  <c r="O55" i="2"/>
  <c r="O59" i="2"/>
  <c r="K62" i="2"/>
  <c r="O46" i="2"/>
  <c r="O150" i="2"/>
  <c r="O61" i="2"/>
  <c r="O145" i="2"/>
  <c r="O60" i="2"/>
  <c r="J154" i="2"/>
  <c r="O153" i="2"/>
  <c r="O140" i="2"/>
  <c r="O144" i="2"/>
  <c r="O139" i="2"/>
  <c r="D62" i="2"/>
  <c r="H62" i="2"/>
  <c r="O148" i="2"/>
  <c r="M62" i="2"/>
  <c r="O54" i="2"/>
  <c r="F154" i="2"/>
  <c r="E154" i="2"/>
  <c r="O151" i="2"/>
  <c r="O147" i="2"/>
  <c r="O52" i="2"/>
  <c r="G62" i="2"/>
  <c r="L154" i="2"/>
  <c r="I154" i="2"/>
  <c r="F62" i="2"/>
  <c r="D154" i="2"/>
  <c r="N154" i="2"/>
  <c r="O154" i="2"/>
  <c r="C154" i="2"/>
  <c r="O51" i="2"/>
  <c r="O53" i="2"/>
  <c r="O5" i="2"/>
  <c r="M154" i="2"/>
  <c r="O141" i="2"/>
  <c r="O146" i="2"/>
  <c r="O58" i="2"/>
  <c r="O138" i="2"/>
  <c r="C62" i="2"/>
  <c r="H154" i="2"/>
  <c r="O62" i="2"/>
  <c r="O49" i="2"/>
  <c r="J62" i="2"/>
  <c r="O57" i="2"/>
  <c r="O56" i="2"/>
  <c r="O152" i="2"/>
  <c r="O142" i="2"/>
  <c r="L62" i="2"/>
  <c r="N62" i="2"/>
  <c r="O143" i="2"/>
  <c r="O47" i="2"/>
  <c r="B154" i="2"/>
  <c r="G154" i="2"/>
  <c r="E62" i="2"/>
  <c r="B62" i="2"/>
  <c r="O50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F4" i="1"/>
  <c r="DD4" i="1"/>
  <c r="DD62" i="1"/>
  <c r="DF62" i="1"/>
  <c r="DB62" i="1"/>
  <c r="P86" i="2"/>
  <c r="P47" i="2"/>
  <c r="M63" i="2"/>
  <c r="P146" i="2"/>
  <c r="P150" i="2"/>
  <c r="P50" i="2"/>
  <c r="P141" i="2"/>
  <c r="P53" i="2"/>
  <c r="H155" i="2"/>
  <c r="P144" i="2"/>
  <c r="N63" i="2"/>
  <c r="P58" i="2"/>
  <c r="P147" i="2"/>
  <c r="P154" i="2"/>
  <c r="P46" i="2"/>
  <c r="F63" i="2"/>
  <c r="P139" i="2"/>
  <c r="I155" i="2"/>
  <c r="D63" i="2"/>
  <c r="E63" i="2"/>
  <c r="H63" i="2"/>
  <c r="P138" i="2"/>
  <c r="P151" i="2"/>
  <c r="P140" i="2"/>
  <c r="C155" i="2"/>
  <c r="P52" i="2"/>
  <c r="F155" i="2"/>
  <c r="P155" i="2"/>
  <c r="J155" i="2"/>
  <c r="M155" i="2"/>
  <c r="K155" i="2"/>
  <c r="P62" i="2"/>
  <c r="N155" i="2"/>
  <c r="K63" i="2"/>
  <c r="B63" i="2"/>
  <c r="P63" i="2"/>
  <c r="O63" i="2"/>
  <c r="J63" i="2"/>
  <c r="P48" i="2"/>
  <c r="G63" i="2"/>
  <c r="P153" i="2"/>
  <c r="P51" i="2"/>
  <c r="L155" i="2"/>
  <c r="O155" i="2"/>
  <c r="P54" i="2"/>
  <c r="P57" i="2"/>
  <c r="P152" i="2"/>
  <c r="B155" i="2"/>
  <c r="P142" i="2"/>
  <c r="G155" i="2"/>
  <c r="D155" i="2"/>
  <c r="P56" i="2"/>
  <c r="P5" i="2"/>
  <c r="I63" i="2"/>
  <c r="P59" i="2"/>
  <c r="E155" i="2"/>
  <c r="L63" i="2"/>
  <c r="P60" i="2"/>
  <c r="P143" i="2"/>
  <c r="P149" i="2"/>
  <c r="P145" i="2"/>
  <c r="P148" i="2"/>
  <c r="C63" i="2"/>
  <c r="P49" i="2"/>
  <c r="P55" i="2"/>
  <c r="P61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F82" i="1"/>
  <c r="F42" i="1"/>
  <c r="BJ43" i="1"/>
  <c r="BJ83" i="1" s="1"/>
  <c r="BA1" i="1"/>
  <c r="AW1" i="1"/>
  <c r="AU1" i="1"/>
  <c r="I1" i="1"/>
  <c r="F1" i="1"/>
  <c r="G44" i="1"/>
  <c r="G84" i="1"/>
  <c r="F3" i="1"/>
  <c r="G136" i="1"/>
  <c r="F136" i="1"/>
  <c r="A44" i="1"/>
  <c r="F44" i="1"/>
  <c r="DF63" i="1"/>
  <c r="DD63" i="1"/>
  <c r="DB63" i="1"/>
  <c r="A3" i="1"/>
  <c r="F84" i="1"/>
  <c r="L64" i="2"/>
  <c r="D156" i="2"/>
  <c r="I64" i="2"/>
  <c r="Q61" i="2"/>
  <c r="F64" i="2"/>
  <c r="H64" i="2"/>
  <c r="O64" i="2"/>
  <c r="Q48" i="2"/>
  <c r="Q155" i="2"/>
  <c r="L156" i="2"/>
  <c r="Q53" i="2"/>
  <c r="Q59" i="2"/>
  <c r="Q86" i="2"/>
  <c r="Q55" i="2"/>
  <c r="Q60" i="2"/>
  <c r="Q145" i="2"/>
  <c r="J156" i="2"/>
  <c r="Q63" i="2"/>
  <c r="P64" i="2"/>
  <c r="Q142" i="2"/>
  <c r="E156" i="2"/>
  <c r="Q150" i="2"/>
  <c r="Q57" i="2"/>
  <c r="Q62" i="2"/>
  <c r="Q144" i="2"/>
  <c r="J64" i="2"/>
  <c r="P156" i="2"/>
  <c r="G64" i="2"/>
  <c r="Q58" i="2"/>
  <c r="O156" i="2"/>
  <c r="E64" i="2"/>
  <c r="Q148" i="2"/>
  <c r="N64" i="2"/>
  <c r="C156" i="2"/>
  <c r="B156" i="2"/>
  <c r="Q152" i="2"/>
  <c r="Q54" i="2"/>
  <c r="Q156" i="2"/>
  <c r="Q5" i="2"/>
  <c r="M64" i="2"/>
  <c r="B64" i="2"/>
  <c r="M156" i="2"/>
  <c r="Q143" i="2"/>
  <c r="Q46" i="2"/>
  <c r="Q139" i="2"/>
  <c r="C64" i="2"/>
  <c r="Q146" i="2"/>
  <c r="Q147" i="2"/>
  <c r="Q154" i="2"/>
  <c r="F156" i="2"/>
  <c r="I156" i="2"/>
  <c r="Q52" i="2"/>
  <c r="N156" i="2"/>
  <c r="K64" i="2"/>
  <c r="Q151" i="2"/>
  <c r="Q49" i="2"/>
  <c r="Q51" i="2"/>
  <c r="Q149" i="2"/>
  <c r="Q47" i="2"/>
  <c r="Q138" i="2"/>
  <c r="Q153" i="2"/>
  <c r="Q56" i="2"/>
  <c r="Q141" i="2"/>
  <c r="G156" i="2"/>
  <c r="Q64" i="2"/>
  <c r="Q50" i="2"/>
  <c r="D64" i="2"/>
  <c r="K156" i="2"/>
  <c r="H156" i="2"/>
  <c r="Q140" i="2"/>
  <c r="D81" i="1" l="1"/>
  <c r="A84" i="1" s="1"/>
  <c r="A85" i="2" s="1"/>
  <c r="Q42" i="2"/>
  <c r="Q82" i="2" s="1"/>
  <c r="Q134" i="2" s="1"/>
  <c r="A4" i="2"/>
  <c r="A45" i="2"/>
  <c r="D133" i="1"/>
  <c r="A136" i="1" s="1"/>
  <c r="A137" i="2" s="1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AV1" i="1"/>
  <c r="CH43" i="1"/>
  <c r="CI2" i="1"/>
  <c r="AY1" i="1"/>
  <c r="BF1" i="1" s="1"/>
  <c r="AW82" i="1"/>
  <c r="BK2" i="1"/>
  <c r="BF54" i="1"/>
  <c r="CD54" i="1"/>
  <c r="BC54" i="1"/>
  <c r="DA54" i="1"/>
  <c r="EP54" i="1"/>
  <c r="DC54" i="1"/>
  <c r="AT54" i="1"/>
  <c r="DD64" i="1"/>
  <c r="DB64" i="1"/>
  <c r="AW54" i="1"/>
  <c r="BE54" i="1"/>
  <c r="CE54" i="1"/>
  <c r="BA54" i="1"/>
  <c r="EO54" i="1"/>
  <c r="AV54" i="1"/>
  <c r="CI54" i="1"/>
  <c r="DE54" i="1"/>
  <c r="AU54" i="1"/>
  <c r="AX54" i="1"/>
  <c r="CG54" i="1"/>
  <c r="CH54" i="1"/>
  <c r="EQ54" i="1"/>
  <c r="BB54" i="1"/>
  <c r="CF54" i="1"/>
  <c r="BD54" i="1"/>
  <c r="DF64" i="1"/>
  <c r="EN54" i="1"/>
  <c r="AS54" i="1"/>
  <c r="P65" i="2"/>
  <c r="N157" i="2"/>
  <c r="I157" i="2"/>
  <c r="R63" i="2"/>
  <c r="C65" i="2"/>
  <c r="R156" i="2"/>
  <c r="N65" i="2"/>
  <c r="R62" i="2"/>
  <c r="R64" i="2"/>
  <c r="J65" i="2"/>
  <c r="K65" i="2"/>
  <c r="R59" i="2"/>
  <c r="R53" i="2"/>
  <c r="Q65" i="2"/>
  <c r="O65" i="2"/>
  <c r="R65" i="2"/>
  <c r="R157" i="2"/>
  <c r="B65" i="2"/>
  <c r="M157" i="2"/>
  <c r="R141" i="2"/>
  <c r="R58" i="2"/>
  <c r="F157" i="2"/>
  <c r="R147" i="2"/>
  <c r="Q157" i="2"/>
  <c r="G157" i="2"/>
  <c r="R50" i="2"/>
  <c r="R144" i="2"/>
  <c r="R56" i="2"/>
  <c r="E65" i="2"/>
  <c r="R143" i="2"/>
  <c r="M65" i="2"/>
  <c r="R5" i="2"/>
  <c r="R61" i="2"/>
  <c r="R49" i="2"/>
  <c r="I65" i="2"/>
  <c r="R146" i="2"/>
  <c r="R138" i="2"/>
  <c r="R148" i="2"/>
  <c r="R52" i="2"/>
  <c r="R140" i="2"/>
  <c r="K157" i="2"/>
  <c r="R48" i="2"/>
  <c r="R86" i="2"/>
  <c r="B157" i="2"/>
  <c r="BE137" i="1"/>
  <c r="R60" i="2"/>
  <c r="R57" i="2"/>
  <c r="R149" i="2"/>
  <c r="R151" i="2"/>
  <c r="G65" i="2"/>
  <c r="J157" i="2"/>
  <c r="R153" i="2"/>
  <c r="R51" i="2"/>
  <c r="R145" i="2"/>
  <c r="H65" i="2"/>
  <c r="P157" i="2"/>
  <c r="L157" i="2"/>
  <c r="R46" i="2"/>
  <c r="D65" i="2"/>
  <c r="R150" i="2"/>
  <c r="O157" i="2"/>
  <c r="H157" i="2"/>
  <c r="R139" i="2"/>
  <c r="R152" i="2"/>
  <c r="F65" i="2"/>
  <c r="L65" i="2"/>
  <c r="D157" i="2"/>
  <c r="R54" i="2"/>
  <c r="R55" i="2"/>
  <c r="E157" i="2"/>
  <c r="R154" i="2"/>
  <c r="R142" i="2"/>
  <c r="C157" i="2"/>
  <c r="R47" i="2"/>
  <c r="R155" i="2"/>
  <c r="DG64" i="1" l="1"/>
  <c r="R42" i="2"/>
  <c r="R82" i="2" s="1"/>
  <c r="R134" i="2" s="1"/>
  <c r="AZ85" i="1"/>
  <c r="A86" i="1"/>
  <c r="A87" i="2" s="1"/>
  <c r="DG85" i="1"/>
  <c r="DG154" i="1"/>
  <c r="DG150" i="1"/>
  <c r="DG146" i="1"/>
  <c r="DG142" i="1"/>
  <c r="DG138" i="1"/>
  <c r="DG153" i="1"/>
  <c r="DG149" i="1"/>
  <c r="DG145" i="1"/>
  <c r="DG141" i="1"/>
  <c r="DG137" i="1"/>
  <c r="DG151" i="1"/>
  <c r="DG143" i="1"/>
  <c r="DG156" i="1"/>
  <c r="DG152" i="1"/>
  <c r="DG148" i="1"/>
  <c r="DG144" i="1"/>
  <c r="DG140" i="1"/>
  <c r="DG155" i="1"/>
  <c r="DG147" i="1"/>
  <c r="DG139" i="1"/>
  <c r="A157" i="1"/>
  <c r="A158" i="2" s="1"/>
  <c r="AZ156" i="1"/>
  <c r="A65" i="1"/>
  <c r="AZ64" i="1"/>
  <c r="FA4" i="1"/>
  <c r="EY4" i="1"/>
  <c r="DK5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O54" i="1"/>
  <c r="CQ54" i="1"/>
  <c r="DI54" i="1"/>
  <c r="CM54" i="1"/>
  <c r="C54" i="1"/>
  <c r="DJ54" i="1"/>
  <c r="DH54" i="1"/>
  <c r="CK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DC65" i="1"/>
  <c r="BD55" i="1"/>
  <c r="BC55" i="1"/>
  <c r="AU65" i="1"/>
  <c r="EP55" i="1"/>
  <c r="BF55" i="1"/>
  <c r="EO55" i="1"/>
  <c r="EN65" i="1"/>
  <c r="EO65" i="1"/>
  <c r="DD65" i="1"/>
  <c r="AS55" i="1"/>
  <c r="CH55" i="1"/>
  <c r="CG55" i="1"/>
  <c r="CI55" i="1"/>
  <c r="CF65" i="1"/>
  <c r="AW65" i="1"/>
  <c r="DE55" i="1"/>
  <c r="BC65" i="1"/>
  <c r="BF65" i="1"/>
  <c r="DE65" i="1"/>
  <c r="DC55" i="1"/>
  <c r="AV65" i="1"/>
  <c r="AT65" i="1"/>
  <c r="AX65" i="1"/>
  <c r="AS65" i="1"/>
  <c r="AX55" i="1"/>
  <c r="EQ55" i="1"/>
  <c r="BB55" i="1"/>
  <c r="BD65" i="1"/>
  <c r="AV55" i="1"/>
  <c r="DB65" i="1"/>
  <c r="DA65" i="1"/>
  <c r="CH65" i="1"/>
  <c r="AW55" i="1"/>
  <c r="CI65" i="1"/>
  <c r="EQ65" i="1"/>
  <c r="CF55" i="1"/>
  <c r="DF65" i="1"/>
  <c r="AT55" i="1"/>
  <c r="EN55" i="1"/>
  <c r="EP65" i="1"/>
  <c r="CD55" i="1"/>
  <c r="BA65" i="1"/>
  <c r="AU55" i="1"/>
  <c r="BA55" i="1"/>
  <c r="CE55" i="1"/>
  <c r="CG65" i="1"/>
  <c r="BE55" i="1"/>
  <c r="CE65" i="1"/>
  <c r="DA55" i="1"/>
  <c r="CD65" i="1"/>
  <c r="BE65" i="1"/>
  <c r="BB65" i="1"/>
  <c r="S58" i="2"/>
  <c r="S153" i="2"/>
  <c r="S55" i="2"/>
  <c r="R158" i="2"/>
  <c r="S61" i="2"/>
  <c r="S156" i="2"/>
  <c r="N87" i="2"/>
  <c r="M158" i="2"/>
  <c r="S63" i="2"/>
  <c r="P87" i="2"/>
  <c r="I87" i="2"/>
  <c r="C87" i="2"/>
  <c r="B87" i="2"/>
  <c r="AX137" i="1"/>
  <c r="AW137" i="1"/>
  <c r="S86" i="2"/>
  <c r="H87" i="2"/>
  <c r="S144" i="2"/>
  <c r="S145" i="2"/>
  <c r="S143" i="2"/>
  <c r="E158" i="2"/>
  <c r="O87" i="2"/>
  <c r="G87" i="2"/>
  <c r="K87" i="2"/>
  <c r="S140" i="2"/>
  <c r="J158" i="2"/>
  <c r="S146" i="2"/>
  <c r="M87" i="2"/>
  <c r="E87" i="2"/>
  <c r="S56" i="2"/>
  <c r="S51" i="2"/>
  <c r="S64" i="2"/>
  <c r="Q158" i="2"/>
  <c r="J87" i="2"/>
  <c r="D158" i="2"/>
  <c r="S138" i="2"/>
  <c r="S52" i="2"/>
  <c r="S5" i="2"/>
  <c r="H158" i="2"/>
  <c r="S54" i="2"/>
  <c r="S151" i="2"/>
  <c r="G158" i="2"/>
  <c r="S155" i="2"/>
  <c r="N158" i="2"/>
  <c r="S148" i="2"/>
  <c r="S62" i="2"/>
  <c r="S139" i="2"/>
  <c r="D87" i="2"/>
  <c r="S87" i="2"/>
  <c r="S154" i="2"/>
  <c r="S46" i="2"/>
  <c r="S147" i="2"/>
  <c r="O158" i="2"/>
  <c r="L87" i="2"/>
  <c r="S152" i="2"/>
  <c r="S157" i="2"/>
  <c r="S65" i="2"/>
  <c r="F158" i="2"/>
  <c r="K158" i="2"/>
  <c r="R87" i="2"/>
  <c r="Q87" i="2"/>
  <c r="S53" i="2"/>
  <c r="S48" i="2"/>
  <c r="S141" i="2"/>
  <c r="S150" i="2"/>
  <c r="S60" i="2"/>
  <c r="B158" i="2"/>
  <c r="S59" i="2"/>
  <c r="S142" i="2"/>
  <c r="S47" i="2"/>
  <c r="S49" i="2"/>
  <c r="P158" i="2"/>
  <c r="C158" i="2"/>
  <c r="S158" i="2"/>
  <c r="F87" i="2"/>
  <c r="S149" i="2"/>
  <c r="S50" i="2"/>
  <c r="S57" i="2"/>
  <c r="L158" i="2"/>
  <c r="I158" i="2"/>
  <c r="DG157" i="1" l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CK65" i="1"/>
  <c r="B65" i="1"/>
  <c r="AY65" i="1"/>
  <c r="DK65" i="1"/>
  <c r="DO65" i="1"/>
  <c r="DI65" i="1"/>
  <c r="DH65" i="1"/>
  <c r="DN65" i="1"/>
  <c r="DJ65" i="1"/>
  <c r="EH65" i="1"/>
  <c r="EA65" i="1" s="1"/>
  <c r="BM65" i="1" s="1"/>
  <c r="EI65" i="1"/>
  <c r="EB65" i="1" s="1"/>
  <c r="BN65" i="1" s="1"/>
  <c r="EG65" i="1"/>
  <c r="DZ65" i="1" s="1"/>
  <c r="BL65" i="1" s="1"/>
  <c r="CO65" i="1"/>
  <c r="D65" i="1"/>
  <c r="CU65" i="1"/>
  <c r="CM65" i="1"/>
  <c r="C65" i="1"/>
  <c r="CS65" i="1"/>
  <c r="EJ65" i="1"/>
  <c r="EC65" i="1" s="1"/>
  <c r="BO65" i="1" s="1"/>
  <c r="A66" i="1"/>
  <c r="AZ65" i="1"/>
  <c r="DT65" i="1" s="1"/>
  <c r="F65" i="1"/>
  <c r="DV54" i="1"/>
  <c r="DW54" i="1"/>
  <c r="DK55" i="1"/>
  <c r="DN55" i="1"/>
  <c r="DU55" i="1"/>
  <c r="DO55" i="1"/>
  <c r="DT55" i="1"/>
  <c r="DS54" i="1"/>
  <c r="DL54" i="1"/>
  <c r="DP54" i="1"/>
  <c r="DM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O55" i="1"/>
  <c r="CQ55" i="1"/>
  <c r="DI55" i="1"/>
  <c r="C55" i="1"/>
  <c r="CM55" i="1"/>
  <c r="DJ55" i="1"/>
  <c r="DH55" i="1"/>
  <c r="AY55" i="1"/>
  <c r="CK55" i="1"/>
  <c r="B55" i="1"/>
  <c r="EH55" i="1"/>
  <c r="EA55" i="1" s="1"/>
  <c r="BM55" i="1" s="1"/>
  <c r="F63" i="1"/>
  <c r="F55" i="1"/>
  <c r="AS82" i="1"/>
  <c r="AS134" i="1"/>
  <c r="BA134" i="1"/>
  <c r="BM2" i="1"/>
  <c r="BL43" i="1"/>
  <c r="S66" i="2"/>
  <c r="P66" i="2"/>
  <c r="G66" i="2"/>
  <c r="B66" i="2"/>
  <c r="R66" i="2"/>
  <c r="E66" i="2"/>
  <c r="C66" i="2"/>
  <c r="I66" i="2"/>
  <c r="D66" i="2"/>
  <c r="O66" i="2"/>
  <c r="Q66" i="2"/>
  <c r="N66" i="2"/>
  <c r="K66" i="2"/>
  <c r="L66" i="2"/>
  <c r="M66" i="2"/>
  <c r="J66" i="2"/>
  <c r="F66" i="2"/>
  <c r="H66" i="2"/>
  <c r="A159" i="2" l="1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L65" i="1"/>
  <c r="DU65" i="1"/>
  <c r="DW65" i="1" s="1"/>
  <c r="E65" i="1"/>
  <c r="BZ65" i="1"/>
  <c r="A67" i="1"/>
  <c r="AZ66" i="1"/>
  <c r="F66" i="1"/>
  <c r="DM65" i="1"/>
  <c r="DS65" i="1"/>
  <c r="CP65" i="1"/>
  <c r="DV65" i="1"/>
  <c r="DW55" i="1"/>
  <c r="DV55" i="1"/>
  <c r="DS55" i="1"/>
  <c r="DL55" i="1"/>
  <c r="DP55" i="1"/>
  <c r="DM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A160" i="2" l="1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CI67" i="1"/>
  <c r="EQ68" i="1"/>
  <c r="BD66" i="1"/>
  <c r="AU67" i="1"/>
  <c r="BB66" i="1"/>
  <c r="DB68" i="1"/>
  <c r="BC67" i="1"/>
  <c r="BA67" i="1"/>
  <c r="EO68" i="1"/>
  <c r="BA68" i="1"/>
  <c r="AV66" i="1"/>
  <c r="BA66" i="1"/>
  <c r="AV68" i="1"/>
  <c r="BD67" i="1"/>
  <c r="CH66" i="1"/>
  <c r="CF68" i="1"/>
  <c r="CG67" i="1"/>
  <c r="CD67" i="1"/>
  <c r="EP68" i="1"/>
  <c r="DC66" i="1"/>
  <c r="DA68" i="1"/>
  <c r="DB67" i="1"/>
  <c r="AS68" i="1"/>
  <c r="AW68" i="1"/>
  <c r="CG68" i="1"/>
  <c r="DE66" i="1"/>
  <c r="DF67" i="1"/>
  <c r="BC68" i="1"/>
  <c r="AT66" i="1"/>
  <c r="CG66" i="1"/>
  <c r="EN66" i="1"/>
  <c r="CD68" i="1"/>
  <c r="CE68" i="1"/>
  <c r="EO66" i="1"/>
  <c r="BF68" i="1"/>
  <c r="AT68" i="1"/>
  <c r="BE67" i="1"/>
  <c r="CD66" i="1"/>
  <c r="BA85" i="1"/>
  <c r="DD67" i="1"/>
  <c r="DF68" i="1"/>
  <c r="AW66" i="1"/>
  <c r="BE68" i="1"/>
  <c r="BB67" i="1"/>
  <c r="AW67" i="1"/>
  <c r="AX66" i="1"/>
  <c r="DD68" i="1"/>
  <c r="DC68" i="1"/>
  <c r="CE66" i="1"/>
  <c r="BF66" i="1"/>
  <c r="AU68" i="1"/>
  <c r="EO67" i="1"/>
  <c r="EP67" i="1"/>
  <c r="BE66" i="1"/>
  <c r="CH67" i="1"/>
  <c r="DE67" i="1"/>
  <c r="CH68" i="1"/>
  <c r="EN67" i="1"/>
  <c r="DA67" i="1"/>
  <c r="AV67" i="1"/>
  <c r="DB66" i="1"/>
  <c r="BC66" i="1"/>
  <c r="BD68" i="1"/>
  <c r="EP66" i="1"/>
  <c r="CF67" i="1"/>
  <c r="EQ67" i="1"/>
  <c r="AS66" i="1"/>
  <c r="DE68" i="1"/>
  <c r="DF66" i="1"/>
  <c r="AS67" i="1"/>
  <c r="AT67" i="1"/>
  <c r="DD66" i="1"/>
  <c r="DA66" i="1"/>
  <c r="EQ66" i="1"/>
  <c r="CI68" i="1"/>
  <c r="EN68" i="1"/>
  <c r="AX67" i="1"/>
  <c r="CF66" i="1"/>
  <c r="DC67" i="1"/>
  <c r="CI66" i="1"/>
  <c r="BF67" i="1"/>
  <c r="BB68" i="1"/>
  <c r="CE67" i="1"/>
  <c r="AU66" i="1"/>
  <c r="AX68" i="1"/>
  <c r="AT138" i="1"/>
  <c r="AT140" i="1"/>
  <c r="AT141" i="1"/>
  <c r="AT157" i="1"/>
  <c r="AS156" i="1"/>
  <c r="AT146" i="1"/>
  <c r="AS153" i="1"/>
  <c r="AS151" i="1"/>
  <c r="AS138" i="1"/>
  <c r="AS152" i="1"/>
  <c r="BA137" i="1"/>
  <c r="AS146" i="1"/>
  <c r="AS141" i="1"/>
  <c r="AT156" i="1"/>
  <c r="V67" i="2"/>
  <c r="J88" i="2"/>
  <c r="Q159" i="2"/>
  <c r="V55" i="2"/>
  <c r="V48" i="2"/>
  <c r="V143" i="2"/>
  <c r="T66" i="2"/>
  <c r="O67" i="2"/>
  <c r="K159" i="2"/>
  <c r="I89" i="2"/>
  <c r="C89" i="2"/>
  <c r="U142" i="2"/>
  <c r="B90" i="2"/>
  <c r="V86" i="2"/>
  <c r="R160" i="2"/>
  <c r="T158" i="2"/>
  <c r="C160" i="2"/>
  <c r="C90" i="2"/>
  <c r="V142" i="2"/>
  <c r="J159" i="2"/>
  <c r="G90" i="2"/>
  <c r="T52" i="2"/>
  <c r="V155" i="2"/>
  <c r="S67" i="2"/>
  <c r="P159" i="2"/>
  <c r="T150" i="2"/>
  <c r="V52" i="2"/>
  <c r="F159" i="2"/>
  <c r="T64" i="2"/>
  <c r="G67" i="2"/>
  <c r="V50" i="2"/>
  <c r="Q90" i="2"/>
  <c r="V138" i="2"/>
  <c r="G159" i="2"/>
  <c r="L67" i="2"/>
  <c r="J160" i="2"/>
  <c r="V59" i="2"/>
  <c r="U58" i="2"/>
  <c r="T143" i="2"/>
  <c r="T63" i="2"/>
  <c r="H68" i="2"/>
  <c r="V5" i="2"/>
  <c r="M68" i="2"/>
  <c r="V46" i="2"/>
  <c r="U47" i="2"/>
  <c r="N160" i="2"/>
  <c r="H89" i="2"/>
  <c r="E88" i="2"/>
  <c r="F90" i="2"/>
  <c r="U57" i="2"/>
  <c r="T140" i="2"/>
  <c r="N89" i="2"/>
  <c r="H88" i="2"/>
  <c r="S88" i="2"/>
  <c r="L68" i="2"/>
  <c r="H159" i="2"/>
  <c r="V157" i="2"/>
  <c r="R90" i="2"/>
  <c r="F67" i="2"/>
  <c r="K89" i="2"/>
  <c r="T141" i="2"/>
  <c r="V64" i="2"/>
  <c r="H90" i="2"/>
  <c r="T49" i="2"/>
  <c r="U46" i="2"/>
  <c r="T67" i="2"/>
  <c r="V160" i="2"/>
  <c r="AT160" i="1"/>
  <c r="AS154" i="1"/>
  <c r="AT142" i="1"/>
  <c r="AT144" i="1"/>
  <c r="AS147" i="1"/>
  <c r="AT148" i="1"/>
  <c r="AS142" i="1"/>
  <c r="AS149" i="1"/>
  <c r="AT153" i="1"/>
  <c r="AS137" i="1"/>
  <c r="AT147" i="1"/>
  <c r="O160" i="2"/>
  <c r="B67" i="2"/>
  <c r="T144" i="2"/>
  <c r="V148" i="2"/>
  <c r="D90" i="2"/>
  <c r="N67" i="2"/>
  <c r="J90" i="2"/>
  <c r="V158" i="2"/>
  <c r="N68" i="2"/>
  <c r="V62" i="2"/>
  <c r="T154" i="2"/>
  <c r="R68" i="2"/>
  <c r="K67" i="2"/>
  <c r="V63" i="2"/>
  <c r="U141" i="2"/>
  <c r="V56" i="2"/>
  <c r="U146" i="2"/>
  <c r="F89" i="2"/>
  <c r="U86" i="2"/>
  <c r="T89" i="2"/>
  <c r="U87" i="2"/>
  <c r="U153" i="2"/>
  <c r="P88" i="2"/>
  <c r="E89" i="2"/>
  <c r="N88" i="2"/>
  <c r="V47" i="2"/>
  <c r="J67" i="2"/>
  <c r="D89" i="2"/>
  <c r="V139" i="2"/>
  <c r="U66" i="2"/>
  <c r="T65" i="2"/>
  <c r="Q160" i="2"/>
  <c r="T139" i="2"/>
  <c r="U154" i="2"/>
  <c r="T58" i="2"/>
  <c r="C67" i="2"/>
  <c r="T57" i="2"/>
  <c r="T142" i="2"/>
  <c r="U143" i="2"/>
  <c r="I67" i="2"/>
  <c r="I68" i="2"/>
  <c r="C159" i="2"/>
  <c r="V152" i="2"/>
  <c r="L160" i="2"/>
  <c r="V146" i="2"/>
  <c r="I90" i="2"/>
  <c r="U50" i="2"/>
  <c r="T48" i="2"/>
  <c r="D88" i="2"/>
  <c r="T90" i="2"/>
  <c r="V61" i="2"/>
  <c r="T61" i="2"/>
  <c r="T68" i="2"/>
  <c r="C88" i="2"/>
  <c r="V144" i="2"/>
  <c r="V141" i="2"/>
  <c r="V149" i="2"/>
  <c r="P160" i="2"/>
  <c r="U150" i="2"/>
  <c r="N159" i="2"/>
  <c r="D159" i="2"/>
  <c r="U54" i="2"/>
  <c r="V151" i="2"/>
  <c r="J68" i="2"/>
  <c r="D68" i="2"/>
  <c r="G68" i="2"/>
  <c r="R89" i="2"/>
  <c r="V153" i="2"/>
  <c r="S90" i="2"/>
  <c r="U158" i="2"/>
  <c r="T157" i="2"/>
  <c r="Q89" i="2"/>
  <c r="AT145" i="1"/>
  <c r="AT150" i="1"/>
  <c r="AS140" i="1"/>
  <c r="AS159" i="1"/>
  <c r="AT137" i="1"/>
  <c r="AS150" i="1"/>
  <c r="AT155" i="1"/>
  <c r="AT158" i="1"/>
  <c r="AT143" i="1"/>
  <c r="AT152" i="1"/>
  <c r="AS144" i="1"/>
  <c r="AS157" i="1"/>
  <c r="AS160" i="1"/>
  <c r="V150" i="2"/>
  <c r="T55" i="2"/>
  <c r="T46" i="2"/>
  <c r="T152" i="2"/>
  <c r="P68" i="2"/>
  <c r="F160" i="2"/>
  <c r="T51" i="2"/>
  <c r="U49" i="2"/>
  <c r="V89" i="2"/>
  <c r="T149" i="2"/>
  <c r="V147" i="2"/>
  <c r="C68" i="2"/>
  <c r="M159" i="2"/>
  <c r="E67" i="2"/>
  <c r="V140" i="2"/>
  <c r="K88" i="2"/>
  <c r="T87" i="2"/>
  <c r="U155" i="2"/>
  <c r="V90" i="2"/>
  <c r="O88" i="2"/>
  <c r="T153" i="2"/>
  <c r="T54" i="2"/>
  <c r="T5" i="2"/>
  <c r="U51" i="2"/>
  <c r="L88" i="2"/>
  <c r="T156" i="2"/>
  <c r="B88" i="2"/>
  <c r="L89" i="2"/>
  <c r="U140" i="2"/>
  <c r="U52" i="2"/>
  <c r="T62" i="2"/>
  <c r="T147" i="2"/>
  <c r="T155" i="2"/>
  <c r="T86" i="2"/>
  <c r="G88" i="2"/>
  <c r="B160" i="2"/>
  <c r="V154" i="2"/>
  <c r="U53" i="2"/>
  <c r="B68" i="2"/>
  <c r="U68" i="2"/>
  <c r="V88" i="2"/>
  <c r="P67" i="2"/>
  <c r="V49" i="2"/>
  <c r="V57" i="2"/>
  <c r="O89" i="2"/>
  <c r="P90" i="2"/>
  <c r="R67" i="2"/>
  <c r="I160" i="2"/>
  <c r="U64" i="2"/>
  <c r="U145" i="2"/>
  <c r="I159" i="2"/>
  <c r="T50" i="2"/>
  <c r="U147" i="2"/>
  <c r="U160" i="2"/>
  <c r="V159" i="2"/>
  <c r="V156" i="2"/>
  <c r="K90" i="2"/>
  <c r="R88" i="2"/>
  <c r="U157" i="2"/>
  <c r="B89" i="2"/>
  <c r="V58" i="2"/>
  <c r="U151" i="2"/>
  <c r="U152" i="2"/>
  <c r="T145" i="2"/>
  <c r="S160" i="2"/>
  <c r="T88" i="2"/>
  <c r="L90" i="2"/>
  <c r="AT154" i="1"/>
  <c r="AT149" i="1"/>
  <c r="AT139" i="1"/>
  <c r="AS139" i="1"/>
  <c r="AS145" i="1"/>
  <c r="AT159" i="1"/>
  <c r="AS155" i="1"/>
  <c r="AS148" i="1"/>
  <c r="AS143" i="1"/>
  <c r="AT151" i="1"/>
  <c r="AS158" i="1"/>
  <c r="U149" i="2"/>
  <c r="D160" i="2"/>
  <c r="N90" i="2"/>
  <c r="U90" i="2"/>
  <c r="E160" i="2"/>
  <c r="H67" i="2"/>
  <c r="O90" i="2"/>
  <c r="F68" i="2"/>
  <c r="O159" i="2"/>
  <c r="U144" i="2"/>
  <c r="K68" i="2"/>
  <c r="G160" i="2"/>
  <c r="P89" i="2"/>
  <c r="T146" i="2"/>
  <c r="U55" i="2"/>
  <c r="U89" i="2"/>
  <c r="U139" i="2"/>
  <c r="J89" i="2"/>
  <c r="U67" i="2"/>
  <c r="U5" i="2"/>
  <c r="T160" i="2"/>
  <c r="V53" i="2"/>
  <c r="Q88" i="2"/>
  <c r="U65" i="2"/>
  <c r="T47" i="2"/>
  <c r="U88" i="2"/>
  <c r="H160" i="2"/>
  <c r="S89" i="2"/>
  <c r="U62" i="2"/>
  <c r="U63" i="2"/>
  <c r="T60" i="2"/>
  <c r="T53" i="2"/>
  <c r="B159" i="2"/>
  <c r="L159" i="2"/>
  <c r="V66" i="2"/>
  <c r="M67" i="2"/>
  <c r="T151" i="2"/>
  <c r="V68" i="2"/>
  <c r="K160" i="2"/>
  <c r="T56" i="2"/>
  <c r="V60" i="2"/>
  <c r="E68" i="2"/>
  <c r="U60" i="2"/>
  <c r="E90" i="2"/>
  <c r="M88" i="2"/>
  <c r="S68" i="2"/>
  <c r="M160" i="2"/>
  <c r="Q68" i="2"/>
  <c r="U138" i="2"/>
  <c r="U156" i="2"/>
  <c r="D67" i="2"/>
  <c r="F88" i="2"/>
  <c r="M90" i="2"/>
  <c r="V51" i="2"/>
  <c r="U56" i="2"/>
  <c r="V87" i="2"/>
  <c r="T138" i="2"/>
  <c r="V54" i="2"/>
  <c r="M89" i="2"/>
  <c r="T59" i="2"/>
  <c r="T159" i="2"/>
  <c r="E159" i="2"/>
  <c r="O68" i="2"/>
  <c r="U148" i="2"/>
  <c r="U48" i="2"/>
  <c r="U61" i="2"/>
  <c r="V65" i="2"/>
  <c r="S159" i="2"/>
  <c r="U159" i="2"/>
  <c r="R159" i="2"/>
  <c r="U59" i="2"/>
  <c r="Q67" i="2"/>
  <c r="T148" i="2"/>
  <c r="I88" i="2"/>
  <c r="V145" i="2"/>
  <c r="G89" i="2"/>
  <c r="CU67" i="1" l="1"/>
  <c r="DK67" i="1"/>
  <c r="DO67" i="1"/>
  <c r="DI67" i="1"/>
  <c r="DN67" i="1"/>
  <c r="DH67" i="1"/>
  <c r="DJ67" i="1"/>
  <c r="EJ66" i="1"/>
  <c r="EC66" i="1" s="1"/>
  <c r="BO66" i="1" s="1"/>
  <c r="CO67" i="1"/>
  <c r="D67" i="1"/>
  <c r="EH67" i="1"/>
  <c r="EA67" i="1" s="1"/>
  <c r="BM67" i="1" s="1"/>
  <c r="DU66" i="1"/>
  <c r="EH66" i="1"/>
  <c r="EA66" i="1" s="1"/>
  <c r="BM66" i="1" s="1"/>
  <c r="CU66" i="1"/>
  <c r="DJ66" i="1"/>
  <c r="DH66" i="1"/>
  <c r="DN66" i="1"/>
  <c r="EJ67" i="1"/>
  <c r="EC67" i="1" s="1"/>
  <c r="BO67" i="1" s="1"/>
  <c r="CQ67" i="1"/>
  <c r="EI67" i="1"/>
  <c r="EB67" i="1" s="1"/>
  <c r="BN67" i="1" s="1"/>
  <c r="CK67" i="1"/>
  <c r="AY67" i="1"/>
  <c r="B67" i="1"/>
  <c r="EG66" i="1"/>
  <c r="DZ66" i="1" s="1"/>
  <c r="BL66" i="1" s="1"/>
  <c r="CM66" i="1"/>
  <c r="C66" i="1"/>
  <c r="CS66" i="1"/>
  <c r="D66" i="1"/>
  <c r="CO66" i="1"/>
  <c r="DO66" i="1"/>
  <c r="DI66" i="1"/>
  <c r="DK66" i="1"/>
  <c r="CQ66" i="1"/>
  <c r="DT66" i="1"/>
  <c r="EI66" i="1"/>
  <c r="EB66" i="1" s="1"/>
  <c r="BN66" i="1" s="1"/>
  <c r="AY66" i="1"/>
  <c r="B66" i="1"/>
  <c r="CK66" i="1"/>
  <c r="EG67" i="1"/>
  <c r="DZ67" i="1" s="1"/>
  <c r="BL67" i="1" s="1"/>
  <c r="CM67" i="1"/>
  <c r="C67" i="1"/>
  <c r="CS67" i="1"/>
  <c r="DU67" i="1"/>
  <c r="A161" i="2"/>
  <c r="DG160" i="1"/>
  <c r="A69" i="2"/>
  <c r="DG68" i="1"/>
  <c r="V42" i="2"/>
  <c r="V82" i="2" s="1"/>
  <c r="V134" i="2" s="1"/>
  <c r="A90" i="1"/>
  <c r="A91" i="2" s="1"/>
  <c r="AZ89" i="1"/>
  <c r="DG89" i="1"/>
  <c r="DT67" i="1"/>
  <c r="A161" i="1"/>
  <c r="AZ160" i="1"/>
  <c r="CQ68" i="1"/>
  <c r="DK68" i="1"/>
  <c r="DI68" i="1"/>
  <c r="DO68" i="1"/>
  <c r="CK68" i="1"/>
  <c r="B68" i="1"/>
  <c r="AY68" i="1"/>
  <c r="DN68" i="1"/>
  <c r="DJ68" i="1"/>
  <c r="DH68" i="1"/>
  <c r="CS68" i="1"/>
  <c r="CU68" i="1"/>
  <c r="CO68" i="1"/>
  <c r="D68" i="1"/>
  <c r="EG68" i="1"/>
  <c r="DZ68" i="1" s="1"/>
  <c r="BL68" i="1" s="1"/>
  <c r="EJ68" i="1"/>
  <c r="EC68" i="1" s="1"/>
  <c r="BO68" i="1" s="1"/>
  <c r="EH68" i="1"/>
  <c r="EA68" i="1" s="1"/>
  <c r="BM68" i="1" s="1"/>
  <c r="EI68" i="1"/>
  <c r="EB68" i="1" s="1"/>
  <c r="BN68" i="1" s="1"/>
  <c r="CM68" i="1"/>
  <c r="C68" i="1"/>
  <c r="A69" i="1"/>
  <c r="AZ68" i="1"/>
  <c r="DT68" i="1" s="1"/>
  <c r="F68" i="1"/>
  <c r="F160" i="1"/>
  <c r="G160" i="1"/>
  <c r="BO43" i="1"/>
  <c r="F60" i="1"/>
  <c r="CE69" i="1"/>
  <c r="EN69" i="1"/>
  <c r="AU69" i="1"/>
  <c r="DA69" i="1"/>
  <c r="AT69" i="1"/>
  <c r="AS69" i="1"/>
  <c r="AV69" i="1"/>
  <c r="CG69" i="1"/>
  <c r="BE69" i="1"/>
  <c r="CD69" i="1"/>
  <c r="EO69" i="1"/>
  <c r="AX69" i="1"/>
  <c r="BB69" i="1"/>
  <c r="BF69" i="1"/>
  <c r="DF69" i="1"/>
  <c r="EQ69" i="1"/>
  <c r="DB69" i="1"/>
  <c r="CF69" i="1"/>
  <c r="BD69" i="1"/>
  <c r="EP69" i="1"/>
  <c r="CI69" i="1"/>
  <c r="DE69" i="1"/>
  <c r="BA69" i="1"/>
  <c r="AW69" i="1"/>
  <c r="DC69" i="1"/>
  <c r="BC69" i="1"/>
  <c r="CH69" i="1"/>
  <c r="DD69" i="1"/>
  <c r="F91" i="2"/>
  <c r="S91" i="2"/>
  <c r="W141" i="2"/>
  <c r="D69" i="2"/>
  <c r="W140" i="2"/>
  <c r="J69" i="2"/>
  <c r="T69" i="2"/>
  <c r="W138" i="2"/>
  <c r="W89" i="2"/>
  <c r="P161" i="2"/>
  <c r="D91" i="2"/>
  <c r="W66" i="2"/>
  <c r="N161" i="2"/>
  <c r="L161" i="2"/>
  <c r="W161" i="2"/>
  <c r="M161" i="2"/>
  <c r="W49" i="2"/>
  <c r="R161" i="2"/>
  <c r="G91" i="2"/>
  <c r="I91" i="2"/>
  <c r="L91" i="2"/>
  <c r="W157" i="2"/>
  <c r="W145" i="2"/>
  <c r="W146" i="2"/>
  <c r="W88" i="2"/>
  <c r="M69" i="2"/>
  <c r="P69" i="2"/>
  <c r="N69" i="2"/>
  <c r="Q69" i="2"/>
  <c r="W160" i="2"/>
  <c r="C161" i="2"/>
  <c r="N91" i="2"/>
  <c r="W54" i="2"/>
  <c r="AT161" i="1"/>
  <c r="W91" i="2"/>
  <c r="W62" i="2"/>
  <c r="H161" i="2"/>
  <c r="O69" i="2"/>
  <c r="W87" i="2"/>
  <c r="E161" i="2"/>
  <c r="W156" i="2"/>
  <c r="Q91" i="2"/>
  <c r="G161" i="2"/>
  <c r="W57" i="2"/>
  <c r="W60" i="2"/>
  <c r="D161" i="2"/>
  <c r="E69" i="2"/>
  <c r="W47" i="2"/>
  <c r="W139" i="2"/>
  <c r="H91" i="2"/>
  <c r="Q161" i="2"/>
  <c r="W61" i="2"/>
  <c r="W52" i="2"/>
  <c r="W144" i="2"/>
  <c r="J161" i="2"/>
  <c r="B161" i="2"/>
  <c r="L69" i="2"/>
  <c r="W149" i="2"/>
  <c r="W46" i="2"/>
  <c r="W148" i="2"/>
  <c r="W68" i="2"/>
  <c r="S69" i="2"/>
  <c r="J91" i="2"/>
  <c r="B91" i="2"/>
  <c r="W48" i="2"/>
  <c r="W159" i="2"/>
  <c r="AS161" i="1"/>
  <c r="I161" i="2"/>
  <c r="I69" i="2"/>
  <c r="U69" i="2"/>
  <c r="W53" i="2"/>
  <c r="W67" i="2"/>
  <c r="R91" i="2"/>
  <c r="S161" i="2"/>
  <c r="W155" i="2"/>
  <c r="W143" i="2"/>
  <c r="U161" i="2"/>
  <c r="H69" i="2"/>
  <c r="O161" i="2"/>
  <c r="R69" i="2"/>
  <c r="K69" i="2"/>
  <c r="W5" i="2"/>
  <c r="W64" i="2"/>
  <c r="W158" i="2"/>
  <c r="W150" i="2"/>
  <c r="V69" i="2"/>
  <c r="W90" i="2"/>
  <c r="C91" i="2"/>
  <c r="V91" i="2"/>
  <c r="W152" i="2"/>
  <c r="W58" i="2"/>
  <c r="T161" i="2"/>
  <c r="W153" i="2"/>
  <c r="V161" i="2"/>
  <c r="W59" i="2"/>
  <c r="K91" i="2"/>
  <c r="F69" i="2"/>
  <c r="W69" i="2"/>
  <c r="B69" i="2"/>
  <c r="O91" i="2"/>
  <c r="C69" i="2"/>
  <c r="P91" i="2"/>
  <c r="W86" i="2"/>
  <c r="T91" i="2"/>
  <c r="G69" i="2"/>
  <c r="W50" i="2"/>
  <c r="W56" i="2"/>
  <c r="K161" i="2"/>
  <c r="W151" i="2"/>
  <c r="W147" i="2"/>
  <c r="E91" i="2"/>
  <c r="W142" i="2"/>
  <c r="W154" i="2"/>
  <c r="M91" i="2"/>
  <c r="W65" i="2"/>
  <c r="U91" i="2"/>
  <c r="W63" i="2"/>
  <c r="F161" i="2"/>
  <c r="W55" i="2"/>
  <c r="W51" i="2"/>
  <c r="DV66" i="1" l="1"/>
  <c r="DM66" i="1"/>
  <c r="BZ67" i="1"/>
  <c r="DW66" i="1"/>
  <c r="CP66" i="1"/>
  <c r="CP67" i="1"/>
  <c r="E66" i="1"/>
  <c r="BZ66" i="1"/>
  <c r="CA66" i="1" s="1"/>
  <c r="DV67" i="1"/>
  <c r="DM67" i="1"/>
  <c r="E67" i="1"/>
  <c r="CB67" i="1"/>
  <c r="DQ67" i="1"/>
  <c r="DP66" i="1"/>
  <c r="CB66" i="1"/>
  <c r="CC66" i="1" s="1"/>
  <c r="DP67" i="1"/>
  <c r="DL67" i="1"/>
  <c r="DW67" i="1"/>
  <c r="BU66" i="1"/>
  <c r="DS66" i="1"/>
  <c r="BS67" i="1"/>
  <c r="DL66" i="1"/>
  <c r="BS66" i="1"/>
  <c r="BT66" i="1" s="1"/>
  <c r="DS67" i="1"/>
  <c r="BU67" i="1"/>
  <c r="DQ66" i="1"/>
  <c r="A162" i="2"/>
  <c r="DG161" i="1"/>
  <c r="A70" i="2"/>
  <c r="DG69" i="1"/>
  <c r="W42" i="2"/>
  <c r="W82" i="2" s="1"/>
  <c r="W134" i="2" s="1"/>
  <c r="A91" i="1"/>
  <c r="A92" i="2" s="1"/>
  <c r="AZ90" i="1"/>
  <c r="DG90" i="1"/>
  <c r="DV68" i="1"/>
  <c r="A162" i="1"/>
  <c r="AZ161" i="1"/>
  <c r="F161" i="1"/>
  <c r="G161" i="1"/>
  <c r="DQ68" i="1"/>
  <c r="BS68" i="1"/>
  <c r="BU68" i="1"/>
  <c r="BZ68" i="1"/>
  <c r="DM68" i="1"/>
  <c r="CQ69" i="1"/>
  <c r="B69" i="1"/>
  <c r="CK69" i="1"/>
  <c r="AY69" i="1"/>
  <c r="DK69" i="1"/>
  <c r="DI69" i="1"/>
  <c r="DO69" i="1"/>
  <c r="DH69" i="1"/>
  <c r="DN69" i="1"/>
  <c r="DJ69" i="1"/>
  <c r="CM69" i="1"/>
  <c r="C69" i="1"/>
  <c r="CS69" i="1"/>
  <c r="EI69" i="1"/>
  <c r="EB69" i="1" s="1"/>
  <c r="BN69" i="1" s="1"/>
  <c r="CO69" i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CP68" i="1"/>
  <c r="DU68" i="1"/>
  <c r="DW68" i="1" s="1"/>
  <c r="CB68" i="1"/>
  <c r="DL68" i="1"/>
  <c r="DP68" i="1"/>
  <c r="DS68" i="1"/>
  <c r="A70" i="1"/>
  <c r="AZ69" i="1"/>
  <c r="DU69" i="1" s="1"/>
  <c r="F69" i="1"/>
  <c r="E68" i="1"/>
  <c r="F159" i="1"/>
  <c r="G159" i="1"/>
  <c r="F59" i="1"/>
  <c r="DD70" i="1"/>
  <c r="DB70" i="1"/>
  <c r="DF70" i="1"/>
  <c r="C92" i="2"/>
  <c r="D70" i="2"/>
  <c r="X142" i="2"/>
  <c r="X138" i="2"/>
  <c r="K70" i="2"/>
  <c r="X88" i="2"/>
  <c r="X156" i="2"/>
  <c r="X158" i="2"/>
  <c r="X67" i="2"/>
  <c r="X87" i="2"/>
  <c r="J70" i="2"/>
  <c r="X65" i="2"/>
  <c r="R70" i="2"/>
  <c r="B162" i="2"/>
  <c r="X149" i="2"/>
  <c r="W70" i="2"/>
  <c r="X49" i="2"/>
  <c r="F92" i="2"/>
  <c r="X144" i="2"/>
  <c r="X46" i="2"/>
  <c r="H70" i="2"/>
  <c r="B70" i="2"/>
  <c r="X151" i="2"/>
  <c r="X58" i="2"/>
  <c r="X56" i="2"/>
  <c r="Q92" i="2"/>
  <c r="I70" i="2"/>
  <c r="X47" i="2"/>
  <c r="X61" i="2"/>
  <c r="V92" i="2"/>
  <c r="W162" i="2"/>
  <c r="X68" i="2"/>
  <c r="M70" i="2"/>
  <c r="G70" i="2"/>
  <c r="AT162" i="1"/>
  <c r="AS162" i="1"/>
  <c r="X59" i="2"/>
  <c r="S162" i="2"/>
  <c r="X162" i="2"/>
  <c r="L162" i="2"/>
  <c r="I92" i="2"/>
  <c r="O162" i="2"/>
  <c r="X62" i="2"/>
  <c r="X86" i="2"/>
  <c r="U92" i="2"/>
  <c r="X146" i="2"/>
  <c r="J162" i="2"/>
  <c r="X153" i="2"/>
  <c r="T70" i="2"/>
  <c r="O70" i="2"/>
  <c r="X154" i="2"/>
  <c r="T92" i="2"/>
  <c r="X51" i="2"/>
  <c r="S92" i="2"/>
  <c r="D162" i="2"/>
  <c r="O92" i="2"/>
  <c r="X64" i="2"/>
  <c r="C70" i="2"/>
  <c r="X63" i="2"/>
  <c r="X53" i="2"/>
  <c r="X5" i="2"/>
  <c r="X147" i="2"/>
  <c r="K92" i="2"/>
  <c r="J92" i="2"/>
  <c r="P92" i="2"/>
  <c r="D92" i="2"/>
  <c r="X160" i="2"/>
  <c r="X70" i="2"/>
  <c r="N162" i="2"/>
  <c r="P162" i="2"/>
  <c r="X159" i="2"/>
  <c r="R92" i="2"/>
  <c r="X143" i="2"/>
  <c r="E92" i="2"/>
  <c r="X91" i="2"/>
  <c r="G162" i="2"/>
  <c r="X139" i="2"/>
  <c r="N92" i="2"/>
  <c r="H162" i="2"/>
  <c r="L70" i="2"/>
  <c r="L92" i="2"/>
  <c r="M162" i="2"/>
  <c r="E162" i="2"/>
  <c r="V70" i="2"/>
  <c r="M92" i="2"/>
  <c r="B92" i="2"/>
  <c r="X60" i="2"/>
  <c r="T162" i="2"/>
  <c r="W92" i="2"/>
  <c r="U70" i="2"/>
  <c r="F70" i="2"/>
  <c r="X69" i="2"/>
  <c r="U162" i="2"/>
  <c r="X57" i="2"/>
  <c r="V162" i="2"/>
  <c r="P70" i="2"/>
  <c r="S70" i="2"/>
  <c r="X161" i="2"/>
  <c r="X140" i="2"/>
  <c r="X54" i="2"/>
  <c r="X66" i="2"/>
  <c r="Q70" i="2"/>
  <c r="H92" i="2"/>
  <c r="E70" i="2"/>
  <c r="X141" i="2"/>
  <c r="X89" i="2"/>
  <c r="F162" i="2"/>
  <c r="X145" i="2"/>
  <c r="X50" i="2"/>
  <c r="X92" i="2"/>
  <c r="X152" i="2"/>
  <c r="R162" i="2"/>
  <c r="X48" i="2"/>
  <c r="X52" i="2"/>
  <c r="X157" i="2"/>
  <c r="K162" i="2"/>
  <c r="Q162" i="2"/>
  <c r="I162" i="2"/>
  <c r="X155" i="2"/>
  <c r="G92" i="2"/>
  <c r="X150" i="2"/>
  <c r="X148" i="2"/>
  <c r="X55" i="2"/>
  <c r="X90" i="2"/>
  <c r="C162" i="2"/>
  <c r="N70" i="2"/>
  <c r="BT68" i="1" l="1"/>
  <c r="BT67" i="1"/>
  <c r="CC68" i="1"/>
  <c r="CA68" i="1"/>
  <c r="CA67" i="1"/>
  <c r="CC67" i="1"/>
  <c r="A163" i="2"/>
  <c r="DG162" i="1"/>
  <c r="A71" i="2"/>
  <c r="DG70" i="1"/>
  <c r="Y160" i="2"/>
  <c r="BG159" i="1" s="1"/>
  <c r="Y156" i="2"/>
  <c r="BG155" i="1" s="1"/>
  <c r="Y152" i="2"/>
  <c r="BG151" i="1" s="1"/>
  <c r="Y148" i="2"/>
  <c r="BG147" i="1" s="1"/>
  <c r="Y144" i="2"/>
  <c r="BG143" i="1" s="1"/>
  <c r="Y140" i="2"/>
  <c r="BG139" i="1" s="1"/>
  <c r="Y159" i="2"/>
  <c r="BG158" i="1" s="1"/>
  <c r="Y155" i="2"/>
  <c r="BG154" i="1" s="1"/>
  <c r="Y151" i="2"/>
  <c r="BG150" i="1" s="1"/>
  <c r="Y147" i="2"/>
  <c r="BG146" i="1" s="1"/>
  <c r="Y143" i="2"/>
  <c r="BG142" i="1" s="1"/>
  <c r="Y139" i="2"/>
  <c r="BG138" i="1" s="1"/>
  <c r="Y162" i="2"/>
  <c r="BG161" i="1" s="1"/>
  <c r="Y158" i="2"/>
  <c r="BG157" i="1" s="1"/>
  <c r="Y154" i="2"/>
  <c r="BG153" i="1" s="1"/>
  <c r="Y150" i="2"/>
  <c r="BG149" i="1" s="1"/>
  <c r="Y146" i="2"/>
  <c r="BG145" i="1" s="1"/>
  <c r="Y142" i="2"/>
  <c r="BG141" i="1" s="1"/>
  <c r="Y138" i="2"/>
  <c r="BG137" i="1" s="1"/>
  <c r="Y161" i="2"/>
  <c r="BG160" i="1" s="1"/>
  <c r="Y157" i="2"/>
  <c r="BG156" i="1" s="1"/>
  <c r="Y153" i="2"/>
  <c r="BG152" i="1" s="1"/>
  <c r="Y149" i="2"/>
  <c r="BG148" i="1" s="1"/>
  <c r="Y145" i="2"/>
  <c r="BG144" i="1" s="1"/>
  <c r="Y141" i="2"/>
  <c r="BG140" i="1" s="1"/>
  <c r="Y86" i="2"/>
  <c r="BG85" i="1" s="1"/>
  <c r="Y5" i="2"/>
  <c r="BG4" i="1" s="1"/>
  <c r="Y48" i="2"/>
  <c r="BG47" i="1" s="1"/>
  <c r="Y55" i="2"/>
  <c r="BG54" i="1" s="1"/>
  <c r="BH54" i="1" s="1"/>
  <c r="Y51" i="2"/>
  <c r="BG50" i="1" s="1"/>
  <c r="Y58" i="2"/>
  <c r="BG57" i="1" s="1"/>
  <c r="Y46" i="2"/>
  <c r="BG45" i="1" s="1"/>
  <c r="Y53" i="2"/>
  <c r="BG52" i="1" s="1"/>
  <c r="Y47" i="2"/>
  <c r="BG46" i="1" s="1"/>
  <c r="Y54" i="2"/>
  <c r="BG53" i="1" s="1"/>
  <c r="Y49" i="2"/>
  <c r="BG48" i="1" s="1"/>
  <c r="Y60" i="2"/>
  <c r="BG59" i="1" s="1"/>
  <c r="Y56" i="2"/>
  <c r="BG55" i="1" s="1"/>
  <c r="BH55" i="1" s="1"/>
  <c r="Y50" i="2"/>
  <c r="BG49" i="1" s="1"/>
  <c r="Y62" i="2"/>
  <c r="BG61" i="1" s="1"/>
  <c r="Y52" i="2"/>
  <c r="BG51" i="1" s="1"/>
  <c r="Y57" i="2"/>
  <c r="BG56" i="1" s="1"/>
  <c r="Y59" i="2"/>
  <c r="BG58" i="1" s="1"/>
  <c r="Y67" i="2"/>
  <c r="BG66" i="1" s="1"/>
  <c r="BH66" i="1" s="1"/>
  <c r="Y66" i="2"/>
  <c r="BG65" i="1" s="1"/>
  <c r="BH65" i="1" s="1"/>
  <c r="Y63" i="2"/>
  <c r="BG62" i="1" s="1"/>
  <c r="Y69" i="2"/>
  <c r="BG68" i="1" s="1"/>
  <c r="BH68" i="1" s="1"/>
  <c r="Y65" i="2"/>
  <c r="BG64" i="1" s="1"/>
  <c r="Y68" i="2"/>
  <c r="BG67" i="1" s="1"/>
  <c r="BH67" i="1" s="1"/>
  <c r="Y70" i="2"/>
  <c r="BG69" i="1" s="1"/>
  <c r="BH69" i="1" s="1"/>
  <c r="Y61" i="2"/>
  <c r="BG60" i="1" s="1"/>
  <c r="Y64" i="2"/>
  <c r="BG63" i="1" s="1"/>
  <c r="Y87" i="2"/>
  <c r="BG86" i="1" s="1"/>
  <c r="Y88" i="2"/>
  <c r="BG87" i="1" s="1"/>
  <c r="Y89" i="2"/>
  <c r="BG88" i="1" s="1"/>
  <c r="Y90" i="2"/>
  <c r="BG89" i="1" s="1"/>
  <c r="Y91" i="2"/>
  <c r="BG90" i="1" s="1"/>
  <c r="X42" i="2"/>
  <c r="X82" i="2" s="1"/>
  <c r="X134" i="2" s="1"/>
  <c r="Y92" i="2"/>
  <c r="BG91" i="1" s="1"/>
  <c r="A92" i="1"/>
  <c r="A93" i="2" s="1"/>
  <c r="AZ91" i="1"/>
  <c r="DG91" i="1"/>
  <c r="A163" i="1"/>
  <c r="AZ162" i="1"/>
  <c r="F162" i="1"/>
  <c r="G162" i="1"/>
  <c r="DM69" i="1"/>
  <c r="DQ69" i="1"/>
  <c r="BU69" i="1"/>
  <c r="BZ69" i="1"/>
  <c r="CA69" i="1" s="1"/>
  <c r="CB69" i="1"/>
  <c r="CC69" i="1" s="1"/>
  <c r="BS69" i="1"/>
  <c r="BT69" i="1" s="1"/>
  <c r="A71" i="1"/>
  <c r="AZ70" i="1"/>
  <c r="F70" i="1"/>
  <c r="DW69" i="1"/>
  <c r="E69" i="1"/>
  <c r="DT69" i="1"/>
  <c r="DV69" i="1" s="1"/>
  <c r="DP69" i="1"/>
  <c r="DL69" i="1"/>
  <c r="CP69" i="1"/>
  <c r="DS69" i="1"/>
  <c r="F158" i="1"/>
  <c r="G158" i="1"/>
  <c r="F58" i="1"/>
  <c r="DF71" i="1"/>
  <c r="DB71" i="1"/>
  <c r="EQ163" i="1"/>
  <c r="DD71" i="1"/>
  <c r="T93" i="2"/>
  <c r="B93" i="2"/>
  <c r="N93" i="2"/>
  <c r="N71" i="2"/>
  <c r="H93" i="2"/>
  <c r="E163" i="2"/>
  <c r="N163" i="2"/>
  <c r="P163" i="2"/>
  <c r="L93" i="2"/>
  <c r="C71" i="2"/>
  <c r="X163" i="2"/>
  <c r="J163" i="2"/>
  <c r="G163" i="2"/>
  <c r="U93" i="2"/>
  <c r="C93" i="2"/>
  <c r="W93" i="2"/>
  <c r="E93" i="2"/>
  <c r="B71" i="2"/>
  <c r="X71" i="2"/>
  <c r="U71" i="2"/>
  <c r="M71" i="2"/>
  <c r="K71" i="2"/>
  <c r="R71" i="2"/>
  <c r="V93" i="2"/>
  <c r="S93" i="2"/>
  <c r="H163" i="2"/>
  <c r="P93" i="2"/>
  <c r="R93" i="2"/>
  <c r="V163" i="2"/>
  <c r="T71" i="2"/>
  <c r="G71" i="2"/>
  <c r="S71" i="2"/>
  <c r="B163" i="2"/>
  <c r="G93" i="2"/>
  <c r="C163" i="2"/>
  <c r="M163" i="2"/>
  <c r="K163" i="2"/>
  <c r="L71" i="2"/>
  <c r="U163" i="2"/>
  <c r="M93" i="2"/>
  <c r="S163" i="2"/>
  <c r="K93" i="2"/>
  <c r="AT163" i="1"/>
  <c r="AS163" i="1"/>
  <c r="D71" i="2"/>
  <c r="D93" i="2"/>
  <c r="J71" i="2"/>
  <c r="W163" i="2"/>
  <c r="D163" i="2"/>
  <c r="F163" i="2"/>
  <c r="R163" i="2"/>
  <c r="T163" i="2"/>
  <c r="Q163" i="2"/>
  <c r="H71" i="2"/>
  <c r="F71" i="2"/>
  <c r="I163" i="2"/>
  <c r="J93" i="2"/>
  <c r="I93" i="2"/>
  <c r="O93" i="2"/>
  <c r="V71" i="2"/>
  <c r="P71" i="2"/>
  <c r="X93" i="2"/>
  <c r="W71" i="2"/>
  <c r="O71" i="2"/>
  <c r="Q93" i="2"/>
  <c r="I71" i="2"/>
  <c r="F93" i="2"/>
  <c r="E71" i="2"/>
  <c r="Q71" i="2"/>
  <c r="L163" i="2"/>
  <c r="O163" i="2"/>
  <c r="Y163" i="2" l="1"/>
  <c r="BG162" i="1" s="1"/>
  <c r="A164" i="2"/>
  <c r="DG163" i="1"/>
  <c r="Y71" i="2"/>
  <c r="BG70" i="1" s="1"/>
  <c r="A72" i="2"/>
  <c r="DG71" i="1"/>
  <c r="BI67" i="1"/>
  <c r="BI55" i="1"/>
  <c r="BI69" i="1"/>
  <c r="BI66" i="1"/>
  <c r="BI68" i="1"/>
  <c r="Y93" i="2"/>
  <c r="BG92" i="1" s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DF72" i="1"/>
  <c r="DB72" i="1"/>
  <c r="DD72" i="1"/>
  <c r="I72" i="2"/>
  <c r="T164" i="2"/>
  <c r="X72" i="2"/>
  <c r="T94" i="2"/>
  <c r="S72" i="2"/>
  <c r="G164" i="2"/>
  <c r="Q164" i="2"/>
  <c r="O94" i="2"/>
  <c r="U164" i="2"/>
  <c r="C164" i="2"/>
  <c r="N94" i="2"/>
  <c r="X94" i="2"/>
  <c r="W164" i="2"/>
  <c r="M94" i="2"/>
  <c r="J72" i="2"/>
  <c r="U94" i="2"/>
  <c r="S164" i="2"/>
  <c r="L72" i="2"/>
  <c r="F164" i="2"/>
  <c r="R72" i="2"/>
  <c r="M72" i="2"/>
  <c r="V164" i="2"/>
  <c r="R164" i="2"/>
  <c r="P72" i="2"/>
  <c r="H164" i="2"/>
  <c r="AT164" i="1"/>
  <c r="R94" i="2"/>
  <c r="L164" i="2"/>
  <c r="Q94" i="2"/>
  <c r="M164" i="2"/>
  <c r="V94" i="2"/>
  <c r="T72" i="2"/>
  <c r="F94" i="2"/>
  <c r="C94" i="2"/>
  <c r="V72" i="2"/>
  <c r="E164" i="2"/>
  <c r="C72" i="2"/>
  <c r="B164" i="2"/>
  <c r="B72" i="2"/>
  <c r="L94" i="2"/>
  <c r="N164" i="2"/>
  <c r="D164" i="2"/>
  <c r="Q72" i="2"/>
  <c r="X164" i="2"/>
  <c r="O164" i="2"/>
  <c r="K94" i="2"/>
  <c r="AS164" i="1"/>
  <c r="I164" i="2"/>
  <c r="H72" i="2"/>
  <c r="E72" i="2"/>
  <c r="B94" i="2"/>
  <c r="W72" i="2"/>
  <c r="W94" i="2"/>
  <c r="D94" i="2"/>
  <c r="U72" i="2"/>
  <c r="O72" i="2"/>
  <c r="K72" i="2"/>
  <c r="J94" i="2"/>
  <c r="E94" i="2"/>
  <c r="S94" i="2"/>
  <c r="P164" i="2"/>
  <c r="D72" i="2"/>
  <c r="H94" i="2"/>
  <c r="K164" i="2"/>
  <c r="F72" i="2"/>
  <c r="J164" i="2"/>
  <c r="P94" i="2"/>
  <c r="N72" i="2"/>
  <c r="I94" i="2"/>
  <c r="G72" i="2"/>
  <c r="G94" i="2"/>
  <c r="Y164" i="2" l="1"/>
  <c r="BG163" i="1" s="1"/>
  <c r="A165" i="2"/>
  <c r="DG164" i="1"/>
  <c r="Y72" i="2"/>
  <c r="BG71" i="1" s="1"/>
  <c r="A73" i="2"/>
  <c r="DG72" i="1"/>
  <c r="Y94" i="2"/>
  <c r="BG93" i="1" s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DD73" i="1"/>
  <c r="DB73" i="1"/>
  <c r="DF73" i="1"/>
  <c r="AT165" i="1"/>
  <c r="U165" i="2"/>
  <c r="P73" i="2"/>
  <c r="O73" i="2"/>
  <c r="R95" i="2"/>
  <c r="H165" i="2"/>
  <c r="S165" i="2"/>
  <c r="T73" i="2"/>
  <c r="U95" i="2"/>
  <c r="V165" i="2"/>
  <c r="AS165" i="1"/>
  <c r="W165" i="2"/>
  <c r="G95" i="2"/>
  <c r="F73" i="2"/>
  <c r="O95" i="2"/>
  <c r="H95" i="2"/>
  <c r="O165" i="2"/>
  <c r="M95" i="2"/>
  <c r="M165" i="2"/>
  <c r="N73" i="2"/>
  <c r="Q95" i="2"/>
  <c r="K73" i="2"/>
  <c r="G165" i="2"/>
  <c r="N95" i="2"/>
  <c r="U73" i="2"/>
  <c r="F165" i="2"/>
  <c r="T95" i="2"/>
  <c r="P165" i="2"/>
  <c r="V73" i="2"/>
  <c r="B73" i="2"/>
  <c r="L165" i="2"/>
  <c r="D165" i="2"/>
  <c r="E165" i="2"/>
  <c r="V95" i="2"/>
  <c r="C73" i="2"/>
  <c r="P95" i="2"/>
  <c r="H73" i="2"/>
  <c r="C95" i="2"/>
  <c r="C165" i="2"/>
  <c r="X73" i="2"/>
  <c r="K95" i="2"/>
  <c r="D73" i="2"/>
  <c r="X165" i="2"/>
  <c r="T165" i="2"/>
  <c r="X95" i="2"/>
  <c r="I165" i="2"/>
  <c r="S73" i="2"/>
  <c r="I73" i="2"/>
  <c r="R165" i="2"/>
  <c r="K165" i="2"/>
  <c r="S95" i="2"/>
  <c r="R73" i="2"/>
  <c r="L95" i="2"/>
  <c r="D95" i="2"/>
  <c r="W73" i="2"/>
  <c r="G73" i="2"/>
  <c r="W95" i="2"/>
  <c r="L73" i="2"/>
  <c r="M73" i="2"/>
  <c r="F95" i="2"/>
  <c r="N165" i="2"/>
  <c r="B165" i="2"/>
  <c r="Q73" i="2"/>
  <c r="J95" i="2"/>
  <c r="J165" i="2"/>
  <c r="I95" i="2"/>
  <c r="E73" i="2"/>
  <c r="E95" i="2"/>
  <c r="Q165" i="2"/>
  <c r="J73" i="2"/>
  <c r="B95" i="2"/>
  <c r="Y165" i="2" l="1"/>
  <c r="BG164" i="1" s="1"/>
  <c r="A166" i="2"/>
  <c r="DG165" i="1"/>
  <c r="Y73" i="2"/>
  <c r="BG72" i="1" s="1"/>
  <c r="A74" i="2"/>
  <c r="DG73" i="1"/>
  <c r="Y95" i="2"/>
  <c r="BG94" i="1" s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DD74" i="1"/>
  <c r="DB74" i="1"/>
  <c r="DF74" i="1"/>
  <c r="I74" i="2"/>
  <c r="R74" i="2"/>
  <c r="S166" i="2"/>
  <c r="U96" i="2"/>
  <c r="G74" i="2"/>
  <c r="I96" i="2"/>
  <c r="C74" i="2"/>
  <c r="K96" i="2"/>
  <c r="E166" i="2"/>
  <c r="X96" i="2"/>
  <c r="B74" i="2"/>
  <c r="P74" i="2"/>
  <c r="I166" i="2"/>
  <c r="W166" i="2"/>
  <c r="P166" i="2"/>
  <c r="W96" i="2"/>
  <c r="G96" i="2"/>
  <c r="M166" i="2"/>
  <c r="O96" i="2"/>
  <c r="E74" i="2"/>
  <c r="U74" i="2"/>
  <c r="O74" i="2"/>
  <c r="N96" i="2"/>
  <c r="K166" i="2"/>
  <c r="R96" i="2"/>
  <c r="G166" i="2"/>
  <c r="C96" i="2"/>
  <c r="D96" i="2"/>
  <c r="E96" i="2"/>
  <c r="L74" i="2"/>
  <c r="X74" i="2"/>
  <c r="Q96" i="2"/>
  <c r="J96" i="2"/>
  <c r="F74" i="2"/>
  <c r="S96" i="2"/>
  <c r="X166" i="2"/>
  <c r="B96" i="2"/>
  <c r="L96" i="2"/>
  <c r="AS166" i="1"/>
  <c r="T74" i="2"/>
  <c r="V96" i="2"/>
  <c r="F166" i="2"/>
  <c r="H74" i="2"/>
  <c r="N74" i="2"/>
  <c r="T166" i="2"/>
  <c r="N166" i="2"/>
  <c r="S74" i="2"/>
  <c r="F96" i="2"/>
  <c r="R166" i="2"/>
  <c r="M74" i="2"/>
  <c r="J74" i="2"/>
  <c r="T96" i="2"/>
  <c r="D166" i="2"/>
  <c r="P96" i="2"/>
  <c r="D74" i="2"/>
  <c r="Q74" i="2"/>
  <c r="AT166" i="1"/>
  <c r="J166" i="2"/>
  <c r="V74" i="2"/>
  <c r="H96" i="2"/>
  <c r="K74" i="2"/>
  <c r="C166" i="2"/>
  <c r="M96" i="2"/>
  <c r="L166" i="2"/>
  <c r="B166" i="2"/>
  <c r="O166" i="2"/>
  <c r="V166" i="2"/>
  <c r="W74" i="2"/>
  <c r="Q166" i="2"/>
  <c r="U166" i="2"/>
  <c r="H166" i="2"/>
  <c r="Y166" i="2" l="1"/>
  <c r="BG165" i="1" s="1"/>
  <c r="A167" i="2"/>
  <c r="DG166" i="1"/>
  <c r="Y74" i="2"/>
  <c r="BG73" i="1" s="1"/>
  <c r="A75" i="2"/>
  <c r="DG74" i="1"/>
  <c r="Y96" i="2"/>
  <c r="BG95" i="1" s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DF75" i="1"/>
  <c r="DD75" i="1"/>
  <c r="DB75" i="1"/>
  <c r="C75" i="2"/>
  <c r="D75" i="2"/>
  <c r="L75" i="2"/>
  <c r="K97" i="2"/>
  <c r="R75" i="2"/>
  <c r="P75" i="2"/>
  <c r="E97" i="2"/>
  <c r="J75" i="2"/>
  <c r="E167" i="2"/>
  <c r="N75" i="2"/>
  <c r="H167" i="2"/>
  <c r="R167" i="2"/>
  <c r="Q97" i="2"/>
  <c r="T75" i="2"/>
  <c r="G167" i="2"/>
  <c r="Q167" i="2"/>
  <c r="G75" i="2"/>
  <c r="U75" i="2"/>
  <c r="O167" i="2"/>
  <c r="M167" i="2"/>
  <c r="V75" i="2"/>
  <c r="AT167" i="1"/>
  <c r="W97" i="2"/>
  <c r="F97" i="2"/>
  <c r="G97" i="2"/>
  <c r="P167" i="2"/>
  <c r="H97" i="2"/>
  <c r="J167" i="2"/>
  <c r="F75" i="2"/>
  <c r="B167" i="2"/>
  <c r="L97" i="2"/>
  <c r="E75" i="2"/>
  <c r="U167" i="2"/>
  <c r="C167" i="2"/>
  <c r="U97" i="2"/>
  <c r="B75" i="2"/>
  <c r="D97" i="2"/>
  <c r="V167" i="2"/>
  <c r="X75" i="2"/>
  <c r="AS167" i="1"/>
  <c r="I75" i="2"/>
  <c r="J97" i="2"/>
  <c r="T97" i="2"/>
  <c r="N97" i="2"/>
  <c r="W167" i="2"/>
  <c r="M75" i="2"/>
  <c r="S97" i="2"/>
  <c r="H75" i="2"/>
  <c r="O97" i="2"/>
  <c r="O75" i="2"/>
  <c r="K167" i="2"/>
  <c r="K75" i="2"/>
  <c r="D167" i="2"/>
  <c r="S167" i="2"/>
  <c r="X97" i="2"/>
  <c r="C97" i="2"/>
  <c r="X167" i="2"/>
  <c r="P97" i="2"/>
  <c r="B97" i="2"/>
  <c r="M97" i="2"/>
  <c r="L167" i="2"/>
  <c r="W75" i="2"/>
  <c r="F167" i="2"/>
  <c r="N167" i="2"/>
  <c r="Q75" i="2"/>
  <c r="S75" i="2"/>
  <c r="I97" i="2"/>
  <c r="V97" i="2"/>
  <c r="R97" i="2"/>
  <c r="T167" i="2"/>
  <c r="I167" i="2"/>
  <c r="Y167" i="2" l="1"/>
  <c r="BG166" i="1" s="1"/>
  <c r="A168" i="2"/>
  <c r="DG167" i="1"/>
  <c r="Y75" i="2"/>
  <c r="BG74" i="1" s="1"/>
  <c r="A76" i="2"/>
  <c r="DG75" i="1"/>
  <c r="Y97" i="2"/>
  <c r="BG96" i="1" s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DD76" i="1"/>
  <c r="DF76" i="1"/>
  <c r="DB76" i="1"/>
  <c r="W76" i="2"/>
  <c r="S76" i="2"/>
  <c r="K76" i="2"/>
  <c r="AT168" i="1"/>
  <c r="M76" i="2"/>
  <c r="N168" i="2"/>
  <c r="M98" i="2"/>
  <c r="C76" i="2"/>
  <c r="J98" i="2"/>
  <c r="U98" i="2"/>
  <c r="G76" i="2"/>
  <c r="C98" i="2"/>
  <c r="U76" i="2"/>
  <c r="D98" i="2"/>
  <c r="V168" i="2"/>
  <c r="M168" i="2"/>
  <c r="I76" i="2"/>
  <c r="F98" i="2"/>
  <c r="P76" i="2"/>
  <c r="V98" i="2"/>
  <c r="K168" i="2"/>
  <c r="AS168" i="1"/>
  <c r="D76" i="2"/>
  <c r="G168" i="2"/>
  <c r="J168" i="2"/>
  <c r="S98" i="2"/>
  <c r="T76" i="2"/>
  <c r="R168" i="2"/>
  <c r="E98" i="2"/>
  <c r="B98" i="2"/>
  <c r="I98" i="2"/>
  <c r="D168" i="2"/>
  <c r="O98" i="2"/>
  <c r="L76" i="2"/>
  <c r="H168" i="2"/>
  <c r="W98" i="2"/>
  <c r="E76" i="2"/>
  <c r="P98" i="2"/>
  <c r="L168" i="2"/>
  <c r="Q98" i="2"/>
  <c r="O168" i="2"/>
  <c r="F168" i="2"/>
  <c r="B168" i="2"/>
  <c r="B76" i="2"/>
  <c r="T168" i="2"/>
  <c r="Q76" i="2"/>
  <c r="N76" i="2"/>
  <c r="X76" i="2"/>
  <c r="O76" i="2"/>
  <c r="V76" i="2"/>
  <c r="R98" i="2"/>
  <c r="T98" i="2"/>
  <c r="X98" i="2"/>
  <c r="S168" i="2"/>
  <c r="C168" i="2"/>
  <c r="R76" i="2"/>
  <c r="L98" i="2"/>
  <c r="J76" i="2"/>
  <c r="H76" i="2"/>
  <c r="N98" i="2"/>
  <c r="E168" i="2"/>
  <c r="U168" i="2"/>
  <c r="X168" i="2"/>
  <c r="G98" i="2"/>
  <c r="H98" i="2"/>
  <c r="P168" i="2"/>
  <c r="F76" i="2"/>
  <c r="I168" i="2"/>
  <c r="W168" i="2"/>
  <c r="K98" i="2"/>
  <c r="Q168" i="2"/>
  <c r="Y168" i="2" l="1"/>
  <c r="BG167" i="1" s="1"/>
  <c r="A169" i="2"/>
  <c r="DG168" i="1"/>
  <c r="Y76" i="2"/>
  <c r="BG75" i="1" s="1"/>
  <c r="A77" i="2"/>
  <c r="DG76" i="1"/>
  <c r="Y98" i="2"/>
  <c r="BG97" i="1" s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DB77" i="1"/>
  <c r="DF77" i="1"/>
  <c r="DD77" i="1"/>
  <c r="AS169" i="1"/>
  <c r="Q169" i="2"/>
  <c r="X169" i="2"/>
  <c r="U77" i="2"/>
  <c r="I77" i="2"/>
  <c r="S77" i="2"/>
  <c r="L169" i="2"/>
  <c r="G77" i="2"/>
  <c r="Q77" i="2"/>
  <c r="P77" i="2"/>
  <c r="F77" i="2"/>
  <c r="O169" i="2"/>
  <c r="AT169" i="1"/>
  <c r="W169" i="2"/>
  <c r="R169" i="2"/>
  <c r="R77" i="2"/>
  <c r="T169" i="2"/>
  <c r="B77" i="2"/>
  <c r="P169" i="2"/>
  <c r="X77" i="2"/>
  <c r="T77" i="2"/>
  <c r="B169" i="2"/>
  <c r="K169" i="2"/>
  <c r="L77" i="2"/>
  <c r="W77" i="2"/>
  <c r="V77" i="2"/>
  <c r="H169" i="2"/>
  <c r="G169" i="2"/>
  <c r="S169" i="2"/>
  <c r="V169" i="2"/>
  <c r="M169" i="2"/>
  <c r="J77" i="2"/>
  <c r="M77" i="2"/>
  <c r="D169" i="2"/>
  <c r="U169" i="2"/>
  <c r="E169" i="2"/>
  <c r="C77" i="2"/>
  <c r="C169" i="2"/>
  <c r="K77" i="2"/>
  <c r="J169" i="2"/>
  <c r="F169" i="2"/>
  <c r="I169" i="2"/>
  <c r="N169" i="2"/>
  <c r="E77" i="2"/>
  <c r="O77" i="2"/>
  <c r="H77" i="2"/>
  <c r="D77" i="2"/>
  <c r="N77" i="2"/>
  <c r="Y169" i="2" l="1"/>
  <c r="BG168" i="1" s="1"/>
  <c r="A170" i="2"/>
  <c r="DG169" i="1"/>
  <c r="Y77" i="2"/>
  <c r="BG76" i="1" s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DD78" i="1"/>
  <c r="DB78" i="1"/>
  <c r="DF78" i="1"/>
  <c r="W100" i="2"/>
  <c r="I78" i="2"/>
  <c r="U99" i="2"/>
  <c r="O170" i="2"/>
  <c r="Q78" i="2"/>
  <c r="P100" i="2"/>
  <c r="X170" i="2"/>
  <c r="M78" i="2"/>
  <c r="O78" i="2"/>
  <c r="X99" i="2"/>
  <c r="R170" i="2"/>
  <c r="G99" i="2"/>
  <c r="E170" i="2"/>
  <c r="H99" i="2"/>
  <c r="T170" i="2"/>
  <c r="T100" i="2"/>
  <c r="R78" i="2"/>
  <c r="U100" i="2"/>
  <c r="K78" i="2"/>
  <c r="J99" i="2"/>
  <c r="J78" i="2"/>
  <c r="O100" i="2"/>
  <c r="J170" i="2"/>
  <c r="B100" i="2"/>
  <c r="T78" i="2"/>
  <c r="K170" i="2"/>
  <c r="P78" i="2"/>
  <c r="P170" i="2"/>
  <c r="E99" i="2"/>
  <c r="V100" i="2"/>
  <c r="F78" i="2"/>
  <c r="C99" i="2"/>
  <c r="AT170" i="1"/>
  <c r="N100" i="2"/>
  <c r="X78" i="2"/>
  <c r="D99" i="2"/>
  <c r="R100" i="2"/>
  <c r="S100" i="2"/>
  <c r="J100" i="2"/>
  <c r="W78" i="2"/>
  <c r="P99" i="2"/>
  <c r="B99" i="2"/>
  <c r="M170" i="2"/>
  <c r="N170" i="2"/>
  <c r="I170" i="2"/>
  <c r="C170" i="2"/>
  <c r="W170" i="2"/>
  <c r="M99" i="2"/>
  <c r="H170" i="2"/>
  <c r="V78" i="2"/>
  <c r="B78" i="2"/>
  <c r="L78" i="2"/>
  <c r="U78" i="2"/>
  <c r="W99" i="2"/>
  <c r="V99" i="2"/>
  <c r="AS170" i="1"/>
  <c r="F170" i="2"/>
  <c r="S99" i="2"/>
  <c r="U170" i="2"/>
  <c r="D78" i="2"/>
  <c r="G100" i="2"/>
  <c r="N78" i="2"/>
  <c r="X100" i="2"/>
  <c r="D100" i="2"/>
  <c r="M100" i="2"/>
  <c r="K100" i="2"/>
  <c r="B170" i="2"/>
  <c r="N99" i="2"/>
  <c r="I99" i="2"/>
  <c r="D170" i="2"/>
  <c r="H78" i="2"/>
  <c r="F100" i="2"/>
  <c r="C78" i="2"/>
  <c r="R99" i="2"/>
  <c r="H100" i="2"/>
  <c r="L99" i="2"/>
  <c r="G170" i="2"/>
  <c r="L100" i="2"/>
  <c r="S78" i="2"/>
  <c r="C100" i="2"/>
  <c r="I100" i="2"/>
  <c r="Q99" i="2"/>
  <c r="L170" i="2"/>
  <c r="K99" i="2"/>
  <c r="E78" i="2"/>
  <c r="T99" i="2"/>
  <c r="Q170" i="2"/>
  <c r="G78" i="2"/>
  <c r="O99" i="2"/>
  <c r="S170" i="2"/>
  <c r="E100" i="2"/>
  <c r="F99" i="2"/>
  <c r="V170" i="2"/>
  <c r="Q100" i="2"/>
  <c r="Y170" i="2" l="1"/>
  <c r="BG169" i="1" s="1"/>
  <c r="A171" i="2"/>
  <c r="DG170" i="1"/>
  <c r="Y78" i="2"/>
  <c r="BG77" i="1" s="1"/>
  <c r="A79" i="2"/>
  <c r="DG78" i="1"/>
  <c r="Y99" i="2"/>
  <c r="BG98" i="1" s="1"/>
  <c r="Y100" i="2"/>
  <c r="BG99" i="1" s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DD79" i="1"/>
  <c r="DF79" i="1"/>
  <c r="DB79" i="1"/>
  <c r="P171" i="2"/>
  <c r="F171" i="2"/>
  <c r="AS171" i="1"/>
  <c r="N101" i="2"/>
  <c r="U101" i="2"/>
  <c r="L79" i="2"/>
  <c r="L101" i="2"/>
  <c r="S101" i="2"/>
  <c r="J101" i="2"/>
  <c r="G101" i="2"/>
  <c r="R171" i="2"/>
  <c r="W171" i="2"/>
  <c r="C171" i="2"/>
  <c r="K171" i="2"/>
  <c r="T171" i="2"/>
  <c r="F79" i="2"/>
  <c r="Q171" i="2"/>
  <c r="R79" i="2"/>
  <c r="E101" i="2"/>
  <c r="M79" i="2"/>
  <c r="P101" i="2"/>
  <c r="R101" i="2"/>
  <c r="G79" i="2"/>
  <c r="E171" i="2"/>
  <c r="I101" i="2"/>
  <c r="N79" i="2"/>
  <c r="E79" i="2"/>
  <c r="S79" i="2"/>
  <c r="C101" i="2"/>
  <c r="D101" i="2"/>
  <c r="T101" i="2"/>
  <c r="P79" i="2"/>
  <c r="X79" i="2"/>
  <c r="J79" i="2"/>
  <c r="O79" i="2"/>
  <c r="O101" i="2"/>
  <c r="F101" i="2"/>
  <c r="Q79" i="2"/>
  <c r="B171" i="2"/>
  <c r="H79" i="2"/>
  <c r="V101" i="2"/>
  <c r="W79" i="2"/>
  <c r="K101" i="2"/>
  <c r="M171" i="2"/>
  <c r="V171" i="2"/>
  <c r="S171" i="2"/>
  <c r="O171" i="2"/>
  <c r="H101" i="2"/>
  <c r="L171" i="2"/>
  <c r="B79" i="2"/>
  <c r="U79" i="2"/>
  <c r="G171" i="2"/>
  <c r="U171" i="2"/>
  <c r="T79" i="2"/>
  <c r="X101" i="2"/>
  <c r="AT171" i="1"/>
  <c r="D79" i="2"/>
  <c r="B101" i="2"/>
  <c r="I171" i="2"/>
  <c r="X171" i="2"/>
  <c r="Q101" i="2"/>
  <c r="M101" i="2"/>
  <c r="C79" i="2"/>
  <c r="I79" i="2"/>
  <c r="J171" i="2"/>
  <c r="N171" i="2"/>
  <c r="H171" i="2"/>
  <c r="W101" i="2"/>
  <c r="V79" i="2"/>
  <c r="K79" i="2"/>
  <c r="D171" i="2"/>
  <c r="Y171" i="2" l="1"/>
  <c r="BG170" i="1" s="1"/>
  <c r="A172" i="2"/>
  <c r="DG171" i="1"/>
  <c r="Y79" i="2"/>
  <c r="BG78" i="1" s="1"/>
  <c r="A80" i="2"/>
  <c r="DG79" i="1"/>
  <c r="Y101" i="2"/>
  <c r="BG100" i="1" s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I172" i="2"/>
  <c r="D102" i="2"/>
  <c r="X102" i="2"/>
  <c r="AS172" i="1"/>
  <c r="E172" i="2"/>
  <c r="C80" i="2"/>
  <c r="B80" i="2"/>
  <c r="L80" i="2"/>
  <c r="N172" i="2"/>
  <c r="W172" i="2"/>
  <c r="G102" i="2"/>
  <c r="M102" i="2"/>
  <c r="D172" i="2"/>
  <c r="D80" i="2"/>
  <c r="O172" i="2"/>
  <c r="U80" i="2"/>
  <c r="S172" i="2"/>
  <c r="R80" i="2"/>
  <c r="P80" i="2"/>
  <c r="G172" i="2"/>
  <c r="L172" i="2"/>
  <c r="AT172" i="1"/>
  <c r="T102" i="2"/>
  <c r="F80" i="2"/>
  <c r="H102" i="2"/>
  <c r="V172" i="2"/>
  <c r="M80" i="2"/>
  <c r="T80" i="2"/>
  <c r="B172" i="2"/>
  <c r="J172" i="2"/>
  <c r="T172" i="2"/>
  <c r="S80" i="2"/>
  <c r="K80" i="2"/>
  <c r="L102" i="2"/>
  <c r="M172" i="2"/>
  <c r="S102" i="2"/>
  <c r="H80" i="2"/>
  <c r="I80" i="2"/>
  <c r="O80" i="2"/>
  <c r="N80" i="2"/>
  <c r="Q172" i="2"/>
  <c r="B102" i="2"/>
  <c r="J102" i="2"/>
  <c r="P102" i="2"/>
  <c r="F102" i="2"/>
  <c r="W102" i="2"/>
  <c r="K172" i="2"/>
  <c r="U172" i="2"/>
  <c r="C172" i="2"/>
  <c r="X80" i="2"/>
  <c r="C102" i="2"/>
  <c r="P172" i="2"/>
  <c r="U102" i="2"/>
  <c r="R102" i="2"/>
  <c r="K102" i="2"/>
  <c r="G80" i="2"/>
  <c r="J80" i="2"/>
  <c r="E102" i="2"/>
  <c r="V80" i="2"/>
  <c r="R172" i="2"/>
  <c r="X172" i="2"/>
  <c r="V102" i="2"/>
  <c r="O102" i="2"/>
  <c r="W80" i="2"/>
  <c r="E80" i="2"/>
  <c r="Q80" i="2"/>
  <c r="F172" i="2"/>
  <c r="I102" i="2"/>
  <c r="Q102" i="2"/>
  <c r="H172" i="2"/>
  <c r="N102" i="2"/>
  <c r="Y172" i="2" l="1"/>
  <c r="BG171" i="1" s="1"/>
  <c r="A173" i="2"/>
  <c r="DG172" i="1"/>
  <c r="Y80" i="2"/>
  <c r="BG79" i="1" s="1"/>
  <c r="Y102" i="2"/>
  <c r="BG101" i="1" s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B173" i="2"/>
  <c r="M103" i="2"/>
  <c r="I103" i="2"/>
  <c r="H173" i="2"/>
  <c r="C103" i="2"/>
  <c r="X173" i="2"/>
  <c r="W103" i="2"/>
  <c r="J103" i="2"/>
  <c r="M173" i="2"/>
  <c r="U173" i="2"/>
  <c r="K103" i="2"/>
  <c r="E103" i="2"/>
  <c r="AT173" i="1"/>
  <c r="P173" i="2"/>
  <c r="C173" i="2"/>
  <c r="Q173" i="2"/>
  <c r="O103" i="2"/>
  <c r="I173" i="2"/>
  <c r="T103" i="2"/>
  <c r="Q103" i="2"/>
  <c r="H103" i="2"/>
  <c r="K173" i="2"/>
  <c r="E173" i="2"/>
  <c r="R173" i="2"/>
  <c r="D103" i="2"/>
  <c r="AS173" i="1"/>
  <c r="N103" i="2"/>
  <c r="F173" i="2"/>
  <c r="X103" i="2"/>
  <c r="S103" i="2"/>
  <c r="D173" i="2"/>
  <c r="R103" i="2"/>
  <c r="V173" i="2"/>
  <c r="B103" i="2"/>
  <c r="P103" i="2"/>
  <c r="G173" i="2"/>
  <c r="V103" i="2"/>
  <c r="U103" i="2"/>
  <c r="F103" i="2"/>
  <c r="L103" i="2"/>
  <c r="G103" i="2"/>
  <c r="L173" i="2"/>
  <c r="O173" i="2"/>
  <c r="N173" i="2"/>
  <c r="S173" i="2"/>
  <c r="T173" i="2"/>
  <c r="J173" i="2"/>
  <c r="W173" i="2"/>
  <c r="Y173" i="2" l="1"/>
  <c r="BG172" i="1" s="1"/>
  <c r="A174" i="2"/>
  <c r="DG173" i="1"/>
  <c r="Y103" i="2"/>
  <c r="BG102" i="1" s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AT174" i="1"/>
  <c r="K174" i="2"/>
  <c r="J174" i="2"/>
  <c r="I174" i="2"/>
  <c r="K104" i="2"/>
  <c r="Q174" i="2"/>
  <c r="F104" i="2"/>
  <c r="C104" i="2"/>
  <c r="G174" i="2"/>
  <c r="J104" i="2"/>
  <c r="V104" i="2"/>
  <c r="M104" i="2"/>
  <c r="AS174" i="1"/>
  <c r="B104" i="2"/>
  <c r="G104" i="2"/>
  <c r="P104" i="2"/>
  <c r="S174" i="2"/>
  <c r="P174" i="2"/>
  <c r="L104" i="2"/>
  <c r="R104" i="2"/>
  <c r="T104" i="2"/>
  <c r="D174" i="2"/>
  <c r="S104" i="2"/>
  <c r="O104" i="2"/>
  <c r="Q104" i="2"/>
  <c r="U174" i="2"/>
  <c r="O174" i="2"/>
  <c r="X104" i="2"/>
  <c r="E174" i="2"/>
  <c r="N104" i="2"/>
  <c r="E104" i="2"/>
  <c r="C174" i="2"/>
  <c r="I104" i="2"/>
  <c r="B174" i="2"/>
  <c r="H104" i="2"/>
  <c r="V174" i="2"/>
  <c r="N174" i="2"/>
  <c r="L174" i="2"/>
  <c r="W174" i="2"/>
  <c r="U104" i="2"/>
  <c r="X174" i="2"/>
  <c r="F174" i="2"/>
  <c r="T174" i="2"/>
  <c r="W104" i="2"/>
  <c r="R174" i="2"/>
  <c r="H174" i="2"/>
  <c r="D104" i="2"/>
  <c r="M174" i="2"/>
  <c r="Y174" i="2" l="1"/>
  <c r="BG173" i="1" s="1"/>
  <c r="A175" i="2"/>
  <c r="DG174" i="1"/>
  <c r="Y104" i="2"/>
  <c r="BG103" i="1" s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E175" i="2"/>
  <c r="X175" i="2"/>
  <c r="Q105" i="2"/>
  <c r="D175" i="2"/>
  <c r="B175" i="2"/>
  <c r="T175" i="2"/>
  <c r="J105" i="2"/>
  <c r="D105" i="2"/>
  <c r="H105" i="2"/>
  <c r="F105" i="2"/>
  <c r="K175" i="2"/>
  <c r="AS175" i="1"/>
  <c r="V105" i="2"/>
  <c r="G175" i="2"/>
  <c r="B105" i="2"/>
  <c r="X105" i="2"/>
  <c r="N105" i="2"/>
  <c r="U175" i="2"/>
  <c r="U105" i="2"/>
  <c r="W175" i="2"/>
  <c r="N175" i="2"/>
  <c r="M105" i="2"/>
  <c r="O175" i="2"/>
  <c r="S175" i="2"/>
  <c r="K105" i="2"/>
  <c r="C175" i="2"/>
  <c r="V175" i="2"/>
  <c r="P105" i="2"/>
  <c r="M175" i="2"/>
  <c r="L175" i="2"/>
  <c r="AT175" i="1"/>
  <c r="J175" i="2"/>
  <c r="I105" i="2"/>
  <c r="T105" i="2"/>
  <c r="H175" i="2"/>
  <c r="O105" i="2"/>
  <c r="C105" i="2"/>
  <c r="I175" i="2"/>
  <c r="R105" i="2"/>
  <c r="Q175" i="2"/>
  <c r="G105" i="2"/>
  <c r="E105" i="2"/>
  <c r="S105" i="2"/>
  <c r="R175" i="2"/>
  <c r="P175" i="2"/>
  <c r="W105" i="2"/>
  <c r="F175" i="2"/>
  <c r="L105" i="2"/>
  <c r="Y175" i="2" l="1"/>
  <c r="BG174" i="1" s="1"/>
  <c r="A176" i="2"/>
  <c r="DG175" i="1"/>
  <c r="Y105" i="2"/>
  <c r="BG104" i="1" s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AS176" i="1"/>
  <c r="I106" i="2"/>
  <c r="P176" i="2"/>
  <c r="L176" i="2"/>
  <c r="X176" i="2"/>
  <c r="F176" i="2"/>
  <c r="E106" i="2"/>
  <c r="O176" i="2"/>
  <c r="C176" i="2"/>
  <c r="B176" i="2"/>
  <c r="N176" i="2"/>
  <c r="T106" i="2"/>
  <c r="AT176" i="1"/>
  <c r="J106" i="2"/>
  <c r="K176" i="2"/>
  <c r="K106" i="2"/>
  <c r="B106" i="2"/>
  <c r="Q176" i="2"/>
  <c r="H106" i="2"/>
  <c r="Q106" i="2"/>
  <c r="M106" i="2"/>
  <c r="D106" i="2"/>
  <c r="L106" i="2"/>
  <c r="S176" i="2"/>
  <c r="X106" i="2"/>
  <c r="T176" i="2"/>
  <c r="E176" i="2"/>
  <c r="R176" i="2"/>
  <c r="V106" i="2"/>
  <c r="I176" i="2"/>
  <c r="N106" i="2"/>
  <c r="R106" i="2"/>
  <c r="V176" i="2"/>
  <c r="J176" i="2"/>
  <c r="S106" i="2"/>
  <c r="U106" i="2"/>
  <c r="W106" i="2"/>
  <c r="G106" i="2"/>
  <c r="F106" i="2"/>
  <c r="W176" i="2"/>
  <c r="O106" i="2"/>
  <c r="G176" i="2"/>
  <c r="H176" i="2"/>
  <c r="M176" i="2"/>
  <c r="D176" i="2"/>
  <c r="U176" i="2"/>
  <c r="C106" i="2"/>
  <c r="P106" i="2"/>
  <c r="Y176" i="2" l="1"/>
  <c r="BG175" i="1" s="1"/>
  <c r="A177" i="2"/>
  <c r="DG176" i="1"/>
  <c r="Y106" i="2"/>
  <c r="BG105" i="1" s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J177" i="2"/>
  <c r="AT177" i="1"/>
  <c r="E107" i="2"/>
  <c r="H177" i="2"/>
  <c r="O107" i="2"/>
  <c r="L177" i="2"/>
  <c r="M107" i="2"/>
  <c r="L107" i="2"/>
  <c r="V177" i="2"/>
  <c r="D177" i="2"/>
  <c r="J107" i="2"/>
  <c r="X177" i="2"/>
  <c r="C177" i="2"/>
  <c r="AS177" i="1"/>
  <c r="G177" i="2"/>
  <c r="N107" i="2"/>
  <c r="R177" i="2"/>
  <c r="V107" i="2"/>
  <c r="S177" i="2"/>
  <c r="D107" i="2"/>
  <c r="W107" i="2"/>
  <c r="K107" i="2"/>
  <c r="I107" i="2"/>
  <c r="P177" i="2"/>
  <c r="P107" i="2"/>
  <c r="B177" i="2"/>
  <c r="F107" i="2"/>
  <c r="Q107" i="2"/>
  <c r="O177" i="2"/>
  <c r="H107" i="2"/>
  <c r="U177" i="2"/>
  <c r="F177" i="2"/>
  <c r="M177" i="2"/>
  <c r="C107" i="2"/>
  <c r="E177" i="2"/>
  <c r="Q177" i="2"/>
  <c r="T177" i="2"/>
  <c r="K177" i="2"/>
  <c r="U107" i="2"/>
  <c r="B107" i="2"/>
  <c r="G107" i="2"/>
  <c r="R107" i="2"/>
  <c r="S107" i="2"/>
  <c r="N177" i="2"/>
  <c r="X107" i="2"/>
  <c r="T107" i="2"/>
  <c r="W177" i="2"/>
  <c r="I177" i="2"/>
  <c r="Y177" i="2" l="1"/>
  <c r="BG176" i="1" s="1"/>
  <c r="A178" i="2"/>
  <c r="DG177" i="1"/>
  <c r="Y107" i="2"/>
  <c r="BG106" i="1" s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AS178" i="1"/>
  <c r="R108" i="2"/>
  <c r="C178" i="2"/>
  <c r="X178" i="2"/>
  <c r="O108" i="2"/>
  <c r="W178" i="2"/>
  <c r="I108" i="2"/>
  <c r="J108" i="2"/>
  <c r="K178" i="2"/>
  <c r="L108" i="2"/>
  <c r="D108" i="2"/>
  <c r="R178" i="2"/>
  <c r="AT178" i="1"/>
  <c r="F108" i="2"/>
  <c r="Q178" i="2"/>
  <c r="P108" i="2"/>
  <c r="E108" i="2"/>
  <c r="I178" i="2"/>
  <c r="U108" i="2"/>
  <c r="M108" i="2"/>
  <c r="W108" i="2"/>
  <c r="T108" i="2"/>
  <c r="V178" i="2"/>
  <c r="V108" i="2"/>
  <c r="T178" i="2"/>
  <c r="S178" i="2"/>
  <c r="B108" i="2"/>
  <c r="L178" i="2"/>
  <c r="H178" i="2"/>
  <c r="D178" i="2"/>
  <c r="Q108" i="2"/>
  <c r="G108" i="2"/>
  <c r="C108" i="2"/>
  <c r="M178" i="2"/>
  <c r="G178" i="2"/>
  <c r="U178" i="2"/>
  <c r="K108" i="2"/>
  <c r="J178" i="2"/>
  <c r="P178" i="2"/>
  <c r="E178" i="2"/>
  <c r="F178" i="2"/>
  <c r="H108" i="2"/>
  <c r="N108" i="2"/>
  <c r="S108" i="2"/>
  <c r="B178" i="2"/>
  <c r="N178" i="2"/>
  <c r="O178" i="2"/>
  <c r="X108" i="2"/>
  <c r="Y178" i="2" l="1"/>
  <c r="BG177" i="1" s="1"/>
  <c r="A179" i="2"/>
  <c r="DG178" i="1"/>
  <c r="Y108" i="2"/>
  <c r="BG107" i="1" s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AT179" i="1"/>
  <c r="AS179" i="1"/>
  <c r="C109" i="2"/>
  <c r="N109" i="2"/>
  <c r="G179" i="2"/>
  <c r="N179" i="2"/>
  <c r="Q179" i="2"/>
  <c r="C179" i="2"/>
  <c r="L179" i="2"/>
  <c r="X179" i="2"/>
  <c r="X109" i="2"/>
  <c r="B179" i="2"/>
  <c r="T179" i="2"/>
  <c r="U109" i="2"/>
  <c r="O109" i="2"/>
  <c r="U179" i="2"/>
  <c r="D109" i="2"/>
  <c r="M109" i="2"/>
  <c r="O179" i="2"/>
  <c r="W109" i="2"/>
  <c r="F109" i="2"/>
  <c r="I179" i="2"/>
  <c r="M179" i="2"/>
  <c r="J179" i="2"/>
  <c r="K179" i="2"/>
  <c r="I109" i="2"/>
  <c r="G109" i="2"/>
  <c r="D179" i="2"/>
  <c r="V109" i="2"/>
  <c r="K109" i="2"/>
  <c r="R109" i="2"/>
  <c r="B109" i="2"/>
  <c r="W179" i="2"/>
  <c r="F179" i="2"/>
  <c r="H109" i="2"/>
  <c r="S109" i="2"/>
  <c r="P109" i="2"/>
  <c r="R179" i="2"/>
  <c r="J109" i="2"/>
  <c r="V179" i="2"/>
  <c r="Q109" i="2"/>
  <c r="E109" i="2"/>
  <c r="H179" i="2"/>
  <c r="S179" i="2"/>
  <c r="P179" i="2"/>
  <c r="L109" i="2"/>
  <c r="T109" i="2"/>
  <c r="E179" i="2"/>
  <c r="Y179" i="2" l="1"/>
  <c r="BG178" i="1" s="1"/>
  <c r="A180" i="2"/>
  <c r="DG179" i="1"/>
  <c r="Y109" i="2"/>
  <c r="BG108" i="1" s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AT180" i="1"/>
  <c r="AS180" i="1"/>
  <c r="J180" i="2"/>
  <c r="P180" i="2"/>
  <c r="K110" i="2"/>
  <c r="C110" i="2"/>
  <c r="U180" i="2"/>
  <c r="N180" i="2"/>
  <c r="S110" i="2"/>
  <c r="O180" i="2"/>
  <c r="X180" i="2"/>
  <c r="V180" i="2"/>
  <c r="F180" i="2"/>
  <c r="H180" i="2"/>
  <c r="I110" i="2"/>
  <c r="L180" i="2"/>
  <c r="O110" i="2"/>
  <c r="E180" i="2"/>
  <c r="R110" i="2"/>
  <c r="D180" i="2"/>
  <c r="B110" i="2"/>
  <c r="W180" i="2"/>
  <c r="N110" i="2"/>
  <c r="Q110" i="2"/>
  <c r="T110" i="2"/>
  <c r="J110" i="2"/>
  <c r="E110" i="2"/>
  <c r="B180" i="2"/>
  <c r="H110" i="2"/>
  <c r="M180" i="2"/>
  <c r="X110" i="2"/>
  <c r="U110" i="2"/>
  <c r="D110" i="2"/>
  <c r="G180" i="2"/>
  <c r="V110" i="2"/>
  <c r="W110" i="2"/>
  <c r="M110" i="2"/>
  <c r="K180" i="2"/>
  <c r="S180" i="2"/>
  <c r="F110" i="2"/>
  <c r="R180" i="2"/>
  <c r="L110" i="2"/>
  <c r="Q180" i="2"/>
  <c r="P110" i="2"/>
  <c r="I180" i="2"/>
  <c r="T180" i="2"/>
  <c r="G110" i="2"/>
  <c r="C180" i="2"/>
  <c r="Y180" i="2" l="1"/>
  <c r="BG179" i="1" s="1"/>
  <c r="A181" i="2"/>
  <c r="DG180" i="1"/>
  <c r="Y110" i="2"/>
  <c r="BG109" i="1" s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AS181" i="1"/>
  <c r="AT181" i="1"/>
  <c r="D111" i="2"/>
  <c r="D181" i="2"/>
  <c r="G111" i="2"/>
  <c r="G181" i="2"/>
  <c r="C181" i="2"/>
  <c r="F111" i="2"/>
  <c r="J181" i="2"/>
  <c r="Q181" i="2"/>
  <c r="V111" i="2"/>
  <c r="P111" i="2"/>
  <c r="X111" i="2"/>
  <c r="O111" i="2"/>
  <c r="W111" i="2"/>
  <c r="B181" i="2"/>
  <c r="H181" i="2"/>
  <c r="C111" i="2"/>
  <c r="U181" i="2"/>
  <c r="F181" i="2"/>
  <c r="O181" i="2"/>
  <c r="K111" i="2"/>
  <c r="K181" i="2"/>
  <c r="L111" i="2"/>
  <c r="T181" i="2"/>
  <c r="M111" i="2"/>
  <c r="U111" i="2"/>
  <c r="X181" i="2"/>
  <c r="W181" i="2"/>
  <c r="S111" i="2"/>
  <c r="E181" i="2"/>
  <c r="I181" i="2"/>
  <c r="M181" i="2"/>
  <c r="I111" i="2"/>
  <c r="B111" i="2"/>
  <c r="P181" i="2"/>
  <c r="J111" i="2"/>
  <c r="N111" i="2"/>
  <c r="E111" i="2"/>
  <c r="Q111" i="2"/>
  <c r="R111" i="2"/>
  <c r="H111" i="2"/>
  <c r="L181" i="2"/>
  <c r="R181" i="2"/>
  <c r="V181" i="2"/>
  <c r="N181" i="2"/>
  <c r="S181" i="2"/>
  <c r="T111" i="2"/>
  <c r="Y181" i="2" l="1"/>
  <c r="BG180" i="1" s="1"/>
  <c r="A182" i="2"/>
  <c r="DG181" i="1"/>
  <c r="Y111" i="2"/>
  <c r="BG110" i="1" s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AS182" i="1"/>
  <c r="AT182" i="1"/>
  <c r="R112" i="2"/>
  <c r="X182" i="2"/>
  <c r="J182" i="2"/>
  <c r="O182" i="2"/>
  <c r="W112" i="2"/>
  <c r="I112" i="2"/>
  <c r="G182" i="2"/>
  <c r="H112" i="2"/>
  <c r="L112" i="2"/>
  <c r="J112" i="2"/>
  <c r="I182" i="2"/>
  <c r="V112" i="2"/>
  <c r="M112" i="2"/>
  <c r="O112" i="2"/>
  <c r="T112" i="2"/>
  <c r="N182" i="2"/>
  <c r="V182" i="2"/>
  <c r="K112" i="2"/>
  <c r="S112" i="2"/>
  <c r="L182" i="2"/>
  <c r="W182" i="2"/>
  <c r="H182" i="2"/>
  <c r="F112" i="2"/>
  <c r="M182" i="2"/>
  <c r="Q112" i="2"/>
  <c r="P182" i="2"/>
  <c r="B182" i="2"/>
  <c r="B112" i="2"/>
  <c r="C182" i="2"/>
  <c r="D182" i="2"/>
  <c r="Q182" i="2"/>
  <c r="U182" i="2"/>
  <c r="U112" i="2"/>
  <c r="X112" i="2"/>
  <c r="E182" i="2"/>
  <c r="T182" i="2"/>
  <c r="P112" i="2"/>
  <c r="F182" i="2"/>
  <c r="G112" i="2"/>
  <c r="D112" i="2"/>
  <c r="S182" i="2"/>
  <c r="E112" i="2"/>
  <c r="K182" i="2"/>
  <c r="R182" i="2"/>
  <c r="N112" i="2"/>
  <c r="C112" i="2"/>
  <c r="Y182" i="2" l="1"/>
  <c r="BG181" i="1" s="1"/>
  <c r="A183" i="2"/>
  <c r="DG182" i="1"/>
  <c r="Y112" i="2"/>
  <c r="BG111" i="1" s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S183" i="1"/>
  <c r="AT183" i="1"/>
  <c r="G183" i="2"/>
  <c r="F113" i="2"/>
  <c r="E113" i="2"/>
  <c r="Q113" i="2"/>
  <c r="U113" i="2"/>
  <c r="S113" i="2"/>
  <c r="R183" i="2"/>
  <c r="L183" i="2"/>
  <c r="J113" i="2"/>
  <c r="Q183" i="2"/>
  <c r="T113" i="2"/>
  <c r="E183" i="2"/>
  <c r="W113" i="2"/>
  <c r="M113" i="2"/>
  <c r="T183" i="2"/>
  <c r="B113" i="2"/>
  <c r="L113" i="2"/>
  <c r="P113" i="2"/>
  <c r="U183" i="2"/>
  <c r="M183" i="2"/>
  <c r="K183" i="2"/>
  <c r="I183" i="2"/>
  <c r="D183" i="2"/>
  <c r="C113" i="2"/>
  <c r="D113" i="2"/>
  <c r="P183" i="2"/>
  <c r="N183" i="2"/>
  <c r="I113" i="2"/>
  <c r="B183" i="2"/>
  <c r="W183" i="2"/>
  <c r="R113" i="2"/>
  <c r="H113" i="2"/>
  <c r="X113" i="2"/>
  <c r="G113" i="2"/>
  <c r="X183" i="2"/>
  <c r="J183" i="2"/>
  <c r="O183" i="2"/>
  <c r="F183" i="2"/>
  <c r="K113" i="2"/>
  <c r="V113" i="2"/>
  <c r="O113" i="2"/>
  <c r="S183" i="2"/>
  <c r="H183" i="2"/>
  <c r="C183" i="2"/>
  <c r="N113" i="2"/>
  <c r="V183" i="2"/>
  <c r="Y183" i="2" l="1"/>
  <c r="BG182" i="1" s="1"/>
  <c r="A184" i="2"/>
  <c r="DG183" i="1"/>
  <c r="Y113" i="2"/>
  <c r="BG112" i="1" s="1"/>
  <c r="DG112" i="1"/>
  <c r="AZ112" i="1"/>
  <c r="G112" i="1"/>
  <c r="F112" i="1"/>
  <c r="A113" i="1"/>
  <c r="A114" i="2" s="1"/>
  <c r="A184" i="1"/>
  <c r="AZ183" i="1"/>
  <c r="F183" i="1"/>
  <c r="G183" i="1"/>
  <c r="CT84" i="1"/>
  <c r="AS184" i="1"/>
  <c r="AT184" i="1"/>
  <c r="C114" i="2"/>
  <c r="L184" i="2"/>
  <c r="P184" i="2"/>
  <c r="K184" i="2"/>
  <c r="X184" i="2"/>
  <c r="S114" i="2"/>
  <c r="W184" i="2"/>
  <c r="F184" i="2"/>
  <c r="Q184" i="2"/>
  <c r="E184" i="2"/>
  <c r="M114" i="2"/>
  <c r="K114" i="2"/>
  <c r="N184" i="2"/>
  <c r="N114" i="2"/>
  <c r="B114" i="2"/>
  <c r="T184" i="2"/>
  <c r="S184" i="2"/>
  <c r="V184" i="2"/>
  <c r="H184" i="2"/>
  <c r="O184" i="2"/>
  <c r="J114" i="2"/>
  <c r="B184" i="2"/>
  <c r="L114" i="2"/>
  <c r="O114" i="2"/>
  <c r="X114" i="2"/>
  <c r="F114" i="2"/>
  <c r="U114" i="2"/>
  <c r="H114" i="2"/>
  <c r="D184" i="2"/>
  <c r="Q114" i="2"/>
  <c r="V114" i="2"/>
  <c r="J184" i="2"/>
  <c r="D114" i="2"/>
  <c r="W114" i="2"/>
  <c r="E114" i="2"/>
  <c r="I184" i="2"/>
  <c r="R114" i="2"/>
  <c r="M184" i="2"/>
  <c r="C184" i="2"/>
  <c r="T114" i="2"/>
  <c r="U184" i="2"/>
  <c r="R184" i="2"/>
  <c r="G184" i="2"/>
  <c r="I114" i="2"/>
  <c r="G114" i="2"/>
  <c r="P114" i="2"/>
  <c r="Y184" i="2" l="1"/>
  <c r="BG183" i="1" s="1"/>
  <c r="A185" i="2"/>
  <c r="DG184" i="1"/>
  <c r="Y114" i="2"/>
  <c r="BG113" i="1" s="1"/>
  <c r="DG113" i="1"/>
  <c r="F113" i="1"/>
  <c r="A114" i="1"/>
  <c r="A115" i="2" s="1"/>
  <c r="AZ113" i="1"/>
  <c r="G113" i="1"/>
  <c r="A185" i="1"/>
  <c r="AZ184" i="1"/>
  <c r="G184" i="1"/>
  <c r="F184" i="1"/>
  <c r="AS185" i="1"/>
  <c r="AT185" i="1"/>
  <c r="J185" i="2"/>
  <c r="C185" i="2"/>
  <c r="X115" i="2"/>
  <c r="E115" i="2"/>
  <c r="O185" i="2"/>
  <c r="H185" i="2"/>
  <c r="C115" i="2"/>
  <c r="H115" i="2"/>
  <c r="T185" i="2"/>
  <c r="E185" i="2"/>
  <c r="R185" i="2"/>
  <c r="Q115" i="2"/>
  <c r="S185" i="2"/>
  <c r="T115" i="2"/>
  <c r="I115" i="2"/>
  <c r="I185" i="2"/>
  <c r="W185" i="2"/>
  <c r="X185" i="2"/>
  <c r="L185" i="2"/>
  <c r="D115" i="2"/>
  <c r="F185" i="2"/>
  <c r="G115" i="2"/>
  <c r="B185" i="2"/>
  <c r="V115" i="2"/>
  <c r="P185" i="2"/>
  <c r="M115" i="2"/>
  <c r="L115" i="2"/>
  <c r="P115" i="2"/>
  <c r="J115" i="2"/>
  <c r="O115" i="2"/>
  <c r="G185" i="2"/>
  <c r="F115" i="2"/>
  <c r="R115" i="2"/>
  <c r="M185" i="2"/>
  <c r="N115" i="2"/>
  <c r="K115" i="2"/>
  <c r="Q185" i="2"/>
  <c r="W115" i="2"/>
  <c r="D185" i="2"/>
  <c r="B115" i="2"/>
  <c r="U115" i="2"/>
  <c r="V185" i="2"/>
  <c r="K185" i="2"/>
  <c r="U185" i="2"/>
  <c r="N185" i="2"/>
  <c r="S115" i="2"/>
  <c r="Y185" i="2" l="1"/>
  <c r="BG184" i="1" s="1"/>
  <c r="A186" i="2"/>
  <c r="DG185" i="1"/>
  <c r="Y115" i="2"/>
  <c r="BG114" i="1" s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AS186" i="1"/>
  <c r="AT186" i="1"/>
  <c r="F186" i="2"/>
  <c r="B116" i="2"/>
  <c r="Q116" i="2"/>
  <c r="B186" i="2"/>
  <c r="F116" i="2"/>
  <c r="O186" i="2"/>
  <c r="N186" i="2"/>
  <c r="D116" i="2"/>
  <c r="T116" i="2"/>
  <c r="V116" i="2"/>
  <c r="P116" i="2"/>
  <c r="J116" i="2"/>
  <c r="U186" i="2"/>
  <c r="I116" i="2"/>
  <c r="V186" i="2"/>
  <c r="H186" i="2"/>
  <c r="X186" i="2"/>
  <c r="I186" i="2"/>
  <c r="O116" i="2"/>
  <c r="R186" i="2"/>
  <c r="G186" i="2"/>
  <c r="S186" i="2"/>
  <c r="G116" i="2"/>
  <c r="Q186" i="2"/>
  <c r="T186" i="2"/>
  <c r="L186" i="2"/>
  <c r="W186" i="2"/>
  <c r="K116" i="2"/>
  <c r="J186" i="2"/>
  <c r="X116" i="2"/>
  <c r="M186" i="2"/>
  <c r="D186" i="2"/>
  <c r="E186" i="2"/>
  <c r="L116" i="2"/>
  <c r="P186" i="2"/>
  <c r="E116" i="2"/>
  <c r="H116" i="2"/>
  <c r="M116" i="2"/>
  <c r="C186" i="2"/>
  <c r="W116" i="2"/>
  <c r="C116" i="2"/>
  <c r="N116" i="2"/>
  <c r="R116" i="2"/>
  <c r="S116" i="2"/>
  <c r="U116" i="2"/>
  <c r="K186" i="2"/>
  <c r="Y186" i="2" l="1"/>
  <c r="BG185" i="1" s="1"/>
  <c r="A187" i="2"/>
  <c r="DG186" i="1"/>
  <c r="Y116" i="2"/>
  <c r="BG115" i="1" s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AT187" i="1"/>
  <c r="AS187" i="1"/>
  <c r="H187" i="2"/>
  <c r="E187" i="2"/>
  <c r="I187" i="2"/>
  <c r="R187" i="2"/>
  <c r="K117" i="2"/>
  <c r="P117" i="2"/>
  <c r="M187" i="2"/>
  <c r="G187" i="2"/>
  <c r="Q187" i="2"/>
  <c r="Q117" i="2"/>
  <c r="I117" i="2"/>
  <c r="F187" i="2"/>
  <c r="X117" i="2"/>
  <c r="F117" i="2"/>
  <c r="W117" i="2"/>
  <c r="H117" i="2"/>
  <c r="O117" i="2"/>
  <c r="B187" i="2"/>
  <c r="R117" i="2"/>
  <c r="S117" i="2"/>
  <c r="B117" i="2"/>
  <c r="J117" i="2"/>
  <c r="M117" i="2"/>
  <c r="O187" i="2"/>
  <c r="J187" i="2"/>
  <c r="L117" i="2"/>
  <c r="D187" i="2"/>
  <c r="V117" i="2"/>
  <c r="C187" i="2"/>
  <c r="V187" i="2"/>
  <c r="K187" i="2"/>
  <c r="G117" i="2"/>
  <c r="C117" i="2"/>
  <c r="S187" i="2"/>
  <c r="N117" i="2"/>
  <c r="U187" i="2"/>
  <c r="T187" i="2"/>
  <c r="N187" i="2"/>
  <c r="U117" i="2"/>
  <c r="P187" i="2"/>
  <c r="X187" i="2"/>
  <c r="E117" i="2"/>
  <c r="D117" i="2"/>
  <c r="W187" i="2"/>
  <c r="T117" i="2"/>
  <c r="L187" i="2"/>
  <c r="Y187" i="2" l="1"/>
  <c r="BG186" i="1" s="1"/>
  <c r="A188" i="2"/>
  <c r="DG187" i="1"/>
  <c r="Y117" i="2"/>
  <c r="BG116" i="1" s="1"/>
  <c r="DG116" i="1"/>
  <c r="AZ116" i="1"/>
  <c r="F116" i="1"/>
  <c r="G116" i="1"/>
  <c r="A117" i="1"/>
  <c r="A118" i="2" s="1"/>
  <c r="A188" i="1"/>
  <c r="AZ187" i="1"/>
  <c r="G187" i="1"/>
  <c r="F187" i="1"/>
  <c r="AT188" i="1"/>
  <c r="AS188" i="1"/>
  <c r="K188" i="2"/>
  <c r="N118" i="2"/>
  <c r="D118" i="2"/>
  <c r="R188" i="2"/>
  <c r="U118" i="2"/>
  <c r="W118" i="2"/>
  <c r="K118" i="2"/>
  <c r="C188" i="2"/>
  <c r="I188" i="2"/>
  <c r="O188" i="2"/>
  <c r="F118" i="2"/>
  <c r="N188" i="2"/>
  <c r="Q118" i="2"/>
  <c r="G118" i="2"/>
  <c r="J118" i="2"/>
  <c r="W188" i="2"/>
  <c r="S118" i="2"/>
  <c r="D188" i="2"/>
  <c r="V188" i="2"/>
  <c r="P188" i="2"/>
  <c r="C118" i="2"/>
  <c r="G188" i="2"/>
  <c r="E188" i="2"/>
  <c r="F188" i="2"/>
  <c r="H118" i="2"/>
  <c r="B188" i="2"/>
  <c r="U188" i="2"/>
  <c r="L188" i="2"/>
  <c r="M118" i="2"/>
  <c r="H188" i="2"/>
  <c r="Q188" i="2"/>
  <c r="L118" i="2"/>
  <c r="T118" i="2"/>
  <c r="T188" i="2"/>
  <c r="V118" i="2"/>
  <c r="I118" i="2"/>
  <c r="S188" i="2"/>
  <c r="X118" i="2"/>
  <c r="R118" i="2"/>
  <c r="J188" i="2"/>
  <c r="X188" i="2"/>
  <c r="O118" i="2"/>
  <c r="B118" i="2"/>
  <c r="M188" i="2"/>
  <c r="P118" i="2"/>
  <c r="E118" i="2"/>
  <c r="Y188" i="2" l="1"/>
  <c r="BG187" i="1" s="1"/>
  <c r="A189" i="2"/>
  <c r="DG188" i="1"/>
  <c r="Y118" i="2"/>
  <c r="BG117" i="1" s="1"/>
  <c r="DG117" i="1"/>
  <c r="A118" i="1"/>
  <c r="A119" i="2" s="1"/>
  <c r="AZ117" i="1"/>
  <c r="F117" i="1"/>
  <c r="G117" i="1"/>
  <c r="A189" i="1"/>
  <c r="AZ188" i="1"/>
  <c r="F188" i="1"/>
  <c r="G188" i="1"/>
  <c r="AT189" i="1"/>
  <c r="DC189" i="1"/>
  <c r="AS189" i="1"/>
  <c r="DD189" i="1"/>
  <c r="M119" i="2"/>
  <c r="U189" i="2"/>
  <c r="C119" i="2"/>
  <c r="S119" i="2"/>
  <c r="P189" i="2"/>
  <c r="D119" i="2"/>
  <c r="E119" i="2"/>
  <c r="U119" i="2"/>
  <c r="D189" i="2"/>
  <c r="G189" i="2"/>
  <c r="W189" i="2"/>
  <c r="P119" i="2"/>
  <c r="Q189" i="2"/>
  <c r="O189" i="2"/>
  <c r="Q119" i="2"/>
  <c r="E189" i="2"/>
  <c r="T189" i="2"/>
  <c r="F119" i="2"/>
  <c r="C189" i="2"/>
  <c r="V119" i="2"/>
  <c r="V189" i="2"/>
  <c r="I119" i="2"/>
  <c r="L189" i="2"/>
  <c r="S189" i="2"/>
  <c r="R119" i="2"/>
  <c r="H119" i="2"/>
  <c r="J189" i="2"/>
  <c r="M189" i="2"/>
  <c r="L119" i="2"/>
  <c r="B189" i="2"/>
  <c r="R189" i="2"/>
  <c r="N119" i="2"/>
  <c r="B119" i="2"/>
  <c r="X189" i="2"/>
  <c r="W119" i="2"/>
  <c r="G119" i="2"/>
  <c r="T119" i="2"/>
  <c r="F189" i="2"/>
  <c r="J119" i="2"/>
  <c r="N189" i="2"/>
  <c r="O119" i="2"/>
  <c r="X119" i="2"/>
  <c r="I189" i="2"/>
  <c r="K119" i="2"/>
  <c r="H189" i="2"/>
  <c r="K189" i="2"/>
  <c r="Y189" i="2" l="1"/>
  <c r="BG188" i="1" s="1"/>
  <c r="A190" i="2"/>
  <c r="DG189" i="1"/>
  <c r="Y119" i="2"/>
  <c r="BG118" i="1" s="1"/>
  <c r="DG118" i="1"/>
  <c r="A119" i="1"/>
  <c r="A120" i="2" s="1"/>
  <c r="AZ118" i="1"/>
  <c r="G118" i="1"/>
  <c r="F118" i="1"/>
  <c r="AZ189" i="1"/>
  <c r="F189" i="1"/>
  <c r="G189" i="1"/>
  <c r="EL43" i="1"/>
  <c r="EL66" i="1"/>
  <c r="EL55" i="1"/>
  <c r="EL69" i="1"/>
  <c r="EL54" i="1"/>
  <c r="EL65" i="1"/>
  <c r="EL67" i="1"/>
  <c r="EL68" i="1"/>
  <c r="V190" i="2"/>
  <c r="M190" i="2"/>
  <c r="P190" i="2"/>
  <c r="J190" i="2"/>
  <c r="I120" i="2"/>
  <c r="E190" i="2"/>
  <c r="K120" i="2"/>
  <c r="V120" i="2"/>
  <c r="Q190" i="2"/>
  <c r="X120" i="2"/>
  <c r="U190" i="2"/>
  <c r="S190" i="2"/>
  <c r="G120" i="2"/>
  <c r="N120" i="2"/>
  <c r="C120" i="2"/>
  <c r="T120" i="2"/>
  <c r="P120" i="2"/>
  <c r="F190" i="2"/>
  <c r="N190" i="2"/>
  <c r="O190" i="2"/>
  <c r="R190" i="2"/>
  <c r="X190" i="2"/>
  <c r="H190" i="2"/>
  <c r="R120" i="2"/>
  <c r="O120" i="2"/>
  <c r="L190" i="2"/>
  <c r="S120" i="2"/>
  <c r="B120" i="2"/>
  <c r="H120" i="2"/>
  <c r="F120" i="2"/>
  <c r="D190" i="2"/>
  <c r="G190" i="2"/>
  <c r="B190" i="2"/>
  <c r="W190" i="2"/>
  <c r="M120" i="2"/>
  <c r="U120" i="2"/>
  <c r="E120" i="2"/>
  <c r="K190" i="2"/>
  <c r="Q120" i="2"/>
  <c r="T190" i="2"/>
  <c r="I190" i="2"/>
  <c r="L120" i="2"/>
  <c r="C190" i="2"/>
  <c r="W120" i="2"/>
  <c r="J120" i="2"/>
  <c r="D120" i="2"/>
  <c r="Y190" i="2" l="1"/>
  <c r="BG189" i="1" s="1"/>
  <c r="Y120" i="2"/>
  <c r="BG119" i="1" s="1"/>
  <c r="DG119" i="1"/>
  <c r="A120" i="1"/>
  <c r="A121" i="2" s="1"/>
  <c r="AZ119" i="1"/>
  <c r="G119" i="1"/>
  <c r="F119" i="1"/>
  <c r="EE54" i="1"/>
  <c r="DX54" i="1" s="1"/>
  <c r="BJ54" i="1" s="1"/>
  <c r="EE65" i="1"/>
  <c r="DX65" i="1" s="1"/>
  <c r="BJ65" i="1" s="1"/>
  <c r="EE55" i="1"/>
  <c r="DX55" i="1" s="1"/>
  <c r="BJ55" i="1" s="1"/>
  <c r="EE66" i="1"/>
  <c r="DX66" i="1" s="1"/>
  <c r="BJ66" i="1" s="1"/>
  <c r="EE67" i="1"/>
  <c r="DX67" i="1" s="1"/>
  <c r="BJ67" i="1" s="1"/>
  <c r="EE68" i="1"/>
  <c r="DX68" i="1" s="1"/>
  <c r="BJ68" i="1" s="1"/>
  <c r="EE69" i="1"/>
  <c r="DX69" i="1" s="1"/>
  <c r="BJ69" i="1" s="1"/>
  <c r="EL83" i="1"/>
  <c r="EM43" i="1"/>
  <c r="EM66" i="1"/>
  <c r="EM67" i="1"/>
  <c r="EM55" i="1"/>
  <c r="EM54" i="1"/>
  <c r="EM68" i="1"/>
  <c r="EM69" i="1"/>
  <c r="EM65" i="1"/>
  <c r="H121" i="2"/>
  <c r="J121" i="2"/>
  <c r="Q121" i="2"/>
  <c r="S121" i="2"/>
  <c r="X121" i="2"/>
  <c r="T121" i="2"/>
  <c r="L121" i="2"/>
  <c r="C121" i="2"/>
  <c r="B121" i="2"/>
  <c r="G121" i="2"/>
  <c r="M121" i="2"/>
  <c r="D121" i="2"/>
  <c r="F121" i="2"/>
  <c r="E121" i="2"/>
  <c r="U121" i="2"/>
  <c r="K121" i="2"/>
  <c r="V121" i="2"/>
  <c r="R121" i="2"/>
  <c r="N121" i="2"/>
  <c r="P121" i="2"/>
  <c r="O121" i="2"/>
  <c r="W121" i="2"/>
  <c r="I121" i="2"/>
  <c r="Y121" i="2" l="1"/>
  <c r="BG120" i="1" s="1"/>
  <c r="DG120" i="1"/>
  <c r="A121" i="1"/>
  <c r="A122" i="2" s="1"/>
  <c r="AZ120" i="1"/>
  <c r="F120" i="1"/>
  <c r="G120" i="1"/>
  <c r="EF54" i="1"/>
  <c r="DY54" i="1" s="1"/>
  <c r="BK54" i="1" s="1"/>
  <c r="BQ54" i="1" s="1"/>
  <c r="EF65" i="1"/>
  <c r="DY65" i="1" s="1"/>
  <c r="BK65" i="1" s="1"/>
  <c r="DR65" i="1" s="1"/>
  <c r="EF55" i="1"/>
  <c r="DY55" i="1" s="1"/>
  <c r="BK55" i="1" s="1"/>
  <c r="BX55" i="1" s="1"/>
  <c r="EF66" i="1"/>
  <c r="DY66" i="1" s="1"/>
  <c r="BK66" i="1" s="1"/>
  <c r="BQ66" i="1" s="1"/>
  <c r="EF67" i="1"/>
  <c r="DY67" i="1" s="1"/>
  <c r="BK67" i="1" s="1"/>
  <c r="BQ67" i="1" s="1"/>
  <c r="EF68" i="1"/>
  <c r="DY68" i="1" s="1"/>
  <c r="BK68" i="1" s="1"/>
  <c r="BQ68" i="1" s="1"/>
  <c r="EF69" i="1"/>
  <c r="DY69" i="1" s="1"/>
  <c r="BK69" i="1" s="1"/>
  <c r="DR69" i="1" s="1"/>
  <c r="EL135" i="1"/>
  <c r="EM135" i="1" s="1"/>
  <c r="EN135" i="1" s="1"/>
  <c r="EO135" i="1" s="1"/>
  <c r="EP135" i="1" s="1"/>
  <c r="EQ135" i="1" s="1"/>
  <c r="EM83" i="1"/>
  <c r="EN43" i="1"/>
  <c r="E122" i="2"/>
  <c r="S122" i="2"/>
  <c r="C122" i="2"/>
  <c r="T122" i="2"/>
  <c r="D122" i="2"/>
  <c r="X122" i="2"/>
  <c r="R122" i="2"/>
  <c r="G122" i="2"/>
  <c r="W122" i="2"/>
  <c r="H122" i="2"/>
  <c r="Q122" i="2"/>
  <c r="L122" i="2"/>
  <c r="K122" i="2"/>
  <c r="P122" i="2"/>
  <c r="M122" i="2"/>
  <c r="J122" i="2"/>
  <c r="F122" i="2"/>
  <c r="O122" i="2"/>
  <c r="I122" i="2"/>
  <c r="V122" i="2"/>
  <c r="B122" i="2"/>
  <c r="N122" i="2"/>
  <c r="U122" i="2"/>
  <c r="CW68" i="1" l="1"/>
  <c r="BR68" i="1"/>
  <c r="CW67" i="1"/>
  <c r="BR67" i="1"/>
  <c r="CW54" i="1"/>
  <c r="CW66" i="1"/>
  <c r="Y122" i="2"/>
  <c r="BG121" i="1" s="1"/>
  <c r="DG121" i="1"/>
  <c r="G121" i="1"/>
  <c r="A122" i="1"/>
  <c r="A123" i="2" s="1"/>
  <c r="AZ121" i="1"/>
  <c r="F121" i="1"/>
  <c r="BQ65" i="1"/>
  <c r="BR66" i="1" s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ET66" i="1" s="1"/>
  <c r="DR55" i="1"/>
  <c r="BQ69" i="1"/>
  <c r="BX69" i="1"/>
  <c r="BQ55" i="1"/>
  <c r="DR68" i="1"/>
  <c r="CY55" i="1"/>
  <c r="EN83" i="1"/>
  <c r="EO43" i="1"/>
  <c r="S123" i="2"/>
  <c r="W123" i="2"/>
  <c r="G123" i="2"/>
  <c r="E123" i="2"/>
  <c r="L123" i="2"/>
  <c r="Q123" i="2"/>
  <c r="D123" i="2"/>
  <c r="K123" i="2"/>
  <c r="R123" i="2"/>
  <c r="X123" i="2"/>
  <c r="F123" i="2"/>
  <c r="V123" i="2"/>
  <c r="O123" i="2"/>
  <c r="J123" i="2"/>
  <c r="I123" i="2"/>
  <c r="U123" i="2"/>
  <c r="M123" i="2"/>
  <c r="C123" i="2"/>
  <c r="P123" i="2"/>
  <c r="T123" i="2"/>
  <c r="B123" i="2"/>
  <c r="N123" i="2"/>
  <c r="H123" i="2"/>
  <c r="CW55" i="1" l="1"/>
  <c r="BR55" i="1"/>
  <c r="CW65" i="1"/>
  <c r="CW69" i="1"/>
  <c r="BR69" i="1"/>
  <c r="ET55" i="1"/>
  <c r="Y123" i="2"/>
  <c r="BG122" i="1" s="1"/>
  <c r="DG122" i="1"/>
  <c r="F122" i="1"/>
  <c r="A123" i="1"/>
  <c r="A124" i="2" s="1"/>
  <c r="AZ122" i="1"/>
  <c r="G122" i="1"/>
  <c r="ET54" i="1"/>
  <c r="BY69" i="1"/>
  <c r="BY55" i="1"/>
  <c r="ET67" i="1"/>
  <c r="BY66" i="1"/>
  <c r="BY68" i="1"/>
  <c r="BY67" i="1"/>
  <c r="CY66" i="1"/>
  <c r="CZ67" i="1" s="1"/>
  <c r="ET68" i="1"/>
  <c r="ET65" i="1"/>
  <c r="CZ55" i="1"/>
  <c r="ET69" i="1"/>
  <c r="CY69" i="1"/>
  <c r="CZ69" i="1" s="1"/>
  <c r="CZ68" i="1"/>
  <c r="EO83" i="1"/>
  <c r="EP43" i="1"/>
  <c r="T124" i="2"/>
  <c r="D124" i="2"/>
  <c r="R124" i="2"/>
  <c r="B124" i="2"/>
  <c r="W124" i="2"/>
  <c r="U124" i="2"/>
  <c r="L124" i="2"/>
  <c r="F124" i="2"/>
  <c r="H124" i="2"/>
  <c r="S124" i="2"/>
  <c r="E124" i="2"/>
  <c r="X124" i="2"/>
  <c r="C124" i="2"/>
  <c r="G124" i="2"/>
  <c r="V124" i="2"/>
  <c r="K124" i="2"/>
  <c r="Q124" i="2"/>
  <c r="N124" i="2"/>
  <c r="M124" i="2"/>
  <c r="P124" i="2"/>
  <c r="O124" i="2"/>
  <c r="J124" i="2"/>
  <c r="I124" i="2"/>
  <c r="Y124" i="2" l="1"/>
  <c r="BG123" i="1" s="1"/>
  <c r="DG123" i="1"/>
  <c r="A124" i="1"/>
  <c r="A125" i="2" s="1"/>
  <c r="AZ123" i="1"/>
  <c r="F123" i="1"/>
  <c r="G123" i="1"/>
  <c r="CZ66" i="1"/>
  <c r="EQ43" i="1"/>
  <c r="EP83" i="1"/>
  <c r="I125" i="2"/>
  <c r="T125" i="2"/>
  <c r="M125" i="2"/>
  <c r="L125" i="2"/>
  <c r="F125" i="2"/>
  <c r="B125" i="2"/>
  <c r="G125" i="2"/>
  <c r="R125" i="2"/>
  <c r="E125" i="2"/>
  <c r="X125" i="2"/>
  <c r="H125" i="2"/>
  <c r="O125" i="2"/>
  <c r="U125" i="2"/>
  <c r="J125" i="2"/>
  <c r="V125" i="2"/>
  <c r="W125" i="2"/>
  <c r="N125" i="2"/>
  <c r="S125" i="2"/>
  <c r="C125" i="2"/>
  <c r="K125" i="2"/>
  <c r="P125" i="2"/>
  <c r="Q125" i="2"/>
  <c r="D125" i="2"/>
  <c r="Y125" i="2" l="1"/>
  <c r="BG124" i="1" s="1"/>
  <c r="DG124" i="1"/>
  <c r="A125" i="1"/>
  <c r="A126" i="2" s="1"/>
  <c r="AZ124" i="1"/>
  <c r="F124" i="1"/>
  <c r="G124" i="1"/>
  <c r="EQ83" i="1"/>
  <c r="O126" i="2"/>
  <c r="P126" i="2"/>
  <c r="Q126" i="2"/>
  <c r="X126" i="2"/>
  <c r="S126" i="2"/>
  <c r="L126" i="2"/>
  <c r="I126" i="2"/>
  <c r="H126" i="2"/>
  <c r="F126" i="2"/>
  <c r="U126" i="2"/>
  <c r="C126" i="2"/>
  <c r="V126" i="2"/>
  <c r="G126" i="2"/>
  <c r="E126" i="2"/>
  <c r="J126" i="2"/>
  <c r="K126" i="2"/>
  <c r="B126" i="2"/>
  <c r="M126" i="2"/>
  <c r="W126" i="2"/>
  <c r="R126" i="2"/>
  <c r="D126" i="2"/>
  <c r="T126" i="2"/>
  <c r="N126" i="2"/>
  <c r="Y126" i="2" l="1"/>
  <c r="BG125" i="1" s="1"/>
  <c r="DG125" i="1"/>
  <c r="A126" i="1"/>
  <c r="A127" i="2" s="1"/>
  <c r="AZ125" i="1"/>
  <c r="G125" i="1"/>
  <c r="F125" i="1"/>
  <c r="F4" i="1"/>
  <c r="E127" i="2"/>
  <c r="L127" i="2"/>
  <c r="N127" i="2"/>
  <c r="U127" i="2"/>
  <c r="Q127" i="2"/>
  <c r="O127" i="2"/>
  <c r="I127" i="2"/>
  <c r="T127" i="2"/>
  <c r="M127" i="2"/>
  <c r="W127" i="2"/>
  <c r="V127" i="2"/>
  <c r="P127" i="2"/>
  <c r="K127" i="2"/>
  <c r="F127" i="2"/>
  <c r="B127" i="2"/>
  <c r="H127" i="2"/>
  <c r="D127" i="2"/>
  <c r="G127" i="2"/>
  <c r="X127" i="2"/>
  <c r="S127" i="2"/>
  <c r="J127" i="2"/>
  <c r="R127" i="2"/>
  <c r="C127" i="2"/>
  <c r="Y127" i="2" l="1"/>
  <c r="BG126" i="1" s="1"/>
  <c r="DG126" i="1"/>
  <c r="A127" i="1"/>
  <c r="A128" i="2" s="1"/>
  <c r="AZ126" i="1"/>
  <c r="F126" i="1"/>
  <c r="G126" i="1"/>
  <c r="A5" i="1"/>
  <c r="L128" i="2"/>
  <c r="P128" i="2"/>
  <c r="T128" i="2"/>
  <c r="D128" i="2"/>
  <c r="H128" i="2"/>
  <c r="I128" i="2"/>
  <c r="C128" i="2"/>
  <c r="B128" i="2"/>
  <c r="F128" i="2"/>
  <c r="S128" i="2"/>
  <c r="V128" i="2"/>
  <c r="N128" i="2"/>
  <c r="O128" i="2"/>
  <c r="M128" i="2"/>
  <c r="W128" i="2"/>
  <c r="X128" i="2"/>
  <c r="J128" i="2"/>
  <c r="Q128" i="2"/>
  <c r="K128" i="2"/>
  <c r="U128" i="2"/>
  <c r="R128" i="2"/>
  <c r="G128" i="2"/>
  <c r="E128" i="2"/>
  <c r="AZ5" i="1" l="1"/>
  <c r="A6" i="2"/>
  <c r="DG5" i="1"/>
  <c r="Y128" i="2"/>
  <c r="BG127" i="1" s="1"/>
  <c r="DG127" i="1"/>
  <c r="G127" i="1"/>
  <c r="A128" i="1"/>
  <c r="A129" i="2" s="1"/>
  <c r="AZ127" i="1"/>
  <c r="F127" i="1"/>
  <c r="D137" i="1"/>
  <c r="DT85" i="1"/>
  <c r="F5" i="1"/>
  <c r="A6" i="1"/>
  <c r="B6" i="2"/>
  <c r="W129" i="2"/>
  <c r="D6" i="2"/>
  <c r="O6" i="2"/>
  <c r="I129" i="2"/>
  <c r="Q129" i="2"/>
  <c r="U6" i="2"/>
  <c r="M6" i="2"/>
  <c r="O129" i="2"/>
  <c r="G129" i="2"/>
  <c r="T129" i="2"/>
  <c r="V6" i="2"/>
  <c r="I6" i="2"/>
  <c r="F129" i="2"/>
  <c r="E6" i="2"/>
  <c r="K6" i="2"/>
  <c r="T6" i="2"/>
  <c r="X6" i="2"/>
  <c r="S6" i="2"/>
  <c r="W6" i="2"/>
  <c r="H6" i="2"/>
  <c r="E129" i="2"/>
  <c r="M129" i="2"/>
  <c r="F6" i="2"/>
  <c r="X129" i="2"/>
  <c r="R6" i="2"/>
  <c r="N129" i="2"/>
  <c r="N6" i="2"/>
  <c r="Q6" i="2"/>
  <c r="L6" i="2"/>
  <c r="C6" i="2"/>
  <c r="P6" i="2"/>
  <c r="V129" i="2"/>
  <c r="R129" i="2"/>
  <c r="L129" i="2"/>
  <c r="C129" i="2"/>
  <c r="G6" i="2"/>
  <c r="K129" i="2"/>
  <c r="J129" i="2"/>
  <c r="P129" i="2"/>
  <c r="B129" i="2"/>
  <c r="U129" i="2"/>
  <c r="D129" i="2"/>
  <c r="H129" i="2"/>
  <c r="S129" i="2"/>
  <c r="J6" i="2"/>
  <c r="Y6" i="2" l="1"/>
  <c r="BG5" i="1" s="1"/>
  <c r="AZ6" i="1"/>
  <c r="A7" i="2"/>
  <c r="DG6" i="1"/>
  <c r="Y129" i="2"/>
  <c r="BG128" i="1" s="1"/>
  <c r="DG128" i="1"/>
  <c r="G128" i="1"/>
  <c r="A129" i="1"/>
  <c r="A130" i="2" s="1"/>
  <c r="AZ128" i="1"/>
  <c r="F128" i="1"/>
  <c r="B168" i="1"/>
  <c r="B163" i="1"/>
  <c r="F6" i="1"/>
  <c r="A7" i="1"/>
  <c r="F7" i="2"/>
  <c r="P7" i="2"/>
  <c r="T130" i="2"/>
  <c r="I130" i="2"/>
  <c r="I7" i="2"/>
  <c r="W130" i="2"/>
  <c r="O7" i="2"/>
  <c r="X7" i="2"/>
  <c r="S130" i="2"/>
  <c r="T7" i="2"/>
  <c r="P130" i="2"/>
  <c r="R130" i="2"/>
  <c r="V7" i="2"/>
  <c r="L130" i="2"/>
  <c r="V130" i="2"/>
  <c r="R7" i="2"/>
  <c r="H130" i="2"/>
  <c r="U130" i="2"/>
  <c r="W7" i="2"/>
  <c r="S7" i="2"/>
  <c r="C7" i="2"/>
  <c r="X130" i="2"/>
  <c r="Q130" i="2"/>
  <c r="E130" i="2"/>
  <c r="F130" i="2"/>
  <c r="G130" i="2"/>
  <c r="O130" i="2"/>
  <c r="M130" i="2"/>
  <c r="N7" i="2"/>
  <c r="N130" i="2"/>
  <c r="G7" i="2"/>
  <c r="L7" i="2"/>
  <c r="B130" i="2"/>
  <c r="H7" i="2"/>
  <c r="B7" i="2"/>
  <c r="C130" i="2"/>
  <c r="J7" i="2"/>
  <c r="J130" i="2"/>
  <c r="D7" i="2"/>
  <c r="K130" i="2"/>
  <c r="K7" i="2"/>
  <c r="E7" i="2"/>
  <c r="U7" i="2"/>
  <c r="D130" i="2"/>
  <c r="Q7" i="2"/>
  <c r="M7" i="2"/>
  <c r="Y7" i="2" l="1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R8" i="2"/>
  <c r="W131" i="2"/>
  <c r="B8" i="2"/>
  <c r="H8" i="2"/>
  <c r="C8" i="2"/>
  <c r="Q8" i="2"/>
  <c r="W8" i="2"/>
  <c r="N8" i="2"/>
  <c r="S8" i="2"/>
  <c r="K131" i="2"/>
  <c r="T131" i="2"/>
  <c r="D131" i="2"/>
  <c r="U131" i="2"/>
  <c r="E8" i="2"/>
  <c r="H131" i="2"/>
  <c r="Q131" i="2"/>
  <c r="M8" i="2"/>
  <c r="P8" i="2"/>
  <c r="K8" i="2"/>
  <c r="I131" i="2"/>
  <c r="N131" i="2"/>
  <c r="O131" i="2"/>
  <c r="B131" i="2"/>
  <c r="M131" i="2"/>
  <c r="G8" i="2"/>
  <c r="J131" i="2"/>
  <c r="F131" i="2"/>
  <c r="U8" i="2"/>
  <c r="X131" i="2"/>
  <c r="V131" i="2"/>
  <c r="L131" i="2"/>
  <c r="X8" i="2"/>
  <c r="T8" i="2"/>
  <c r="D8" i="2"/>
  <c r="P131" i="2"/>
  <c r="J8" i="2"/>
  <c r="V8" i="2"/>
  <c r="O8" i="2"/>
  <c r="E131" i="2"/>
  <c r="F8" i="2"/>
  <c r="G131" i="2"/>
  <c r="I8" i="2"/>
  <c r="S131" i="2"/>
  <c r="L8" i="2"/>
  <c r="R131" i="2"/>
  <c r="C131" i="2"/>
  <c r="Y8" i="2" l="1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M9" i="2"/>
  <c r="B9" i="2"/>
  <c r="C9" i="2"/>
  <c r="K9" i="2"/>
  <c r="I9" i="2"/>
  <c r="W9" i="2"/>
  <c r="D9" i="2"/>
  <c r="U9" i="2"/>
  <c r="R9" i="2"/>
  <c r="O9" i="2"/>
  <c r="Q9" i="2"/>
  <c r="J9" i="2"/>
  <c r="E9" i="2"/>
  <c r="L9" i="2"/>
  <c r="F9" i="2"/>
  <c r="P9" i="2"/>
  <c r="H9" i="2"/>
  <c r="V9" i="2"/>
  <c r="X9" i="2"/>
  <c r="T9" i="2"/>
  <c r="N9" i="2"/>
  <c r="G9" i="2"/>
  <c r="S9" i="2"/>
  <c r="Y9" i="2" l="1"/>
  <c r="BG8" i="1" s="1"/>
  <c r="AZ9" i="1"/>
  <c r="A10" i="2"/>
  <c r="DG9" i="1"/>
  <c r="F9" i="1"/>
  <c r="A10" i="1"/>
  <c r="C10" i="2"/>
  <c r="D10" i="2"/>
  <c r="I10" i="2"/>
  <c r="O10" i="2"/>
  <c r="W10" i="2"/>
  <c r="L10" i="2"/>
  <c r="E10" i="2"/>
  <c r="V10" i="2"/>
  <c r="K10" i="2"/>
  <c r="G10" i="2"/>
  <c r="R10" i="2"/>
  <c r="B10" i="2"/>
  <c r="F10" i="2"/>
  <c r="J10" i="2"/>
  <c r="P10" i="2"/>
  <c r="S10" i="2"/>
  <c r="U10" i="2"/>
  <c r="M10" i="2"/>
  <c r="H10" i="2"/>
  <c r="X10" i="2"/>
  <c r="Q10" i="2"/>
  <c r="N10" i="2"/>
  <c r="T10" i="2"/>
  <c r="Y10" i="2" l="1"/>
  <c r="BG9" i="1" s="1"/>
  <c r="AZ10" i="1"/>
  <c r="A11" i="2"/>
  <c r="DG10" i="1"/>
  <c r="F10" i="1"/>
  <c r="A11" i="1"/>
  <c r="P11" i="2"/>
  <c r="R11" i="2"/>
  <c r="G11" i="2"/>
  <c r="J11" i="2"/>
  <c r="H11" i="2"/>
  <c r="V11" i="2"/>
  <c r="B11" i="2"/>
  <c r="O11" i="2"/>
  <c r="F11" i="2"/>
  <c r="D11" i="2"/>
  <c r="S11" i="2"/>
  <c r="U11" i="2"/>
  <c r="L11" i="2"/>
  <c r="W11" i="2"/>
  <c r="I11" i="2"/>
  <c r="C11" i="2"/>
  <c r="E11" i="2"/>
  <c r="M11" i="2"/>
  <c r="N11" i="2"/>
  <c r="X11" i="2"/>
  <c r="Q11" i="2"/>
  <c r="T11" i="2"/>
  <c r="K11" i="2"/>
  <c r="Y11" i="2" l="1"/>
  <c r="BG10" i="1" s="1"/>
  <c r="AZ11" i="1"/>
  <c r="A12" i="2"/>
  <c r="DG11" i="1"/>
  <c r="F11" i="1"/>
  <c r="A12" i="1"/>
  <c r="F12" i="2"/>
  <c r="D12" i="2"/>
  <c r="I12" i="2"/>
  <c r="C12" i="2"/>
  <c r="R12" i="2"/>
  <c r="J12" i="2"/>
  <c r="V12" i="2"/>
  <c r="P12" i="2"/>
  <c r="W12" i="2"/>
  <c r="B12" i="2"/>
  <c r="O12" i="2"/>
  <c r="G12" i="2"/>
  <c r="M12" i="2"/>
  <c r="H12" i="2"/>
  <c r="T12" i="2"/>
  <c r="N12" i="2"/>
  <c r="L12" i="2"/>
  <c r="Q12" i="2"/>
  <c r="S12" i="2"/>
  <c r="U12" i="2"/>
  <c r="K12" i="2"/>
  <c r="E12" i="2"/>
  <c r="X12" i="2"/>
  <c r="Y12" i="2" l="1"/>
  <c r="BG11" i="1" s="1"/>
  <c r="AZ12" i="1"/>
  <c r="A13" i="2"/>
  <c r="DG12" i="1"/>
  <c r="F12" i="1"/>
  <c r="A13" i="1"/>
  <c r="L13" i="2"/>
  <c r="B13" i="2"/>
  <c r="C13" i="2"/>
  <c r="E13" i="2"/>
  <c r="H13" i="2"/>
  <c r="Q13" i="2"/>
  <c r="G13" i="2"/>
  <c r="K13" i="2"/>
  <c r="S13" i="2"/>
  <c r="X13" i="2"/>
  <c r="N13" i="2"/>
  <c r="M13" i="2"/>
  <c r="V13" i="2"/>
  <c r="J13" i="2"/>
  <c r="I13" i="2"/>
  <c r="D13" i="2"/>
  <c r="F13" i="2"/>
  <c r="R13" i="2"/>
  <c r="O13" i="2"/>
  <c r="T13" i="2"/>
  <c r="U13" i="2"/>
  <c r="W13" i="2"/>
  <c r="P13" i="2"/>
  <c r="Y13" i="2" l="1"/>
  <c r="BG12" i="1" s="1"/>
  <c r="AZ13" i="1"/>
  <c r="A14" i="2"/>
  <c r="DG13" i="1"/>
  <c r="F13" i="1"/>
  <c r="A14" i="1"/>
  <c r="P14" i="2"/>
  <c r="F14" i="2"/>
  <c r="R14" i="2"/>
  <c r="X14" i="2"/>
  <c r="H14" i="2"/>
  <c r="D14" i="2"/>
  <c r="B14" i="2"/>
  <c r="N14" i="2"/>
  <c r="K14" i="2"/>
  <c r="J14" i="2"/>
  <c r="E14" i="2"/>
  <c r="S14" i="2"/>
  <c r="G14" i="2"/>
  <c r="C14" i="2"/>
  <c r="O14" i="2"/>
  <c r="W14" i="2"/>
  <c r="U14" i="2"/>
  <c r="I14" i="2"/>
  <c r="L14" i="2"/>
  <c r="M14" i="2"/>
  <c r="Q14" i="2"/>
  <c r="T14" i="2"/>
  <c r="V14" i="2"/>
  <c r="Y14" i="2" l="1"/>
  <c r="BG13" i="1" s="1"/>
  <c r="AZ14" i="1"/>
  <c r="A15" i="2"/>
  <c r="DG14" i="1"/>
  <c r="F14" i="1"/>
  <c r="A15" i="1"/>
  <c r="X15" i="2"/>
  <c r="O15" i="2"/>
  <c r="B15" i="2"/>
  <c r="F15" i="2"/>
  <c r="P15" i="2"/>
  <c r="N15" i="2"/>
  <c r="T15" i="2"/>
  <c r="Q15" i="2"/>
  <c r="G15" i="2"/>
  <c r="R15" i="2"/>
  <c r="W15" i="2"/>
  <c r="K15" i="2"/>
  <c r="I15" i="2"/>
  <c r="C15" i="2"/>
  <c r="V15" i="2"/>
  <c r="E15" i="2"/>
  <c r="D15" i="2"/>
  <c r="J15" i="2"/>
  <c r="S15" i="2"/>
  <c r="M15" i="2"/>
  <c r="H15" i="2"/>
  <c r="L15" i="2"/>
  <c r="U15" i="2"/>
  <c r="Y15" i="2" l="1"/>
  <c r="BG14" i="1" s="1"/>
  <c r="AZ15" i="1"/>
  <c r="A16" i="2"/>
  <c r="DG15" i="1"/>
  <c r="F15" i="1"/>
  <c r="A16" i="1"/>
  <c r="C16" i="2"/>
  <c r="L16" i="2"/>
  <c r="U16" i="2"/>
  <c r="H16" i="2"/>
  <c r="T16" i="2"/>
  <c r="V16" i="2"/>
  <c r="K16" i="2"/>
  <c r="P16" i="2"/>
  <c r="R16" i="2"/>
  <c r="J16" i="2"/>
  <c r="B16" i="2"/>
  <c r="F16" i="2"/>
  <c r="O16" i="2"/>
  <c r="G16" i="2"/>
  <c r="X16" i="2"/>
  <c r="S16" i="2"/>
  <c r="Q16" i="2"/>
  <c r="I16" i="2"/>
  <c r="N16" i="2"/>
  <c r="W16" i="2"/>
  <c r="D16" i="2"/>
  <c r="E16" i="2"/>
  <c r="M16" i="2"/>
  <c r="Y16" i="2" l="1"/>
  <c r="BG15" i="1" s="1"/>
  <c r="AZ16" i="1"/>
  <c r="A17" i="2"/>
  <c r="DG16" i="1"/>
  <c r="F16" i="1"/>
  <c r="A17" i="1"/>
  <c r="I17" i="2"/>
  <c r="U17" i="2"/>
  <c r="J17" i="2"/>
  <c r="S17" i="2"/>
  <c r="C17" i="2"/>
  <c r="E17" i="2"/>
  <c r="X17" i="2"/>
  <c r="Q17" i="2"/>
  <c r="H17" i="2"/>
  <c r="B17" i="2"/>
  <c r="M17" i="2"/>
  <c r="L17" i="2"/>
  <c r="F17" i="2"/>
  <c r="G17" i="2"/>
  <c r="V17" i="2"/>
  <c r="R17" i="2"/>
  <c r="D17" i="2"/>
  <c r="K17" i="2"/>
  <c r="T17" i="2"/>
  <c r="P17" i="2"/>
  <c r="N17" i="2"/>
  <c r="O17" i="2"/>
  <c r="W17" i="2"/>
  <c r="Y17" i="2" l="1"/>
  <c r="BG16" i="1" s="1"/>
  <c r="AZ17" i="1"/>
  <c r="A18" i="2"/>
  <c r="DG17" i="1"/>
  <c r="F17" i="1"/>
  <c r="A18" i="1"/>
  <c r="E18" i="2"/>
  <c r="Q18" i="2"/>
  <c r="F18" i="2"/>
  <c r="B18" i="2"/>
  <c r="K18" i="2"/>
  <c r="T18" i="2"/>
  <c r="O18" i="2"/>
  <c r="S18" i="2"/>
  <c r="P18" i="2"/>
  <c r="H18" i="2"/>
  <c r="X18" i="2"/>
  <c r="D18" i="2"/>
  <c r="V18" i="2"/>
  <c r="C18" i="2"/>
  <c r="G18" i="2"/>
  <c r="W18" i="2"/>
  <c r="M18" i="2"/>
  <c r="J18" i="2"/>
  <c r="U18" i="2"/>
  <c r="I18" i="2"/>
  <c r="N18" i="2"/>
  <c r="L18" i="2"/>
  <c r="R18" i="2"/>
  <c r="Y18" i="2" l="1"/>
  <c r="BG17" i="1" s="1"/>
  <c r="AZ18" i="1"/>
  <c r="A19" i="2"/>
  <c r="DG18" i="1"/>
  <c r="F18" i="1"/>
  <c r="A19" i="1"/>
  <c r="J19" i="2"/>
  <c r="T19" i="2"/>
  <c r="E19" i="2"/>
  <c r="P19" i="2"/>
  <c r="L19" i="2"/>
  <c r="C19" i="2"/>
  <c r="B19" i="2"/>
  <c r="G19" i="2"/>
  <c r="X19" i="2"/>
  <c r="W19" i="2"/>
  <c r="I19" i="2"/>
  <c r="Q19" i="2"/>
  <c r="N19" i="2"/>
  <c r="O19" i="2"/>
  <c r="F19" i="2"/>
  <c r="D19" i="2"/>
  <c r="R19" i="2"/>
  <c r="S19" i="2"/>
  <c r="V19" i="2"/>
  <c r="U19" i="2"/>
  <c r="K19" i="2"/>
  <c r="H19" i="2"/>
  <c r="M19" i="2"/>
  <c r="Y19" i="2" l="1"/>
  <c r="BG18" i="1" s="1"/>
  <c r="AZ19" i="1"/>
  <c r="A20" i="2"/>
  <c r="DG19" i="1"/>
  <c r="F19" i="1"/>
  <c r="A20" i="1"/>
  <c r="B20" i="2"/>
  <c r="S20" i="2"/>
  <c r="J20" i="2"/>
  <c r="H20" i="2"/>
  <c r="E20" i="2"/>
  <c r="N20" i="2"/>
  <c r="W20" i="2"/>
  <c r="G20" i="2"/>
  <c r="L20" i="2"/>
  <c r="F20" i="2"/>
  <c r="Q20" i="2"/>
  <c r="X20" i="2"/>
  <c r="T20" i="2"/>
  <c r="K20" i="2"/>
  <c r="V20" i="2"/>
  <c r="D20" i="2"/>
  <c r="P20" i="2"/>
  <c r="M20" i="2"/>
  <c r="O20" i="2"/>
  <c r="C20" i="2"/>
  <c r="I20" i="2"/>
  <c r="U20" i="2"/>
  <c r="R20" i="2"/>
  <c r="Y20" i="2" l="1"/>
  <c r="BG19" i="1" s="1"/>
  <c r="AZ20" i="1"/>
  <c r="A21" i="2"/>
  <c r="DG20" i="1"/>
  <c r="F20" i="1"/>
  <c r="A21" i="1"/>
  <c r="Q21" i="2"/>
  <c r="P21" i="2"/>
  <c r="E21" i="2"/>
  <c r="D21" i="2"/>
  <c r="F21" i="2"/>
  <c r="V21" i="2"/>
  <c r="S21" i="2"/>
  <c r="H21" i="2"/>
  <c r="C21" i="2"/>
  <c r="I21" i="2"/>
  <c r="K21" i="2"/>
  <c r="B21" i="2"/>
  <c r="X21" i="2"/>
  <c r="G21" i="2"/>
  <c r="L21" i="2"/>
  <c r="M21" i="2"/>
  <c r="U21" i="2"/>
  <c r="J21" i="2"/>
  <c r="O21" i="2"/>
  <c r="T21" i="2"/>
  <c r="N21" i="2"/>
  <c r="R21" i="2"/>
  <c r="W21" i="2"/>
  <c r="Y21" i="2" l="1"/>
  <c r="BG20" i="1" s="1"/>
  <c r="AZ21" i="1"/>
  <c r="A22" i="2"/>
  <c r="DG21" i="1"/>
  <c r="F21" i="1"/>
  <c r="A22" i="1"/>
  <c r="Q22" i="2"/>
  <c r="B22" i="2"/>
  <c r="N22" i="2"/>
  <c r="I22" i="2"/>
  <c r="L22" i="2"/>
  <c r="O22" i="2"/>
  <c r="F22" i="2"/>
  <c r="V22" i="2"/>
  <c r="P22" i="2"/>
  <c r="T22" i="2"/>
  <c r="R22" i="2"/>
  <c r="W22" i="2"/>
  <c r="H22" i="2"/>
  <c r="E22" i="2"/>
  <c r="M22" i="2"/>
  <c r="U22" i="2"/>
  <c r="K22" i="2"/>
  <c r="J22" i="2"/>
  <c r="X22" i="2"/>
  <c r="D22" i="2"/>
  <c r="G22" i="2"/>
  <c r="C22" i="2"/>
  <c r="S22" i="2"/>
  <c r="Y22" i="2" l="1"/>
  <c r="BG21" i="1" s="1"/>
  <c r="AZ22" i="1"/>
  <c r="A23" i="2"/>
  <c r="DG22" i="1"/>
  <c r="F22" i="1"/>
  <c r="A23" i="1"/>
  <c r="F23" i="2"/>
  <c r="K23" i="2"/>
  <c r="V23" i="2"/>
  <c r="M23" i="2"/>
  <c r="Q23" i="2"/>
  <c r="W23" i="2"/>
  <c r="B23" i="2"/>
  <c r="N23" i="2"/>
  <c r="H23" i="2"/>
  <c r="J23" i="2"/>
  <c r="G23" i="2"/>
  <c r="R23" i="2"/>
  <c r="O23" i="2"/>
  <c r="L23" i="2"/>
  <c r="T23" i="2"/>
  <c r="P23" i="2"/>
  <c r="D23" i="2"/>
  <c r="I23" i="2"/>
  <c r="U23" i="2"/>
  <c r="X23" i="2"/>
  <c r="C23" i="2"/>
  <c r="S23" i="2"/>
  <c r="E23" i="2"/>
  <c r="Y23" i="2" l="1"/>
  <c r="BG22" i="1" s="1"/>
  <c r="AZ23" i="1"/>
  <c r="A24" i="2"/>
  <c r="DG23" i="1"/>
  <c r="F23" i="1"/>
  <c r="A24" i="1"/>
  <c r="D24" i="2"/>
  <c r="H24" i="2"/>
  <c r="O24" i="2"/>
  <c r="S24" i="2"/>
  <c r="I24" i="2"/>
  <c r="E24" i="2"/>
  <c r="L24" i="2"/>
  <c r="M24" i="2"/>
  <c r="J24" i="2"/>
  <c r="R24" i="2"/>
  <c r="P24" i="2"/>
  <c r="F24" i="2"/>
  <c r="X24" i="2"/>
  <c r="G24" i="2"/>
  <c r="T24" i="2"/>
  <c r="V24" i="2"/>
  <c r="K24" i="2"/>
  <c r="C24" i="2"/>
  <c r="N24" i="2"/>
  <c r="W24" i="2"/>
  <c r="U24" i="2"/>
  <c r="B24" i="2"/>
  <c r="Q24" i="2"/>
  <c r="Y24" i="2" l="1"/>
  <c r="BG23" i="1" s="1"/>
  <c r="AZ24" i="1"/>
  <c r="A25" i="2"/>
  <c r="DG24" i="1"/>
  <c r="F24" i="1"/>
  <c r="A25" i="1"/>
  <c r="C25" i="2"/>
  <c r="S25" i="2"/>
  <c r="G25" i="2"/>
  <c r="J25" i="2"/>
  <c r="F25" i="2"/>
  <c r="N25" i="2"/>
  <c r="Q25" i="2"/>
  <c r="B25" i="2"/>
  <c r="I25" i="2"/>
  <c r="H25" i="2"/>
  <c r="D25" i="2"/>
  <c r="K25" i="2"/>
  <c r="X25" i="2"/>
  <c r="T25" i="2"/>
  <c r="V25" i="2"/>
  <c r="M25" i="2"/>
  <c r="R25" i="2"/>
  <c r="E25" i="2"/>
  <c r="U25" i="2"/>
  <c r="O25" i="2"/>
  <c r="L25" i="2"/>
  <c r="W25" i="2"/>
  <c r="P25" i="2"/>
  <c r="Y25" i="2" l="1"/>
  <c r="BG24" i="1" s="1"/>
  <c r="AZ25" i="1"/>
  <c r="A26" i="2"/>
  <c r="DG25" i="1"/>
  <c r="F25" i="1"/>
  <c r="A26" i="1"/>
  <c r="EO173" i="1"/>
  <c r="EO172" i="1"/>
  <c r="BB126" i="1"/>
  <c r="BA95" i="1"/>
  <c r="BD85" i="1"/>
  <c r="BC122" i="1"/>
  <c r="CD163" i="1"/>
  <c r="BB94" i="1"/>
  <c r="EO153" i="1"/>
  <c r="BA103" i="1"/>
  <c r="BC118" i="1"/>
  <c r="EN181" i="1"/>
  <c r="BA97" i="1"/>
  <c r="BC126" i="1"/>
  <c r="EN137" i="1"/>
  <c r="BD90" i="1"/>
  <c r="BA114" i="1"/>
  <c r="CD165" i="1"/>
  <c r="BC112" i="1"/>
  <c r="BA127" i="1"/>
  <c r="BD89" i="1"/>
  <c r="BB119" i="1"/>
  <c r="BB105" i="1"/>
  <c r="BC100" i="1"/>
  <c r="CD164" i="1"/>
  <c r="BB125" i="1"/>
  <c r="BA112" i="1"/>
  <c r="EO142" i="1"/>
  <c r="EN187" i="1"/>
  <c r="EN138" i="1"/>
  <c r="BA128" i="1"/>
  <c r="BC91" i="1"/>
  <c r="BB92" i="1"/>
  <c r="BA113" i="1"/>
  <c r="EN139" i="1"/>
  <c r="BA96" i="1"/>
  <c r="BC127" i="1"/>
  <c r="BB113" i="1"/>
  <c r="BB85" i="1"/>
  <c r="BB97" i="1"/>
  <c r="EO144" i="1"/>
  <c r="AU179" i="1"/>
  <c r="EO146" i="1"/>
  <c r="BA100" i="1"/>
  <c r="CD162" i="1"/>
  <c r="BA122" i="1"/>
  <c r="BB109" i="1"/>
  <c r="BC120" i="1"/>
  <c r="BB108" i="1"/>
  <c r="BA125" i="1"/>
  <c r="BC111" i="1"/>
  <c r="BB91" i="1"/>
  <c r="BA94" i="1"/>
  <c r="BC130" i="1"/>
  <c r="BB111" i="1"/>
  <c r="BA126" i="1"/>
  <c r="BA129" i="1"/>
  <c r="BA93" i="1"/>
  <c r="BB116" i="1"/>
  <c r="BD91" i="1"/>
  <c r="BB110" i="1"/>
  <c r="BB96" i="1"/>
  <c r="EN179" i="1"/>
  <c r="EO149" i="1"/>
  <c r="BB121" i="1"/>
  <c r="BC119" i="1"/>
  <c r="EN180" i="1"/>
  <c r="BB106" i="1"/>
  <c r="BC102" i="1"/>
  <c r="AU183" i="1"/>
  <c r="BB112" i="1"/>
  <c r="BC103" i="1"/>
  <c r="AU180" i="1"/>
  <c r="BC117" i="1"/>
  <c r="BA111" i="1"/>
  <c r="BC106" i="1"/>
  <c r="BB95" i="1"/>
  <c r="BA124" i="1"/>
  <c r="EO154" i="1"/>
  <c r="BA106" i="1"/>
  <c r="BB123" i="1"/>
  <c r="BB98" i="1"/>
  <c r="BB101" i="1"/>
  <c r="BC92" i="1"/>
  <c r="BB120" i="1"/>
  <c r="BA115" i="1"/>
  <c r="BB122" i="1"/>
  <c r="EN189" i="1"/>
  <c r="BA105" i="1"/>
  <c r="BB128" i="1"/>
  <c r="BA110" i="1"/>
  <c r="BB104" i="1"/>
  <c r="BB86" i="1"/>
  <c r="BA102" i="1"/>
  <c r="AU181" i="1"/>
  <c r="BC129" i="1"/>
  <c r="BC95" i="1"/>
  <c r="BA116" i="1"/>
  <c r="BC128" i="1"/>
  <c r="BB127" i="1"/>
  <c r="BB130" i="1"/>
  <c r="EN185" i="1"/>
  <c r="BB114" i="1"/>
  <c r="AU182" i="1"/>
  <c r="BB107" i="1"/>
  <c r="BA117" i="1"/>
  <c r="BB100" i="1"/>
  <c r="BC104" i="1"/>
  <c r="BC115" i="1"/>
  <c r="EO150" i="1"/>
  <c r="EN188" i="1"/>
  <c r="BB90" i="1"/>
  <c r="BC107" i="1"/>
  <c r="BD92" i="1"/>
  <c r="BA99" i="1"/>
  <c r="EO145" i="1"/>
  <c r="BA120" i="1"/>
  <c r="BC125" i="1"/>
  <c r="BC98" i="1"/>
  <c r="AU184" i="1"/>
  <c r="BB115" i="1"/>
  <c r="BA107" i="1"/>
  <c r="EN186" i="1"/>
  <c r="EN177" i="1"/>
  <c r="BB99" i="1"/>
  <c r="EO155" i="1"/>
  <c r="EO148" i="1"/>
  <c r="EO151" i="1"/>
  <c r="BC96" i="1"/>
  <c r="EO141" i="1"/>
  <c r="AU186" i="1"/>
  <c r="BC121" i="1"/>
  <c r="BB102" i="1"/>
  <c r="BD88" i="1"/>
  <c r="BA118" i="1"/>
  <c r="BD87" i="1"/>
  <c r="EN178" i="1"/>
  <c r="BB124" i="1"/>
  <c r="BA123" i="1"/>
  <c r="BA108" i="1"/>
  <c r="EO157" i="1"/>
  <c r="EO143" i="1"/>
  <c r="BC113" i="1"/>
  <c r="AU185" i="1"/>
  <c r="BC101" i="1"/>
  <c r="BB129" i="1"/>
  <c r="BB93" i="1"/>
  <c r="BC108" i="1"/>
  <c r="BB88" i="1"/>
  <c r="EO156" i="1"/>
  <c r="BA101" i="1"/>
  <c r="CD161" i="1"/>
  <c r="EN183" i="1"/>
  <c r="BA109" i="1"/>
  <c r="EO147" i="1"/>
  <c r="BC97" i="1"/>
  <c r="BC93" i="1"/>
  <c r="BC114" i="1"/>
  <c r="EN140" i="1"/>
  <c r="BA98" i="1"/>
  <c r="BC99" i="1"/>
  <c r="BC110" i="1"/>
  <c r="BB89" i="1"/>
  <c r="BA119" i="1"/>
  <c r="BC124" i="1"/>
  <c r="BB103" i="1"/>
  <c r="BC109" i="1"/>
  <c r="BC123" i="1"/>
  <c r="BA121" i="1"/>
  <c r="AU187" i="1"/>
  <c r="EN184" i="1"/>
  <c r="CD168" i="1"/>
  <c r="BA104" i="1"/>
  <c r="BC116" i="1"/>
  <c r="EO152" i="1"/>
  <c r="BC94" i="1"/>
  <c r="BC105" i="1"/>
  <c r="BD86" i="1"/>
  <c r="BB118" i="1"/>
  <c r="EN182" i="1"/>
  <c r="BB117" i="1"/>
  <c r="BB87" i="1"/>
  <c r="AV147" i="1"/>
  <c r="AV150" i="1"/>
  <c r="BF163" i="1"/>
  <c r="AV157" i="1"/>
  <c r="E26" i="2"/>
  <c r="G26" i="2"/>
  <c r="BF168" i="1"/>
  <c r="AX173" i="1"/>
  <c r="AV156" i="1"/>
  <c r="BA168" i="1"/>
  <c r="AV145" i="1"/>
  <c r="AV152" i="1"/>
  <c r="AV149" i="1"/>
  <c r="AU178" i="1"/>
  <c r="AV151" i="1"/>
  <c r="AV154" i="1"/>
  <c r="C26" i="2"/>
  <c r="H26" i="2"/>
  <c r="Q26" i="2"/>
  <c r="P26" i="2"/>
  <c r="J26" i="2"/>
  <c r="D26" i="2"/>
  <c r="AV143" i="1"/>
  <c r="AX175" i="1"/>
  <c r="AU139" i="1"/>
  <c r="AU140" i="1"/>
  <c r="AV155" i="1"/>
  <c r="V26" i="2"/>
  <c r="R26" i="2"/>
  <c r="X26" i="2"/>
  <c r="AX172" i="1"/>
  <c r="AV141" i="1"/>
  <c r="AV173" i="1"/>
  <c r="BA163" i="1"/>
  <c r="AX170" i="1"/>
  <c r="F26" i="2"/>
  <c r="L26" i="2"/>
  <c r="AX169" i="1"/>
  <c r="AX174" i="1"/>
  <c r="AV153" i="1"/>
  <c r="AV172" i="1"/>
  <c r="O26" i="2"/>
  <c r="N26" i="2"/>
  <c r="U26" i="2"/>
  <c r="T26" i="2"/>
  <c r="M26" i="2"/>
  <c r="B26" i="2"/>
  <c r="AX176" i="1"/>
  <c r="AU177" i="1"/>
  <c r="AV144" i="1"/>
  <c r="AX171" i="1"/>
  <c r="AV146" i="1"/>
  <c r="AV142" i="1"/>
  <c r="AV148" i="1"/>
  <c r="S26" i="2"/>
  <c r="W26" i="2"/>
  <c r="I26" i="2"/>
  <c r="K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N27" i="2"/>
  <c r="F27" i="2"/>
  <c r="T27" i="2"/>
  <c r="B27" i="2"/>
  <c r="L27" i="2"/>
  <c r="C27" i="2"/>
  <c r="M27" i="2"/>
  <c r="R27" i="2"/>
  <c r="P27" i="2"/>
  <c r="G27" i="2"/>
  <c r="S27" i="2"/>
  <c r="K27" i="2"/>
  <c r="X27" i="2"/>
  <c r="H27" i="2"/>
  <c r="V27" i="2"/>
  <c r="D27" i="2"/>
  <c r="U27" i="2"/>
  <c r="Q27" i="2"/>
  <c r="E27" i="2"/>
  <c r="I27" i="2"/>
  <c r="J27" i="2"/>
  <c r="O27" i="2"/>
  <c r="W27" i="2"/>
  <c r="Y27" i="2" l="1"/>
  <c r="BG26" i="1" s="1"/>
  <c r="AZ27" i="1"/>
  <c r="A28" i="2"/>
  <c r="DG27" i="1"/>
  <c r="F27" i="1"/>
  <c r="A28" i="1"/>
  <c r="EO165" i="1"/>
  <c r="EO174" i="1"/>
  <c r="EO167" i="1"/>
  <c r="EO171" i="1"/>
  <c r="EO169" i="1"/>
  <c r="EN159" i="1"/>
  <c r="EN158" i="1"/>
  <c r="EO168" i="1"/>
  <c r="EO164" i="1"/>
  <c r="EO170" i="1"/>
  <c r="EO163" i="1"/>
  <c r="EO166" i="1"/>
  <c r="EN160" i="1"/>
  <c r="EO175" i="1"/>
  <c r="EN164" i="1"/>
  <c r="EO162" i="1"/>
  <c r="EN167" i="1"/>
  <c r="EN166" i="1"/>
  <c r="EO161" i="1"/>
  <c r="EN171" i="1"/>
  <c r="EN163" i="1"/>
  <c r="EN168" i="1"/>
  <c r="EO159" i="1"/>
  <c r="EN162" i="1"/>
  <c r="EN172" i="1"/>
  <c r="EO176" i="1"/>
  <c r="EN161" i="1"/>
  <c r="EN165" i="1"/>
  <c r="EN175" i="1"/>
  <c r="EN176" i="1"/>
  <c r="EN169" i="1"/>
  <c r="EO160" i="1"/>
  <c r="EO158" i="1"/>
  <c r="EN173" i="1"/>
  <c r="EN174" i="1"/>
  <c r="EN170" i="1"/>
  <c r="BE163" i="1"/>
  <c r="U28" i="2"/>
  <c r="G28" i="2"/>
  <c r="E28" i="2"/>
  <c r="V28" i="2"/>
  <c r="K28" i="2"/>
  <c r="H28" i="2"/>
  <c r="J28" i="2"/>
  <c r="I28" i="2"/>
  <c r="F28" i="2"/>
  <c r="L28" i="2"/>
  <c r="R28" i="2"/>
  <c r="X28" i="2"/>
  <c r="BE168" i="1"/>
  <c r="W28" i="2"/>
  <c r="C28" i="2"/>
  <c r="M28" i="2"/>
  <c r="B28" i="2"/>
  <c r="T28" i="2"/>
  <c r="P28" i="2"/>
  <c r="D28" i="2"/>
  <c r="S28" i="2"/>
  <c r="O28" i="2"/>
  <c r="N28" i="2"/>
  <c r="Q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EO177" i="1"/>
  <c r="CG168" i="1"/>
  <c r="CG163" i="1"/>
  <c r="EO182" i="1"/>
  <c r="EO184" i="1"/>
  <c r="EO179" i="1"/>
  <c r="EO180" i="1"/>
  <c r="CG164" i="1"/>
  <c r="EN155" i="1"/>
  <c r="CG165" i="1"/>
  <c r="EO181" i="1"/>
  <c r="EN157" i="1"/>
  <c r="EO183" i="1"/>
  <c r="EN156" i="1"/>
  <c r="EO178" i="1"/>
  <c r="AX53" i="1"/>
  <c r="CD91" i="1"/>
  <c r="EQ185" i="1"/>
  <c r="CH106" i="1"/>
  <c r="BF116" i="1"/>
  <c r="AX85" i="1"/>
  <c r="DC60" i="1"/>
  <c r="DA118" i="1"/>
  <c r="AT122" i="1"/>
  <c r="CH93" i="1"/>
  <c r="EO73" i="1"/>
  <c r="EP77" i="1"/>
  <c r="BF122" i="1"/>
  <c r="DF177" i="1"/>
  <c r="AU123" i="1"/>
  <c r="DF114" i="1"/>
  <c r="DC49" i="1"/>
  <c r="CI120" i="1"/>
  <c r="EO56" i="1"/>
  <c r="DA102" i="1"/>
  <c r="DF159" i="1"/>
  <c r="AW106" i="1"/>
  <c r="DE85" i="1"/>
  <c r="DB91" i="1"/>
  <c r="AW93" i="1"/>
  <c r="AU97" i="1"/>
  <c r="AU115" i="1"/>
  <c r="DA73" i="1"/>
  <c r="BF127" i="1"/>
  <c r="DA127" i="1"/>
  <c r="DD188" i="1"/>
  <c r="AU111" i="1"/>
  <c r="DF163" i="1"/>
  <c r="CI71" i="1"/>
  <c r="DE64" i="1"/>
  <c r="DF95" i="1"/>
  <c r="AT64" i="1"/>
  <c r="CI88" i="1"/>
  <c r="DA157" i="1"/>
  <c r="DB159" i="1"/>
  <c r="BE90" i="1"/>
  <c r="DD114" i="1"/>
  <c r="EM56" i="1"/>
  <c r="BD105" i="1"/>
  <c r="DC122" i="1"/>
  <c r="CE117" i="1"/>
  <c r="BA86" i="1"/>
  <c r="CF162" i="1"/>
  <c r="EN153" i="1"/>
  <c r="CI94" i="1"/>
  <c r="AW117" i="1"/>
  <c r="AS101" i="1"/>
  <c r="AT97" i="1"/>
  <c r="EQ75" i="1"/>
  <c r="BF100" i="1"/>
  <c r="EP146" i="1"/>
  <c r="EO64" i="1"/>
  <c r="AU88" i="1"/>
  <c r="BE118" i="1"/>
  <c r="CI112" i="1"/>
  <c r="EP169" i="1"/>
  <c r="EP170" i="1"/>
  <c r="AV70" i="1"/>
  <c r="CG130" i="1"/>
  <c r="CI117" i="1"/>
  <c r="AW111" i="1"/>
  <c r="DB169" i="1"/>
  <c r="CH108" i="1"/>
  <c r="EP159" i="1"/>
  <c r="DB188" i="1"/>
  <c r="BE64" i="1"/>
  <c r="CH62" i="1"/>
  <c r="DC164" i="1"/>
  <c r="BD108" i="1"/>
  <c r="BD101" i="1"/>
  <c r="BD120" i="1"/>
  <c r="CE113" i="1"/>
  <c r="AV85" i="1"/>
  <c r="DC172" i="1"/>
  <c r="BE87" i="1"/>
  <c r="DE45" i="1"/>
  <c r="DD161" i="1"/>
  <c r="BF105" i="1"/>
  <c r="DB119" i="1"/>
  <c r="DA52" i="1"/>
  <c r="DC73" i="1"/>
  <c r="DF174" i="1"/>
  <c r="AT93" i="1"/>
  <c r="EP167" i="1"/>
  <c r="DF110" i="1"/>
  <c r="AT129" i="1"/>
  <c r="AV185" i="1"/>
  <c r="DB101" i="1"/>
  <c r="DA70" i="1"/>
  <c r="DD96" i="1"/>
  <c r="BE91" i="1"/>
  <c r="DA176" i="1"/>
  <c r="CE62" i="1"/>
  <c r="CI101" i="1"/>
  <c r="AW52" i="1"/>
  <c r="CF165" i="1"/>
  <c r="CG121" i="1"/>
  <c r="DE62" i="1"/>
  <c r="BF128" i="1"/>
  <c r="DA57" i="1"/>
  <c r="BD112" i="1"/>
  <c r="EQ49" i="1"/>
  <c r="BD117" i="1"/>
  <c r="CI162" i="1"/>
  <c r="EO47" i="1"/>
  <c r="BF87" i="1"/>
  <c r="BE108" i="1"/>
  <c r="AS86" i="1"/>
  <c r="EM50" i="1"/>
  <c r="BE102" i="1"/>
  <c r="DE50" i="1"/>
  <c r="AU113" i="1"/>
  <c r="DF124" i="1"/>
  <c r="CH105" i="1"/>
  <c r="CE88" i="1"/>
  <c r="BF106" i="1"/>
  <c r="DD122" i="1"/>
  <c r="DC179" i="1"/>
  <c r="DE171" i="1"/>
  <c r="DD172" i="1"/>
  <c r="CI85" i="1"/>
  <c r="AX98" i="1"/>
  <c r="AT119" i="1"/>
  <c r="EO52" i="1"/>
  <c r="AV108" i="1"/>
  <c r="DD105" i="1"/>
  <c r="AS128" i="1"/>
  <c r="AT117" i="1"/>
  <c r="AW109" i="1"/>
  <c r="EO186" i="1"/>
  <c r="DD121" i="1"/>
  <c r="DD124" i="1"/>
  <c r="AS125" i="1"/>
  <c r="AU52" i="1"/>
  <c r="AX120" i="1"/>
  <c r="CD62" i="1"/>
  <c r="EQ149" i="1"/>
  <c r="EQ174" i="1"/>
  <c r="EO60" i="1"/>
  <c r="BF107" i="1"/>
  <c r="EQ74" i="1"/>
  <c r="DA103" i="1"/>
  <c r="AX63" i="1"/>
  <c r="DE52" i="1"/>
  <c r="CG116" i="1"/>
  <c r="DD130" i="1"/>
  <c r="EQ170" i="1"/>
  <c r="CI93" i="1"/>
  <c r="EQ158" i="1"/>
  <c r="CE95" i="1"/>
  <c r="DA61" i="1"/>
  <c r="DB149" i="1"/>
  <c r="BD115" i="1"/>
  <c r="EN149" i="1"/>
  <c r="AW110" i="1"/>
  <c r="EQ144" i="1"/>
  <c r="CH112" i="1"/>
  <c r="DC177" i="1"/>
  <c r="DC89" i="1"/>
  <c r="CF124" i="1"/>
  <c r="EN73" i="1"/>
  <c r="EO139" i="1"/>
  <c r="BA89" i="1"/>
  <c r="AT70" i="1"/>
  <c r="CH50" i="1"/>
  <c r="CI49" i="1"/>
  <c r="DB116" i="1"/>
  <c r="AV111" i="1"/>
  <c r="CD130" i="1"/>
  <c r="DB117" i="1"/>
  <c r="DC188" i="1"/>
  <c r="CG96" i="1"/>
  <c r="AU108" i="1"/>
  <c r="EP168" i="1"/>
  <c r="AS108" i="1"/>
  <c r="EN152" i="1"/>
  <c r="AU64" i="1"/>
  <c r="BE93" i="1"/>
  <c r="DE169" i="1"/>
  <c r="AV179" i="1"/>
  <c r="DB95" i="1"/>
  <c r="DC85" i="1"/>
  <c r="CI64" i="1"/>
  <c r="EQ188" i="1"/>
  <c r="DD127" i="1"/>
  <c r="BA92" i="1"/>
  <c r="AV50" i="1"/>
  <c r="BD93" i="1"/>
  <c r="DD129" i="1"/>
  <c r="DC109" i="1"/>
  <c r="CG86" i="1"/>
  <c r="CD52" i="1"/>
  <c r="DA172" i="1"/>
  <c r="EQ189" i="1"/>
  <c r="BF126" i="1"/>
  <c r="DC112" i="1"/>
  <c r="DC47" i="1"/>
  <c r="CF86" i="1"/>
  <c r="EP45" i="1"/>
  <c r="BC86" i="1"/>
  <c r="EO74" i="1"/>
  <c r="AS124" i="1"/>
  <c r="CG118" i="1"/>
  <c r="EP71" i="1"/>
  <c r="DE70" i="1"/>
  <c r="DB127" i="1"/>
  <c r="DE51" i="1"/>
  <c r="DC118" i="1"/>
  <c r="DA100" i="1"/>
  <c r="AS110" i="1"/>
  <c r="CE89" i="1"/>
  <c r="EO48" i="1"/>
  <c r="DE108" i="1"/>
  <c r="AX180" i="1"/>
  <c r="DD85" i="1"/>
  <c r="DC95" i="1"/>
  <c r="DB85" i="1"/>
  <c r="CF95" i="1"/>
  <c r="DE72" i="1"/>
  <c r="AX185" i="1"/>
  <c r="BD50" i="1"/>
  <c r="DC79" i="1"/>
  <c r="DD5" i="1"/>
  <c r="BE106" i="1"/>
  <c r="AU117" i="1"/>
  <c r="AS120" i="1"/>
  <c r="DC64" i="1"/>
  <c r="DA108" i="1"/>
  <c r="BD121" i="1"/>
  <c r="EN147" i="1"/>
  <c r="AW120" i="1"/>
  <c r="CH127" i="1"/>
  <c r="DD164" i="1"/>
  <c r="CD116" i="1"/>
  <c r="DE74" i="1"/>
  <c r="DE101" i="1"/>
  <c r="AV118" i="1"/>
  <c r="CE129" i="1"/>
  <c r="DA106" i="1"/>
  <c r="DE63" i="1"/>
  <c r="EQ186" i="1"/>
  <c r="DD113" i="1"/>
  <c r="BE107" i="1"/>
  <c r="CF100" i="1"/>
  <c r="AW104" i="1"/>
  <c r="BA87" i="1"/>
  <c r="EN148" i="1"/>
  <c r="AT56" i="1"/>
  <c r="CE110" i="1"/>
  <c r="DE145" i="1"/>
  <c r="AS87" i="1"/>
  <c r="EP139" i="1"/>
  <c r="DE124" i="1"/>
  <c r="DC71" i="1"/>
  <c r="DB96" i="1"/>
  <c r="CI128" i="1"/>
  <c r="CH104" i="1"/>
  <c r="DA110" i="1"/>
  <c r="AW182" i="1"/>
  <c r="DD145" i="1"/>
  <c r="DA116" i="1"/>
  <c r="AS63" i="1"/>
  <c r="EN53" i="1"/>
  <c r="AU121" i="1"/>
  <c r="AX93" i="1"/>
  <c r="CF125" i="1"/>
  <c r="DF129" i="1"/>
  <c r="AU110" i="1"/>
  <c r="BE110" i="1"/>
  <c r="EN146" i="1"/>
  <c r="EP147" i="1"/>
  <c r="CH163" i="1"/>
  <c r="CI52" i="1"/>
  <c r="DC171" i="1"/>
  <c r="DE178" i="1"/>
  <c r="DE58" i="1"/>
  <c r="CI86" i="1"/>
  <c r="DE60" i="1"/>
  <c r="EQ181" i="1"/>
  <c r="DD150" i="1"/>
  <c r="DA49" i="1"/>
  <c r="AV49" i="1"/>
  <c r="BF119" i="1"/>
  <c r="DD182" i="1"/>
  <c r="AS92" i="1"/>
  <c r="CF126" i="1"/>
  <c r="EO185" i="1"/>
  <c r="AT126" i="1"/>
  <c r="DF155" i="1"/>
  <c r="DF92" i="1"/>
  <c r="DB125" i="1"/>
  <c r="AS52" i="1"/>
  <c r="EQ166" i="1"/>
  <c r="BF118" i="1"/>
  <c r="DE120" i="1"/>
  <c r="DA151" i="1"/>
  <c r="EP79" i="1"/>
  <c r="DE173" i="1"/>
  <c r="DC186" i="1"/>
  <c r="AU106" i="1"/>
  <c r="DB118" i="1"/>
  <c r="AW64" i="1"/>
  <c r="DC151" i="1"/>
  <c r="DC117" i="1"/>
  <c r="AW125" i="1"/>
  <c r="EQ64" i="1"/>
  <c r="DB100" i="1"/>
  <c r="CE168" i="1"/>
  <c r="DD138" i="1"/>
  <c r="BC52" i="1"/>
  <c r="CD110" i="1"/>
  <c r="DF103" i="1"/>
  <c r="DA124" i="1"/>
  <c r="DB141" i="1"/>
  <c r="DF5" i="1"/>
  <c r="DD181" i="1"/>
  <c r="EP48" i="1"/>
  <c r="CG56" i="1"/>
  <c r="CI129" i="1"/>
  <c r="CD56" i="1"/>
  <c r="DF148" i="1"/>
  <c r="BD107" i="1"/>
  <c r="DA126" i="1"/>
  <c r="CG93" i="1"/>
  <c r="CG103" i="1"/>
  <c r="DC144" i="1"/>
  <c r="DA75" i="1"/>
  <c r="DD149" i="1"/>
  <c r="CG71" i="1"/>
  <c r="AV86" i="1"/>
  <c r="DF112" i="1"/>
  <c r="DC145" i="1"/>
  <c r="DE155" i="1"/>
  <c r="DD179" i="1"/>
  <c r="BE126" i="1"/>
  <c r="BD103" i="1"/>
  <c r="DF183" i="1"/>
  <c r="DD167" i="1"/>
  <c r="AS123" i="1"/>
  <c r="EP179" i="1"/>
  <c r="EN64" i="1"/>
  <c r="AT95" i="1"/>
  <c r="DB145" i="1"/>
  <c r="DC146" i="1"/>
  <c r="AV122" i="1"/>
  <c r="CH53" i="1"/>
  <c r="DF170" i="1"/>
  <c r="CH99" i="1"/>
  <c r="EO189" i="1"/>
  <c r="BD104" i="1"/>
  <c r="EO77" i="1"/>
  <c r="EO137" i="1"/>
  <c r="AW116" i="1"/>
  <c r="AX189" i="1"/>
  <c r="DD89" i="1"/>
  <c r="DE167" i="1"/>
  <c r="DC183" i="1"/>
  <c r="EQ147" i="1"/>
  <c r="EP72" i="1"/>
  <c r="DC72" i="1"/>
  <c r="DF154" i="1"/>
  <c r="AX52" i="1"/>
  <c r="AW51" i="1"/>
  <c r="BD126" i="1"/>
  <c r="DA107" i="1"/>
  <c r="CE64" i="1"/>
  <c r="AX130" i="1"/>
  <c r="DF87" i="1"/>
  <c r="DF119" i="1"/>
  <c r="BF85" i="1"/>
  <c r="AS122" i="1"/>
  <c r="DF86" i="1"/>
  <c r="EQ180" i="1"/>
  <c r="EP181" i="1"/>
  <c r="CD106" i="1"/>
  <c r="EP163" i="1"/>
  <c r="DB105" i="1"/>
  <c r="EQ63" i="1"/>
  <c r="DE149" i="1"/>
  <c r="AT112" i="1"/>
  <c r="AW56" i="1"/>
  <c r="DC58" i="1"/>
  <c r="EN60" i="1"/>
  <c r="CI164" i="1"/>
  <c r="EP51" i="1"/>
  <c r="DC154" i="1"/>
  <c r="DA185" i="1"/>
  <c r="DC187" i="1"/>
  <c r="DC153" i="1"/>
  <c r="DB171" i="1"/>
  <c r="BD116" i="1"/>
  <c r="BD125" i="1"/>
  <c r="DC168" i="1"/>
  <c r="EP62" i="1"/>
  <c r="DC116" i="1"/>
  <c r="CF161" i="1"/>
  <c r="DB181" i="1"/>
  <c r="CH119" i="1"/>
  <c r="DE183" i="1"/>
  <c r="AV128" i="1"/>
  <c r="DC108" i="1"/>
  <c r="AU94" i="1"/>
  <c r="EP149" i="1"/>
  <c r="EQ148" i="1"/>
  <c r="DE110" i="1"/>
  <c r="CF121" i="1"/>
  <c r="DA178" i="1"/>
  <c r="CD100" i="1"/>
  <c r="BE114" i="1"/>
  <c r="DD165" i="1"/>
  <c r="DB156" i="1"/>
  <c r="AU92" i="1"/>
  <c r="EO140" i="1"/>
  <c r="EP172" i="1"/>
  <c r="DD175" i="1"/>
  <c r="DB148" i="1"/>
  <c r="DA129" i="1"/>
  <c r="DE47" i="1"/>
  <c r="DF93" i="1"/>
  <c r="AU112" i="1"/>
  <c r="DA123" i="1"/>
  <c r="BE124" i="1"/>
  <c r="AT115" i="1"/>
  <c r="DE57" i="1"/>
  <c r="CG94" i="1"/>
  <c r="CD104" i="1"/>
  <c r="EP76" i="1"/>
  <c r="AU90" i="1"/>
  <c r="EN144" i="1"/>
  <c r="CF111" i="1"/>
  <c r="DB122" i="1"/>
  <c r="BF121" i="1"/>
  <c r="DC62" i="1"/>
  <c r="EP157" i="1"/>
  <c r="CE123" i="1"/>
  <c r="CH97" i="1"/>
  <c r="EQ57" i="1"/>
  <c r="AS115" i="1"/>
  <c r="DC77" i="1"/>
  <c r="DA150" i="1"/>
  <c r="DE116" i="1"/>
  <c r="AV87" i="1"/>
  <c r="CH96" i="1"/>
  <c r="DC161" i="1"/>
  <c r="AW53" i="1"/>
  <c r="CE130" i="1"/>
  <c r="AW99" i="1"/>
  <c r="DC96" i="1"/>
  <c r="AS116" i="1"/>
  <c r="DA117" i="1"/>
  <c r="CF120" i="1"/>
  <c r="BE130" i="1"/>
  <c r="CH129" i="1"/>
  <c r="DD86" i="1"/>
  <c r="DF109" i="1"/>
  <c r="AW186" i="1"/>
  <c r="CE111" i="1"/>
  <c r="BB53" i="1"/>
  <c r="EQ62" i="1"/>
  <c r="AX49" i="1"/>
  <c r="DC121" i="1"/>
  <c r="AW88" i="1"/>
  <c r="DE103" i="1"/>
  <c r="AV94" i="1"/>
  <c r="CF119" i="1"/>
  <c r="CE56" i="1"/>
  <c r="DC63" i="1"/>
  <c r="EQ78" i="1"/>
  <c r="CE124" i="1"/>
  <c r="EP50" i="1"/>
  <c r="DC138" i="1"/>
  <c r="CE98" i="1"/>
  <c r="BF64" i="1"/>
  <c r="DD90" i="1"/>
  <c r="DC175" i="1"/>
  <c r="AW86" i="1"/>
  <c r="AX118" i="1"/>
  <c r="DC61" i="1"/>
  <c r="BD124" i="1"/>
  <c r="AU50" i="1"/>
  <c r="BE86" i="1"/>
  <c r="AS97" i="1"/>
  <c r="EQ61" i="1"/>
  <c r="DF187" i="1"/>
  <c r="BD99" i="1"/>
  <c r="CD70" i="1"/>
  <c r="AT123" i="1"/>
  <c r="DB174" i="1"/>
  <c r="AX181" i="1"/>
  <c r="DF90" i="1"/>
  <c r="DB113" i="1"/>
  <c r="EP178" i="1"/>
  <c r="DF147" i="1"/>
  <c r="CI51" i="1"/>
  <c r="CG101" i="1"/>
  <c r="DC139" i="1"/>
  <c r="CG113" i="1"/>
  <c r="DE77" i="1"/>
  <c r="CH113" i="1"/>
  <c r="CD103" i="1"/>
  <c r="DF108" i="1"/>
  <c r="CD89" i="1"/>
  <c r="BC51" i="1"/>
  <c r="DA86" i="1"/>
  <c r="AX122" i="1"/>
  <c r="DF137" i="1"/>
  <c r="AT108" i="1"/>
  <c r="CE119" i="1"/>
  <c r="EN79" i="1"/>
  <c r="DE100" i="1"/>
  <c r="DD115" i="1"/>
  <c r="EQ141" i="1"/>
  <c r="DF180" i="1"/>
  <c r="BE129" i="1"/>
  <c r="DC162" i="1"/>
  <c r="BD97" i="1"/>
  <c r="DB185" i="1"/>
  <c r="CH123" i="1"/>
  <c r="DF122" i="1"/>
  <c r="DC52" i="1"/>
  <c r="DF173" i="1"/>
  <c r="DC74" i="1"/>
  <c r="DA64" i="1"/>
  <c r="EN76" i="1"/>
  <c r="EQ172" i="1"/>
  <c r="DE59" i="1"/>
  <c r="AV180" i="1"/>
  <c r="DD102" i="1"/>
  <c r="CF50" i="1"/>
  <c r="BD130" i="1"/>
  <c r="DA71" i="1"/>
  <c r="DD177" i="1"/>
  <c r="CE94" i="1"/>
  <c r="DE79" i="1"/>
  <c r="EQ46" i="1"/>
  <c r="DB103" i="1"/>
  <c r="CF164" i="1"/>
  <c r="CH125" i="1"/>
  <c r="EQ167" i="1"/>
  <c r="DA93" i="1"/>
  <c r="BF94" i="1"/>
  <c r="AW181" i="1"/>
  <c r="DE92" i="1"/>
  <c r="AS99" i="1"/>
  <c r="BD114" i="1"/>
  <c r="DA140" i="1"/>
  <c r="AT118" i="1"/>
  <c r="AS104" i="1"/>
  <c r="AW100" i="1"/>
  <c r="AU125" i="1"/>
  <c r="CH103" i="1"/>
  <c r="CG104" i="1"/>
  <c r="EQ138" i="1"/>
  <c r="DA114" i="1"/>
  <c r="AX105" i="1"/>
  <c r="DD118" i="1"/>
  <c r="BD122" i="1"/>
  <c r="BF110" i="1"/>
  <c r="AX179" i="1"/>
  <c r="CF70" i="1"/>
  <c r="BF130" i="1"/>
  <c r="DE160" i="1"/>
  <c r="AU49" i="1"/>
  <c r="DF182" i="1"/>
  <c r="BE103" i="1"/>
  <c r="BD129" i="1"/>
  <c r="DD169" i="1"/>
  <c r="DE111" i="1"/>
  <c r="AX109" i="1"/>
  <c r="AT53" i="1"/>
  <c r="EO76" i="1"/>
  <c r="BC85" i="1"/>
  <c r="DD103" i="1"/>
  <c r="DE166" i="1"/>
  <c r="BE113" i="1"/>
  <c r="BE100" i="1"/>
  <c r="EO188" i="1"/>
  <c r="AS103" i="1"/>
  <c r="DE144" i="1"/>
  <c r="AX116" i="1"/>
  <c r="CF118" i="1"/>
  <c r="DF91" i="1"/>
  <c r="DD183" i="1"/>
  <c r="AT116" i="1"/>
  <c r="CI96" i="1"/>
  <c r="DA45" i="1"/>
  <c r="DA163" i="1"/>
  <c r="DB112" i="1"/>
  <c r="DA146" i="1"/>
  <c r="EQ140" i="1"/>
  <c r="DB150" i="1"/>
  <c r="BE115" i="1"/>
  <c r="BE92" i="1"/>
  <c r="EN75" i="1"/>
  <c r="AX108" i="1"/>
  <c r="DC165" i="1"/>
  <c r="DD178" i="1"/>
  <c r="EQ153" i="1"/>
  <c r="EP74" i="1"/>
  <c r="DE159" i="1"/>
  <c r="DE114" i="1"/>
  <c r="EP166" i="1"/>
  <c r="AX88" i="1"/>
  <c r="BF52" i="1"/>
  <c r="DA166" i="1"/>
  <c r="DC56" i="1"/>
  <c r="DB97" i="1"/>
  <c r="CF49" i="1"/>
  <c r="CG97" i="1"/>
  <c r="CF88" i="1"/>
  <c r="CF116" i="1"/>
  <c r="BA88" i="1"/>
  <c r="AV95" i="1"/>
  <c r="CG87" i="1"/>
  <c r="EN145" i="1"/>
  <c r="AV104" i="1"/>
  <c r="BF98" i="1"/>
  <c r="BD98" i="1"/>
  <c r="BA91" i="1"/>
  <c r="DB157" i="1"/>
  <c r="AS89" i="1"/>
  <c r="DB152" i="1"/>
  <c r="AV88" i="1"/>
  <c r="EN56" i="1"/>
  <c r="DC48" i="1"/>
  <c r="CG49" i="1"/>
  <c r="AU107" i="1"/>
  <c r="EO46" i="1"/>
  <c r="CD121" i="1"/>
  <c r="EO57" i="1"/>
  <c r="EN142" i="1"/>
  <c r="EP186" i="1"/>
  <c r="AW108" i="1"/>
  <c r="DB104" i="1"/>
  <c r="BB51" i="1"/>
  <c r="CH109" i="1"/>
  <c r="DD156" i="1"/>
  <c r="CE49" i="1"/>
  <c r="AU91" i="1"/>
  <c r="CH161" i="1"/>
  <c r="AU118" i="1"/>
  <c r="CI114" i="1"/>
  <c r="DC180" i="1"/>
  <c r="CG108" i="1"/>
  <c r="CI124" i="1"/>
  <c r="CG123" i="1"/>
  <c r="DA91" i="1"/>
  <c r="EQ187" i="1"/>
  <c r="EO70" i="1"/>
  <c r="BE127" i="1"/>
  <c r="AT49" i="1"/>
  <c r="CD96" i="1"/>
  <c r="CI63" i="1"/>
  <c r="CD51" i="1"/>
  <c r="EQ151" i="1"/>
  <c r="DE150" i="1"/>
  <c r="CG110" i="1"/>
  <c r="CH124" i="1"/>
  <c r="CF97" i="1"/>
  <c r="EQ182" i="1"/>
  <c r="EO138" i="1"/>
  <c r="DD139" i="1"/>
  <c r="AW118" i="1"/>
  <c r="CH51" i="1"/>
  <c r="DE177" i="1"/>
  <c r="BC90" i="1"/>
  <c r="CG111" i="1"/>
  <c r="DB99" i="1"/>
  <c r="AS56" i="1"/>
  <c r="AV106" i="1"/>
  <c r="CG162" i="1"/>
  <c r="AT87" i="1"/>
  <c r="BE117" i="1"/>
  <c r="EP56" i="1"/>
  <c r="AX103" i="1"/>
  <c r="DB177" i="1"/>
  <c r="DD111" i="1"/>
  <c r="CF64" i="1"/>
  <c r="CG119" i="1"/>
  <c r="AS102" i="1"/>
  <c r="BA52" i="1"/>
  <c r="AT104" i="1"/>
  <c r="DB126" i="1"/>
  <c r="DB155" i="1"/>
  <c r="CD64" i="1"/>
  <c r="AX100" i="1"/>
  <c r="CE53" i="1"/>
  <c r="CD109" i="1"/>
  <c r="DE98" i="1"/>
  <c r="BF97" i="1"/>
  <c r="DD93" i="1"/>
  <c r="DE46" i="1"/>
  <c r="CE103" i="1"/>
  <c r="DA51" i="1"/>
  <c r="BB64" i="1"/>
  <c r="CD129" i="1"/>
  <c r="EQ71" i="1"/>
  <c r="CF93" i="1"/>
  <c r="DA130" i="1"/>
  <c r="DC152" i="1"/>
  <c r="CE52" i="1"/>
  <c r="DC173" i="1"/>
  <c r="DE118" i="1"/>
  <c r="DD141" i="1"/>
  <c r="DD162" i="1"/>
  <c r="CI111" i="1"/>
  <c r="AV181" i="1"/>
  <c r="DC90" i="1"/>
  <c r="EN48" i="1"/>
  <c r="CE128" i="1"/>
  <c r="AU99" i="1"/>
  <c r="CF128" i="1"/>
  <c r="DE88" i="1"/>
  <c r="DC114" i="1"/>
  <c r="CG122" i="1"/>
  <c r="EQ177" i="1"/>
  <c r="EO63" i="1"/>
  <c r="EQ161" i="1"/>
  <c r="CE165" i="1"/>
  <c r="AX89" i="1"/>
  <c r="DA148" i="1"/>
  <c r="CE97" i="1"/>
  <c r="EP174" i="1"/>
  <c r="AX182" i="1"/>
  <c r="DE119" i="1"/>
  <c r="BD109" i="1"/>
  <c r="EO51" i="1"/>
  <c r="DE125" i="1"/>
  <c r="EP63" i="1"/>
  <c r="EP188" i="1"/>
  <c r="EP182" i="1"/>
  <c r="CF101" i="1"/>
  <c r="CI115" i="1"/>
  <c r="CG85" i="1"/>
  <c r="DE181" i="1"/>
  <c r="EQ168" i="1"/>
  <c r="BD106" i="1"/>
  <c r="DC50" i="1"/>
  <c r="EQ60" i="1"/>
  <c r="CI109" i="1"/>
  <c r="AS49" i="1"/>
  <c r="CD123" i="1"/>
  <c r="AW179" i="1"/>
  <c r="AS114" i="1"/>
  <c r="DF107" i="1"/>
  <c r="BF108" i="1"/>
  <c r="DE146" i="1"/>
  <c r="CH118" i="1"/>
  <c r="AU51" i="1"/>
  <c r="CI168" i="1"/>
  <c r="EP49" i="1"/>
  <c r="BE88" i="1"/>
  <c r="CI127" i="1"/>
  <c r="CG124" i="1"/>
  <c r="DE86" i="1"/>
  <c r="AX183" i="1"/>
  <c r="DC91" i="1"/>
  <c r="BD49" i="1"/>
  <c r="CF99" i="1"/>
  <c r="EQ72" i="1"/>
  <c r="DC129" i="1"/>
  <c r="DB107" i="1"/>
  <c r="DC174" i="1"/>
  <c r="BF103" i="1"/>
  <c r="EL51" i="1"/>
  <c r="CH116" i="1"/>
  <c r="EN77" i="1"/>
  <c r="DB184" i="1"/>
  <c r="AT107" i="1"/>
  <c r="DC157" i="1"/>
  <c r="DF94" i="1"/>
  <c r="DD148" i="1"/>
  <c r="CD88" i="1"/>
  <c r="DC150" i="1"/>
  <c r="BE53" i="1"/>
  <c r="AT52" i="1"/>
  <c r="BE119" i="1"/>
  <c r="DA189" i="1"/>
  <c r="CE115" i="1"/>
  <c r="AV114" i="1"/>
  <c r="CD71" i="1"/>
  <c r="AX127" i="1"/>
  <c r="BE99" i="1"/>
  <c r="EQ164" i="1"/>
  <c r="DB166" i="1"/>
  <c r="AT114" i="1"/>
  <c r="AV89" i="1"/>
  <c r="DC178" i="1"/>
  <c r="EQ169" i="1"/>
  <c r="BF109" i="1"/>
  <c r="AS117" i="1"/>
  <c r="BE109" i="1"/>
  <c r="EP70" i="1"/>
  <c r="EO75" i="1"/>
  <c r="AX110" i="1"/>
  <c r="AV63" i="1"/>
  <c r="DC184" i="1"/>
  <c r="DF181" i="1"/>
  <c r="EP142" i="1"/>
  <c r="CD119" i="1"/>
  <c r="DA105" i="1"/>
  <c r="BF115" i="1"/>
  <c r="DF168" i="1"/>
  <c r="CH52" i="1"/>
  <c r="DD101" i="1"/>
  <c r="AU86" i="1"/>
  <c r="AV96" i="1"/>
  <c r="EP162" i="1"/>
  <c r="DC181" i="1"/>
  <c r="AU104" i="1"/>
  <c r="DF188" i="1"/>
  <c r="BD119" i="1"/>
  <c r="DB138" i="1"/>
  <c r="EP144" i="1"/>
  <c r="BA49" i="1"/>
  <c r="DF130" i="1"/>
  <c r="AT98" i="1"/>
  <c r="CD111" i="1"/>
  <c r="DF157" i="1"/>
  <c r="EP46" i="1"/>
  <c r="BD110" i="1"/>
  <c r="BE123" i="1"/>
  <c r="DC169" i="1"/>
  <c r="EO79" i="1"/>
  <c r="DE117" i="1"/>
  <c r="CI123" i="1"/>
  <c r="CG62" i="1"/>
  <c r="EN74" i="1"/>
  <c r="AS109" i="1"/>
  <c r="DD173" i="1"/>
  <c r="EP152" i="1"/>
  <c r="DC113" i="1"/>
  <c r="DA115" i="1"/>
  <c r="DB168" i="1"/>
  <c r="AV124" i="1"/>
  <c r="EN52" i="1"/>
  <c r="DE153" i="1"/>
  <c r="DA92" i="1"/>
  <c r="CF163" i="1"/>
  <c r="CI163" i="1"/>
  <c r="AX184" i="1"/>
  <c r="DF151" i="1"/>
  <c r="AW85" i="1"/>
  <c r="DE78" i="1"/>
  <c r="BF102" i="1"/>
  <c r="DD97" i="1"/>
  <c r="DC155" i="1"/>
  <c r="AT110" i="1"/>
  <c r="EQ76" i="1"/>
  <c r="EN62" i="1"/>
  <c r="DD185" i="1"/>
  <c r="DD106" i="1"/>
  <c r="DD168" i="1"/>
  <c r="BE112" i="1"/>
  <c r="DA158" i="1"/>
  <c r="CE86" i="1"/>
  <c r="AS50" i="1"/>
  <c r="DE143" i="1"/>
  <c r="DA181" i="1"/>
  <c r="CI126" i="1"/>
  <c r="DA159" i="1"/>
  <c r="DC156" i="1"/>
  <c r="CG52" i="1"/>
  <c r="DA144" i="1"/>
  <c r="CF114" i="1"/>
  <c r="CH100" i="1"/>
  <c r="DA160" i="1"/>
  <c r="DF99" i="1"/>
  <c r="DE73" i="1"/>
  <c r="CG98" i="1"/>
  <c r="EN72" i="1"/>
  <c r="CG51" i="1"/>
  <c r="EP59" i="1"/>
  <c r="AV126" i="1"/>
  <c r="BF125" i="1"/>
  <c r="CD87" i="1"/>
  <c r="CD86" i="1"/>
  <c r="DA78" i="1"/>
  <c r="DB154" i="1"/>
  <c r="DB128" i="1"/>
  <c r="CH115" i="1"/>
  <c r="CI70" i="1"/>
  <c r="AT99" i="1"/>
  <c r="BE120" i="1"/>
  <c r="DD157" i="1"/>
  <c r="EQ173" i="1"/>
  <c r="AS127" i="1"/>
  <c r="CE120" i="1"/>
  <c r="DC124" i="1"/>
  <c r="EQ47" i="1"/>
  <c r="AW95" i="1"/>
  <c r="CE163" i="1"/>
  <c r="CD118" i="1"/>
  <c r="AV125" i="1"/>
  <c r="DF115" i="1"/>
  <c r="AV101" i="1"/>
  <c r="CF98" i="1"/>
  <c r="CG114" i="1"/>
  <c r="DA182" i="1"/>
  <c r="CF106" i="1"/>
  <c r="DE76" i="1"/>
  <c r="DA186" i="1"/>
  <c r="DC126" i="1"/>
  <c r="DF146" i="1"/>
  <c r="DE172" i="1"/>
  <c r="AW112" i="1"/>
  <c r="EP75" i="1"/>
  <c r="DB167" i="1"/>
  <c r="CG127" i="1"/>
  <c r="CF107" i="1"/>
  <c r="AV105" i="1"/>
  <c r="DE148" i="1"/>
  <c r="CI121" i="1"/>
  <c r="DE182" i="1"/>
  <c r="CE90" i="1"/>
  <c r="DE130" i="1"/>
  <c r="DE113" i="1"/>
  <c r="EQ73" i="1"/>
  <c r="BE50" i="1"/>
  <c r="BF101" i="1"/>
  <c r="AS96" i="1"/>
  <c r="BC49" i="1"/>
  <c r="DE90" i="1"/>
  <c r="CH128" i="1"/>
  <c r="BA53" i="1"/>
  <c r="DE186" i="1"/>
  <c r="AS113" i="1"/>
  <c r="AX114" i="1"/>
  <c r="CG99" i="1"/>
  <c r="EP137" i="1"/>
  <c r="DC185" i="1"/>
  <c r="DA187" i="1"/>
  <c r="EP60" i="1"/>
  <c r="DD174" i="1"/>
  <c r="AX104" i="1"/>
  <c r="BB56" i="1"/>
  <c r="AV100" i="1"/>
  <c r="DC104" i="1"/>
  <c r="CI106" i="1"/>
  <c r="AT102" i="1"/>
  <c r="DA128" i="1"/>
  <c r="DC141" i="1"/>
  <c r="CF103" i="1"/>
  <c r="CI107" i="1"/>
  <c r="DC163" i="1"/>
  <c r="AT106" i="1"/>
  <c r="CD53" i="1"/>
  <c r="DF185" i="1"/>
  <c r="CE101" i="1"/>
  <c r="AU56" i="1"/>
  <c r="DE122" i="1"/>
  <c r="EQ77" i="1"/>
  <c r="EQ52" i="1"/>
  <c r="AW103" i="1"/>
  <c r="EQ137" i="1"/>
  <c r="DE97" i="1"/>
  <c r="AX97" i="1"/>
  <c r="BC50" i="1"/>
  <c r="DB172" i="1"/>
  <c r="DC140" i="1"/>
  <c r="DA142" i="1"/>
  <c r="AW96" i="1"/>
  <c r="DB163" i="1"/>
  <c r="DE105" i="1"/>
  <c r="BE116" i="1"/>
  <c r="EQ175" i="1"/>
  <c r="DE157" i="1"/>
  <c r="DC159" i="1"/>
  <c r="CF168" i="1"/>
  <c r="DB170" i="1"/>
  <c r="DD154" i="1"/>
  <c r="DE89" i="1"/>
  <c r="AV116" i="1"/>
  <c r="BD102" i="1"/>
  <c r="AV64" i="1"/>
  <c r="CF129" i="1"/>
  <c r="DA183" i="1"/>
  <c r="CE105" i="1"/>
  <c r="CE99" i="1"/>
  <c r="EQ143" i="1"/>
  <c r="EN49" i="1"/>
  <c r="EO61" i="1"/>
  <c r="CF122" i="1"/>
  <c r="DB176" i="1"/>
  <c r="DF165" i="1"/>
  <c r="AX111" i="1"/>
  <c r="CF85" i="1"/>
  <c r="AV97" i="1"/>
  <c r="BE51" i="1"/>
  <c r="DE188" i="1"/>
  <c r="CI116" i="1"/>
  <c r="BE104" i="1"/>
  <c r="AX119" i="1"/>
  <c r="AX94" i="1"/>
  <c r="DB178" i="1"/>
  <c r="DA50" i="1"/>
  <c r="DB153" i="1"/>
  <c r="AV93" i="1"/>
  <c r="DB98" i="1"/>
  <c r="DF138" i="1"/>
  <c r="EP161" i="1"/>
  <c r="EQ50" i="1"/>
  <c r="BE85" i="1"/>
  <c r="DB142" i="1"/>
  <c r="BF53" i="1"/>
  <c r="EP155" i="1"/>
  <c r="EQ157" i="1"/>
  <c r="AV99" i="1"/>
  <c r="AX187" i="1"/>
  <c r="DF145" i="1"/>
  <c r="AX95" i="1"/>
  <c r="CE92" i="1"/>
  <c r="AX91" i="1"/>
  <c r="BF129" i="1"/>
  <c r="EP187" i="1"/>
  <c r="AV52" i="1"/>
  <c r="DD147" i="1"/>
  <c r="BE125" i="1"/>
  <c r="DB109" i="1"/>
  <c r="AX121" i="1"/>
  <c r="AX123" i="1"/>
  <c r="EN61" i="1"/>
  <c r="AX128" i="1"/>
  <c r="DB115" i="1"/>
  <c r="DE175" i="1"/>
  <c r="DF161" i="1"/>
  <c r="AS105" i="1"/>
  <c r="AV120" i="1"/>
  <c r="AS106" i="1"/>
  <c r="BD118" i="1"/>
  <c r="CD117" i="1"/>
  <c r="AU102" i="1"/>
  <c r="AS121" i="1"/>
  <c r="AW87" i="1"/>
  <c r="DB94" i="1"/>
  <c r="CE107" i="1"/>
  <c r="EP173" i="1"/>
  <c r="CH107" i="1"/>
  <c r="CI122" i="1"/>
  <c r="EL50" i="1"/>
  <c r="CH88" i="1"/>
  <c r="EQ178" i="1"/>
  <c r="EP189" i="1"/>
  <c r="DF101" i="1"/>
  <c r="DA147" i="1"/>
  <c r="DD109" i="1"/>
  <c r="DC57" i="1"/>
  <c r="CH98" i="1"/>
  <c r="AW180" i="1"/>
  <c r="DF106" i="1"/>
  <c r="AW115" i="1"/>
  <c r="AT92" i="1"/>
  <c r="DD110" i="1"/>
  <c r="CF89" i="1"/>
  <c r="BE95" i="1"/>
  <c r="EP138" i="1"/>
  <c r="DB186" i="1"/>
  <c r="DF162" i="1"/>
  <c r="DE127" i="1"/>
  <c r="CE122" i="1"/>
  <c r="EQ155" i="1"/>
  <c r="AW128" i="1"/>
  <c r="DC94" i="1"/>
  <c r="CI92" i="1"/>
  <c r="DA97" i="1"/>
  <c r="CI113" i="1"/>
  <c r="AS111" i="1"/>
  <c r="DC101" i="1"/>
  <c r="AV102" i="1"/>
  <c r="AT121" i="1"/>
  <c r="DA171" i="1"/>
  <c r="AU120" i="1"/>
  <c r="EQ53" i="1"/>
  <c r="CD101" i="1"/>
  <c r="DB120" i="1"/>
  <c r="DA112" i="1"/>
  <c r="DE53" i="1"/>
  <c r="DD140" i="1"/>
  <c r="DB124" i="1"/>
  <c r="CI91" i="1"/>
  <c r="DA85" i="1"/>
  <c r="AT50" i="1"/>
  <c r="DB151" i="1"/>
  <c r="DD108" i="1"/>
  <c r="EP53" i="1"/>
  <c r="AU103" i="1"/>
  <c r="CF56" i="1"/>
  <c r="DD107" i="1"/>
  <c r="CI125" i="1"/>
  <c r="AT86" i="1"/>
  <c r="CE114" i="1"/>
  <c r="EN50" i="1"/>
  <c r="DF89" i="1"/>
  <c r="DA177" i="1"/>
  <c r="EQ159" i="1"/>
  <c r="CH64" i="1"/>
  <c r="EO78" i="1"/>
  <c r="CI102" i="1"/>
  <c r="AV91" i="1"/>
  <c r="CE85" i="1"/>
  <c r="AU114" i="1"/>
  <c r="DD163" i="1"/>
  <c r="DC182" i="1"/>
  <c r="DA119" i="1"/>
  <c r="DB139" i="1"/>
  <c r="DD88" i="1"/>
  <c r="BA90" i="1"/>
  <c r="CH95" i="1"/>
  <c r="DD137" i="1"/>
  <c r="CD125" i="1"/>
  <c r="DC51" i="1"/>
  <c r="EQ152" i="1"/>
  <c r="DD151" i="1"/>
  <c r="DF175" i="1"/>
  <c r="DE140" i="1"/>
  <c r="EP164" i="1"/>
  <c r="CE118" i="1"/>
  <c r="AW98" i="1"/>
  <c r="DB187" i="1"/>
  <c r="CE71" i="1"/>
  <c r="DF144" i="1"/>
  <c r="EP143" i="1"/>
  <c r="CI100" i="1"/>
  <c r="BD96" i="1"/>
  <c r="DF113" i="1"/>
  <c r="CH56" i="1"/>
  <c r="EQ56" i="1"/>
  <c r="CE93" i="1"/>
  <c r="DD142" i="1"/>
  <c r="AW97" i="1"/>
  <c r="AV123" i="1"/>
  <c r="DA139" i="1"/>
  <c r="BC88" i="1"/>
  <c r="DE91" i="1"/>
  <c r="DD100" i="1"/>
  <c r="CH90" i="1"/>
  <c r="DE174" i="1"/>
  <c r="DF120" i="1"/>
  <c r="CE100" i="1"/>
  <c r="DA46" i="1"/>
  <c r="DB175" i="1"/>
  <c r="CE126" i="1"/>
  <c r="AU63" i="1"/>
  <c r="DD159" i="1"/>
  <c r="DD123" i="1"/>
  <c r="AV183" i="1"/>
  <c r="EN59" i="1"/>
  <c r="CF109" i="1"/>
  <c r="DD112" i="1"/>
  <c r="DA137" i="1"/>
  <c r="DA184" i="1"/>
  <c r="AV92" i="1"/>
  <c r="DB182" i="1"/>
  <c r="DA53" i="1"/>
  <c r="DF104" i="1"/>
  <c r="EN143" i="1"/>
  <c r="DB111" i="1"/>
  <c r="AV187" i="1"/>
  <c r="DF117" i="1"/>
  <c r="BF99" i="1"/>
  <c r="AS64" i="1"/>
  <c r="AT105" i="1"/>
  <c r="DF178" i="1"/>
  <c r="DE147" i="1"/>
  <c r="DF98" i="1"/>
  <c r="EN78" i="1"/>
  <c r="DE156" i="1"/>
  <c r="EP73" i="1"/>
  <c r="BA50" i="1"/>
  <c r="DB106" i="1"/>
  <c r="EP47" i="1"/>
  <c r="DD184" i="1"/>
  <c r="DF158" i="1"/>
  <c r="DE109" i="1"/>
  <c r="AS119" i="1"/>
  <c r="AW183" i="1"/>
  <c r="EP180" i="1"/>
  <c r="CD97" i="1"/>
  <c r="CF87" i="1"/>
  <c r="AW49" i="1"/>
  <c r="DF166" i="1"/>
  <c r="EQ70" i="1"/>
  <c r="CH70" i="1"/>
  <c r="DF156" i="1"/>
  <c r="BE52" i="1"/>
  <c r="CG115" i="1"/>
  <c r="AT120" i="1"/>
  <c r="AT94" i="1"/>
  <c r="DA88" i="1"/>
  <c r="DA62" i="1"/>
  <c r="CE125" i="1"/>
  <c r="EP171" i="1"/>
  <c r="DA154" i="1"/>
  <c r="CG126" i="1"/>
  <c r="CE104" i="1"/>
  <c r="DB87" i="1"/>
  <c r="DE142" i="1"/>
  <c r="CF110" i="1"/>
  <c r="CE162" i="1"/>
  <c r="AV119" i="1"/>
  <c r="AW114" i="1"/>
  <c r="AW102" i="1"/>
  <c r="AW123" i="1"/>
  <c r="CH117" i="1"/>
  <c r="AT51" i="1"/>
  <c r="AV182" i="1"/>
  <c r="CF115" i="1"/>
  <c r="BE105" i="1"/>
  <c r="AX99" i="1"/>
  <c r="DF85" i="1"/>
  <c r="EN63" i="1"/>
  <c r="DC59" i="1"/>
  <c r="CG161" i="1"/>
  <c r="BB49" i="1"/>
  <c r="CD128" i="1"/>
  <c r="DB179" i="1"/>
  <c r="CI104" i="1"/>
  <c r="DE154" i="1"/>
  <c r="CH130" i="1"/>
  <c r="AX90" i="1"/>
  <c r="AU87" i="1"/>
  <c r="DA155" i="1"/>
  <c r="AV130" i="1"/>
  <c r="DD94" i="1"/>
  <c r="CE50" i="1"/>
  <c r="DC100" i="1"/>
  <c r="DA122" i="1"/>
  <c r="DB158" i="1"/>
  <c r="EQ183" i="1"/>
  <c r="DF160" i="1"/>
  <c r="CF117" i="1"/>
  <c r="EQ142" i="1"/>
  <c r="DE141" i="1"/>
  <c r="CG112" i="1"/>
  <c r="AU93" i="1"/>
  <c r="AS95" i="1"/>
  <c r="DE180" i="1"/>
  <c r="AV184" i="1"/>
  <c r="DE168" i="1"/>
  <c r="EN150" i="1"/>
  <c r="DC148" i="1"/>
  <c r="DF125" i="1"/>
  <c r="AU116" i="1"/>
  <c r="EP156" i="1"/>
  <c r="DB114" i="1"/>
  <c r="DB140" i="1"/>
  <c r="CI95" i="1"/>
  <c r="DB110" i="1"/>
  <c r="DF152" i="1"/>
  <c r="DC45" i="1"/>
  <c r="CH91" i="1"/>
  <c r="DA162" i="1"/>
  <c r="BC87" i="1"/>
  <c r="AT103" i="1"/>
  <c r="DD92" i="1"/>
  <c r="AW90" i="1"/>
  <c r="AS130" i="1"/>
  <c r="EO50" i="1"/>
  <c r="CF123" i="1"/>
  <c r="DE48" i="1"/>
  <c r="DF171" i="1"/>
  <c r="AX64" i="1"/>
  <c r="DE112" i="1"/>
  <c r="DD152" i="1"/>
  <c r="EP64" i="1"/>
  <c r="CD94" i="1"/>
  <c r="DE106" i="1"/>
  <c r="CE87" i="1"/>
  <c r="EP183" i="1"/>
  <c r="EQ165" i="1"/>
  <c r="EN154" i="1"/>
  <c r="BD94" i="1"/>
  <c r="CI90" i="1"/>
  <c r="DC98" i="1"/>
  <c r="DC147" i="1"/>
  <c r="CD124" i="1"/>
  <c r="DD91" i="1"/>
  <c r="CH120" i="1"/>
  <c r="EQ146" i="1"/>
  <c r="AU124" i="1"/>
  <c r="DF140" i="1"/>
  <c r="AU128" i="1"/>
  <c r="DA94" i="1"/>
  <c r="DE123" i="1"/>
  <c r="DE189" i="1"/>
  <c r="AX188" i="1"/>
  <c r="AW89" i="1"/>
  <c r="DC176" i="1"/>
  <c r="DB130" i="1"/>
  <c r="DD158" i="1"/>
  <c r="AX56" i="1"/>
  <c r="DE49" i="1"/>
  <c r="AW92" i="1"/>
  <c r="BF113" i="1"/>
  <c r="AU95" i="1"/>
  <c r="AW107" i="1"/>
  <c r="CF105" i="1"/>
  <c r="BD56" i="1"/>
  <c r="DB137" i="1"/>
  <c r="DC110" i="1"/>
  <c r="DD187" i="1"/>
  <c r="CF91" i="1"/>
  <c r="AX106" i="1"/>
  <c r="DE165" i="1"/>
  <c r="AS100" i="1"/>
  <c r="DF139" i="1"/>
  <c r="CF53" i="1"/>
  <c r="EP177" i="1"/>
  <c r="EN70" i="1"/>
  <c r="DA180" i="1"/>
  <c r="AT109" i="1"/>
  <c r="DA99" i="1"/>
  <c r="DA156" i="1"/>
  <c r="BA51" i="1"/>
  <c r="AV115" i="1"/>
  <c r="DF6" i="1"/>
  <c r="EP153" i="1"/>
  <c r="BD128" i="1"/>
  <c r="EL52" i="1"/>
  <c r="CH63" i="1"/>
  <c r="DC88" i="1"/>
  <c r="DD144" i="1"/>
  <c r="EN45" i="1"/>
  <c r="DB164" i="1"/>
  <c r="CF52" i="1"/>
  <c r="DA63" i="1"/>
  <c r="DA98" i="1"/>
  <c r="AW121" i="1"/>
  <c r="DC102" i="1"/>
  <c r="DC111" i="1"/>
  <c r="DE179" i="1"/>
  <c r="DF118" i="1"/>
  <c r="DC97" i="1"/>
  <c r="DA167" i="1"/>
  <c r="CE102" i="1"/>
  <c r="AW130" i="1"/>
  <c r="CD99" i="1"/>
  <c r="CI105" i="1"/>
  <c r="CF51" i="1"/>
  <c r="DD119" i="1"/>
  <c r="DD120" i="1"/>
  <c r="EN151" i="1"/>
  <c r="EO187" i="1"/>
  <c r="EN51" i="1"/>
  <c r="EO53" i="1"/>
  <c r="AX70" i="1"/>
  <c r="DF164" i="1"/>
  <c r="DF96" i="1"/>
  <c r="AV109" i="1"/>
  <c r="CE164" i="1"/>
  <c r="AW129" i="1"/>
  <c r="AX96" i="1"/>
  <c r="DE158" i="1"/>
  <c r="CD115" i="1"/>
  <c r="AV90" i="1"/>
  <c r="AV107" i="1"/>
  <c r="CE70" i="1"/>
  <c r="DE87" i="1"/>
  <c r="AT128" i="1"/>
  <c r="AS112" i="1"/>
  <c r="DA175" i="1"/>
  <c r="AT125" i="1"/>
  <c r="AU85" i="1"/>
  <c r="BE96" i="1"/>
  <c r="AX112" i="1"/>
  <c r="DD153" i="1"/>
  <c r="AT124" i="1"/>
  <c r="DF143" i="1"/>
  <c r="DA120" i="1"/>
  <c r="CG128" i="1"/>
  <c r="CI56" i="1"/>
  <c r="CD127" i="1"/>
  <c r="CD63" i="1"/>
  <c r="AV129" i="1"/>
  <c r="DE56" i="1"/>
  <c r="BD111" i="1"/>
  <c r="BA56" i="1"/>
  <c r="CI161" i="1"/>
  <c r="DA152" i="1"/>
  <c r="CF113" i="1"/>
  <c r="DB165" i="1"/>
  <c r="DB121" i="1"/>
  <c r="DC167" i="1"/>
  <c r="DF111" i="1"/>
  <c r="DD180" i="1"/>
  <c r="DD104" i="1"/>
  <c r="BB50" i="1"/>
  <c r="DA104" i="1"/>
  <c r="AV56" i="1"/>
  <c r="DB189" i="1"/>
  <c r="DA145" i="1"/>
  <c r="DB143" i="1"/>
  <c r="DA56" i="1"/>
  <c r="CE108" i="1"/>
  <c r="BE101" i="1"/>
  <c r="DE71" i="1"/>
  <c r="AS118" i="1"/>
  <c r="EP160" i="1"/>
  <c r="CF62" i="1"/>
  <c r="DE170" i="1"/>
  <c r="EP176" i="1"/>
  <c r="DF100" i="1"/>
  <c r="AV186" i="1"/>
  <c r="DF189" i="1"/>
  <c r="CG63" i="1"/>
  <c r="DD160" i="1"/>
  <c r="DE137" i="1"/>
  <c r="BC53" i="1"/>
  <c r="AV112" i="1"/>
  <c r="EQ59" i="1"/>
  <c r="CI62" i="1"/>
  <c r="AX117" i="1"/>
  <c r="CH94" i="1"/>
  <c r="BE122" i="1"/>
  <c r="DF116" i="1"/>
  <c r="CF94" i="1"/>
  <c r="AU101" i="1"/>
  <c r="DC128" i="1"/>
  <c r="DF121" i="1"/>
  <c r="CD113" i="1"/>
  <c r="CG90" i="1"/>
  <c r="AV98" i="1"/>
  <c r="DE184" i="1"/>
  <c r="DA47" i="1"/>
  <c r="DE104" i="1"/>
  <c r="CD93" i="1"/>
  <c r="DD95" i="1"/>
  <c r="EQ51" i="1"/>
  <c r="AS94" i="1"/>
  <c r="AU53" i="1"/>
  <c r="EQ48" i="1"/>
  <c r="EP57" i="1"/>
  <c r="BF86" i="1"/>
  <c r="CG95" i="1"/>
  <c r="CG89" i="1"/>
  <c r="DF172" i="1"/>
  <c r="DC127" i="1"/>
  <c r="DB102" i="1"/>
  <c r="DC115" i="1"/>
  <c r="DE152" i="1"/>
  <c r="CG102" i="1"/>
  <c r="CG105" i="1"/>
  <c r="CI50" i="1"/>
  <c r="BF88" i="1"/>
  <c r="CG125" i="1"/>
  <c r="CG88" i="1"/>
  <c r="EO71" i="1"/>
  <c r="CF112" i="1"/>
  <c r="DB92" i="1"/>
  <c r="DA188" i="1"/>
  <c r="EQ139" i="1"/>
  <c r="CG120" i="1"/>
  <c r="DA141" i="1"/>
  <c r="AS129" i="1"/>
  <c r="DA87" i="1"/>
  <c r="AU129" i="1"/>
  <c r="DA96" i="1"/>
  <c r="DC46" i="1"/>
  <c r="CI165" i="1"/>
  <c r="CG64" i="1"/>
  <c r="CD122" i="1"/>
  <c r="CH87" i="1"/>
  <c r="CI119" i="1"/>
  <c r="DE162" i="1"/>
  <c r="DA161" i="1"/>
  <c r="AS93" i="1"/>
  <c r="AU122" i="1"/>
  <c r="DA89" i="1"/>
  <c r="CI130" i="1"/>
  <c r="CD95" i="1"/>
  <c r="CG70" i="1"/>
  <c r="BC89" i="1"/>
  <c r="CE51" i="1"/>
  <c r="DA179" i="1"/>
  <c r="DC76" i="1"/>
  <c r="CD120" i="1"/>
  <c r="DA173" i="1"/>
  <c r="DC92" i="1"/>
  <c r="DF128" i="1"/>
  <c r="DF176" i="1"/>
  <c r="BE128" i="1"/>
  <c r="DB93" i="1"/>
  <c r="DA170" i="1"/>
  <c r="CH126" i="1"/>
  <c r="DA111" i="1"/>
  <c r="CE96" i="1"/>
  <c r="CF90" i="1"/>
  <c r="DE161" i="1"/>
  <c r="AU96" i="1"/>
  <c r="AT111" i="1"/>
  <c r="AU105" i="1"/>
  <c r="AT96" i="1"/>
  <c r="AW113" i="1"/>
  <c r="DB161" i="1"/>
  <c r="CH114" i="1"/>
  <c r="CE91" i="1"/>
  <c r="BF104" i="1"/>
  <c r="AW119" i="1"/>
  <c r="CD90" i="1"/>
  <c r="CG53" i="1"/>
  <c r="EL56" i="1"/>
  <c r="CH102" i="1"/>
  <c r="AS88" i="1"/>
  <c r="DE185" i="1"/>
  <c r="DE94" i="1"/>
  <c r="EP185" i="1"/>
  <c r="EL53" i="1"/>
  <c r="EQ171" i="1"/>
  <c r="AS51" i="1"/>
  <c r="DC107" i="1"/>
  <c r="CD105" i="1"/>
  <c r="AV53" i="1"/>
  <c r="CI99" i="1"/>
  <c r="DA138" i="1"/>
  <c r="DE164" i="1"/>
  <c r="AW185" i="1"/>
  <c r="DE96" i="1"/>
  <c r="AU119" i="1"/>
  <c r="BE97" i="1"/>
  <c r="EP158" i="1"/>
  <c r="DB173" i="1"/>
  <c r="DB129" i="1"/>
  <c r="DF153" i="1"/>
  <c r="DC93" i="1"/>
  <c r="AS107" i="1"/>
  <c r="EP184" i="1"/>
  <c r="CH92" i="1"/>
  <c r="BF92" i="1"/>
  <c r="AT88" i="1"/>
  <c r="CF127" i="1"/>
  <c r="DF149" i="1"/>
  <c r="DA143" i="1"/>
  <c r="DE128" i="1"/>
  <c r="CD50" i="1"/>
  <c r="DC158" i="1"/>
  <c r="CF104" i="1"/>
  <c r="AS90" i="1"/>
  <c r="EQ45" i="1"/>
  <c r="EO59" i="1"/>
  <c r="AX107" i="1"/>
  <c r="EM52" i="1"/>
  <c r="DA109" i="1"/>
  <c r="EO72" i="1"/>
  <c r="BD113" i="1"/>
  <c r="BF96" i="1"/>
  <c r="AX86" i="1"/>
  <c r="BF91" i="1"/>
  <c r="CH165" i="1"/>
  <c r="BD51" i="1"/>
  <c r="DD171" i="1"/>
  <c r="DD87" i="1"/>
  <c r="CH71" i="1"/>
  <c r="AX51" i="1"/>
  <c r="CF96" i="1"/>
  <c r="EQ179" i="1"/>
  <c r="BF117" i="1"/>
  <c r="DD125" i="1"/>
  <c r="CI53" i="1"/>
  <c r="EQ150" i="1"/>
  <c r="DA149" i="1"/>
  <c r="AU109" i="1"/>
  <c r="CF108" i="1"/>
  <c r="EM53" i="1"/>
  <c r="EQ145" i="1"/>
  <c r="AS98" i="1"/>
  <c r="CI89" i="1"/>
  <c r="DE176" i="1"/>
  <c r="BB52" i="1"/>
  <c r="DA125" i="1"/>
  <c r="BF90" i="1"/>
  <c r="CH121" i="1"/>
  <c r="BF89" i="1"/>
  <c r="DF127" i="1"/>
  <c r="AS53" i="1"/>
  <c r="AX115" i="1"/>
  <c r="CD108" i="1"/>
  <c r="DA164" i="1"/>
  <c r="DC106" i="1"/>
  <c r="CD112" i="1"/>
  <c r="CI118" i="1"/>
  <c r="EP150" i="1"/>
  <c r="CG92" i="1"/>
  <c r="CE161" i="1"/>
  <c r="CG117" i="1"/>
  <c r="DC170" i="1"/>
  <c r="DD170" i="1"/>
  <c r="CE109" i="1"/>
  <c r="DB108" i="1"/>
  <c r="CF92" i="1"/>
  <c r="AT127" i="1"/>
  <c r="AX125" i="1"/>
  <c r="CG109" i="1"/>
  <c r="DD186" i="1"/>
  <c r="BF124" i="1"/>
  <c r="DC120" i="1"/>
  <c r="BF49" i="1"/>
  <c r="DF142" i="1"/>
  <c r="CI108" i="1"/>
  <c r="EM51" i="1"/>
  <c r="DB90" i="1"/>
  <c r="BD127" i="1"/>
  <c r="EQ184" i="1"/>
  <c r="DE163" i="1"/>
  <c r="BD52" i="1"/>
  <c r="DE107" i="1"/>
  <c r="DE95" i="1"/>
  <c r="DC143" i="1"/>
  <c r="DB160" i="1"/>
  <c r="DF179" i="1"/>
  <c r="DF102" i="1"/>
  <c r="DF167" i="1"/>
  <c r="EP151" i="1"/>
  <c r="DA174" i="1"/>
  <c r="AV127" i="1"/>
  <c r="DA121" i="1"/>
  <c r="DA101" i="1"/>
  <c r="DA168" i="1"/>
  <c r="DC75" i="1"/>
  <c r="EO58" i="1"/>
  <c r="AT101" i="1"/>
  <c r="DA95" i="1"/>
  <c r="AT90" i="1"/>
  <c r="BD64" i="1"/>
  <c r="AX124" i="1"/>
  <c r="DE115" i="1"/>
  <c r="DC103" i="1"/>
  <c r="BF56" i="1"/>
  <c r="DA77" i="1"/>
  <c r="CD92" i="1"/>
  <c r="DB180" i="1"/>
  <c r="CD107" i="1"/>
  <c r="CH162" i="1"/>
  <c r="AW94" i="1"/>
  <c r="DC130" i="1"/>
  <c r="EL49" i="1"/>
  <c r="CG106" i="1"/>
  <c r="DA58" i="1"/>
  <c r="BE98" i="1"/>
  <c r="AW184" i="1"/>
  <c r="AW187" i="1"/>
  <c r="AW105" i="1"/>
  <c r="EQ156" i="1"/>
  <c r="BE94" i="1"/>
  <c r="DF88" i="1"/>
  <c r="DA169" i="1"/>
  <c r="CE106" i="1"/>
  <c r="CD49" i="1"/>
  <c r="EP52" i="1"/>
  <c r="BF120" i="1"/>
  <c r="DF141" i="1"/>
  <c r="AV121" i="1"/>
  <c r="EP148" i="1"/>
  <c r="BD95" i="1"/>
  <c r="DC166" i="1"/>
  <c r="DB146" i="1"/>
  <c r="CI87" i="1"/>
  <c r="EQ162" i="1"/>
  <c r="DC105" i="1"/>
  <c r="DC87" i="1"/>
  <c r="CI97" i="1"/>
  <c r="AX92" i="1"/>
  <c r="EQ58" i="1"/>
  <c r="CE127" i="1"/>
  <c r="DB88" i="1"/>
  <c r="DE99" i="1"/>
  <c r="AV51" i="1"/>
  <c r="CF71" i="1"/>
  <c r="AU89" i="1"/>
  <c r="DE187" i="1"/>
  <c r="EP58" i="1"/>
  <c r="DC160" i="1"/>
  <c r="AW189" i="1"/>
  <c r="DB89" i="1"/>
  <c r="AW91" i="1"/>
  <c r="DB144" i="1"/>
  <c r="DC149" i="1"/>
  <c r="AU70" i="1"/>
  <c r="DD98" i="1"/>
  <c r="BC56" i="1"/>
  <c r="AT89" i="1"/>
  <c r="CH168" i="1"/>
  <c r="DC137" i="1"/>
  <c r="DD116" i="1"/>
  <c r="AV113" i="1"/>
  <c r="DE139" i="1"/>
  <c r="DE138" i="1"/>
  <c r="EN46" i="1"/>
  <c r="CD85" i="1"/>
  <c r="AT130" i="1"/>
  <c r="AU127" i="1"/>
  <c r="AX186" i="1"/>
  <c r="AX101" i="1"/>
  <c r="EP141" i="1"/>
  <c r="AT100" i="1"/>
  <c r="DD126" i="1"/>
  <c r="EP140" i="1"/>
  <c r="BE121" i="1"/>
  <c r="CI110" i="1"/>
  <c r="EQ176" i="1"/>
  <c r="AX113" i="1"/>
  <c r="DB6" i="1"/>
  <c r="AU126" i="1"/>
  <c r="EN57" i="1"/>
  <c r="CF130" i="1"/>
  <c r="CD114" i="1"/>
  <c r="DB123" i="1"/>
  <c r="AW101" i="1"/>
  <c r="DA59" i="1"/>
  <c r="BE111" i="1"/>
  <c r="EN71" i="1"/>
  <c r="DD146" i="1"/>
  <c r="AW124" i="1"/>
  <c r="AU100" i="1"/>
  <c r="DA74" i="1"/>
  <c r="CE112" i="1"/>
  <c r="DE129" i="1"/>
  <c r="DD128" i="1"/>
  <c r="DF105" i="1"/>
  <c r="DC142" i="1"/>
  <c r="CH111" i="1"/>
  <c r="CH85" i="1"/>
  <c r="DC123" i="1"/>
  <c r="CH122" i="1"/>
  <c r="CE116" i="1"/>
  <c r="CG100" i="1"/>
  <c r="EP175" i="1"/>
  <c r="AV117" i="1"/>
  <c r="DE93" i="1"/>
  <c r="DA90" i="1"/>
  <c r="BA64" i="1"/>
  <c r="DE151" i="1"/>
  <c r="DF184" i="1"/>
  <c r="AX50" i="1"/>
  <c r="CH101" i="1"/>
  <c r="CD98" i="1"/>
  <c r="AW122" i="1"/>
  <c r="BC64" i="1"/>
  <c r="DE102" i="1"/>
  <c r="DB5" i="1"/>
  <c r="DA165" i="1"/>
  <c r="AX126" i="1"/>
  <c r="AU130" i="1"/>
  <c r="DF123" i="1"/>
  <c r="DB86" i="1"/>
  <c r="AU98" i="1"/>
  <c r="AT91" i="1"/>
  <c r="BF51" i="1"/>
  <c r="EQ154" i="1"/>
  <c r="AX129" i="1"/>
  <c r="DB162" i="1"/>
  <c r="EN47" i="1"/>
  <c r="DB147" i="1"/>
  <c r="DC70" i="1"/>
  <c r="BD53" i="1"/>
  <c r="EP154" i="1"/>
  <c r="DF126" i="1"/>
  <c r="EO62" i="1"/>
  <c r="EP145" i="1"/>
  <c r="CG129" i="1"/>
  <c r="CD126" i="1"/>
  <c r="DD117" i="1"/>
  <c r="CH86" i="1"/>
  <c r="DC53" i="1"/>
  <c r="AW188" i="1"/>
  <c r="DD143" i="1"/>
  <c r="BE56" i="1"/>
  <c r="CI103" i="1"/>
  <c r="EO49" i="1"/>
  <c r="DD155" i="1"/>
  <c r="DF186" i="1"/>
  <c r="BF123" i="1"/>
  <c r="AX87" i="1"/>
  <c r="AW126" i="1"/>
  <c r="DD6" i="1"/>
  <c r="AX102" i="1"/>
  <c r="DC78" i="1"/>
  <c r="DD176" i="1"/>
  <c r="CE121" i="1"/>
  <c r="AV103" i="1"/>
  <c r="BE89" i="1"/>
  <c r="CD102" i="1"/>
  <c r="CH89" i="1"/>
  <c r="BF93" i="1"/>
  <c r="DD166" i="1"/>
  <c r="EO45" i="1"/>
  <c r="BF50" i="1"/>
  <c r="EM49" i="1"/>
  <c r="CE63" i="1"/>
  <c r="CH110" i="1"/>
  <c r="BF114" i="1"/>
  <c r="DC119" i="1"/>
  <c r="EP61" i="1"/>
  <c r="DB183" i="1"/>
  <c r="AT113" i="1"/>
  <c r="EN58" i="1"/>
  <c r="DA48" i="1"/>
  <c r="DC99" i="1"/>
  <c r="DA113" i="1"/>
  <c r="EP165" i="1"/>
  <c r="BF95" i="1"/>
  <c r="CF63" i="1"/>
  <c r="CG50" i="1"/>
  <c r="DA76" i="1"/>
  <c r="BD100" i="1"/>
  <c r="EP78" i="1"/>
  <c r="CH164" i="1"/>
  <c r="DC86" i="1"/>
  <c r="EQ160" i="1"/>
  <c r="DD99" i="1"/>
  <c r="AS91" i="1"/>
  <c r="CH49" i="1"/>
  <c r="DE75" i="1"/>
  <c r="DA72" i="1"/>
  <c r="EQ79" i="1"/>
  <c r="DC125" i="1"/>
  <c r="CG107" i="1"/>
  <c r="DF97" i="1"/>
  <c r="DA153" i="1"/>
  <c r="AW127" i="1"/>
  <c r="BD123" i="1"/>
  <c r="CG91" i="1"/>
  <c r="BF111" i="1"/>
  <c r="CI98" i="1"/>
  <c r="BE49" i="1"/>
  <c r="AW50" i="1"/>
  <c r="DA79" i="1"/>
  <c r="DE61" i="1"/>
  <c r="AS126" i="1"/>
  <c r="CF102" i="1"/>
  <c r="BF112" i="1"/>
  <c r="DF150" i="1"/>
  <c r="DA60" i="1"/>
  <c r="AV110" i="1"/>
  <c r="DF169" i="1"/>
  <c r="DE121" i="1"/>
  <c r="EN141" i="1"/>
  <c r="DE126" i="1"/>
  <c r="AU157" i="1"/>
  <c r="AU158" i="1"/>
  <c r="AU144" i="1"/>
  <c r="AU165" i="1"/>
  <c r="AX160" i="1"/>
  <c r="BB163" i="1"/>
  <c r="AW158" i="1"/>
  <c r="AU160" i="1"/>
  <c r="AW169" i="1"/>
  <c r="AW170" i="1"/>
  <c r="AX154" i="1"/>
  <c r="AW154" i="1"/>
  <c r="AV158" i="1"/>
  <c r="AW157" i="1"/>
  <c r="AX156" i="1"/>
  <c r="AV167" i="1"/>
  <c r="AU175" i="1"/>
  <c r="AX166" i="1"/>
  <c r="AV169" i="1"/>
  <c r="AU143" i="1"/>
  <c r="BC168" i="1"/>
  <c r="AX140" i="1"/>
  <c r="AU167" i="1"/>
  <c r="AX146" i="1"/>
  <c r="AX139" i="1"/>
  <c r="AU172" i="1"/>
  <c r="AW171" i="1"/>
  <c r="AW148" i="1"/>
  <c r="AW150" i="1"/>
  <c r="AX162" i="1"/>
  <c r="AW146" i="1"/>
  <c r="AW162" i="1"/>
  <c r="AV164" i="1"/>
  <c r="AU170" i="1"/>
  <c r="AW153" i="1"/>
  <c r="AW143" i="1"/>
  <c r="AW166" i="1"/>
  <c r="AU162" i="1"/>
  <c r="AU174" i="1"/>
  <c r="AW152" i="1"/>
  <c r="T30" i="2"/>
  <c r="N32" i="2"/>
  <c r="P30" i="2"/>
  <c r="C31" i="2"/>
  <c r="J30" i="2"/>
  <c r="D29" i="2"/>
  <c r="B31" i="2"/>
  <c r="V32" i="2"/>
  <c r="M31" i="2"/>
  <c r="R29" i="2"/>
  <c r="U31" i="2"/>
  <c r="T29" i="2"/>
  <c r="K32" i="2"/>
  <c r="U29" i="2"/>
  <c r="B32" i="2"/>
  <c r="F30" i="2"/>
  <c r="V31" i="2"/>
  <c r="J31" i="2"/>
  <c r="H31" i="2"/>
  <c r="P29" i="2"/>
  <c r="E31" i="2"/>
  <c r="U32" i="2"/>
  <c r="W30" i="2"/>
  <c r="BD163" i="1"/>
  <c r="AU156" i="1"/>
  <c r="AU159" i="1"/>
  <c r="AU164" i="1"/>
  <c r="AX164" i="1"/>
  <c r="AW174" i="1"/>
  <c r="AX167" i="1"/>
  <c r="AW161" i="1"/>
  <c r="AV177" i="1"/>
  <c r="AU161" i="1"/>
  <c r="AU171" i="1"/>
  <c r="AU149" i="1"/>
  <c r="AX158" i="1"/>
  <c r="AX141" i="1"/>
  <c r="AW147" i="1"/>
  <c r="AX150" i="1"/>
  <c r="AX159" i="1"/>
  <c r="AV162" i="1"/>
  <c r="AU147" i="1"/>
  <c r="AW142" i="1"/>
  <c r="AX145" i="1"/>
  <c r="AX155" i="1"/>
  <c r="AX138" i="1"/>
  <c r="AW149" i="1"/>
  <c r="AX178" i="1"/>
  <c r="AU141" i="1"/>
  <c r="AX142" i="1"/>
  <c r="AU151" i="1"/>
  <c r="AU168" i="1"/>
  <c r="AW151" i="1"/>
  <c r="AW144" i="1"/>
  <c r="AU166" i="1"/>
  <c r="AV161" i="1"/>
  <c r="AW156" i="1"/>
  <c r="AU169" i="1"/>
  <c r="AX177" i="1"/>
  <c r="F31" i="2"/>
  <c r="H32" i="2"/>
  <c r="G30" i="2"/>
  <c r="M30" i="2"/>
  <c r="D32" i="2"/>
  <c r="W29" i="2"/>
  <c r="R32" i="2"/>
  <c r="W31" i="2"/>
  <c r="S31" i="2"/>
  <c r="O30" i="2"/>
  <c r="D30" i="2"/>
  <c r="K30" i="2"/>
  <c r="Q29" i="2"/>
  <c r="R30" i="2"/>
  <c r="O29" i="2"/>
  <c r="I29" i="2"/>
  <c r="K29" i="2"/>
  <c r="G31" i="2"/>
  <c r="I32" i="2"/>
  <c r="T31" i="2"/>
  <c r="M29" i="2"/>
  <c r="L29" i="2"/>
  <c r="AU155" i="1"/>
  <c r="AV168" i="1"/>
  <c r="AX143" i="1"/>
  <c r="AW164" i="1"/>
  <c r="AU146" i="1"/>
  <c r="AW160" i="1"/>
  <c r="AV140" i="1"/>
  <c r="AW167" i="1"/>
  <c r="AW177" i="1"/>
  <c r="AX163" i="1"/>
  <c r="AX148" i="1"/>
  <c r="BB168" i="1"/>
  <c r="AX152" i="1"/>
  <c r="AU176" i="1"/>
  <c r="AW141" i="1"/>
  <c r="AU150" i="1"/>
  <c r="AV160" i="1"/>
  <c r="AX165" i="1"/>
  <c r="AX153" i="1"/>
  <c r="AW159" i="1"/>
  <c r="AX147" i="1"/>
  <c r="AW145" i="1"/>
  <c r="AW155" i="1"/>
  <c r="AU154" i="1"/>
  <c r="AW140" i="1"/>
  <c r="AV174" i="1"/>
  <c r="AW165" i="1"/>
  <c r="AU148" i="1"/>
  <c r="AW173" i="1"/>
  <c r="AV178" i="1"/>
  <c r="AV170" i="1"/>
  <c r="AW163" i="1"/>
  <c r="L32" i="2"/>
  <c r="C30" i="2"/>
  <c r="X30" i="2"/>
  <c r="E30" i="2"/>
  <c r="C32" i="2"/>
  <c r="U30" i="2"/>
  <c r="R31" i="2"/>
  <c r="G29" i="2"/>
  <c r="G32" i="2"/>
  <c r="F29" i="2"/>
  <c r="Q32" i="2"/>
  <c r="Q30" i="2"/>
  <c r="X31" i="2"/>
  <c r="I31" i="2"/>
  <c r="W32" i="2"/>
  <c r="H29" i="2"/>
  <c r="S32" i="2"/>
  <c r="P31" i="2"/>
  <c r="V30" i="2"/>
  <c r="D31" i="2"/>
  <c r="I30" i="2"/>
  <c r="K31" i="2"/>
  <c r="S29" i="2"/>
  <c r="BD168" i="1"/>
  <c r="AV176" i="1"/>
  <c r="AU173" i="1"/>
  <c r="AX144" i="1"/>
  <c r="AV171" i="1"/>
  <c r="AW138" i="1"/>
  <c r="AX149" i="1"/>
  <c r="AW168" i="1"/>
  <c r="BC163" i="1"/>
  <c r="AW178" i="1"/>
  <c r="AW139" i="1"/>
  <c r="AU163" i="1"/>
  <c r="AV163" i="1"/>
  <c r="AV166" i="1"/>
  <c r="AV165" i="1"/>
  <c r="AV159" i="1"/>
  <c r="AU153" i="1"/>
  <c r="AX168" i="1"/>
  <c r="AX151" i="1"/>
  <c r="AU152" i="1"/>
  <c r="AX161" i="1"/>
  <c r="AU142" i="1"/>
  <c r="AW175" i="1"/>
  <c r="AW176" i="1"/>
  <c r="AV175" i="1"/>
  <c r="AU145" i="1"/>
  <c r="AX157" i="1"/>
  <c r="AW172" i="1"/>
  <c r="P32" i="2"/>
  <c r="J29" i="2"/>
  <c r="M32" i="2"/>
  <c r="T32" i="2"/>
  <c r="B29" i="2"/>
  <c r="J32" i="2"/>
  <c r="X29" i="2"/>
  <c r="N29" i="2"/>
  <c r="O32" i="2"/>
  <c r="X32" i="2"/>
  <c r="V29" i="2"/>
  <c r="N30" i="2"/>
  <c r="E29" i="2"/>
  <c r="N31" i="2"/>
  <c r="E32" i="2"/>
  <c r="L30" i="2"/>
  <c r="F32" i="2"/>
  <c r="H30" i="2"/>
  <c r="L31" i="2"/>
  <c r="O31" i="2"/>
  <c r="B30" i="2"/>
  <c r="C29" i="2"/>
  <c r="S30" i="2"/>
  <c r="Q31" i="2"/>
  <c r="DI120" i="1" l="1"/>
  <c r="DK120" i="1"/>
  <c r="DO120" i="1"/>
  <c r="DW120" i="1" s="1"/>
  <c r="EI78" i="1"/>
  <c r="EB78" i="1" s="1"/>
  <c r="BN78" i="1" s="1"/>
  <c r="DO110" i="1"/>
  <c r="DW110" i="1" s="1"/>
  <c r="DK110" i="1"/>
  <c r="DI110" i="1"/>
  <c r="EI170" i="1"/>
  <c r="EB170" i="1" s="1"/>
  <c r="BN170" i="1" s="1"/>
  <c r="EJ79" i="1"/>
  <c r="EC79" i="1" s="1"/>
  <c r="BO79" i="1" s="1"/>
  <c r="DJ90" i="1"/>
  <c r="DH90" i="1"/>
  <c r="DN90" i="1"/>
  <c r="C155" i="1"/>
  <c r="DO104" i="1"/>
  <c r="DW104" i="1" s="1"/>
  <c r="DK104" i="1"/>
  <c r="DI104" i="1"/>
  <c r="B130" i="1"/>
  <c r="AY130" i="1"/>
  <c r="CK130" i="1"/>
  <c r="EG58" i="1"/>
  <c r="DZ58" i="1" s="1"/>
  <c r="BL58" i="1" s="1"/>
  <c r="CH84" i="1"/>
  <c r="BH52" i="1"/>
  <c r="DT52" i="1"/>
  <c r="CQ52" i="1"/>
  <c r="EH177" i="1"/>
  <c r="EA177" i="1" s="1"/>
  <c r="BM177" i="1" s="1"/>
  <c r="BS177" i="1" s="1"/>
  <c r="CK112" i="1"/>
  <c r="B112" i="1"/>
  <c r="AY112" i="1"/>
  <c r="EJ156" i="1"/>
  <c r="EC156" i="1" s="1"/>
  <c r="BO156" i="1" s="1"/>
  <c r="C153" i="1"/>
  <c r="C125" i="1"/>
  <c r="CM125" i="1"/>
  <c r="CU89" i="1"/>
  <c r="EF53" i="1"/>
  <c r="DY53" i="1" s="1"/>
  <c r="BK53" i="1" s="1"/>
  <c r="BH118" i="1"/>
  <c r="CS118" i="1"/>
  <c r="CO112" i="1"/>
  <c r="D112" i="1"/>
  <c r="EI148" i="1"/>
  <c r="EB148" i="1" s="1"/>
  <c r="BN148" i="1" s="1"/>
  <c r="EJ184" i="1"/>
  <c r="EC184" i="1" s="1"/>
  <c r="BO184" i="1" s="1"/>
  <c r="CD84" i="1"/>
  <c r="DO102" i="1"/>
  <c r="DW102" i="1" s="1"/>
  <c r="DK102" i="1"/>
  <c r="DI102" i="1"/>
  <c r="CM112" i="1"/>
  <c r="C112" i="1"/>
  <c r="D147" i="1"/>
  <c r="D153" i="1"/>
  <c r="Y30" i="2"/>
  <c r="BG29" i="1" s="1"/>
  <c r="CS127" i="1"/>
  <c r="BH127" i="1"/>
  <c r="CU120" i="1"/>
  <c r="D176" i="1"/>
  <c r="CM91" i="1"/>
  <c r="C91" i="1"/>
  <c r="D143" i="1"/>
  <c r="EI158" i="1"/>
  <c r="EB158" i="1" s="1"/>
  <c r="BN158" i="1" s="1"/>
  <c r="DC136" i="1"/>
  <c r="DI88" i="1"/>
  <c r="DK88" i="1"/>
  <c r="DO88" i="1"/>
  <c r="DW88" i="1" s="1"/>
  <c r="EH75" i="1"/>
  <c r="EA75" i="1" s="1"/>
  <c r="BM75" i="1" s="1"/>
  <c r="BH64" i="1"/>
  <c r="BI65" i="1" s="1"/>
  <c r="CQ64" i="1"/>
  <c r="DT64" i="1"/>
  <c r="CO49" i="1"/>
  <c r="D49" i="1"/>
  <c r="C187" i="1"/>
  <c r="CK113" i="1"/>
  <c r="B113" i="1"/>
  <c r="AY113" i="1"/>
  <c r="EI57" i="1"/>
  <c r="EB57" i="1" s="1"/>
  <c r="BN57" i="1" s="1"/>
  <c r="B51" i="1"/>
  <c r="CK51" i="1"/>
  <c r="AY51" i="1"/>
  <c r="D169" i="1"/>
  <c r="CO89" i="1"/>
  <c r="D89" i="1"/>
  <c r="DJ120" i="1"/>
  <c r="DH120" i="1"/>
  <c r="DN120" i="1"/>
  <c r="DV120" i="1" s="1"/>
  <c r="CU96" i="1"/>
  <c r="CM102" i="1"/>
  <c r="C102" i="1"/>
  <c r="D155" i="1"/>
  <c r="CM114" i="1"/>
  <c r="C114" i="1"/>
  <c r="EI159" i="1"/>
  <c r="EB159" i="1" s="1"/>
  <c r="BN159" i="1" s="1"/>
  <c r="EI52" i="1"/>
  <c r="EB52" i="1" s="1"/>
  <c r="BN52" i="1" s="1"/>
  <c r="DK108" i="1"/>
  <c r="DO108" i="1"/>
  <c r="DW108" i="1" s="1"/>
  <c r="DI108" i="1"/>
  <c r="EJ145" i="1"/>
  <c r="EC145" i="1" s="1"/>
  <c r="BO145" i="1" s="1"/>
  <c r="CK107" i="1"/>
  <c r="B107" i="1"/>
  <c r="AY107" i="1"/>
  <c r="DJ56" i="1"/>
  <c r="DN56" i="1"/>
  <c r="DH56" i="1"/>
  <c r="EG52" i="1"/>
  <c r="DZ52" i="1" s="1"/>
  <c r="BL52" i="1" s="1"/>
  <c r="C183" i="1"/>
  <c r="EI59" i="1"/>
  <c r="EB59" i="1" s="1"/>
  <c r="BN59" i="1" s="1"/>
  <c r="CU117" i="1"/>
  <c r="C147" i="1"/>
  <c r="CK109" i="1"/>
  <c r="B109" i="1"/>
  <c r="AY109" i="1"/>
  <c r="DK124" i="1"/>
  <c r="DI124" i="1"/>
  <c r="DO124" i="1"/>
  <c r="DW124" i="1" s="1"/>
  <c r="DN168" i="1"/>
  <c r="DV168" i="1" s="1"/>
  <c r="DJ168" i="1"/>
  <c r="DH168" i="1"/>
  <c r="DH122" i="1"/>
  <c r="DJ122" i="1"/>
  <c r="DN122" i="1"/>
  <c r="DV122" i="1" s="1"/>
  <c r="DO89" i="1"/>
  <c r="DW89" i="1" s="1"/>
  <c r="DI89" i="1"/>
  <c r="DK89" i="1"/>
  <c r="D90" i="1"/>
  <c r="CO90" i="1"/>
  <c r="D150" i="1"/>
  <c r="B64" i="1"/>
  <c r="CK64" i="1"/>
  <c r="AY64" i="1"/>
  <c r="EI46" i="1"/>
  <c r="EB46" i="1" s="1"/>
  <c r="BN46" i="1" s="1"/>
  <c r="D151" i="1"/>
  <c r="C130" i="1"/>
  <c r="CM130" i="1"/>
  <c r="CO122" i="1"/>
  <c r="D122" i="1"/>
  <c r="EJ171" i="1"/>
  <c r="EC171" i="1" s="1"/>
  <c r="BO171" i="1" s="1"/>
  <c r="EH188" i="1"/>
  <c r="EA188" i="1" s="1"/>
  <c r="BM188" i="1" s="1"/>
  <c r="CM86" i="1"/>
  <c r="C86" i="1"/>
  <c r="CS121" i="1"/>
  <c r="BH121" i="1"/>
  <c r="DI49" i="1"/>
  <c r="DO49" i="1"/>
  <c r="DU49" i="1"/>
  <c r="DK49" i="1"/>
  <c r="DJ53" i="1"/>
  <c r="DH53" i="1"/>
  <c r="DN53" i="1"/>
  <c r="C110" i="1"/>
  <c r="CM110" i="1"/>
  <c r="CU111" i="1"/>
  <c r="AY119" i="1"/>
  <c r="B119" i="1"/>
  <c r="CK119" i="1"/>
  <c r="EG150" i="1"/>
  <c r="DZ150" i="1" s="1"/>
  <c r="BL150" i="1" s="1"/>
  <c r="BS150" i="1" s="1"/>
  <c r="DN115" i="1"/>
  <c r="DV115" i="1" s="1"/>
  <c r="DH115" i="1"/>
  <c r="DJ115" i="1"/>
  <c r="EI63" i="1"/>
  <c r="EB63" i="1" s="1"/>
  <c r="BN63" i="1" s="1"/>
  <c r="DI87" i="1"/>
  <c r="DO87" i="1"/>
  <c r="DW87" i="1" s="1"/>
  <c r="DK87" i="1"/>
  <c r="CK89" i="1"/>
  <c r="AY89" i="1"/>
  <c r="B89" i="1"/>
  <c r="D159" i="1"/>
  <c r="EJ77" i="1"/>
  <c r="EC77" i="1" s="1"/>
  <c r="BO77" i="1" s="1"/>
  <c r="DO52" i="1"/>
  <c r="DK52" i="1"/>
  <c r="DU52" i="1"/>
  <c r="DI52" i="1"/>
  <c r="CU64" i="1"/>
  <c r="EI167" i="1"/>
  <c r="EB167" i="1" s="1"/>
  <c r="BN167" i="1" s="1"/>
  <c r="C159" i="1"/>
  <c r="BS159" i="1"/>
  <c r="EJ155" i="1"/>
  <c r="EC155" i="1" s="1"/>
  <c r="BO155" i="1" s="1"/>
  <c r="DA136" i="1"/>
  <c r="DH108" i="1"/>
  <c r="DJ108" i="1"/>
  <c r="DN108" i="1"/>
  <c r="DV108" i="1" s="1"/>
  <c r="EI152" i="1"/>
  <c r="EB152" i="1" s="1"/>
  <c r="BN152" i="1" s="1"/>
  <c r="EH140" i="1"/>
  <c r="EA140" i="1" s="1"/>
  <c r="BM140" i="1" s="1"/>
  <c r="BS140" i="1" s="1"/>
  <c r="CM126" i="1"/>
  <c r="C126" i="1"/>
  <c r="EJ162" i="1"/>
  <c r="EC162" i="1" s="1"/>
  <c r="BO162" i="1" s="1"/>
  <c r="DK90" i="1"/>
  <c r="DI90" i="1"/>
  <c r="DO90" i="1"/>
  <c r="DW90" i="1" s="1"/>
  <c r="EJ47" i="1"/>
  <c r="EC47" i="1" s="1"/>
  <c r="BO47" i="1" s="1"/>
  <c r="DN99" i="1"/>
  <c r="DV99" i="1" s="1"/>
  <c r="DJ99" i="1"/>
  <c r="DH99" i="1"/>
  <c r="DK105" i="1"/>
  <c r="DI105" i="1"/>
  <c r="DO105" i="1"/>
  <c r="DW105" i="1" s="1"/>
  <c r="EJ74" i="1"/>
  <c r="EC74" i="1" s="1"/>
  <c r="BO74" i="1" s="1"/>
  <c r="DJ96" i="1"/>
  <c r="DH96" i="1"/>
  <c r="DN96" i="1"/>
  <c r="DV96" i="1" s="1"/>
  <c r="EI177" i="1"/>
  <c r="EB177" i="1" s="1"/>
  <c r="BN177" i="1" s="1"/>
  <c r="EI49" i="1"/>
  <c r="EB49" i="1" s="1"/>
  <c r="BN49" i="1" s="1"/>
  <c r="D156" i="1"/>
  <c r="CS51" i="1"/>
  <c r="EI189" i="1"/>
  <c r="EB189" i="1" s="1"/>
  <c r="BN189" i="1" s="1"/>
  <c r="AY97" i="1"/>
  <c r="B97" i="1"/>
  <c r="CK97" i="1"/>
  <c r="DH95" i="1"/>
  <c r="DJ95" i="1"/>
  <c r="DN95" i="1"/>
  <c r="DV95" i="1" s="1"/>
  <c r="DH85" i="1"/>
  <c r="DJ85" i="1"/>
  <c r="DA84" i="1"/>
  <c r="DN85" i="1"/>
  <c r="DV85" i="1" s="1"/>
  <c r="EI149" i="1"/>
  <c r="EB149" i="1" s="1"/>
  <c r="BN149" i="1" s="1"/>
  <c r="CU94" i="1"/>
  <c r="EJ178" i="1"/>
  <c r="EC178" i="1" s="1"/>
  <c r="BO178" i="1" s="1"/>
  <c r="CO100" i="1"/>
  <c r="D100" i="1"/>
  <c r="CM87" i="1"/>
  <c r="C87" i="1"/>
  <c r="DO168" i="1"/>
  <c r="DI168" i="1"/>
  <c r="DK168" i="1"/>
  <c r="CQ90" i="1"/>
  <c r="DT90" i="1"/>
  <c r="BH90" i="1"/>
  <c r="EG78" i="1"/>
  <c r="DZ78" i="1" s="1"/>
  <c r="BL78" i="1" s="1"/>
  <c r="EJ182" i="1"/>
  <c r="EC182" i="1" s="1"/>
  <c r="BO182" i="1" s="1"/>
  <c r="EG70" i="1"/>
  <c r="DZ70" i="1" s="1"/>
  <c r="BL70" i="1" s="1"/>
  <c r="C53" i="1"/>
  <c r="CM53" i="1"/>
  <c r="CS49" i="1"/>
  <c r="DN125" i="1"/>
  <c r="DV125" i="1" s="1"/>
  <c r="DJ125" i="1"/>
  <c r="DH125" i="1"/>
  <c r="D123" i="1"/>
  <c r="CO123" i="1"/>
  <c r="CU53" i="1"/>
  <c r="CK99" i="1"/>
  <c r="B99" i="1"/>
  <c r="AY99" i="1"/>
  <c r="DI116" i="1"/>
  <c r="DK116" i="1"/>
  <c r="DO116" i="1"/>
  <c r="DW116" i="1" s="1"/>
  <c r="EJ138" i="1"/>
  <c r="EC138" i="1" s="1"/>
  <c r="BO138" i="1" s="1"/>
  <c r="EJ143" i="1"/>
  <c r="EC143" i="1" s="1"/>
  <c r="BO143" i="1" s="1"/>
  <c r="DI163" i="1"/>
  <c r="DO163" i="1"/>
  <c r="DK163" i="1"/>
  <c r="CS89" i="1"/>
  <c r="Y31" i="2"/>
  <c r="BG30" i="1" s="1"/>
  <c r="D124" i="1"/>
  <c r="CO124" i="1"/>
  <c r="C124" i="1"/>
  <c r="CM124" i="1"/>
  <c r="C70" i="1"/>
  <c r="CM70" i="1"/>
  <c r="DJ121" i="1"/>
  <c r="DN121" i="1"/>
  <c r="DV121" i="1" s="1"/>
  <c r="DH121" i="1"/>
  <c r="CU115" i="1"/>
  <c r="EJ71" i="1"/>
  <c r="EC71" i="1" s="1"/>
  <c r="BO71" i="1" s="1"/>
  <c r="DK86" i="1"/>
  <c r="DI86" i="1"/>
  <c r="DO86" i="1"/>
  <c r="DW86" i="1" s="1"/>
  <c r="DN130" i="1"/>
  <c r="DV130" i="1" s="1"/>
  <c r="DJ130" i="1"/>
  <c r="DH130" i="1"/>
  <c r="EG156" i="1"/>
  <c r="DZ156" i="1" s="1"/>
  <c r="BL156" i="1" s="1"/>
  <c r="BS156" i="1" s="1"/>
  <c r="DI93" i="1"/>
  <c r="DK93" i="1"/>
  <c r="DO93" i="1"/>
  <c r="DW93" i="1" s="1"/>
  <c r="D95" i="1"/>
  <c r="CO95" i="1"/>
  <c r="CO108" i="1"/>
  <c r="D108" i="1"/>
  <c r="CO168" i="1"/>
  <c r="D168" i="1"/>
  <c r="DO107" i="1"/>
  <c r="DW107" i="1" s="1"/>
  <c r="DK107" i="1"/>
  <c r="DI107" i="1"/>
  <c r="DH129" i="1"/>
  <c r="DJ129" i="1"/>
  <c r="DN129" i="1"/>
  <c r="DV129" i="1" s="1"/>
  <c r="EG71" i="1"/>
  <c r="DZ71" i="1" s="1"/>
  <c r="BL71" i="1" s="1"/>
  <c r="D106" i="1"/>
  <c r="CO106" i="1"/>
  <c r="EG59" i="1"/>
  <c r="DZ59" i="1" s="1"/>
  <c r="BL59" i="1" s="1"/>
  <c r="DO127" i="1"/>
  <c r="DW127" i="1" s="1"/>
  <c r="DI127" i="1"/>
  <c r="DK127" i="1"/>
  <c r="EJ140" i="1"/>
  <c r="EC140" i="1" s="1"/>
  <c r="BO140" i="1" s="1"/>
  <c r="DK123" i="1"/>
  <c r="DO123" i="1"/>
  <c r="DW123" i="1" s="1"/>
  <c r="DI123" i="1"/>
  <c r="C104" i="1"/>
  <c r="CM104" i="1"/>
  <c r="DN93" i="1"/>
  <c r="DV93" i="1" s="1"/>
  <c r="DH93" i="1"/>
  <c r="DJ93" i="1"/>
  <c r="AY88" i="1"/>
  <c r="B88" i="1"/>
  <c r="CK88" i="1"/>
  <c r="CS50" i="1"/>
  <c r="D107" i="1"/>
  <c r="CO107" i="1"/>
  <c r="B127" i="1"/>
  <c r="CK127" i="1"/>
  <c r="AY127" i="1"/>
  <c r="C151" i="1"/>
  <c r="DH97" i="1"/>
  <c r="DN97" i="1"/>
  <c r="DV97" i="1" s="1"/>
  <c r="DJ97" i="1"/>
  <c r="EJ169" i="1"/>
  <c r="EC169" i="1" s="1"/>
  <c r="BO169" i="1" s="1"/>
  <c r="C105" i="1"/>
  <c r="CM105" i="1"/>
  <c r="D99" i="1"/>
  <c r="CO99" i="1"/>
  <c r="EI137" i="1"/>
  <c r="EB137" i="1" s="1"/>
  <c r="BN137" i="1" s="1"/>
  <c r="EP136" i="1"/>
  <c r="EJ181" i="1"/>
  <c r="EC181" i="1" s="1"/>
  <c r="BO181" i="1" s="1"/>
  <c r="CM115" i="1"/>
  <c r="C115" i="1"/>
  <c r="EH186" i="1"/>
  <c r="EA186" i="1" s="1"/>
  <c r="BM186" i="1" s="1"/>
  <c r="BS186" i="1" s="1"/>
  <c r="CQ51" i="1"/>
  <c r="DT51" i="1"/>
  <c r="BH51" i="1"/>
  <c r="DU51" i="1"/>
  <c r="DO51" i="1"/>
  <c r="DK51" i="1"/>
  <c r="DI51" i="1"/>
  <c r="EJ72" i="1"/>
  <c r="EC72" i="1" s="1"/>
  <c r="BO72" i="1" s="1"/>
  <c r="D172" i="1"/>
  <c r="BH113" i="1"/>
  <c r="CS113" i="1"/>
  <c r="CO109" i="1"/>
  <c r="D109" i="1"/>
  <c r="EJ60" i="1"/>
  <c r="EC60" i="1" s="1"/>
  <c r="BO60" i="1" s="1"/>
  <c r="CU108" i="1"/>
  <c r="CO87" i="1"/>
  <c r="D87" i="1"/>
  <c r="EJ146" i="1"/>
  <c r="EC146" i="1" s="1"/>
  <c r="BO146" i="1" s="1"/>
  <c r="DN51" i="1"/>
  <c r="DJ51" i="1"/>
  <c r="DH51" i="1"/>
  <c r="AV84" i="1"/>
  <c r="EH183" i="1"/>
  <c r="EA183" i="1" s="1"/>
  <c r="BM183" i="1" s="1"/>
  <c r="BS183" i="1" s="1"/>
  <c r="CS87" i="1"/>
  <c r="DI113" i="1"/>
  <c r="DK113" i="1"/>
  <c r="DO113" i="1"/>
  <c r="DW113" i="1" s="1"/>
  <c r="EE49" i="1"/>
  <c r="DX49" i="1" s="1"/>
  <c r="BJ49" i="1" s="1"/>
  <c r="DH111" i="1"/>
  <c r="DJ111" i="1"/>
  <c r="DN111" i="1"/>
  <c r="DV111" i="1" s="1"/>
  <c r="EJ139" i="1"/>
  <c r="EC139" i="1" s="1"/>
  <c r="BO139" i="1" s="1"/>
  <c r="B129" i="1"/>
  <c r="CK129" i="1"/>
  <c r="AY129" i="1"/>
  <c r="DF84" i="1"/>
  <c r="EH59" i="1"/>
  <c r="EA59" i="1" s="1"/>
  <c r="BM59" i="1" s="1"/>
  <c r="EI182" i="1"/>
  <c r="EB182" i="1" s="1"/>
  <c r="BN182" i="1" s="1"/>
  <c r="CO130" i="1"/>
  <c r="D130" i="1"/>
  <c r="CM98" i="1"/>
  <c r="C98" i="1"/>
  <c r="DJ109" i="1"/>
  <c r="DN109" i="1"/>
  <c r="DV109" i="1" s="1"/>
  <c r="DH109" i="1"/>
  <c r="EI71" i="1"/>
  <c r="EB71" i="1" s="1"/>
  <c r="BN71" i="1" s="1"/>
  <c r="EI141" i="1"/>
  <c r="EB141" i="1" s="1"/>
  <c r="BN141" i="1" s="1"/>
  <c r="EJ152" i="1"/>
  <c r="EC152" i="1" s="1"/>
  <c r="BO152" i="1" s="1"/>
  <c r="AY102" i="1"/>
  <c r="CK102" i="1"/>
  <c r="B102" i="1"/>
  <c r="EG49" i="1"/>
  <c r="DZ49" i="1" s="1"/>
  <c r="BL49" i="1" s="1"/>
  <c r="CU87" i="1"/>
  <c r="DO114" i="1"/>
  <c r="DW114" i="1" s="1"/>
  <c r="DI114" i="1"/>
  <c r="DK114" i="1"/>
  <c r="DN103" i="1"/>
  <c r="DV103" i="1" s="1"/>
  <c r="DH103" i="1"/>
  <c r="DJ103" i="1"/>
  <c r="D97" i="1"/>
  <c r="CO97" i="1"/>
  <c r="CF84" i="1"/>
  <c r="EI180" i="1"/>
  <c r="EB180" i="1" s="1"/>
  <c r="BN180" i="1" s="1"/>
  <c r="C148" i="1"/>
  <c r="DK85" i="1"/>
  <c r="DB84" i="1"/>
  <c r="DO85" i="1"/>
  <c r="DW85" i="1" s="1"/>
  <c r="DI85" i="1"/>
  <c r="EI140" i="1"/>
  <c r="EB140" i="1" s="1"/>
  <c r="BN140" i="1" s="1"/>
  <c r="EI64" i="1"/>
  <c r="EB64" i="1" s="1"/>
  <c r="BN64" i="1" s="1"/>
  <c r="EI176" i="1"/>
  <c r="EB176" i="1" s="1"/>
  <c r="BN176" i="1" s="1"/>
  <c r="EE53" i="1"/>
  <c r="DX53" i="1" s="1"/>
  <c r="BJ53" i="1" s="1"/>
  <c r="EJ187" i="1"/>
  <c r="EC187" i="1" s="1"/>
  <c r="BO187" i="1" s="1"/>
  <c r="CU95" i="1"/>
  <c r="CM128" i="1"/>
  <c r="C128" i="1"/>
  <c r="DO99" i="1"/>
  <c r="DW99" i="1" s="1"/>
  <c r="DK99" i="1"/>
  <c r="DI99" i="1"/>
  <c r="EJ183" i="1"/>
  <c r="EC183" i="1" s="1"/>
  <c r="BO183" i="1" s="1"/>
  <c r="B115" i="1"/>
  <c r="AY115" i="1"/>
  <c r="CK115" i="1"/>
  <c r="B105" i="1"/>
  <c r="CK105" i="1"/>
  <c r="AY105" i="1"/>
  <c r="CU110" i="1"/>
  <c r="C116" i="1"/>
  <c r="CM116" i="1"/>
  <c r="CQ53" i="1"/>
  <c r="BH53" i="1"/>
  <c r="BI54" i="1" s="1"/>
  <c r="DT53" i="1"/>
  <c r="EG63" i="1"/>
  <c r="DZ63" i="1" s="1"/>
  <c r="BL63" i="1" s="1"/>
  <c r="C146" i="1"/>
  <c r="EJ52" i="1"/>
  <c r="EC52" i="1" s="1"/>
  <c r="BO52" i="1" s="1"/>
  <c r="DA44" i="1"/>
  <c r="EJ137" i="1"/>
  <c r="EC137" i="1" s="1"/>
  <c r="BO137" i="1" s="1"/>
  <c r="EQ136" i="1"/>
  <c r="CO165" i="1"/>
  <c r="D165" i="1"/>
  <c r="DK92" i="1"/>
  <c r="DO92" i="1"/>
  <c r="DW92" i="1" s="1"/>
  <c r="DI92" i="1"/>
  <c r="B108" i="1"/>
  <c r="AY108" i="1"/>
  <c r="CK108" i="1"/>
  <c r="D180" i="1"/>
  <c r="DN104" i="1"/>
  <c r="DV104" i="1" s="1"/>
  <c r="DJ104" i="1"/>
  <c r="DH104" i="1"/>
  <c r="CK111" i="1"/>
  <c r="AY111" i="1"/>
  <c r="B111" i="1"/>
  <c r="DJ126" i="1"/>
  <c r="DN126" i="1"/>
  <c r="DV126" i="1" s="1"/>
  <c r="DH126" i="1"/>
  <c r="EJ165" i="1"/>
  <c r="EC165" i="1" s="1"/>
  <c r="BO165" i="1" s="1"/>
  <c r="CM121" i="1"/>
  <c r="C121" i="1"/>
  <c r="C184" i="1"/>
  <c r="EI77" i="1"/>
  <c r="EB77" i="1" s="1"/>
  <c r="BN77" i="1" s="1"/>
  <c r="CQ56" i="1"/>
  <c r="BH56" i="1"/>
  <c r="BI56" i="1" s="1"/>
  <c r="DT56" i="1"/>
  <c r="DJ127" i="1"/>
  <c r="DN127" i="1"/>
  <c r="DV127" i="1" s="1"/>
  <c r="DH127" i="1"/>
  <c r="C154" i="1"/>
  <c r="C93" i="1"/>
  <c r="CM93" i="1"/>
  <c r="EI61" i="1"/>
  <c r="EB61" i="1" s="1"/>
  <c r="BN61" i="1" s="1"/>
  <c r="C94" i="1"/>
  <c r="CM94" i="1"/>
  <c r="EG48" i="1"/>
  <c r="DZ48" i="1" s="1"/>
  <c r="BL48" i="1" s="1"/>
  <c r="EI73" i="1"/>
  <c r="EB73" i="1" s="1"/>
  <c r="BN73" i="1" s="1"/>
  <c r="CS94" i="1"/>
  <c r="BH94" i="1"/>
  <c r="AU84" i="1"/>
  <c r="C85" i="1"/>
  <c r="CM85" i="1"/>
  <c r="DH91" i="1"/>
  <c r="DN91" i="1"/>
  <c r="DJ91" i="1"/>
  <c r="EJ154" i="1"/>
  <c r="EC154" i="1" s="1"/>
  <c r="BO154" i="1" s="1"/>
  <c r="C106" i="1"/>
  <c r="CM106" i="1"/>
  <c r="EI160" i="1"/>
  <c r="EB160" i="1" s="1"/>
  <c r="BN160" i="1" s="1"/>
  <c r="BH119" i="1"/>
  <c r="CS119" i="1"/>
  <c r="CO103" i="1"/>
  <c r="D103" i="1"/>
  <c r="D186" i="1"/>
  <c r="DN64" i="1"/>
  <c r="DJ64" i="1"/>
  <c r="DH64" i="1"/>
  <c r="BS158" i="1"/>
  <c r="C158" i="1"/>
  <c r="DN50" i="1"/>
  <c r="DJ50" i="1"/>
  <c r="DH50" i="1"/>
  <c r="C178" i="1"/>
  <c r="EI184" i="1"/>
  <c r="EB184" i="1" s="1"/>
  <c r="BN184" i="1" s="1"/>
  <c r="CS96" i="1"/>
  <c r="BH96" i="1"/>
  <c r="CU98" i="1"/>
  <c r="D121" i="1"/>
  <c r="CO121" i="1"/>
  <c r="EH187" i="1"/>
  <c r="EA187" i="1" s="1"/>
  <c r="BM187" i="1" s="1"/>
  <c r="BS187" i="1" s="1"/>
  <c r="BT187" i="1" s="1"/>
  <c r="D179" i="1"/>
  <c r="EH62" i="1"/>
  <c r="EA62" i="1" s="1"/>
  <c r="BM62" i="1" s="1"/>
  <c r="EG148" i="1"/>
  <c r="DZ148" i="1" s="1"/>
  <c r="BL148" i="1" s="1"/>
  <c r="BS148" i="1" s="1"/>
  <c r="CO128" i="1"/>
  <c r="D128" i="1"/>
  <c r="EI154" i="1"/>
  <c r="EB154" i="1" s="1"/>
  <c r="BN154" i="1" s="1"/>
  <c r="EJ176" i="1"/>
  <c r="EC176" i="1" s="1"/>
  <c r="BO176" i="1" s="1"/>
  <c r="DN117" i="1"/>
  <c r="DV117" i="1" s="1"/>
  <c r="DJ117" i="1"/>
  <c r="DH117" i="1"/>
  <c r="EJ142" i="1"/>
  <c r="EC142" i="1" s="1"/>
  <c r="BO142" i="1" s="1"/>
  <c r="C111" i="1"/>
  <c r="CM111" i="1"/>
  <c r="EH71" i="1"/>
  <c r="EA71" i="1" s="1"/>
  <c r="BM71" i="1" s="1"/>
  <c r="DO101" i="1"/>
  <c r="DW101" i="1" s="1"/>
  <c r="DK101" i="1"/>
  <c r="DI101" i="1"/>
  <c r="DB136" i="1"/>
  <c r="CM127" i="1"/>
  <c r="C127" i="1"/>
  <c r="DK103" i="1"/>
  <c r="DI103" i="1"/>
  <c r="DO103" i="1"/>
  <c r="DW103" i="1" s="1"/>
  <c r="C96" i="1"/>
  <c r="CM96" i="1"/>
  <c r="D187" i="1"/>
  <c r="C157" i="1"/>
  <c r="DE44" i="1"/>
  <c r="CU51" i="1"/>
  <c r="CO50" i="1"/>
  <c r="D50" i="1"/>
  <c r="EI142" i="1"/>
  <c r="EB142" i="1" s="1"/>
  <c r="BN142" i="1" s="1"/>
  <c r="CU49" i="1"/>
  <c r="DJ128" i="1"/>
  <c r="DN128" i="1"/>
  <c r="DV128" i="1" s="1"/>
  <c r="DH128" i="1"/>
  <c r="EJ172" i="1"/>
  <c r="EC172" i="1" s="1"/>
  <c r="BO172" i="1" s="1"/>
  <c r="CU122" i="1"/>
  <c r="DI128" i="1"/>
  <c r="DK128" i="1"/>
  <c r="DO128" i="1"/>
  <c r="DW128" i="1" s="1"/>
  <c r="EI183" i="1"/>
  <c r="EB183" i="1" s="1"/>
  <c r="BN183" i="1" s="1"/>
  <c r="EJ49" i="1"/>
  <c r="EC49" i="1" s="1"/>
  <c r="BO49" i="1" s="1"/>
  <c r="DK100" i="1"/>
  <c r="DI100" i="1"/>
  <c r="DO100" i="1"/>
  <c r="DW100" i="1" s="1"/>
  <c r="C92" i="1"/>
  <c r="CM92" i="1"/>
  <c r="D110" i="1"/>
  <c r="CO110" i="1"/>
  <c r="CM120" i="1"/>
  <c r="C120" i="1"/>
  <c r="EI145" i="1"/>
  <c r="EB145" i="1" s="1"/>
  <c r="BN145" i="1" s="1"/>
  <c r="BH128" i="1"/>
  <c r="CS128" i="1"/>
  <c r="CO104" i="1"/>
  <c r="D104" i="1"/>
  <c r="B95" i="1"/>
  <c r="CK95" i="1"/>
  <c r="AY95" i="1"/>
  <c r="D166" i="1"/>
  <c r="EI171" i="1"/>
  <c r="EB171" i="1" s="1"/>
  <c r="BN171" i="1" s="1"/>
  <c r="EJ157" i="1"/>
  <c r="EC157" i="1" s="1"/>
  <c r="BO157" i="1" s="1"/>
  <c r="EJ45" i="1"/>
  <c r="EC45" i="1" s="1"/>
  <c r="BO45" i="1" s="1"/>
  <c r="EQ44" i="1"/>
  <c r="D167" i="1"/>
  <c r="EH180" i="1"/>
  <c r="EA180" i="1" s="1"/>
  <c r="BM180" i="1" s="1"/>
  <c r="BS180" i="1" s="1"/>
  <c r="CM97" i="1"/>
  <c r="C97" i="1"/>
  <c r="EI138" i="1"/>
  <c r="EB138" i="1" s="1"/>
  <c r="BN138" i="1" s="1"/>
  <c r="B101" i="1"/>
  <c r="CK101" i="1"/>
  <c r="AY101" i="1"/>
  <c r="CO92" i="1"/>
  <c r="D92" i="1"/>
  <c r="EI58" i="1"/>
  <c r="EB58" i="1" s="1"/>
  <c r="BN58" i="1" s="1"/>
  <c r="EI79" i="1"/>
  <c r="EB79" i="1" s="1"/>
  <c r="BN79" i="1" s="1"/>
  <c r="DE84" i="1"/>
  <c r="C95" i="1"/>
  <c r="CM95" i="1"/>
  <c r="D119" i="1"/>
  <c r="CO119" i="1"/>
  <c r="CO53" i="1"/>
  <c r="D53" i="1"/>
  <c r="DN101" i="1"/>
  <c r="DV101" i="1" s="1"/>
  <c r="DH101" i="1"/>
  <c r="DJ101" i="1"/>
  <c r="CU56" i="1"/>
  <c r="EJ167" i="1"/>
  <c r="EC167" i="1" s="1"/>
  <c r="BO167" i="1" s="1"/>
  <c r="EI62" i="1"/>
  <c r="EB62" i="1" s="1"/>
  <c r="BN62" i="1" s="1"/>
  <c r="BA132" i="1"/>
  <c r="BA84" i="1"/>
  <c r="CQ86" i="1"/>
  <c r="BH86" i="1"/>
  <c r="DT86" i="1"/>
  <c r="C172" i="1"/>
  <c r="BS172" i="1"/>
  <c r="DF136" i="1"/>
  <c r="DK112" i="1"/>
  <c r="DI112" i="1"/>
  <c r="DO112" i="1"/>
  <c r="DW112" i="1" s="1"/>
  <c r="CU113" i="1"/>
  <c r="B96" i="1"/>
  <c r="CK96" i="1"/>
  <c r="AY96" i="1"/>
  <c r="DD136" i="1"/>
  <c r="D101" i="1"/>
  <c r="CO101" i="1"/>
  <c r="C176" i="1"/>
  <c r="BS176" i="1"/>
  <c r="AY110" i="1"/>
  <c r="CK110" i="1"/>
  <c r="B110" i="1"/>
  <c r="DH92" i="1"/>
  <c r="DN92" i="1"/>
  <c r="DJ92" i="1"/>
  <c r="BH50" i="1"/>
  <c r="DT50" i="1"/>
  <c r="CQ50" i="1"/>
  <c r="CS100" i="1"/>
  <c r="BH100" i="1"/>
  <c r="AY124" i="1"/>
  <c r="B124" i="1"/>
  <c r="CK124" i="1"/>
  <c r="EJ168" i="1"/>
  <c r="EC168" i="1" s="1"/>
  <c r="BO168" i="1" s="1"/>
  <c r="EJ150" i="1"/>
  <c r="EC150" i="1" s="1"/>
  <c r="BO150" i="1" s="1"/>
  <c r="CS90" i="1"/>
  <c r="D170" i="1"/>
  <c r="DN89" i="1"/>
  <c r="DJ89" i="1"/>
  <c r="DH89" i="1"/>
  <c r="CS110" i="1"/>
  <c r="BH110" i="1"/>
  <c r="DH114" i="1"/>
  <c r="DN114" i="1"/>
  <c r="DV114" i="1" s="1"/>
  <c r="DJ114" i="1"/>
  <c r="DQ114" i="1" s="1"/>
  <c r="BH123" i="1"/>
  <c r="CS123" i="1"/>
  <c r="C142" i="1"/>
  <c r="DK121" i="1"/>
  <c r="DI121" i="1"/>
  <c r="DO121" i="1"/>
  <c r="DW121" i="1" s="1"/>
  <c r="D111" i="1"/>
  <c r="CO111" i="1"/>
  <c r="EG56" i="1"/>
  <c r="DZ56" i="1" s="1"/>
  <c r="BL56" i="1" s="1"/>
  <c r="EH50" i="1"/>
  <c r="EA50" i="1" s="1"/>
  <c r="BM50" i="1" s="1"/>
  <c r="EJ59" i="1"/>
  <c r="EC59" i="1" s="1"/>
  <c r="BO59" i="1" s="1"/>
  <c r="C186" i="1"/>
  <c r="EI187" i="1"/>
  <c r="EB187" i="1" s="1"/>
  <c r="BN187" i="1" s="1"/>
  <c r="EJ170" i="1"/>
  <c r="EC170" i="1" s="1"/>
  <c r="BO170" i="1" s="1"/>
  <c r="EJ151" i="1"/>
  <c r="EC151" i="1" s="1"/>
  <c r="BO151" i="1" s="1"/>
  <c r="CK122" i="1"/>
  <c r="AY122" i="1"/>
  <c r="B122" i="1"/>
  <c r="CU105" i="1"/>
  <c r="EI74" i="1"/>
  <c r="EB74" i="1" s="1"/>
  <c r="BN74" i="1" s="1"/>
  <c r="EI139" i="1"/>
  <c r="EB139" i="1" s="1"/>
  <c r="BN139" i="1" s="1"/>
  <c r="EG61" i="1"/>
  <c r="DZ61" i="1" s="1"/>
  <c r="BL61" i="1" s="1"/>
  <c r="D96" i="1"/>
  <c r="CO96" i="1"/>
  <c r="EI165" i="1"/>
  <c r="EB165" i="1" s="1"/>
  <c r="BN165" i="1" s="1"/>
  <c r="EG74" i="1"/>
  <c r="DZ74" i="1" s="1"/>
  <c r="BL74" i="1" s="1"/>
  <c r="EG51" i="1"/>
  <c r="DZ51" i="1" s="1"/>
  <c r="BL51" i="1" s="1"/>
  <c r="C113" i="1"/>
  <c r="CM113" i="1"/>
  <c r="D129" i="1"/>
  <c r="CO129" i="1"/>
  <c r="EH63" i="1"/>
  <c r="EA63" i="1" s="1"/>
  <c r="BM63" i="1" s="1"/>
  <c r="EI151" i="1"/>
  <c r="EB151" i="1" s="1"/>
  <c r="BN151" i="1" s="1"/>
  <c r="EJ177" i="1"/>
  <c r="EC177" i="1" s="1"/>
  <c r="BO177" i="1" s="1"/>
  <c r="DO97" i="1"/>
  <c r="DW97" i="1" s="1"/>
  <c r="DK97" i="1"/>
  <c r="DI97" i="1"/>
  <c r="DO109" i="1"/>
  <c r="DW109" i="1" s="1"/>
  <c r="DI109" i="1"/>
  <c r="DK109" i="1"/>
  <c r="CS122" i="1"/>
  <c r="BH122" i="1"/>
  <c r="DJ88" i="1"/>
  <c r="DN88" i="1"/>
  <c r="DH88" i="1"/>
  <c r="C145" i="1"/>
  <c r="CU125" i="1"/>
  <c r="C109" i="1"/>
  <c r="CM109" i="1"/>
  <c r="BH105" i="1"/>
  <c r="CS105" i="1"/>
  <c r="EH57" i="1"/>
  <c r="EA57" i="1" s="1"/>
  <c r="BM57" i="1" s="1"/>
  <c r="AY103" i="1"/>
  <c r="B103" i="1"/>
  <c r="CK103" i="1"/>
  <c r="D146" i="1"/>
  <c r="AY94" i="1"/>
  <c r="B94" i="1"/>
  <c r="CK94" i="1"/>
  <c r="CK121" i="1"/>
  <c r="AY121" i="1"/>
  <c r="B121" i="1"/>
  <c r="B100" i="1"/>
  <c r="CK100" i="1"/>
  <c r="AY100" i="1"/>
  <c r="D177" i="1"/>
  <c r="DJ116" i="1"/>
  <c r="DH116" i="1"/>
  <c r="DN116" i="1"/>
  <c r="DV116" i="1" s="1"/>
  <c r="C167" i="1"/>
  <c r="BS167" i="1"/>
  <c r="D93" i="1"/>
  <c r="CO93" i="1"/>
  <c r="D148" i="1"/>
  <c r="DJ87" i="1"/>
  <c r="DN87" i="1"/>
  <c r="DH87" i="1"/>
  <c r="DO98" i="1"/>
  <c r="DW98" i="1" s="1"/>
  <c r="DK98" i="1"/>
  <c r="DI98" i="1"/>
  <c r="EH181" i="1"/>
  <c r="CK118" i="1"/>
  <c r="B118" i="1"/>
  <c r="AY118" i="1"/>
  <c r="CO105" i="1"/>
  <c r="D105" i="1"/>
  <c r="EG47" i="1"/>
  <c r="DZ47" i="1" s="1"/>
  <c r="BL47" i="1" s="1"/>
  <c r="C173" i="1"/>
  <c r="BS173" i="1"/>
  <c r="BT173" i="1" s="1"/>
  <c r="CU86" i="1"/>
  <c r="DN163" i="1"/>
  <c r="DV163" i="1" s="1"/>
  <c r="DH163" i="1"/>
  <c r="DJ163" i="1"/>
  <c r="EJ70" i="1"/>
  <c r="EC70" i="1" s="1"/>
  <c r="BO70" i="1" s="1"/>
  <c r="CO91" i="1"/>
  <c r="D91" i="1"/>
  <c r="C103" i="1"/>
  <c r="CM103" i="1"/>
  <c r="B128" i="1"/>
  <c r="CK128" i="1"/>
  <c r="AY128" i="1"/>
  <c r="D127" i="1"/>
  <c r="CO127" i="1"/>
  <c r="EH61" i="1"/>
  <c r="EA61" i="1" s="1"/>
  <c r="BM61" i="1" s="1"/>
  <c r="DN94" i="1"/>
  <c r="DV94" i="1" s="1"/>
  <c r="DH94" i="1"/>
  <c r="DJ94" i="1"/>
  <c r="CK163" i="1"/>
  <c r="EG50" i="1"/>
  <c r="DZ50" i="1" s="1"/>
  <c r="BL50" i="1" s="1"/>
  <c r="CO98" i="1"/>
  <c r="D98" i="1"/>
  <c r="CS117" i="1"/>
  <c r="BH117" i="1"/>
  <c r="DN52" i="1"/>
  <c r="DH52" i="1"/>
  <c r="DJ52" i="1"/>
  <c r="CS53" i="1"/>
  <c r="EN136" i="1"/>
  <c r="EG141" i="1"/>
  <c r="DZ141" i="1" s="1"/>
  <c r="BL141" i="1" s="1"/>
  <c r="BS141" i="1" s="1"/>
  <c r="DI130" i="1"/>
  <c r="DK130" i="1"/>
  <c r="DO130" i="1"/>
  <c r="DW130" i="1" s="1"/>
  <c r="CE84" i="1"/>
  <c r="C129" i="1"/>
  <c r="CM129" i="1"/>
  <c r="EI166" i="1"/>
  <c r="EB166" i="1" s="1"/>
  <c r="BN166" i="1" s="1"/>
  <c r="DI122" i="1"/>
  <c r="DO122" i="1"/>
  <c r="DW122" i="1" s="1"/>
  <c r="DK122" i="1"/>
  <c r="CM101" i="1"/>
  <c r="C101" i="1"/>
  <c r="DO96" i="1"/>
  <c r="DW96" i="1" s="1"/>
  <c r="DI96" i="1"/>
  <c r="DK96" i="1"/>
  <c r="EP44" i="1"/>
  <c r="EI45" i="1"/>
  <c r="EB45" i="1" s="1"/>
  <c r="BN45" i="1" s="1"/>
  <c r="D88" i="1"/>
  <c r="CO88" i="1"/>
  <c r="DK94" i="1"/>
  <c r="DO94" i="1"/>
  <c r="DW94" i="1" s="1"/>
  <c r="DI94" i="1"/>
  <c r="B116" i="1"/>
  <c r="CK116" i="1"/>
  <c r="AY116" i="1"/>
  <c r="EG154" i="1"/>
  <c r="DZ154" i="1" s="1"/>
  <c r="BL154" i="1" s="1"/>
  <c r="BS154" i="1" s="1"/>
  <c r="CS98" i="1"/>
  <c r="BH98" i="1"/>
  <c r="EI47" i="1"/>
  <c r="EB47" i="1" s="1"/>
  <c r="BN47" i="1" s="1"/>
  <c r="CI84" i="1"/>
  <c r="DN113" i="1"/>
  <c r="DV113" i="1" s="1"/>
  <c r="DH113" i="1"/>
  <c r="DJ113" i="1"/>
  <c r="EJ158" i="1"/>
  <c r="EC158" i="1" s="1"/>
  <c r="BO158" i="1" s="1"/>
  <c r="EI186" i="1"/>
  <c r="EB186" i="1" s="1"/>
  <c r="BN186" i="1" s="1"/>
  <c r="DC84" i="1"/>
  <c r="DI117" i="1"/>
  <c r="DK117" i="1"/>
  <c r="DO117" i="1"/>
  <c r="DW117" i="1" s="1"/>
  <c r="EG157" i="1"/>
  <c r="DZ157" i="1" s="1"/>
  <c r="BL157" i="1" s="1"/>
  <c r="BS157" i="1" s="1"/>
  <c r="CO64" i="1"/>
  <c r="D64" i="1"/>
  <c r="CS88" i="1"/>
  <c r="DO115" i="1"/>
  <c r="DW115" i="1" s="1"/>
  <c r="DK115" i="1"/>
  <c r="DI115" i="1"/>
  <c r="DJ98" i="1"/>
  <c r="DN98" i="1"/>
  <c r="DV98" i="1" s="1"/>
  <c r="DH98" i="1"/>
  <c r="DH102" i="1"/>
  <c r="DN102" i="1"/>
  <c r="DV102" i="1" s="1"/>
  <c r="DJ102" i="1"/>
  <c r="EG145" i="1"/>
  <c r="DZ145" i="1" s="1"/>
  <c r="BL145" i="1" s="1"/>
  <c r="BS145" i="1" s="1"/>
  <c r="DJ106" i="1"/>
  <c r="DN106" i="1"/>
  <c r="DV106" i="1" s="1"/>
  <c r="DH106" i="1"/>
  <c r="C117" i="1"/>
  <c r="CM117" i="1"/>
  <c r="CU119" i="1"/>
  <c r="EI181" i="1"/>
  <c r="EB181" i="1" s="1"/>
  <c r="BN181" i="1" s="1"/>
  <c r="CK104" i="1"/>
  <c r="AY104" i="1"/>
  <c r="B104" i="1"/>
  <c r="D162" i="1"/>
  <c r="CO162" i="1"/>
  <c r="CU124" i="1"/>
  <c r="EG76" i="1"/>
  <c r="DZ76" i="1" s="1"/>
  <c r="BL76" i="1" s="1"/>
  <c r="BH163" i="1"/>
  <c r="DU163" i="1"/>
  <c r="CQ163" i="1"/>
  <c r="EE51" i="1"/>
  <c r="DX51" i="1" s="1"/>
  <c r="BJ51" i="1" s="1"/>
  <c r="D52" i="1"/>
  <c r="CO52" i="1"/>
  <c r="D184" i="1"/>
  <c r="EJ78" i="1"/>
  <c r="EC78" i="1" s="1"/>
  <c r="BO78" i="1" s="1"/>
  <c r="D114" i="1"/>
  <c r="CO114" i="1"/>
  <c r="EJ51" i="1"/>
  <c r="EC51" i="1" s="1"/>
  <c r="BO51" i="1" s="1"/>
  <c r="C179" i="1"/>
  <c r="EJ64" i="1"/>
  <c r="EC64" i="1" s="1"/>
  <c r="BO64" i="1" s="1"/>
  <c r="CG84" i="1"/>
  <c r="CU127" i="1"/>
  <c r="EI173" i="1"/>
  <c r="EB173" i="1" s="1"/>
  <c r="BN173" i="1" s="1"/>
  <c r="BE132" i="1"/>
  <c r="CU85" i="1"/>
  <c r="BE84" i="1"/>
  <c r="BS175" i="1"/>
  <c r="C175" i="1"/>
  <c r="D139" i="1"/>
  <c r="D145" i="1"/>
  <c r="CU90" i="1"/>
  <c r="DO50" i="1"/>
  <c r="DK50" i="1"/>
  <c r="DI50" i="1"/>
  <c r="DU50" i="1"/>
  <c r="DH118" i="1"/>
  <c r="DJ118" i="1"/>
  <c r="DN118" i="1"/>
  <c r="DV118" i="1" s="1"/>
  <c r="BF84" i="1"/>
  <c r="BF132" i="1"/>
  <c r="D125" i="1"/>
  <c r="CO125" i="1"/>
  <c r="EJ58" i="1"/>
  <c r="EC58" i="1" s="1"/>
  <c r="BO58" i="1" s="1"/>
  <c r="EH185" i="1"/>
  <c r="EA185" i="1" s="1"/>
  <c r="BM185" i="1" s="1"/>
  <c r="BS185" i="1" s="1"/>
  <c r="AY53" i="1"/>
  <c r="B53" i="1"/>
  <c r="CK53" i="1"/>
  <c r="AX136" i="1"/>
  <c r="EJ180" i="1"/>
  <c r="EC180" i="1" s="1"/>
  <c r="BO180" i="1" s="1"/>
  <c r="EJ173" i="1"/>
  <c r="EC173" i="1" s="1"/>
  <c r="BO173" i="1" s="1"/>
  <c r="EE52" i="1"/>
  <c r="DX52" i="1" s="1"/>
  <c r="BJ52" i="1" s="1"/>
  <c r="EI179" i="1"/>
  <c r="EB179" i="1" s="1"/>
  <c r="BN179" i="1" s="1"/>
  <c r="EJ185" i="1"/>
  <c r="EC185" i="1" s="1"/>
  <c r="BO185" i="1" s="1"/>
  <c r="EI175" i="1"/>
  <c r="EB175" i="1" s="1"/>
  <c r="BN175" i="1" s="1"/>
  <c r="EJ53" i="1"/>
  <c r="EC53" i="1" s="1"/>
  <c r="BO53" i="1" s="1"/>
  <c r="EI70" i="1"/>
  <c r="EB70" i="1" s="1"/>
  <c r="BN70" i="1" s="1"/>
  <c r="EI76" i="1"/>
  <c r="EB76" i="1" s="1"/>
  <c r="BN76" i="1" s="1"/>
  <c r="CS125" i="1"/>
  <c r="BH125" i="1"/>
  <c r="CO163" i="1"/>
  <c r="D163" i="1"/>
  <c r="CK168" i="1"/>
  <c r="EH77" i="1"/>
  <c r="EA77" i="1" s="1"/>
  <c r="BM77" i="1" s="1"/>
  <c r="EH72" i="1"/>
  <c r="EA72" i="1" s="1"/>
  <c r="BM72" i="1" s="1"/>
  <c r="EG57" i="1"/>
  <c r="DZ57" i="1" s="1"/>
  <c r="BL57" i="1" s="1"/>
  <c r="EH60" i="1"/>
  <c r="EA60" i="1" s="1"/>
  <c r="BM60" i="1" s="1"/>
  <c r="EJ50" i="1"/>
  <c r="EC50" i="1" s="1"/>
  <c r="BO50" i="1" s="1"/>
  <c r="EG46" i="1"/>
  <c r="DZ46" i="1" s="1"/>
  <c r="BL46" i="1" s="1"/>
  <c r="CU88" i="1"/>
  <c r="CU123" i="1"/>
  <c r="CS116" i="1"/>
  <c r="BH116" i="1"/>
  <c r="C123" i="1"/>
  <c r="CM123" i="1"/>
  <c r="CO164" i="1"/>
  <c r="D164" i="1"/>
  <c r="EH46" i="1"/>
  <c r="EA46" i="1" s="1"/>
  <c r="BM46" i="1" s="1"/>
  <c r="EJ75" i="1"/>
  <c r="EC75" i="1" s="1"/>
  <c r="BO75" i="1" s="1"/>
  <c r="C149" i="1"/>
  <c r="EJ161" i="1"/>
  <c r="EC161" i="1" s="1"/>
  <c r="BO161" i="1" s="1"/>
  <c r="D158" i="1"/>
  <c r="D171" i="1"/>
  <c r="B125" i="1"/>
  <c r="CK125" i="1"/>
  <c r="AY125" i="1"/>
  <c r="C56" i="1"/>
  <c r="CM56" i="1"/>
  <c r="EJ189" i="1"/>
  <c r="EC189" i="1" s="1"/>
  <c r="BO189" i="1" s="1"/>
  <c r="EI60" i="1"/>
  <c r="EB60" i="1" s="1"/>
  <c r="BN60" i="1" s="1"/>
  <c r="BS163" i="1"/>
  <c r="CM163" i="1"/>
  <c r="AY163" i="1"/>
  <c r="C163" i="1"/>
  <c r="D144" i="1"/>
  <c r="EI50" i="1"/>
  <c r="EB50" i="1" s="1"/>
  <c r="BN50" i="1" s="1"/>
  <c r="EJ149" i="1"/>
  <c r="EC149" i="1" s="1"/>
  <c r="BO149" i="1" s="1"/>
  <c r="DH107" i="1"/>
  <c r="DN107" i="1"/>
  <c r="DV107" i="1" s="1"/>
  <c r="DJ107" i="1"/>
  <c r="D86" i="1"/>
  <c r="CO86" i="1"/>
  <c r="DJ105" i="1"/>
  <c r="DH105" i="1"/>
  <c r="DN105" i="1"/>
  <c r="DV105" i="1" s="1"/>
  <c r="D126" i="1"/>
  <c r="CO126" i="1"/>
  <c r="DO111" i="1"/>
  <c r="DW111" i="1" s="1"/>
  <c r="DI111" i="1"/>
  <c r="DK111" i="1"/>
  <c r="C140" i="1"/>
  <c r="EH45" i="1"/>
  <c r="EA45" i="1" s="1"/>
  <c r="BM45" i="1" s="1"/>
  <c r="EO44" i="1"/>
  <c r="EG72" i="1"/>
  <c r="DZ72" i="1" s="1"/>
  <c r="BL72" i="1" s="1"/>
  <c r="EH76" i="1"/>
  <c r="EA76" i="1" s="1"/>
  <c r="BM76" i="1" s="1"/>
  <c r="D178" i="1"/>
  <c r="EI143" i="1"/>
  <c r="EB143" i="1" s="1"/>
  <c r="BN143" i="1" s="1"/>
  <c r="CK106" i="1"/>
  <c r="B106" i="1"/>
  <c r="AY106" i="1"/>
  <c r="EG73" i="1"/>
  <c r="DZ73" i="1" s="1"/>
  <c r="BL73" i="1" s="1"/>
  <c r="EG62" i="1"/>
  <c r="DZ62" i="1" s="1"/>
  <c r="BL62" i="1" s="1"/>
  <c r="B126" i="1"/>
  <c r="AY126" i="1"/>
  <c r="CK126" i="1"/>
  <c r="EG151" i="1"/>
  <c r="DZ151" i="1" s="1"/>
  <c r="BL151" i="1" s="1"/>
  <c r="BS151" i="1" s="1"/>
  <c r="DI118" i="1"/>
  <c r="DO118" i="1"/>
  <c r="DW118" i="1" s="1"/>
  <c r="DK118" i="1"/>
  <c r="EJ144" i="1"/>
  <c r="EC144" i="1" s="1"/>
  <c r="BO144" i="1" s="1"/>
  <c r="EI150" i="1"/>
  <c r="EB150" i="1" s="1"/>
  <c r="BN150" i="1" s="1"/>
  <c r="EJ164" i="1"/>
  <c r="EC164" i="1" s="1"/>
  <c r="BO164" i="1" s="1"/>
  <c r="DN100" i="1"/>
  <c r="DV100" i="1" s="1"/>
  <c r="DH100" i="1"/>
  <c r="DJ100" i="1"/>
  <c r="CU52" i="1"/>
  <c r="EH182" i="1"/>
  <c r="EA182" i="1" s="1"/>
  <c r="BM182" i="1" s="1"/>
  <c r="BS182" i="1" s="1"/>
  <c r="CS115" i="1"/>
  <c r="BH115" i="1"/>
  <c r="CS108" i="1"/>
  <c r="BH108" i="1"/>
  <c r="EJ160" i="1"/>
  <c r="EC160" i="1" s="1"/>
  <c r="BO160" i="1" s="1"/>
  <c r="CS95" i="1"/>
  <c r="BH95" i="1"/>
  <c r="DJ124" i="1"/>
  <c r="DN124" i="1"/>
  <c r="DV124" i="1" s="1"/>
  <c r="DH124" i="1"/>
  <c r="C143" i="1"/>
  <c r="BS166" i="1"/>
  <c r="C166" i="1"/>
  <c r="EH79" i="1"/>
  <c r="EA79" i="1" s="1"/>
  <c r="BM79" i="1" s="1"/>
  <c r="EH178" i="1"/>
  <c r="EA178" i="1" s="1"/>
  <c r="BM178" i="1" s="1"/>
  <c r="BS178" i="1" s="1"/>
  <c r="C162" i="1"/>
  <c r="BS162" i="1"/>
  <c r="CM162" i="1"/>
  <c r="DO129" i="1"/>
  <c r="DW129" i="1" s="1"/>
  <c r="DK129" i="1"/>
  <c r="DI129" i="1"/>
  <c r="CS101" i="1"/>
  <c r="BH101" i="1"/>
  <c r="DK125" i="1"/>
  <c r="DO125" i="1"/>
  <c r="DW125" i="1" s="1"/>
  <c r="DI125" i="1"/>
  <c r="CS56" i="1"/>
  <c r="DU53" i="1"/>
  <c r="DO53" i="1"/>
  <c r="DK53" i="1"/>
  <c r="DI53" i="1"/>
  <c r="DH86" i="1"/>
  <c r="DJ86" i="1"/>
  <c r="DN86" i="1"/>
  <c r="C108" i="1"/>
  <c r="CM108" i="1"/>
  <c r="D102" i="1"/>
  <c r="CO102" i="1"/>
  <c r="D161" i="1"/>
  <c r="CO161" i="1"/>
  <c r="CU116" i="1"/>
  <c r="CU50" i="1"/>
  <c r="DJ123" i="1"/>
  <c r="DH123" i="1"/>
  <c r="DN123" i="1"/>
  <c r="DV123" i="1" s="1"/>
  <c r="B98" i="1"/>
  <c r="CK98" i="1"/>
  <c r="AY98" i="1"/>
  <c r="EG149" i="1"/>
  <c r="DZ149" i="1" s="1"/>
  <c r="BL149" i="1" s="1"/>
  <c r="BS149" i="1" s="1"/>
  <c r="CU101" i="1"/>
  <c r="BS161" i="1"/>
  <c r="C161" i="1"/>
  <c r="CM161" i="1"/>
  <c r="DC44" i="1"/>
  <c r="CS64" i="1"/>
  <c r="DK95" i="1"/>
  <c r="DO95" i="1"/>
  <c r="DW95" i="1" s="1"/>
  <c r="DI95" i="1"/>
  <c r="CU129" i="1"/>
  <c r="EI168" i="1"/>
  <c r="EB168" i="1" s="1"/>
  <c r="BN168" i="1" s="1"/>
  <c r="EH78" i="1"/>
  <c r="EA78" i="1" s="1"/>
  <c r="BM78" i="1" s="1"/>
  <c r="EH184" i="1"/>
  <c r="EA184" i="1" s="1"/>
  <c r="BM184" i="1" s="1"/>
  <c r="BS184" i="1" s="1"/>
  <c r="CK92" i="1"/>
  <c r="B92" i="1"/>
  <c r="AY92" i="1"/>
  <c r="BH49" i="1"/>
  <c r="DT49" i="1"/>
  <c r="CQ49" i="1"/>
  <c r="CU114" i="1"/>
  <c r="EG152" i="1"/>
  <c r="DZ152" i="1" s="1"/>
  <c r="BL152" i="1" s="1"/>
  <c r="BS152" i="1" s="1"/>
  <c r="D188" i="1"/>
  <c r="EI153" i="1"/>
  <c r="EB153" i="1" s="1"/>
  <c r="BN153" i="1" s="1"/>
  <c r="EJ62" i="1"/>
  <c r="EC62" i="1" s="1"/>
  <c r="BO62" i="1" s="1"/>
  <c r="CO118" i="1"/>
  <c r="D118" i="1"/>
  <c r="EJ175" i="1"/>
  <c r="EC175" i="1" s="1"/>
  <c r="BO175" i="1" s="1"/>
  <c r="EJ153" i="1"/>
  <c r="EC153" i="1" s="1"/>
  <c r="BO153" i="1" s="1"/>
  <c r="EI188" i="1"/>
  <c r="EB188" i="1" s="1"/>
  <c r="BN188" i="1" s="1"/>
  <c r="DH49" i="1"/>
  <c r="DN49" i="1"/>
  <c r="DJ49" i="1"/>
  <c r="DI56" i="1"/>
  <c r="DU56" i="1"/>
  <c r="DO56" i="1"/>
  <c r="DK56" i="1"/>
  <c r="CS168" i="1"/>
  <c r="BZ168" i="1"/>
  <c r="EG146" i="1"/>
  <c r="DZ146" i="1" s="1"/>
  <c r="BL146" i="1" s="1"/>
  <c r="BS146" i="1" s="1"/>
  <c r="D94" i="1"/>
  <c r="CO94" i="1"/>
  <c r="CS104" i="1"/>
  <c r="BH104" i="1"/>
  <c r="B93" i="1"/>
  <c r="AY93" i="1"/>
  <c r="CK93" i="1"/>
  <c r="AY50" i="1"/>
  <c r="B50" i="1"/>
  <c r="CK50" i="1"/>
  <c r="BH112" i="1"/>
  <c r="CS112" i="1"/>
  <c r="D149" i="1"/>
  <c r="DI91" i="1"/>
  <c r="DK91" i="1"/>
  <c r="DO91" i="1"/>
  <c r="DW91" i="1" s="1"/>
  <c r="Y29" i="2"/>
  <c r="BG28" i="1" s="1"/>
  <c r="BH102" i="1"/>
  <c r="CS102" i="1"/>
  <c r="EI157" i="1"/>
  <c r="EB157" i="1" s="1"/>
  <c r="BN157" i="1" s="1"/>
  <c r="C118" i="1"/>
  <c r="CM118" i="1"/>
  <c r="EI172" i="1"/>
  <c r="EB172" i="1" s="1"/>
  <c r="BN172" i="1" s="1"/>
  <c r="CM63" i="1"/>
  <c r="C63" i="1"/>
  <c r="EI53" i="1"/>
  <c r="EB53" i="1" s="1"/>
  <c r="BN53" i="1" s="1"/>
  <c r="CU109" i="1"/>
  <c r="CS130" i="1"/>
  <c r="BH130" i="1"/>
  <c r="CU103" i="1"/>
  <c r="DE136" i="1"/>
  <c r="BS174" i="1"/>
  <c r="C174" i="1"/>
  <c r="C185" i="1"/>
  <c r="EG144" i="1"/>
  <c r="DZ144" i="1" s="1"/>
  <c r="BL144" i="1" s="1"/>
  <c r="BS144" i="1" s="1"/>
  <c r="CU104" i="1"/>
  <c r="D142" i="1"/>
  <c r="D185" i="1"/>
  <c r="CU100" i="1"/>
  <c r="EG147" i="1"/>
  <c r="DZ147" i="1" s="1"/>
  <c r="BL147" i="1" s="1"/>
  <c r="BS147" i="1" s="1"/>
  <c r="C141" i="1"/>
  <c r="D141" i="1"/>
  <c r="EJ147" i="1"/>
  <c r="EC147" i="1" s="1"/>
  <c r="BO147" i="1" s="1"/>
  <c r="AY90" i="1"/>
  <c r="B90" i="1"/>
  <c r="CK90" i="1"/>
  <c r="EH139" i="1"/>
  <c r="EA139" i="1" s="1"/>
  <c r="BM139" i="1" s="1"/>
  <c r="B117" i="1"/>
  <c r="AY117" i="1"/>
  <c r="CK117" i="1"/>
  <c r="EG155" i="1"/>
  <c r="DZ155" i="1" s="1"/>
  <c r="BL155" i="1" s="1"/>
  <c r="BS155" i="1" s="1"/>
  <c r="DJ112" i="1"/>
  <c r="DN112" i="1"/>
  <c r="DV112" i="1" s="1"/>
  <c r="DH112" i="1"/>
  <c r="EG60" i="1"/>
  <c r="DZ60" i="1" s="1"/>
  <c r="BL60" i="1" s="1"/>
  <c r="EH52" i="1"/>
  <c r="EA52" i="1" s="1"/>
  <c r="BM52" i="1" s="1"/>
  <c r="C182" i="1"/>
  <c r="EG143" i="1"/>
  <c r="DZ143" i="1" s="1"/>
  <c r="BL143" i="1" s="1"/>
  <c r="BS143" i="1" s="1"/>
  <c r="D152" i="1"/>
  <c r="D173" i="1"/>
  <c r="BH103" i="1"/>
  <c r="CS103" i="1"/>
  <c r="C89" i="1"/>
  <c r="CM89" i="1"/>
  <c r="CU92" i="1"/>
  <c r="EH58" i="1"/>
  <c r="EA58" i="1" s="1"/>
  <c r="BM58" i="1" s="1"/>
  <c r="D175" i="1"/>
  <c r="DI106" i="1"/>
  <c r="DK106" i="1"/>
  <c r="DO106" i="1"/>
  <c r="DW106" i="1" s="1"/>
  <c r="D160" i="1"/>
  <c r="EI178" i="1"/>
  <c r="EB178" i="1" s="1"/>
  <c r="BN178" i="1" s="1"/>
  <c r="B87" i="1"/>
  <c r="CK87" i="1"/>
  <c r="AY87" i="1"/>
  <c r="C171" i="1"/>
  <c r="BS171" i="1"/>
  <c r="DT92" i="1"/>
  <c r="BH92" i="1"/>
  <c r="CQ92" i="1"/>
  <c r="EJ148" i="1"/>
  <c r="EC148" i="1" s="1"/>
  <c r="BO148" i="1" s="1"/>
  <c r="EJ56" i="1"/>
  <c r="EC56" i="1" s="1"/>
  <c r="BO56" i="1" s="1"/>
  <c r="EJ76" i="1"/>
  <c r="EC76" i="1" s="1"/>
  <c r="BO76" i="1" s="1"/>
  <c r="D138" i="1"/>
  <c r="AW136" i="1"/>
  <c r="EI169" i="1"/>
  <c r="EB169" i="1" s="1"/>
  <c r="BN169" i="1" s="1"/>
  <c r="CU97" i="1"/>
  <c r="EH47" i="1"/>
  <c r="EA47" i="1" s="1"/>
  <c r="BM47" i="1" s="1"/>
  <c r="DU168" i="1"/>
  <c r="BH168" i="1"/>
  <c r="CQ168" i="1"/>
  <c r="CQ87" i="1"/>
  <c r="DT87" i="1"/>
  <c r="BH87" i="1"/>
  <c r="D189" i="1"/>
  <c r="CS86" i="1"/>
  <c r="EF49" i="1"/>
  <c r="DY49" i="1" s="1"/>
  <c r="BK49" i="1" s="1"/>
  <c r="EH51" i="1"/>
  <c r="EA51" i="1" s="1"/>
  <c r="BM51" i="1" s="1"/>
  <c r="CO120" i="1"/>
  <c r="D120" i="1"/>
  <c r="EF56" i="1"/>
  <c r="DY56" i="1" s="1"/>
  <c r="BK56" i="1" s="1"/>
  <c r="DT91" i="1"/>
  <c r="BH91" i="1"/>
  <c r="CQ91" i="1"/>
  <c r="CU91" i="1"/>
  <c r="BH106" i="1"/>
  <c r="CS106" i="1"/>
  <c r="CM100" i="1"/>
  <c r="C100" i="1"/>
  <c r="BS160" i="1"/>
  <c r="C160" i="1"/>
  <c r="EH49" i="1"/>
  <c r="EA49" i="1" s="1"/>
  <c r="BM49" i="1" s="1"/>
  <c r="D154" i="1"/>
  <c r="CS93" i="1"/>
  <c r="BD132" i="1"/>
  <c r="BD84" i="1"/>
  <c r="BH93" i="1"/>
  <c r="EJ166" i="1"/>
  <c r="EC166" i="1" s="1"/>
  <c r="BO166" i="1" s="1"/>
  <c r="CM165" i="1"/>
  <c r="BS165" i="1"/>
  <c r="C165" i="1"/>
  <c r="CU112" i="1"/>
  <c r="CS114" i="1"/>
  <c r="BH114" i="1"/>
  <c r="EI147" i="1"/>
  <c r="EB147" i="1" s="1"/>
  <c r="BN147" i="1" s="1"/>
  <c r="EJ174" i="1"/>
  <c r="EC174" i="1" s="1"/>
  <c r="BO174" i="1" s="1"/>
  <c r="D56" i="1"/>
  <c r="CO56" i="1"/>
  <c r="EJ141" i="1"/>
  <c r="EC141" i="1" s="1"/>
  <c r="BO141" i="1" s="1"/>
  <c r="EI75" i="1"/>
  <c r="EB75" i="1" s="1"/>
  <c r="BN75" i="1" s="1"/>
  <c r="EI164" i="1"/>
  <c r="EB164" i="1" s="1"/>
  <c r="BN164" i="1" s="1"/>
  <c r="C152" i="1"/>
  <c r="CM49" i="1"/>
  <c r="C49" i="1"/>
  <c r="EG64" i="1"/>
  <c r="DZ64" i="1" s="1"/>
  <c r="BL64" i="1" s="1"/>
  <c r="EI174" i="1"/>
  <c r="EB174" i="1" s="1"/>
  <c r="BN174" i="1" s="1"/>
  <c r="D51" i="1"/>
  <c r="CO51" i="1"/>
  <c r="EH189" i="1"/>
  <c r="EA189" i="1" s="1"/>
  <c r="BM189" i="1" s="1"/>
  <c r="DI126" i="1"/>
  <c r="DK126" i="1"/>
  <c r="DO126" i="1"/>
  <c r="DW126" i="1" s="1"/>
  <c r="EI48" i="1"/>
  <c r="EB48" i="1" s="1"/>
  <c r="BN48" i="1" s="1"/>
  <c r="D117" i="1"/>
  <c r="CO117" i="1"/>
  <c r="CU102" i="1"/>
  <c r="C122" i="1"/>
  <c r="CM122" i="1"/>
  <c r="CU126" i="1"/>
  <c r="DD84" i="1"/>
  <c r="EE56" i="1"/>
  <c r="DX56" i="1" s="1"/>
  <c r="BJ56" i="1" s="1"/>
  <c r="EG153" i="1"/>
  <c r="DZ153" i="1" s="1"/>
  <c r="BL153" i="1" s="1"/>
  <c r="BS153" i="1" s="1"/>
  <c r="CU107" i="1"/>
  <c r="CS124" i="1"/>
  <c r="BH124" i="1"/>
  <c r="EI163" i="1"/>
  <c r="EB163" i="1" s="1"/>
  <c r="BN163" i="1" s="1"/>
  <c r="BU163" i="1" s="1"/>
  <c r="B56" i="1"/>
  <c r="CK56" i="1"/>
  <c r="AY56" i="1"/>
  <c r="C156" i="1"/>
  <c r="BH97" i="1"/>
  <c r="CS97" i="1"/>
  <c r="EH179" i="1"/>
  <c r="EA179" i="1" s="1"/>
  <c r="BM179" i="1" s="1"/>
  <c r="BS179" i="1" s="1"/>
  <c r="D85" i="1"/>
  <c r="AW84" i="1"/>
  <c r="CO85" i="1"/>
  <c r="EI161" i="1"/>
  <c r="EB161" i="1" s="1"/>
  <c r="BN161" i="1" s="1"/>
  <c r="CS126" i="1"/>
  <c r="BH126" i="1"/>
  <c r="EI185" i="1"/>
  <c r="EB185" i="1" s="1"/>
  <c r="BN185" i="1" s="1"/>
  <c r="D174" i="1"/>
  <c r="EI155" i="1"/>
  <c r="EB155" i="1" s="1"/>
  <c r="BN155" i="1" s="1"/>
  <c r="EI162" i="1"/>
  <c r="EB162" i="1" s="1"/>
  <c r="BN162" i="1" s="1"/>
  <c r="EJ159" i="1"/>
  <c r="EC159" i="1" s="1"/>
  <c r="BO159" i="1" s="1"/>
  <c r="EJ46" i="1"/>
  <c r="EC46" i="1" s="1"/>
  <c r="BO46" i="1" s="1"/>
  <c r="D115" i="1"/>
  <c r="CO115" i="1"/>
  <c r="CS107" i="1"/>
  <c r="BH107" i="1"/>
  <c r="BH120" i="1"/>
  <c r="CS120" i="1"/>
  <c r="CM90" i="1"/>
  <c r="C90" i="1"/>
  <c r="C181" i="1"/>
  <c r="CU99" i="1"/>
  <c r="BH109" i="1"/>
  <c r="CS109" i="1"/>
  <c r="EJ186" i="1"/>
  <c r="EC186" i="1" s="1"/>
  <c r="BO186" i="1" s="1"/>
  <c r="EG53" i="1"/>
  <c r="DZ53" i="1" s="1"/>
  <c r="BL53" i="1" s="1"/>
  <c r="CK52" i="1"/>
  <c r="B52" i="1"/>
  <c r="AY52" i="1"/>
  <c r="EJ63" i="1"/>
  <c r="EC63" i="1" s="1"/>
  <c r="BO63" i="1" s="1"/>
  <c r="EH56" i="1"/>
  <c r="EA56" i="1" s="1"/>
  <c r="BM56" i="1" s="1"/>
  <c r="B123" i="1"/>
  <c r="AY123" i="1"/>
  <c r="CK123" i="1"/>
  <c r="C150" i="1"/>
  <c r="CU130" i="1"/>
  <c r="EH53" i="1"/>
  <c r="EA53" i="1" s="1"/>
  <c r="BM53" i="1" s="1"/>
  <c r="EJ188" i="1"/>
  <c r="EC188" i="1" s="1"/>
  <c r="BO188" i="1" s="1"/>
  <c r="C170" i="1"/>
  <c r="BS170" i="1"/>
  <c r="CQ89" i="1"/>
  <c r="DT89" i="1"/>
  <c r="BH89" i="1"/>
  <c r="EO136" i="1"/>
  <c r="EH137" i="1"/>
  <c r="EA137" i="1" s="1"/>
  <c r="BM137" i="1" s="1"/>
  <c r="EH64" i="1"/>
  <c r="EA64" i="1" s="1"/>
  <c r="BM64" i="1" s="1"/>
  <c r="CO113" i="1"/>
  <c r="D113" i="1"/>
  <c r="C177" i="1"/>
  <c r="BC132" i="1"/>
  <c r="BH85" i="1"/>
  <c r="CS85" i="1"/>
  <c r="BC84" i="1"/>
  <c r="EJ73" i="1"/>
  <c r="EC73" i="1" s="1"/>
  <c r="BO73" i="1" s="1"/>
  <c r="CS163" i="1"/>
  <c r="BZ163" i="1"/>
  <c r="B49" i="1"/>
  <c r="AY49" i="1"/>
  <c r="CK49" i="1"/>
  <c r="DJ110" i="1"/>
  <c r="DN110" i="1"/>
  <c r="DV110" i="1" s="1"/>
  <c r="DH110" i="1"/>
  <c r="C180" i="1"/>
  <c r="DT88" i="1"/>
  <c r="BH88" i="1"/>
  <c r="CQ88" i="1"/>
  <c r="CM88" i="1"/>
  <c r="C88" i="1"/>
  <c r="EG75" i="1"/>
  <c r="DZ75" i="1" s="1"/>
  <c r="BL75" i="1" s="1"/>
  <c r="EI144" i="1"/>
  <c r="EB144" i="1" s="1"/>
  <c r="BN144" i="1" s="1"/>
  <c r="EE50" i="1"/>
  <c r="DX50" i="1" s="1"/>
  <c r="BJ50" i="1" s="1"/>
  <c r="EI156" i="1"/>
  <c r="EB156" i="1" s="1"/>
  <c r="BN156" i="1" s="1"/>
  <c r="EH73" i="1"/>
  <c r="EA73" i="1" s="1"/>
  <c r="BM73" i="1" s="1"/>
  <c r="D116" i="1"/>
  <c r="CO116" i="1"/>
  <c r="CU118" i="1"/>
  <c r="CM64" i="1"/>
  <c r="C64" i="1"/>
  <c r="EG142" i="1"/>
  <c r="D140" i="1"/>
  <c r="EJ179" i="1"/>
  <c r="EC179" i="1" s="1"/>
  <c r="BO179" i="1" s="1"/>
  <c r="CK86" i="1"/>
  <c r="AY86" i="1"/>
  <c r="B86" i="1"/>
  <c r="CU121" i="1"/>
  <c r="EJ57" i="1"/>
  <c r="EC57" i="1" s="1"/>
  <c r="BO57" i="1" s="1"/>
  <c r="D183" i="1"/>
  <c r="EI72" i="1"/>
  <c r="EB72" i="1" s="1"/>
  <c r="BN72" i="1" s="1"/>
  <c r="EF51" i="1"/>
  <c r="DY51" i="1" s="1"/>
  <c r="BK51" i="1" s="1"/>
  <c r="EH74" i="1"/>
  <c r="EA74" i="1" s="1"/>
  <c r="BM74" i="1" s="1"/>
  <c r="DH119" i="1"/>
  <c r="DN119" i="1"/>
  <c r="DV119" i="1" s="1"/>
  <c r="DJ119" i="1"/>
  <c r="C119" i="1"/>
  <c r="CM119" i="1"/>
  <c r="CM107" i="1"/>
  <c r="C107" i="1"/>
  <c r="EI146" i="1"/>
  <c r="EB146" i="1" s="1"/>
  <c r="BN146" i="1" s="1"/>
  <c r="BS169" i="1"/>
  <c r="C169" i="1"/>
  <c r="CU93" i="1"/>
  <c r="B91" i="1"/>
  <c r="AY91" i="1"/>
  <c r="CK91" i="1"/>
  <c r="CM51" i="1"/>
  <c r="C51" i="1"/>
  <c r="EH48" i="1"/>
  <c r="EA48" i="1" s="1"/>
  <c r="BM48" i="1" s="1"/>
  <c r="D157" i="1"/>
  <c r="CK114" i="1"/>
  <c r="AY114" i="1"/>
  <c r="B114" i="1"/>
  <c r="EJ61" i="1"/>
  <c r="EC61" i="1" s="1"/>
  <c r="BO61" i="1" s="1"/>
  <c r="CS129" i="1"/>
  <c r="BH129" i="1"/>
  <c r="CS52" i="1"/>
  <c r="EH138" i="1"/>
  <c r="EA138" i="1" s="1"/>
  <c r="BM138" i="1" s="1"/>
  <c r="DO119" i="1"/>
  <c r="DW119" i="1" s="1"/>
  <c r="DK119" i="1"/>
  <c r="DI119" i="1"/>
  <c r="DU64" i="1"/>
  <c r="DK64" i="1"/>
  <c r="DI64" i="1"/>
  <c r="DO64" i="1"/>
  <c r="C144" i="1"/>
  <c r="BS164" i="1"/>
  <c r="C164" i="1"/>
  <c r="CM164" i="1"/>
  <c r="EG77" i="1"/>
  <c r="DZ77" i="1" s="1"/>
  <c r="BL77" i="1" s="1"/>
  <c r="EI56" i="1"/>
  <c r="EB56" i="1" s="1"/>
  <c r="BN56" i="1" s="1"/>
  <c r="EJ48" i="1"/>
  <c r="EC48" i="1" s="1"/>
  <c r="BO48" i="1" s="1"/>
  <c r="EF50" i="1"/>
  <c r="DY50" i="1" s="1"/>
  <c r="BK50" i="1" s="1"/>
  <c r="EI51" i="1"/>
  <c r="EB51" i="1" s="1"/>
  <c r="BN51" i="1" s="1"/>
  <c r="BH99" i="1"/>
  <c r="CS99" i="1"/>
  <c r="AX84" i="1"/>
  <c r="CK120" i="1"/>
  <c r="AY120" i="1"/>
  <c r="B120" i="1"/>
  <c r="EG79" i="1"/>
  <c r="DZ79" i="1" s="1"/>
  <c r="BL79" i="1" s="1"/>
  <c r="CM99" i="1"/>
  <c r="C99" i="1"/>
  <c r="C50" i="1"/>
  <c r="CM50" i="1"/>
  <c r="CU106" i="1"/>
  <c r="D181" i="1"/>
  <c r="EH70" i="1"/>
  <c r="EA70" i="1" s="1"/>
  <c r="BM70" i="1" s="1"/>
  <c r="CU128" i="1"/>
  <c r="CS111" i="1"/>
  <c r="BH111" i="1"/>
  <c r="C52" i="1"/>
  <c r="CM52" i="1"/>
  <c r="EF52" i="1"/>
  <c r="DY52" i="1" s="1"/>
  <c r="BK52" i="1" s="1"/>
  <c r="BS168" i="1"/>
  <c r="AY168" i="1"/>
  <c r="CM168" i="1"/>
  <c r="C168" i="1"/>
  <c r="EG45" i="1"/>
  <c r="DZ45" i="1" s="1"/>
  <c r="BL45" i="1" s="1"/>
  <c r="EN44" i="1"/>
  <c r="D182" i="1"/>
  <c r="Y32" i="2"/>
  <c r="BG31" i="1" s="1"/>
  <c r="AZ32" i="1"/>
  <c r="A33" i="2"/>
  <c r="DG32" i="1"/>
  <c r="F32" i="1"/>
  <c r="A33" i="1"/>
  <c r="I33" i="2"/>
  <c r="O33" i="2"/>
  <c r="U33" i="2"/>
  <c r="F33" i="2"/>
  <c r="X33" i="2"/>
  <c r="V33" i="2"/>
  <c r="L33" i="2"/>
  <c r="R33" i="2"/>
  <c r="Q33" i="2"/>
  <c r="K33" i="2"/>
  <c r="D33" i="2"/>
  <c r="S33" i="2"/>
  <c r="J33" i="2"/>
  <c r="C33" i="2"/>
  <c r="T33" i="2"/>
  <c r="H33" i="2"/>
  <c r="M33" i="2"/>
  <c r="E33" i="2"/>
  <c r="N33" i="2"/>
  <c r="G33" i="2"/>
  <c r="P33" i="2"/>
  <c r="B33" i="2"/>
  <c r="W33" i="2"/>
  <c r="BT168" i="1" l="1"/>
  <c r="BT178" i="1"/>
  <c r="BT141" i="1"/>
  <c r="BT147" i="1"/>
  <c r="BT179" i="1"/>
  <c r="BT146" i="1"/>
  <c r="BT155" i="1"/>
  <c r="BT170" i="1"/>
  <c r="BT144" i="1"/>
  <c r="BT161" i="1"/>
  <c r="BT164" i="1"/>
  <c r="BT153" i="1"/>
  <c r="BT174" i="1"/>
  <c r="BT157" i="1"/>
  <c r="BT151" i="1"/>
  <c r="BT185" i="1"/>
  <c r="BT180" i="1"/>
  <c r="BT159" i="1"/>
  <c r="BT165" i="1"/>
  <c r="BT167" i="1"/>
  <c r="BT183" i="1"/>
  <c r="BT175" i="1"/>
  <c r="BT176" i="1"/>
  <c r="BT150" i="1"/>
  <c r="BT169" i="1"/>
  <c r="BT160" i="1"/>
  <c r="BT152" i="1"/>
  <c r="BT184" i="1"/>
  <c r="BT163" i="1"/>
  <c r="BT154" i="1"/>
  <c r="BT172" i="1"/>
  <c r="BT156" i="1"/>
  <c r="BT166" i="1"/>
  <c r="BT148" i="1"/>
  <c r="BT171" i="1"/>
  <c r="BT149" i="1"/>
  <c r="BT162" i="1"/>
  <c r="BT145" i="1"/>
  <c r="BT158" i="1"/>
  <c r="BT186" i="1"/>
  <c r="BT177" i="1"/>
  <c r="DP98" i="1"/>
  <c r="BU144" i="1"/>
  <c r="DV52" i="1"/>
  <c r="E92" i="1"/>
  <c r="DS129" i="1"/>
  <c r="DM116" i="1"/>
  <c r="DS95" i="1"/>
  <c r="DL123" i="1"/>
  <c r="DQ115" i="1"/>
  <c r="DL56" i="1"/>
  <c r="DQ122" i="1"/>
  <c r="DP88" i="1"/>
  <c r="DS90" i="1"/>
  <c r="DQ90" i="1"/>
  <c r="DW168" i="1"/>
  <c r="DW50" i="1"/>
  <c r="DW49" i="1"/>
  <c r="DW52" i="1"/>
  <c r="DV64" i="1"/>
  <c r="DW163" i="1"/>
  <c r="DW51" i="1"/>
  <c r="DW53" i="1"/>
  <c r="DV49" i="1"/>
  <c r="DW64" i="1"/>
  <c r="DW56" i="1"/>
  <c r="DV51" i="1"/>
  <c r="DV50" i="1"/>
  <c r="DV53" i="1"/>
  <c r="DV56" i="1"/>
  <c r="E50" i="1"/>
  <c r="BU171" i="1"/>
  <c r="BQ53" i="1"/>
  <c r="DQ117" i="1"/>
  <c r="DQ163" i="1"/>
  <c r="DP90" i="1"/>
  <c r="DP130" i="1"/>
  <c r="CP86" i="1"/>
  <c r="CP50" i="1"/>
  <c r="DP106" i="1"/>
  <c r="BU187" i="1"/>
  <c r="DV86" i="1"/>
  <c r="C84" i="1"/>
  <c r="DV88" i="1"/>
  <c r="BU52" i="1"/>
  <c r="DH131" i="1"/>
  <c r="DI84" i="1"/>
  <c r="BU176" i="1"/>
  <c r="DV89" i="1"/>
  <c r="BU170" i="1"/>
  <c r="DI131" i="1"/>
  <c r="BU177" i="1"/>
  <c r="CP51" i="1"/>
  <c r="DI132" i="1"/>
  <c r="DM114" i="1"/>
  <c r="DQ110" i="1"/>
  <c r="DP105" i="1"/>
  <c r="DM107" i="1"/>
  <c r="BX53" i="1"/>
  <c r="BY54" i="1" s="1"/>
  <c r="DQ53" i="1"/>
  <c r="DL96" i="1"/>
  <c r="DL121" i="1"/>
  <c r="DL126" i="1"/>
  <c r="DP86" i="1"/>
  <c r="DP122" i="1"/>
  <c r="DM87" i="1"/>
  <c r="DL89" i="1"/>
  <c r="BQ52" i="1"/>
  <c r="BI125" i="1"/>
  <c r="BU156" i="1"/>
  <c r="CP113" i="1"/>
  <c r="CP90" i="1"/>
  <c r="DV87" i="1"/>
  <c r="DM93" i="1"/>
  <c r="BU164" i="1"/>
  <c r="BV164" i="1" s="1"/>
  <c r="DS96" i="1"/>
  <c r="DQ93" i="1"/>
  <c r="DS93" i="1"/>
  <c r="DP104" i="1"/>
  <c r="DQ118" i="1"/>
  <c r="DL110" i="1"/>
  <c r="DH84" i="1"/>
  <c r="E89" i="1"/>
  <c r="BI96" i="1"/>
  <c r="E113" i="1"/>
  <c r="DL130" i="1"/>
  <c r="CP122" i="1"/>
  <c r="CP127" i="1"/>
  <c r="DM108" i="1"/>
  <c r="DQ120" i="1"/>
  <c r="DM97" i="1"/>
  <c r="BI128" i="1"/>
  <c r="DM86" i="1"/>
  <c r="DL115" i="1"/>
  <c r="DS97" i="1"/>
  <c r="DP85" i="1"/>
  <c r="CP89" i="1"/>
  <c r="E93" i="1"/>
  <c r="CP104" i="1"/>
  <c r="E108" i="1"/>
  <c r="CP100" i="1"/>
  <c r="DV91" i="1"/>
  <c r="DP125" i="1"/>
  <c r="DS127" i="1"/>
  <c r="CP53" i="1"/>
  <c r="DM127" i="1"/>
  <c r="E51" i="1"/>
  <c r="CP163" i="1"/>
  <c r="DV90" i="1"/>
  <c r="E87" i="1"/>
  <c r="DQ130" i="1"/>
  <c r="DM109" i="1"/>
  <c r="DS114" i="1"/>
  <c r="DP50" i="1"/>
  <c r="DL112" i="1"/>
  <c r="BI120" i="1"/>
  <c r="BS49" i="1"/>
  <c r="DM101" i="1"/>
  <c r="D136" i="1"/>
  <c r="DL128" i="1"/>
  <c r="DM92" i="1"/>
  <c r="DM123" i="1"/>
  <c r="DQ89" i="1"/>
  <c r="DS99" i="1"/>
  <c r="E119" i="1"/>
  <c r="DL100" i="1"/>
  <c r="DP113" i="1"/>
  <c r="DQ96" i="1"/>
  <c r="CP101" i="1"/>
  <c r="BI122" i="1"/>
  <c r="E110" i="1"/>
  <c r="DP89" i="1"/>
  <c r="DQ91" i="1"/>
  <c r="E105" i="1"/>
  <c r="DQ129" i="1"/>
  <c r="CP97" i="1"/>
  <c r="DL122" i="1"/>
  <c r="DQ95" i="1"/>
  <c r="DP107" i="1"/>
  <c r="DS102" i="1"/>
  <c r="DP109" i="1"/>
  <c r="BI119" i="1"/>
  <c r="DS104" i="1"/>
  <c r="DS128" i="1"/>
  <c r="E91" i="1"/>
  <c r="BU138" i="1"/>
  <c r="E64" i="1"/>
  <c r="E115" i="1"/>
  <c r="E97" i="1"/>
  <c r="E127" i="1"/>
  <c r="E121" i="1"/>
  <c r="CP120" i="1"/>
  <c r="DQ109" i="1"/>
  <c r="CP91" i="1"/>
  <c r="DM102" i="1"/>
  <c r="E114" i="1"/>
  <c r="DS109" i="1"/>
  <c r="DQ101" i="1"/>
  <c r="E100" i="1"/>
  <c r="DM96" i="1"/>
  <c r="DL106" i="1"/>
  <c r="CP119" i="1"/>
  <c r="BI109" i="1"/>
  <c r="CP87" i="1"/>
  <c r="E98" i="1"/>
  <c r="E106" i="1"/>
  <c r="DP102" i="1"/>
  <c r="E120" i="1"/>
  <c r="E116" i="1"/>
  <c r="DQ94" i="1"/>
  <c r="DS118" i="1"/>
  <c r="DP123" i="1"/>
  <c r="DM129" i="1"/>
  <c r="DM94" i="1"/>
  <c r="DM95" i="1"/>
  <c r="DL86" i="1"/>
  <c r="DS94" i="1"/>
  <c r="BI116" i="1"/>
  <c r="DV92" i="1"/>
  <c r="BI106" i="1"/>
  <c r="BS70" i="1"/>
  <c r="BT70" i="1" s="1"/>
  <c r="BU148" i="1"/>
  <c r="DL107" i="1"/>
  <c r="BU184" i="1"/>
  <c r="CB50" i="1"/>
  <c r="CB49" i="1"/>
  <c r="BI52" i="1"/>
  <c r="DL114" i="1"/>
  <c r="DP108" i="1"/>
  <c r="DQ107" i="1"/>
  <c r="DQ112" i="1"/>
  <c r="DP49" i="1"/>
  <c r="CB52" i="1"/>
  <c r="BI53" i="1"/>
  <c r="BU137" i="1"/>
  <c r="BI103" i="1"/>
  <c r="E94" i="1"/>
  <c r="BI105" i="1"/>
  <c r="CP106" i="1"/>
  <c r="CP121" i="1"/>
  <c r="E117" i="1"/>
  <c r="BI104" i="1"/>
  <c r="BI108" i="1"/>
  <c r="BI91" i="1"/>
  <c r="DM98" i="1"/>
  <c r="BX50" i="1"/>
  <c r="DL95" i="1"/>
  <c r="BI110" i="1"/>
  <c r="CP114" i="1"/>
  <c r="DS111" i="1"/>
  <c r="DP95" i="1"/>
  <c r="BU50" i="1"/>
  <c r="DQ99" i="1"/>
  <c r="DS106" i="1"/>
  <c r="DM113" i="1"/>
  <c r="DL87" i="1"/>
  <c r="DM89" i="1"/>
  <c r="DP96" i="1"/>
  <c r="BI121" i="1"/>
  <c r="DS91" i="1"/>
  <c r="DL118" i="1"/>
  <c r="BI92" i="1"/>
  <c r="DL105" i="1"/>
  <c r="CP88" i="1"/>
  <c r="CP118" i="1"/>
  <c r="DP114" i="1"/>
  <c r="DP92" i="1"/>
  <c r="BI126" i="1"/>
  <c r="CP128" i="1"/>
  <c r="DL97" i="1"/>
  <c r="DQ127" i="1"/>
  <c r="E126" i="1"/>
  <c r="DP101" i="1"/>
  <c r="DM110" i="1"/>
  <c r="BU158" i="1"/>
  <c r="DP64" i="1"/>
  <c r="BU162" i="1"/>
  <c r="BU141" i="1"/>
  <c r="DR49" i="1"/>
  <c r="DM56" i="1"/>
  <c r="DQ49" i="1"/>
  <c r="DS52" i="1"/>
  <c r="BU49" i="1"/>
  <c r="BU178" i="1"/>
  <c r="DP126" i="1"/>
  <c r="BI89" i="1"/>
  <c r="EJ136" i="1"/>
  <c r="DS103" i="1"/>
  <c r="DS120" i="1"/>
  <c r="DS110" i="1"/>
  <c r="DQ108" i="1"/>
  <c r="CS84" i="1"/>
  <c r="DS101" i="1"/>
  <c r="DP128" i="1"/>
  <c r="BU180" i="1"/>
  <c r="BI112" i="1"/>
  <c r="CQ84" i="1"/>
  <c r="DS119" i="1"/>
  <c r="BU139" i="1"/>
  <c r="BI131" i="1"/>
  <c r="CO84" i="1"/>
  <c r="CO132" i="1" s="1"/>
  <c r="BI88" i="1"/>
  <c r="BI102" i="1"/>
  <c r="BI115" i="1"/>
  <c r="CP123" i="1"/>
  <c r="CP168" i="1"/>
  <c r="BI117" i="1"/>
  <c r="E103" i="1"/>
  <c r="E122" i="1"/>
  <c r="CP92" i="1"/>
  <c r="CP110" i="1"/>
  <c r="CP103" i="1"/>
  <c r="CP93" i="1"/>
  <c r="CP108" i="1"/>
  <c r="BI114" i="1"/>
  <c r="CP115" i="1"/>
  <c r="CP107" i="1"/>
  <c r="CP95" i="1"/>
  <c r="BI90" i="1"/>
  <c r="E130" i="1"/>
  <c r="E102" i="1"/>
  <c r="CP125" i="1"/>
  <c r="D84" i="1"/>
  <c r="E90" i="1"/>
  <c r="BI130" i="1"/>
  <c r="E118" i="1"/>
  <c r="E123" i="1"/>
  <c r="CU84" i="1"/>
  <c r="BI123" i="1"/>
  <c r="CP96" i="1"/>
  <c r="CP111" i="1"/>
  <c r="E128" i="1"/>
  <c r="BI95" i="1"/>
  <c r="E111" i="1"/>
  <c r="CP116" i="1"/>
  <c r="CP105" i="1"/>
  <c r="CP98" i="1"/>
  <c r="E99" i="1"/>
  <c r="CP124" i="1"/>
  <c r="CP126" i="1"/>
  <c r="E86" i="1"/>
  <c r="E125" i="1"/>
  <c r="CP130" i="1"/>
  <c r="DP94" i="1"/>
  <c r="DM112" i="1"/>
  <c r="DM91" i="1"/>
  <c r="BU142" i="1"/>
  <c r="DS87" i="1"/>
  <c r="DS112" i="1"/>
  <c r="DQ87" i="1"/>
  <c r="DS116" i="1"/>
  <c r="BZ51" i="1"/>
  <c r="DQ106" i="1"/>
  <c r="DL94" i="1"/>
  <c r="DL117" i="1"/>
  <c r="DQ126" i="1"/>
  <c r="DM111" i="1"/>
  <c r="DP127" i="1"/>
  <c r="DP129" i="1"/>
  <c r="DP93" i="1"/>
  <c r="DS121" i="1"/>
  <c r="DM125" i="1"/>
  <c r="DL99" i="1"/>
  <c r="DP87" i="1"/>
  <c r="DS168" i="1"/>
  <c r="DQ124" i="1"/>
  <c r="DL108" i="1"/>
  <c r="BU160" i="1"/>
  <c r="DM118" i="1"/>
  <c r="DQ50" i="1"/>
  <c r="DQ92" i="1"/>
  <c r="DK131" i="1"/>
  <c r="DL109" i="1"/>
  <c r="DL111" i="1"/>
  <c r="DL113" i="1"/>
  <c r="DQ97" i="1"/>
  <c r="DS122" i="1"/>
  <c r="DQ102" i="1"/>
  <c r="DQ98" i="1"/>
  <c r="DS107" i="1"/>
  <c r="DS98" i="1"/>
  <c r="BU157" i="1"/>
  <c r="BV157" i="1" s="1"/>
  <c r="CP56" i="1"/>
  <c r="DL49" i="1"/>
  <c r="DZ142" i="1"/>
  <c r="BL142" i="1" s="1"/>
  <c r="BS142" i="1" s="1"/>
  <c r="BT142" i="1" s="1"/>
  <c r="EG136" i="1"/>
  <c r="DL50" i="1"/>
  <c r="DS126" i="1"/>
  <c r="DL92" i="1"/>
  <c r="DP99" i="1"/>
  <c r="DM130" i="1"/>
  <c r="DS130" i="1"/>
  <c r="DK84" i="1"/>
  <c r="DM119" i="1"/>
  <c r="DS86" i="1"/>
  <c r="DQ86" i="1"/>
  <c r="DS100" i="1"/>
  <c r="DM100" i="1"/>
  <c r="DQ105" i="1"/>
  <c r="DM105" i="1"/>
  <c r="EA181" i="1"/>
  <c r="BM181" i="1" s="1"/>
  <c r="BS181" i="1" s="1"/>
  <c r="BT181" i="1" s="1"/>
  <c r="EH136" i="1"/>
  <c r="CP102" i="1"/>
  <c r="DL168" i="1"/>
  <c r="DP168" i="1"/>
  <c r="DJ84" i="1"/>
  <c r="BH131" i="1"/>
  <c r="DM126" i="1"/>
  <c r="DL93" i="1"/>
  <c r="BI129" i="1"/>
  <c r="BI97" i="1"/>
  <c r="BI98" i="1"/>
  <c r="DL129" i="1"/>
  <c r="BU165" i="1"/>
  <c r="CR82" i="1"/>
  <c r="DS117" i="1"/>
  <c r="DQ123" i="1"/>
  <c r="DS123" i="1"/>
  <c r="DM99" i="1"/>
  <c r="BI82" i="1"/>
  <c r="BI107" i="1"/>
  <c r="DK132" i="1"/>
  <c r="DL104" i="1"/>
  <c r="DL88" i="1"/>
  <c r="DP117" i="1"/>
  <c r="DS89" i="1"/>
  <c r="DM120" i="1"/>
  <c r="DL85" i="1"/>
  <c r="DM163" i="1"/>
  <c r="BI87" i="1"/>
  <c r="DL125" i="1"/>
  <c r="DM124" i="1"/>
  <c r="CS82" i="1"/>
  <c r="DQ125" i="1"/>
  <c r="DP110" i="1"/>
  <c r="DP97" i="1"/>
  <c r="DQ111" i="1"/>
  <c r="DP118" i="1"/>
  <c r="DM85" i="1"/>
  <c r="DP119" i="1"/>
  <c r="DL124" i="1"/>
  <c r="DP124" i="1"/>
  <c r="CP129" i="1"/>
  <c r="CM84" i="1"/>
  <c r="CM131" i="1" s="1"/>
  <c r="DS88" i="1"/>
  <c r="DQ88" i="1"/>
  <c r="DQ168" i="1"/>
  <c r="DS163" i="1"/>
  <c r="DP112" i="1"/>
  <c r="DP115" i="1"/>
  <c r="BI94" i="1"/>
  <c r="BI93" i="1"/>
  <c r="DS115" i="1"/>
  <c r="DM115" i="1"/>
  <c r="DS113" i="1"/>
  <c r="DQ113" i="1"/>
  <c r="DP91" i="1"/>
  <c r="DL91" i="1"/>
  <c r="CP94" i="1"/>
  <c r="DM104" i="1"/>
  <c r="DQ104" i="1"/>
  <c r="DM122" i="1"/>
  <c r="E107" i="1"/>
  <c r="BI127" i="1"/>
  <c r="DL90" i="1"/>
  <c r="DH132" i="1"/>
  <c r="DS105" i="1"/>
  <c r="EI136" i="1"/>
  <c r="DS92" i="1"/>
  <c r="DL98" i="1"/>
  <c r="DL119" i="1"/>
  <c r="DL101" i="1"/>
  <c r="DP121" i="1"/>
  <c r="DQ100" i="1"/>
  <c r="DQ103" i="1"/>
  <c r="BI113" i="1"/>
  <c r="DM117" i="1"/>
  <c r="DL102" i="1"/>
  <c r="DM103" i="1"/>
  <c r="DQ121" i="1"/>
  <c r="DS124" i="1"/>
  <c r="DM88" i="1"/>
  <c r="DM106" i="1"/>
  <c r="DM168" i="1"/>
  <c r="DS108" i="1"/>
  <c r="DP100" i="1"/>
  <c r="BI111" i="1"/>
  <c r="BI100" i="1"/>
  <c r="DJ132" i="1"/>
  <c r="DP111" i="1"/>
  <c r="DL52" i="1"/>
  <c r="DM121" i="1"/>
  <c r="E168" i="1"/>
  <c r="CP99" i="1"/>
  <c r="BI124" i="1"/>
  <c r="BI101" i="1"/>
  <c r="E104" i="1"/>
  <c r="E124" i="1"/>
  <c r="DL127" i="1"/>
  <c r="BU168" i="1"/>
  <c r="BU149" i="1"/>
  <c r="BU181" i="1"/>
  <c r="DR53" i="1"/>
  <c r="BU146" i="1"/>
  <c r="E56" i="1"/>
  <c r="DS53" i="1"/>
  <c r="DM53" i="1"/>
  <c r="CB56" i="1"/>
  <c r="CC56" i="1" s="1"/>
  <c r="BU51" i="1"/>
  <c r="DQ116" i="1"/>
  <c r="BU188" i="1"/>
  <c r="BU167" i="1"/>
  <c r="BU145" i="1"/>
  <c r="BS51" i="1"/>
  <c r="BU152" i="1"/>
  <c r="E52" i="1"/>
  <c r="CB51" i="1"/>
  <c r="E49" i="1"/>
  <c r="BU175" i="1"/>
  <c r="BU161" i="1"/>
  <c r="BO44" i="1"/>
  <c r="BS64" i="1"/>
  <c r="CP49" i="1"/>
  <c r="BU147" i="1"/>
  <c r="BU183" i="1"/>
  <c r="BU182" i="1"/>
  <c r="BU140" i="1"/>
  <c r="DL51" i="1"/>
  <c r="DQ51" i="1"/>
  <c r="BH82" i="1"/>
  <c r="DQ119" i="1"/>
  <c r="DJ131" i="1"/>
  <c r="BH84" i="1"/>
  <c r="BI99" i="1"/>
  <c r="CP52" i="1"/>
  <c r="E53" i="1"/>
  <c r="CP64" i="1"/>
  <c r="BS52" i="1"/>
  <c r="BT52" i="1" s="1"/>
  <c r="DP53" i="1"/>
  <c r="DP56" i="1"/>
  <c r="BI50" i="1"/>
  <c r="BU172" i="1"/>
  <c r="BS63" i="1"/>
  <c r="DQ52" i="1"/>
  <c r="BU179" i="1"/>
  <c r="BI51" i="1"/>
  <c r="DM50" i="1"/>
  <c r="BU153" i="1"/>
  <c r="DL53" i="1"/>
  <c r="DS56" i="1"/>
  <c r="DM52" i="1"/>
  <c r="DP51" i="1"/>
  <c r="DP52" i="1"/>
  <c r="BU166" i="1"/>
  <c r="EH44" i="1"/>
  <c r="DS51" i="1"/>
  <c r="DQ56" i="1"/>
  <c r="DM51" i="1"/>
  <c r="DM64" i="1"/>
  <c r="BZ49" i="1"/>
  <c r="CB168" i="1"/>
  <c r="BU155" i="1"/>
  <c r="DM49" i="1"/>
  <c r="DS49" i="1"/>
  <c r="EJ44" i="1"/>
  <c r="BZ56" i="1"/>
  <c r="CA56" i="1" s="1"/>
  <c r="BX49" i="1"/>
  <c r="EG44" i="1"/>
  <c r="BX56" i="1"/>
  <c r="BY56" i="1" s="1"/>
  <c r="DL64" i="1"/>
  <c r="DR56" i="1"/>
  <c r="BU185" i="1"/>
  <c r="BV185" i="1" s="1"/>
  <c r="BS50" i="1"/>
  <c r="BT50" i="1" s="1"/>
  <c r="BU154" i="1"/>
  <c r="CB64" i="1"/>
  <c r="CC65" i="1" s="1"/>
  <c r="BU143" i="1"/>
  <c r="BZ52" i="1"/>
  <c r="BZ64" i="1"/>
  <c r="CA65" i="1" s="1"/>
  <c r="BX52" i="1"/>
  <c r="DQ64" i="1"/>
  <c r="EI44" i="1"/>
  <c r="BL44" i="1"/>
  <c r="BX51" i="1"/>
  <c r="BO136" i="1"/>
  <c r="BZ53" i="1"/>
  <c r="CA54" i="1" s="1"/>
  <c r="BU186" i="1"/>
  <c r="BN136" i="1"/>
  <c r="BU174" i="1"/>
  <c r="BU189" i="1"/>
  <c r="BU64" i="1"/>
  <c r="BQ49" i="1"/>
  <c r="BQ56" i="1"/>
  <c r="BR56" i="1" s="1"/>
  <c r="BU159" i="1"/>
  <c r="BU169" i="1"/>
  <c r="CB53" i="1"/>
  <c r="CC54" i="1" s="1"/>
  <c r="BU150" i="1"/>
  <c r="BZ50" i="1"/>
  <c r="DS64" i="1"/>
  <c r="DM128" i="1"/>
  <c r="BM44" i="1"/>
  <c r="BQ51" i="1"/>
  <c r="DR50" i="1"/>
  <c r="BU173" i="1"/>
  <c r="BU151" i="1"/>
  <c r="BU56" i="1"/>
  <c r="BS53" i="1"/>
  <c r="BQ50" i="1"/>
  <c r="BN44" i="1"/>
  <c r="BU53" i="1"/>
  <c r="BS56" i="1"/>
  <c r="BT56" i="1" s="1"/>
  <c r="DR51" i="1"/>
  <c r="CB163" i="1"/>
  <c r="DR52" i="1"/>
  <c r="DQ85" i="1"/>
  <c r="E163" i="1"/>
  <c r="DP163" i="1"/>
  <c r="DL163" i="1"/>
  <c r="E95" i="1"/>
  <c r="DS50" i="1"/>
  <c r="BI118" i="1"/>
  <c r="DL103" i="1"/>
  <c r="DP103" i="1"/>
  <c r="E88" i="1"/>
  <c r="DS125" i="1"/>
  <c r="DS85" i="1"/>
  <c r="E112" i="1"/>
  <c r="CP112" i="1"/>
  <c r="DL116" i="1"/>
  <c r="DP116" i="1"/>
  <c r="DQ128" i="1"/>
  <c r="E129" i="1"/>
  <c r="E109" i="1"/>
  <c r="DP120" i="1"/>
  <c r="DL120" i="1"/>
  <c r="DM90" i="1"/>
  <c r="CP117" i="1"/>
  <c r="E96" i="1"/>
  <c r="E101" i="1"/>
  <c r="CP109" i="1"/>
  <c r="Y33" i="2"/>
  <c r="BG32" i="1" s="1"/>
  <c r="AZ33" i="1"/>
  <c r="A34" i="2"/>
  <c r="DG33" i="1"/>
  <c r="F33" i="1"/>
  <c r="A34" i="1"/>
  <c r="G34" i="2"/>
  <c r="N34" i="2"/>
  <c r="Q34" i="2"/>
  <c r="S34" i="2"/>
  <c r="D34" i="2"/>
  <c r="W34" i="2"/>
  <c r="K34" i="2"/>
  <c r="C34" i="2"/>
  <c r="R34" i="2"/>
  <c r="F34" i="2"/>
  <c r="B34" i="2"/>
  <c r="M34" i="2"/>
  <c r="U34" i="2"/>
  <c r="X34" i="2"/>
  <c r="L34" i="2"/>
  <c r="V34" i="2"/>
  <c r="J34" i="2"/>
  <c r="T34" i="2"/>
  <c r="H34" i="2"/>
  <c r="O34" i="2"/>
  <c r="I34" i="2"/>
  <c r="P34" i="2"/>
  <c r="E34" i="2"/>
  <c r="BV140" i="1" l="1"/>
  <c r="BV161" i="1"/>
  <c r="BV178" i="1"/>
  <c r="CC52" i="1"/>
  <c r="BV147" i="1"/>
  <c r="BV166" i="1"/>
  <c r="BV182" i="1"/>
  <c r="BR50" i="1"/>
  <c r="BV177" i="1"/>
  <c r="BV159" i="1"/>
  <c r="BV189" i="1"/>
  <c r="BV145" i="1"/>
  <c r="BV143" i="1"/>
  <c r="BV153" i="1"/>
  <c r="BV181" i="1"/>
  <c r="BV165" i="1"/>
  <c r="BT53" i="1"/>
  <c r="BT54" i="1"/>
  <c r="BT64" i="1"/>
  <c r="BT65" i="1"/>
  <c r="BT51" i="1"/>
  <c r="BR51" i="1"/>
  <c r="BR53" i="1"/>
  <c r="BR54" i="1"/>
  <c r="BR52" i="1"/>
  <c r="BV172" i="1"/>
  <c r="BV151" i="1"/>
  <c r="BV174" i="1"/>
  <c r="BV169" i="1"/>
  <c r="BV179" i="1"/>
  <c r="BV183" i="1"/>
  <c r="BV162" i="1"/>
  <c r="BV187" i="1"/>
  <c r="BV149" i="1"/>
  <c r="BV167" i="1"/>
  <c r="BV173" i="1"/>
  <c r="BV142" i="1"/>
  <c r="BV139" i="1"/>
  <c r="BV146" i="1"/>
  <c r="BV168" i="1"/>
  <c r="BV160" i="1"/>
  <c r="BV184" i="1"/>
  <c r="BV176" i="1"/>
  <c r="BV171" i="1"/>
  <c r="BV150" i="1"/>
  <c r="BV175" i="1"/>
  <c r="BV152" i="1"/>
  <c r="BV188" i="1"/>
  <c r="BV180" i="1"/>
  <c r="BV158" i="1"/>
  <c r="BV144" i="1"/>
  <c r="BV163" i="1"/>
  <c r="BV186" i="1"/>
  <c r="BV154" i="1"/>
  <c r="BV155" i="1"/>
  <c r="BV141" i="1"/>
  <c r="BV148" i="1"/>
  <c r="BV138" i="1"/>
  <c r="BV156" i="1"/>
  <c r="BV170" i="1"/>
  <c r="BT143" i="1"/>
  <c r="BT182" i="1"/>
  <c r="DP131" i="1"/>
  <c r="DL132" i="1"/>
  <c r="DP84" i="1"/>
  <c r="CW52" i="1"/>
  <c r="DN132" i="1"/>
  <c r="DP132" i="1"/>
  <c r="CW49" i="1"/>
  <c r="CO131" i="1"/>
  <c r="CC50" i="1"/>
  <c r="ET50" i="1"/>
  <c r="CM132" i="1"/>
  <c r="CQ82" i="1"/>
  <c r="CA52" i="1"/>
  <c r="BM136" i="1"/>
  <c r="BL136" i="1"/>
  <c r="DS132" i="1"/>
  <c r="DQ132" i="1"/>
  <c r="DL84" i="1"/>
  <c r="DL131" i="1"/>
  <c r="DM131" i="1"/>
  <c r="DQ131" i="1"/>
  <c r="DQ84" i="1"/>
  <c r="CW51" i="1"/>
  <c r="DM132" i="1"/>
  <c r="CC51" i="1"/>
  <c r="ET51" i="1"/>
  <c r="CY50" i="1"/>
  <c r="DS84" i="1"/>
  <c r="DS131" i="1"/>
  <c r="DM84" i="1"/>
  <c r="CY52" i="1"/>
  <c r="ET49" i="1"/>
  <c r="BY51" i="1"/>
  <c r="BY53" i="1"/>
  <c r="CY51" i="1"/>
  <c r="BY52" i="1"/>
  <c r="BY50" i="1"/>
  <c r="CC53" i="1"/>
  <c r="CY49" i="1"/>
  <c r="CW53" i="1"/>
  <c r="CW56" i="1"/>
  <c r="ET56" i="1"/>
  <c r="CA50" i="1"/>
  <c r="CA51" i="1"/>
  <c r="CA53" i="1"/>
  <c r="ET53" i="1"/>
  <c r="CY53" i="1"/>
  <c r="CZ54" i="1" s="1"/>
  <c r="CY56" i="1"/>
  <c r="CZ56" i="1" s="1"/>
  <c r="ET52" i="1"/>
  <c r="CW50" i="1"/>
  <c r="BU136" i="1"/>
  <c r="BU191" i="1" s="1"/>
  <c r="Y34" i="2"/>
  <c r="BG33" i="1" s="1"/>
  <c r="AZ34" i="1"/>
  <c r="A35" i="2"/>
  <c r="DG34" i="1"/>
  <c r="F34" i="1"/>
  <c r="A35" i="1"/>
  <c r="Q35" i="2"/>
  <c r="T35" i="2"/>
  <c r="N35" i="2"/>
  <c r="D35" i="2"/>
  <c r="K35" i="2"/>
  <c r="P35" i="2"/>
  <c r="H35" i="2"/>
  <c r="G35" i="2"/>
  <c r="X35" i="2"/>
  <c r="O35" i="2"/>
  <c r="W35" i="2"/>
  <c r="J35" i="2"/>
  <c r="R35" i="2"/>
  <c r="B35" i="2"/>
  <c r="F35" i="2"/>
  <c r="E35" i="2"/>
  <c r="S35" i="2"/>
  <c r="U35" i="2"/>
  <c r="V35" i="2"/>
  <c r="M35" i="2"/>
  <c r="I35" i="2"/>
  <c r="C35" i="2"/>
  <c r="L35" i="2"/>
  <c r="CZ50" i="1" l="1"/>
  <c r="CZ52" i="1"/>
  <c r="CZ53" i="1"/>
  <c r="CZ51" i="1"/>
  <c r="BU190" i="1"/>
  <c r="Y35" i="2"/>
  <c r="BG34" i="1" s="1"/>
  <c r="AZ35" i="1"/>
  <c r="A36" i="2"/>
  <c r="DG35" i="1"/>
  <c r="F35" i="1"/>
  <c r="A36" i="1"/>
  <c r="D36" i="2"/>
  <c r="G36" i="2"/>
  <c r="M36" i="2"/>
  <c r="X36" i="2"/>
  <c r="P36" i="2"/>
  <c r="E36" i="2"/>
  <c r="C36" i="2"/>
  <c r="K36" i="2"/>
  <c r="U36" i="2"/>
  <c r="O36" i="2"/>
  <c r="N36" i="2"/>
  <c r="R36" i="2"/>
  <c r="F36" i="2"/>
  <c r="B36" i="2"/>
  <c r="H36" i="2"/>
  <c r="Q36" i="2"/>
  <c r="J36" i="2"/>
  <c r="W36" i="2"/>
  <c r="L36" i="2"/>
  <c r="I36" i="2"/>
  <c r="V36" i="2"/>
  <c r="S36" i="2"/>
  <c r="T36" i="2"/>
  <c r="Y36" i="2" l="1"/>
  <c r="BG35" i="1" s="1"/>
  <c r="AZ36" i="1"/>
  <c r="A37" i="2"/>
  <c r="DG36" i="1"/>
  <c r="F36" i="1"/>
  <c r="A37" i="1"/>
  <c r="H37" i="2"/>
  <c r="K37" i="2"/>
  <c r="M37" i="2"/>
  <c r="Q37" i="2"/>
  <c r="R37" i="2"/>
  <c r="D37" i="2"/>
  <c r="F37" i="2"/>
  <c r="L37" i="2"/>
  <c r="P37" i="2"/>
  <c r="X37" i="2"/>
  <c r="C37" i="2"/>
  <c r="I37" i="2"/>
  <c r="E37" i="2"/>
  <c r="T37" i="2"/>
  <c r="B37" i="2"/>
  <c r="O37" i="2"/>
  <c r="N37" i="2"/>
  <c r="J37" i="2"/>
  <c r="U37" i="2"/>
  <c r="S37" i="2"/>
  <c r="V37" i="2"/>
  <c r="G37" i="2"/>
  <c r="W37" i="2"/>
  <c r="Y37" i="2" l="1"/>
  <c r="BG36" i="1" s="1"/>
  <c r="AZ37" i="1"/>
  <c r="A38" i="2"/>
  <c r="DG37" i="1"/>
  <c r="F37" i="1"/>
  <c r="A38" i="1"/>
  <c r="B38" i="2"/>
  <c r="R38" i="2"/>
  <c r="E38" i="2"/>
  <c r="L38" i="2"/>
  <c r="N38" i="2"/>
  <c r="M38" i="2"/>
  <c r="P38" i="2"/>
  <c r="G38" i="2"/>
  <c r="T38" i="2"/>
  <c r="X38" i="2"/>
  <c r="Q38" i="2"/>
  <c r="W38" i="2"/>
  <c r="D38" i="2"/>
  <c r="S38" i="2"/>
  <c r="I38" i="2"/>
  <c r="U38" i="2"/>
  <c r="O38" i="2"/>
  <c r="V38" i="2"/>
  <c r="K38" i="2"/>
  <c r="H38" i="2"/>
  <c r="C38" i="2"/>
  <c r="F38" i="2"/>
  <c r="J38" i="2"/>
  <c r="Y38" i="2" l="1"/>
  <c r="BG37" i="1" s="1"/>
  <c r="AZ38" i="1"/>
  <c r="A39" i="2"/>
  <c r="DG38" i="1"/>
  <c r="F38" i="1"/>
  <c r="L39" i="2"/>
  <c r="D39" i="2"/>
  <c r="H39" i="2"/>
  <c r="K39" i="2"/>
  <c r="C39" i="2"/>
  <c r="S39" i="2"/>
  <c r="G39" i="2"/>
  <c r="Q39" i="2"/>
  <c r="R39" i="2"/>
  <c r="U39" i="2"/>
  <c r="W39" i="2"/>
  <c r="E39" i="2"/>
  <c r="V39" i="2"/>
  <c r="X39" i="2"/>
  <c r="F39" i="2"/>
  <c r="J39" i="2"/>
  <c r="M39" i="2"/>
  <c r="T39" i="2"/>
  <c r="I39" i="2"/>
  <c r="B39" i="2"/>
  <c r="N39" i="2"/>
  <c r="P39" i="2"/>
  <c r="O39" i="2"/>
  <c r="Y39" i="2" l="1"/>
  <c r="BG38" i="1" s="1"/>
  <c r="DH137" i="1"/>
  <c r="DT137" i="1"/>
  <c r="DN137" i="1"/>
  <c r="DJ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K162" i="1"/>
  <c r="CP162" i="1" s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K161" i="1"/>
  <c r="CP161" i="1" s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K164" i="1"/>
  <c r="CP164" i="1" s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K165" i="1"/>
  <c r="CP165" i="1" s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CG150" i="1"/>
  <c r="CG154" i="1"/>
  <c r="BC180" i="1"/>
  <c r="CG152" i="1"/>
  <c r="CF181" i="1"/>
  <c r="CG149" i="1"/>
  <c r="EL160" i="1"/>
  <c r="CF180" i="1"/>
  <c r="CG157" i="1"/>
  <c r="EL163" i="1"/>
  <c r="EL168" i="1"/>
  <c r="CF179" i="1"/>
  <c r="EL165" i="1"/>
  <c r="EL164" i="1"/>
  <c r="CG153" i="1"/>
  <c r="CG151" i="1"/>
  <c r="EL161" i="1"/>
  <c r="EL162" i="1"/>
  <c r="CG155" i="1"/>
  <c r="CF182" i="1"/>
  <c r="EL166" i="1"/>
  <c r="EL159" i="1"/>
  <c r="BC179" i="1"/>
  <c r="CF183" i="1"/>
  <c r="EL167" i="1"/>
  <c r="CG156" i="1"/>
  <c r="CF184" i="1"/>
  <c r="BE158" i="1"/>
  <c r="BA166" i="1"/>
  <c r="BF171" i="1"/>
  <c r="BE153" i="1"/>
  <c r="BE160" i="1"/>
  <c r="BD152" i="1"/>
  <c r="BD155" i="1"/>
  <c r="BD151" i="1"/>
  <c r="BE155" i="1"/>
  <c r="BE154" i="1"/>
  <c r="BA162" i="1"/>
  <c r="BF169" i="1"/>
  <c r="BD157" i="1"/>
  <c r="BF173" i="1"/>
  <c r="BF176" i="1"/>
  <c r="BD150" i="1"/>
  <c r="BA164" i="1"/>
  <c r="BF170" i="1"/>
  <c r="BD154" i="1"/>
  <c r="BE159" i="1"/>
  <c r="BE157" i="1"/>
  <c r="BD153" i="1"/>
  <c r="BA165" i="1"/>
  <c r="BD156" i="1"/>
  <c r="BF175" i="1"/>
  <c r="BF174" i="1"/>
  <c r="BA167" i="1"/>
  <c r="BA161" i="1"/>
  <c r="BE156" i="1"/>
  <c r="BD149" i="1"/>
  <c r="EE165" i="1" l="1"/>
  <c r="DX165" i="1" s="1"/>
  <c r="BJ165" i="1" s="1"/>
  <c r="EE168" i="1"/>
  <c r="DX168" i="1" s="1"/>
  <c r="BJ168" i="1" s="1"/>
  <c r="EE167" i="1"/>
  <c r="DX167" i="1" s="1"/>
  <c r="BJ167" i="1" s="1"/>
  <c r="DJ166" i="1"/>
  <c r="DH166" i="1"/>
  <c r="DT166" i="1"/>
  <c r="DN166" i="1"/>
  <c r="DN165" i="1"/>
  <c r="DJ165" i="1"/>
  <c r="DH165" i="1"/>
  <c r="DT165" i="1"/>
  <c r="EE163" i="1"/>
  <c r="DX163" i="1" s="1"/>
  <c r="BJ163" i="1" s="1"/>
  <c r="DN167" i="1"/>
  <c r="DH167" i="1"/>
  <c r="DT167" i="1"/>
  <c r="DJ167" i="1"/>
  <c r="EE159" i="1"/>
  <c r="DX159" i="1" s="1"/>
  <c r="BJ159" i="1" s="1"/>
  <c r="DH162" i="1"/>
  <c r="DJ162" i="1"/>
  <c r="DN162" i="1"/>
  <c r="DT162" i="1"/>
  <c r="DJ161" i="1"/>
  <c r="DT161" i="1"/>
  <c r="DN161" i="1"/>
  <c r="DH161" i="1"/>
  <c r="EE166" i="1"/>
  <c r="DX166" i="1" s="1"/>
  <c r="BJ166" i="1" s="1"/>
  <c r="EE164" i="1"/>
  <c r="DX164" i="1" s="1"/>
  <c r="BJ164" i="1" s="1"/>
  <c r="DJ164" i="1"/>
  <c r="DT164" i="1"/>
  <c r="DN164" i="1"/>
  <c r="DH164" i="1"/>
  <c r="EE160" i="1"/>
  <c r="DX160" i="1" s="1"/>
  <c r="BJ160" i="1" s="1"/>
  <c r="EE161" i="1"/>
  <c r="DX161" i="1" s="1"/>
  <c r="BJ161" i="1" s="1"/>
  <c r="EE162" i="1"/>
  <c r="DX162" i="1" s="1"/>
  <c r="BJ162" i="1" s="1"/>
  <c r="EL138" i="1"/>
  <c r="EL143" i="1"/>
  <c r="BE189" i="1"/>
  <c r="EL142" i="1"/>
  <c r="EL141" i="1"/>
  <c r="EL140" i="1"/>
  <c r="EL137" i="1"/>
  <c r="EL144" i="1"/>
  <c r="EL139" i="1"/>
  <c r="EL180" i="1"/>
  <c r="EL184" i="1"/>
  <c r="EM183" i="1"/>
  <c r="BF189" i="1"/>
  <c r="EL177" i="1"/>
  <c r="EL181" i="1"/>
  <c r="EM137" i="1"/>
  <c r="EL179" i="1"/>
  <c r="EM138" i="1"/>
  <c r="EM181" i="1"/>
  <c r="EM143" i="1"/>
  <c r="EL182" i="1"/>
  <c r="EL183" i="1"/>
  <c r="EM182" i="1"/>
  <c r="EM140" i="1"/>
  <c r="EM141" i="1"/>
  <c r="EM144" i="1"/>
  <c r="EL178" i="1"/>
  <c r="EM180" i="1"/>
  <c r="EM139" i="1"/>
  <c r="EM177" i="1"/>
  <c r="EM179" i="1"/>
  <c r="EM142" i="1"/>
  <c r="EM178" i="1"/>
  <c r="EM184" i="1"/>
  <c r="BE161" i="1"/>
  <c r="BE171" i="1"/>
  <c r="BF152" i="1"/>
  <c r="BE172" i="1"/>
  <c r="BF165" i="1"/>
  <c r="BE151" i="1"/>
  <c r="BF167" i="1"/>
  <c r="BF161" i="1"/>
  <c r="BE175" i="1"/>
  <c r="BE173" i="1"/>
  <c r="BE169" i="1"/>
  <c r="BE165" i="1"/>
  <c r="BE176" i="1"/>
  <c r="BE174" i="1"/>
  <c r="BE166" i="1"/>
  <c r="BE170" i="1"/>
  <c r="BF150" i="1"/>
  <c r="BF172" i="1"/>
  <c r="BF164" i="1"/>
  <c r="BE150" i="1"/>
  <c r="BE149" i="1"/>
  <c r="BF162" i="1"/>
  <c r="BE164" i="1"/>
  <c r="BF149" i="1"/>
  <c r="BF151" i="1"/>
  <c r="BE152" i="1"/>
  <c r="BE167" i="1"/>
  <c r="BF166" i="1"/>
  <c r="BE162" i="1"/>
  <c r="EE138" i="1" l="1"/>
  <c r="DX138" i="1" s="1"/>
  <c r="BJ138" i="1" s="1"/>
  <c r="CU165" i="1"/>
  <c r="CB165" i="1"/>
  <c r="CB162" i="1"/>
  <c r="CC163" i="1" s="1"/>
  <c r="CU162" i="1"/>
  <c r="EE144" i="1"/>
  <c r="DX144" i="1" s="1"/>
  <c r="BJ144" i="1" s="1"/>
  <c r="EE137" i="1"/>
  <c r="DX137" i="1" s="1"/>
  <c r="BJ137" i="1" s="1"/>
  <c r="EE181" i="1"/>
  <c r="DX181" i="1" s="1"/>
  <c r="BJ181" i="1" s="1"/>
  <c r="CB170" i="1"/>
  <c r="CU170" i="1"/>
  <c r="CU161" i="1"/>
  <c r="CB161" i="1"/>
  <c r="EE182" i="1"/>
  <c r="DX182" i="1" s="1"/>
  <c r="BJ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BJ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BJ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BJ180" i="1" s="1"/>
  <c r="EE179" i="1"/>
  <c r="DX179" i="1" s="1"/>
  <c r="BJ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BJ142" i="1" s="1"/>
  <c r="EE183" i="1"/>
  <c r="DX183" i="1" s="1"/>
  <c r="BJ183" i="1" s="1"/>
  <c r="EE139" i="1"/>
  <c r="DX139" i="1" s="1"/>
  <c r="BJ139" i="1" s="1"/>
  <c r="EE141" i="1"/>
  <c r="DX141" i="1" s="1"/>
  <c r="BJ141" i="1" s="1"/>
  <c r="EE140" i="1"/>
  <c r="DX140" i="1" s="1"/>
  <c r="BJ140" i="1" s="1"/>
  <c r="CU175" i="1"/>
  <c r="CB175" i="1"/>
  <c r="CU173" i="1"/>
  <c r="CB173" i="1"/>
  <c r="CU167" i="1"/>
  <c r="CB167" i="1"/>
  <c r="CC168" i="1" s="1"/>
  <c r="EE178" i="1"/>
  <c r="DX178" i="1" s="1"/>
  <c r="BJ178" i="1" s="1"/>
  <c r="EE177" i="1"/>
  <c r="DX177" i="1" s="1"/>
  <c r="BJ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Q140" i="1" l="1"/>
  <c r="CC175" i="1"/>
  <c r="CC171" i="1"/>
  <c r="BQ177" i="1"/>
  <c r="BQ138" i="1"/>
  <c r="CC166" i="1"/>
  <c r="CC152" i="1"/>
  <c r="CC150" i="1"/>
  <c r="CC170" i="1"/>
  <c r="BQ139" i="1"/>
  <c r="BQ141" i="1"/>
  <c r="BQ184" i="1"/>
  <c r="CC162" i="1"/>
  <c r="BQ179" i="1"/>
  <c r="CC172" i="1"/>
  <c r="BQ144" i="1"/>
  <c r="DY137" i="1"/>
  <c r="BK137" i="1" s="1"/>
  <c r="CC174" i="1"/>
  <c r="BQ182" i="1"/>
  <c r="CC176" i="1"/>
  <c r="BQ181" i="1"/>
  <c r="BQ142" i="1"/>
  <c r="CC151" i="1"/>
  <c r="BQ143" i="1"/>
  <c r="CC164" i="1"/>
  <c r="CC165" i="1"/>
  <c r="CC167" i="1"/>
  <c r="CC173" i="1"/>
  <c r="BQ183" i="1"/>
  <c r="BQ180" i="1"/>
  <c r="BQ178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BR138" i="1" s="1"/>
  <c r="BE183" i="1"/>
  <c r="EL187" i="1"/>
  <c r="BE186" i="1"/>
  <c r="EL151" i="1"/>
  <c r="EL153" i="1"/>
  <c r="CD142" i="1"/>
  <c r="EL149" i="1"/>
  <c r="EM163" i="1"/>
  <c r="EL145" i="1"/>
  <c r="CD155" i="1"/>
  <c r="CD144" i="1"/>
  <c r="EL154" i="1"/>
  <c r="EL186" i="1"/>
  <c r="CD152" i="1"/>
  <c r="EM161" i="1"/>
  <c r="CD154" i="1"/>
  <c r="CD140" i="1"/>
  <c r="BE188" i="1"/>
  <c r="EL152" i="1"/>
  <c r="EL146" i="1"/>
  <c r="BE182" i="1"/>
  <c r="CD148" i="1"/>
  <c r="EL147" i="1"/>
  <c r="CD151" i="1"/>
  <c r="EM160" i="1"/>
  <c r="CD146" i="1"/>
  <c r="EL188" i="1"/>
  <c r="EL148" i="1"/>
  <c r="BE187" i="1"/>
  <c r="CG169" i="1"/>
  <c r="CD145" i="1"/>
  <c r="CG167" i="1"/>
  <c r="CD143" i="1"/>
  <c r="EL155" i="1"/>
  <c r="BE179" i="1"/>
  <c r="CD141" i="1"/>
  <c r="CD153" i="1"/>
  <c r="BE180" i="1"/>
  <c r="CD147" i="1"/>
  <c r="EL185" i="1"/>
  <c r="EL150" i="1"/>
  <c r="EM164" i="1"/>
  <c r="EL189" i="1"/>
  <c r="BE181" i="1"/>
  <c r="CD150" i="1"/>
  <c r="BE184" i="1"/>
  <c r="CD149" i="1"/>
  <c r="BE185" i="1"/>
  <c r="EM162" i="1"/>
  <c r="CG166" i="1"/>
  <c r="AW57" i="1"/>
  <c r="AU48" i="1"/>
  <c r="EM47" i="1"/>
  <c r="DC12" i="1"/>
  <c r="BB45" i="1"/>
  <c r="BE12" i="1"/>
  <c r="EQ25" i="1"/>
  <c r="AV32" i="1"/>
  <c r="EM97" i="1"/>
  <c r="EM70" i="1"/>
  <c r="EO89" i="1"/>
  <c r="AW21" i="1"/>
  <c r="AS5" i="1"/>
  <c r="AS29" i="1"/>
  <c r="AX18" i="1"/>
  <c r="DB25" i="1"/>
  <c r="CD182" i="1"/>
  <c r="EL172" i="1"/>
  <c r="BF70" i="1"/>
  <c r="EP23" i="1"/>
  <c r="CF34" i="1"/>
  <c r="CE13" i="1"/>
  <c r="EM157" i="1"/>
  <c r="AW25" i="1"/>
  <c r="DE10" i="1"/>
  <c r="EP124" i="1"/>
  <c r="BD12" i="1"/>
  <c r="EQ130" i="1"/>
  <c r="BD37" i="1"/>
  <c r="EN30" i="1"/>
  <c r="AS27" i="1"/>
  <c r="CF185" i="1"/>
  <c r="BD13" i="1"/>
  <c r="EP114" i="1"/>
  <c r="AU9" i="1"/>
  <c r="CF187" i="1"/>
  <c r="AW7" i="1"/>
  <c r="EP115" i="1"/>
  <c r="BA30" i="1"/>
  <c r="BC79" i="1"/>
  <c r="CG18" i="1"/>
  <c r="CI149" i="1"/>
  <c r="CF156" i="1"/>
  <c r="CH4" i="1"/>
  <c r="CG143" i="1"/>
  <c r="BA46" i="1"/>
  <c r="AX73" i="1"/>
  <c r="CE47" i="1"/>
  <c r="BA28" i="1"/>
  <c r="EL7" i="1"/>
  <c r="AT33" i="1"/>
  <c r="EN24" i="1"/>
  <c r="BE78" i="1"/>
  <c r="BD10" i="1"/>
  <c r="BF186" i="1"/>
  <c r="CI22" i="1"/>
  <c r="EO16" i="1"/>
  <c r="AS76" i="1"/>
  <c r="AS46" i="1"/>
  <c r="AU38" i="1"/>
  <c r="EL6" i="1"/>
  <c r="CE185" i="1"/>
  <c r="BF37" i="1"/>
  <c r="EO126" i="1"/>
  <c r="EL89" i="1"/>
  <c r="BD74" i="1"/>
  <c r="CF46" i="1"/>
  <c r="CD158" i="1"/>
  <c r="CI155" i="1"/>
  <c r="CI28" i="1"/>
  <c r="DC24" i="1"/>
  <c r="EL64" i="1"/>
  <c r="EO92" i="1"/>
  <c r="EN97" i="1"/>
  <c r="EQ16" i="1"/>
  <c r="AV25" i="1"/>
  <c r="AV20" i="1"/>
  <c r="BB31" i="1"/>
  <c r="BB60" i="1"/>
  <c r="BA75" i="1"/>
  <c r="AU77" i="1"/>
  <c r="EL113" i="1"/>
  <c r="AW36" i="1"/>
  <c r="EM188" i="1"/>
  <c r="CG57" i="1"/>
  <c r="AT16" i="1"/>
  <c r="DE24" i="1"/>
  <c r="EL94" i="1"/>
  <c r="CG182" i="1"/>
  <c r="EM58" i="1"/>
  <c r="CF73" i="1"/>
  <c r="BC47" i="1"/>
  <c r="EN110" i="1"/>
  <c r="EN4" i="1"/>
  <c r="EN6" i="1"/>
  <c r="EQ6" i="1"/>
  <c r="EL97" i="1"/>
  <c r="DD37" i="1"/>
  <c r="EP86" i="1"/>
  <c r="EO20" i="1"/>
  <c r="CG76" i="1"/>
  <c r="EO119" i="1"/>
  <c r="BE61" i="1"/>
  <c r="BF25" i="1"/>
  <c r="CD12" i="1"/>
  <c r="CI8" i="1"/>
  <c r="CE150" i="1"/>
  <c r="EO36" i="1"/>
  <c r="AV11" i="1"/>
  <c r="CF147" i="1"/>
  <c r="EM48" i="1"/>
  <c r="BC32" i="1"/>
  <c r="CF167" i="1"/>
  <c r="CI6" i="1"/>
  <c r="CH22" i="1"/>
  <c r="EN13" i="1"/>
  <c r="BE77" i="1"/>
  <c r="EO86" i="1"/>
  <c r="EL93" i="1"/>
  <c r="CF76" i="1"/>
  <c r="EL74" i="1"/>
  <c r="BC33" i="1"/>
  <c r="CH12" i="1"/>
  <c r="EO109" i="1"/>
  <c r="CH76" i="1"/>
  <c r="DE29" i="1"/>
  <c r="EN10" i="1"/>
  <c r="EL61" i="1"/>
  <c r="AT58" i="1"/>
  <c r="CI144" i="1"/>
  <c r="EL119" i="1"/>
  <c r="BE9" i="1"/>
  <c r="EN99" i="1"/>
  <c r="EQ111" i="1"/>
  <c r="EO113" i="1"/>
  <c r="DA33" i="1"/>
  <c r="CD36" i="1"/>
  <c r="BB23" i="1"/>
  <c r="EP12" i="1"/>
  <c r="EM112" i="1"/>
  <c r="EL102" i="1"/>
  <c r="EN108" i="1"/>
  <c r="EN11" i="1"/>
  <c r="CD137" i="1"/>
  <c r="EQ12" i="1"/>
  <c r="CH48" i="1"/>
  <c r="BE31" i="1"/>
  <c r="EL88" i="1"/>
  <c r="DB11" i="1"/>
  <c r="BE28" i="1"/>
  <c r="DB30" i="1"/>
  <c r="BE72" i="1"/>
  <c r="DE31" i="1"/>
  <c r="BA62" i="1"/>
  <c r="DB7" i="1"/>
  <c r="EP127" i="1"/>
  <c r="AV46" i="1"/>
  <c r="CI184" i="1"/>
  <c r="CG58" i="1"/>
  <c r="CG10" i="1"/>
  <c r="EN121" i="1"/>
  <c r="BB187" i="1"/>
  <c r="CE19" i="1"/>
  <c r="AS85" i="1"/>
  <c r="EN8" i="1"/>
  <c r="CI38" i="1"/>
  <c r="BF71" i="1"/>
  <c r="DF11" i="1"/>
  <c r="CE183" i="1"/>
  <c r="BC20" i="1"/>
  <c r="AW27" i="1"/>
  <c r="EM110" i="1"/>
  <c r="EM76" i="1"/>
  <c r="AU62" i="1"/>
  <c r="AU21" i="1"/>
  <c r="DF24" i="1"/>
  <c r="CG4" i="1"/>
  <c r="EQ28" i="1"/>
  <c r="EO21" i="1"/>
  <c r="BE7" i="1"/>
  <c r="BA17" i="1"/>
  <c r="BA35" i="1"/>
  <c r="AV48" i="1"/>
  <c r="EQ103" i="1"/>
  <c r="EQ9" i="1"/>
  <c r="EQ122" i="1"/>
  <c r="EO25" i="1"/>
  <c r="AV38" i="1"/>
  <c r="AX19" i="1"/>
  <c r="EN100" i="1"/>
  <c r="DB35" i="1"/>
  <c r="EP28" i="1"/>
  <c r="BF62" i="1"/>
  <c r="BC74" i="1"/>
  <c r="CI185" i="1"/>
  <c r="AW22" i="1"/>
  <c r="CF137" i="1"/>
  <c r="BA36" i="1"/>
  <c r="CG5" i="1"/>
  <c r="EQ95" i="1"/>
  <c r="EN19" i="1"/>
  <c r="CE182" i="1"/>
  <c r="EN114" i="1"/>
  <c r="CF33" i="1"/>
  <c r="DC19" i="1"/>
  <c r="CE145" i="1"/>
  <c r="CE17" i="1"/>
  <c r="EM91" i="1"/>
  <c r="EM57" i="1"/>
  <c r="AS57" i="1"/>
  <c r="BA45" i="1"/>
  <c r="CF15" i="1"/>
  <c r="BD8" i="1"/>
  <c r="EM124" i="1"/>
  <c r="DF25" i="1"/>
  <c r="EO9" i="1"/>
  <c r="EN94" i="1"/>
  <c r="CF188" i="1"/>
  <c r="CD78" i="1"/>
  <c r="DB19" i="1"/>
  <c r="EP118" i="1"/>
  <c r="EL156" i="1"/>
  <c r="EN16" i="1"/>
  <c r="BC13" i="1"/>
  <c r="CF48" i="1"/>
  <c r="DF16" i="1"/>
  <c r="BD71" i="1"/>
  <c r="BE26" i="1"/>
  <c r="EQ20" i="1"/>
  <c r="CI169" i="1"/>
  <c r="AX48" i="1"/>
  <c r="CD37" i="1"/>
  <c r="CD157" i="1"/>
  <c r="CD61" i="1"/>
  <c r="AS16" i="1"/>
  <c r="EN113" i="1"/>
  <c r="EO115" i="1"/>
  <c r="EQ98" i="1"/>
  <c r="EM159" i="1"/>
  <c r="BC4" i="1"/>
  <c r="CI171" i="1"/>
  <c r="AU20" i="1"/>
  <c r="EP31" i="1"/>
  <c r="CE28" i="1"/>
  <c r="EO38" i="1"/>
  <c r="AS60" i="1"/>
  <c r="BD22" i="1"/>
  <c r="EP94" i="1"/>
  <c r="CF9" i="1"/>
  <c r="EM74" i="1"/>
  <c r="CG6" i="1"/>
  <c r="AU16" i="1"/>
  <c r="AW37" i="1"/>
  <c r="BE62" i="1"/>
  <c r="EN7" i="1"/>
  <c r="BC58" i="1"/>
  <c r="AU31" i="1"/>
  <c r="DC32" i="1"/>
  <c r="BD6" i="1"/>
  <c r="EL10" i="1"/>
  <c r="EM90" i="1"/>
  <c r="EM33" i="1"/>
  <c r="CI174" i="1"/>
  <c r="EL30" i="1"/>
  <c r="AV10" i="1"/>
  <c r="DA35" i="1"/>
  <c r="CF142" i="1"/>
  <c r="CH7" i="1"/>
  <c r="AT22" i="1"/>
  <c r="DD35" i="1"/>
  <c r="AW77" i="1"/>
  <c r="AU72" i="1"/>
  <c r="EO34" i="1"/>
  <c r="AX23" i="1"/>
  <c r="AT72" i="1"/>
  <c r="CF79" i="1"/>
  <c r="CI35" i="1"/>
  <c r="BA79" i="1"/>
  <c r="CG46" i="1"/>
  <c r="DF37" i="1"/>
  <c r="CG15" i="1"/>
  <c r="AW32" i="1"/>
  <c r="CF151" i="1"/>
  <c r="CF146" i="1"/>
  <c r="BF46" i="1"/>
  <c r="BA25" i="1"/>
  <c r="CH156" i="1"/>
  <c r="EN111" i="1"/>
  <c r="CF139" i="1"/>
  <c r="EP117" i="1"/>
  <c r="EP106" i="1"/>
  <c r="BD182" i="1"/>
  <c r="CH57" i="1"/>
  <c r="CD170" i="1"/>
  <c r="BB75" i="1"/>
  <c r="BC185" i="1"/>
  <c r="BF187" i="1"/>
  <c r="CD77" i="1"/>
  <c r="CG137" i="1"/>
  <c r="BA180" i="1"/>
  <c r="AW63" i="1"/>
  <c r="BA20" i="1"/>
  <c r="AV58" i="1"/>
  <c r="CI138" i="1"/>
  <c r="EL18" i="1"/>
  <c r="CI57" i="1"/>
  <c r="CE59" i="1"/>
  <c r="AS36" i="1"/>
  <c r="CI20" i="1"/>
  <c r="AX76" i="1"/>
  <c r="BD20" i="1"/>
  <c r="AW76" i="1"/>
  <c r="CE153" i="1"/>
  <c r="CF155" i="1"/>
  <c r="CI179" i="1"/>
  <c r="EL60" i="1"/>
  <c r="EQ21" i="1"/>
  <c r="CD176" i="1"/>
  <c r="CE151" i="1"/>
  <c r="BB37" i="1"/>
  <c r="AW16" i="1"/>
  <c r="CI77" i="1"/>
  <c r="CI173" i="1"/>
  <c r="CE175" i="1"/>
  <c r="DD12" i="1"/>
  <c r="BC22" i="1"/>
  <c r="AU188" i="1"/>
  <c r="EP7" i="1"/>
  <c r="CH59" i="1"/>
  <c r="AV60" i="1"/>
  <c r="EN21" i="1"/>
  <c r="EQ4" i="1"/>
  <c r="BE4" i="1"/>
  <c r="BF75" i="1"/>
  <c r="EL19" i="1"/>
  <c r="BA15" i="1"/>
  <c r="CD166" i="1"/>
  <c r="BE6" i="1"/>
  <c r="BB179" i="1"/>
  <c r="BF35" i="1"/>
  <c r="BF59" i="1"/>
  <c r="CH176" i="1"/>
  <c r="AS47" i="1"/>
  <c r="BA187" i="1"/>
  <c r="AT23" i="1"/>
  <c r="CI37" i="1"/>
  <c r="EQ11" i="1"/>
  <c r="EP99" i="1"/>
  <c r="CI11" i="1"/>
  <c r="EN125" i="1"/>
  <c r="EP33" i="1"/>
  <c r="AU60" i="1"/>
  <c r="EP20" i="1"/>
  <c r="BE59" i="1"/>
  <c r="BD62" i="1"/>
  <c r="BF30" i="1"/>
  <c r="BB181" i="1"/>
  <c r="CF172" i="1"/>
  <c r="CI58" i="1"/>
  <c r="EL169" i="1"/>
  <c r="DC4" i="1"/>
  <c r="CD177" i="1"/>
  <c r="CD17" i="1"/>
  <c r="CG173" i="1"/>
  <c r="BD38" i="1"/>
  <c r="EM128" i="1"/>
  <c r="EQ91" i="1"/>
  <c r="BF13" i="1"/>
  <c r="EL5" i="1"/>
  <c r="BB30" i="1"/>
  <c r="BF26" i="1"/>
  <c r="CD11" i="1"/>
  <c r="DD9" i="1"/>
  <c r="BA48" i="1"/>
  <c r="BB184" i="1"/>
  <c r="CF27" i="1"/>
  <c r="DC38" i="1"/>
  <c r="AU74" i="1"/>
  <c r="EM186" i="1"/>
  <c r="AS7" i="1"/>
  <c r="EL57" i="1"/>
  <c r="CD5" i="1"/>
  <c r="CI34" i="1"/>
  <c r="CE159" i="1"/>
  <c r="EP91" i="1"/>
  <c r="AW29" i="1"/>
  <c r="BC181" i="1"/>
  <c r="CH183" i="1"/>
  <c r="CH33" i="1"/>
  <c r="EN128" i="1"/>
  <c r="EN116" i="1"/>
  <c r="BA22" i="1"/>
  <c r="EN18" i="1"/>
  <c r="EO7" i="1"/>
  <c r="EM103" i="1"/>
  <c r="EN112" i="1"/>
  <c r="EL130" i="1"/>
  <c r="CF13" i="1"/>
  <c r="BD46" i="1"/>
  <c r="CE171" i="1"/>
  <c r="BC12" i="1"/>
  <c r="AX74" i="1"/>
  <c r="EN15" i="1"/>
  <c r="BE79" i="1"/>
  <c r="EP85" i="1"/>
  <c r="EP5" i="1"/>
  <c r="DB9" i="1"/>
  <c r="CH30" i="1"/>
  <c r="BE32" i="1"/>
  <c r="CH14" i="1"/>
  <c r="BF57" i="1"/>
  <c r="EM172" i="1"/>
  <c r="BF23" i="1"/>
  <c r="BE36" i="1"/>
  <c r="AU27" i="1"/>
  <c r="CF18" i="1"/>
  <c r="AX11" i="1"/>
  <c r="EO24" i="1"/>
  <c r="AU25" i="1"/>
  <c r="AT31" i="1"/>
  <c r="BD28" i="1"/>
  <c r="CF166" i="1"/>
  <c r="DE20" i="1"/>
  <c r="CH45" i="1"/>
  <c r="EP113" i="1"/>
  <c r="AW10" i="1"/>
  <c r="EL79" i="1"/>
  <c r="BD15" i="1"/>
  <c r="CE35" i="1"/>
  <c r="DC6" i="1"/>
  <c r="AU32" i="1"/>
  <c r="EL120" i="1"/>
  <c r="CD33" i="1"/>
  <c r="EQ23" i="1"/>
  <c r="BA16" i="1"/>
  <c r="CH32" i="1"/>
  <c r="DF12" i="1"/>
  <c r="CG60" i="1"/>
  <c r="EL36" i="1"/>
  <c r="AT46" i="1"/>
  <c r="AW19" i="1"/>
  <c r="BC23" i="1"/>
  <c r="CD74" i="1"/>
  <c r="EQ99" i="1"/>
  <c r="EN17" i="1"/>
  <c r="CD138" i="1"/>
  <c r="AT62" i="1"/>
  <c r="EM145" i="1"/>
  <c r="CF12" i="1"/>
  <c r="EP120" i="1"/>
  <c r="EQ22" i="1"/>
  <c r="AU36" i="1"/>
  <c r="EP123" i="1"/>
  <c r="BF24" i="1"/>
  <c r="CE32" i="1"/>
  <c r="DC8" i="1"/>
  <c r="EL72" i="1"/>
  <c r="EM150" i="1"/>
  <c r="BC186" i="1"/>
  <c r="EP26" i="1"/>
  <c r="BB62" i="1"/>
  <c r="DC27" i="1"/>
  <c r="CH149" i="1"/>
  <c r="EN90" i="1"/>
  <c r="BA10" i="1"/>
  <c r="DF28" i="1"/>
  <c r="EL26" i="1"/>
  <c r="EQ38" i="1"/>
  <c r="EQ27" i="1"/>
  <c r="BB24" i="1"/>
  <c r="BE15" i="1"/>
  <c r="EO26" i="1"/>
  <c r="CE30" i="1"/>
  <c r="CG72" i="1"/>
  <c r="BD179" i="1"/>
  <c r="AW18" i="1"/>
  <c r="AV6" i="1"/>
  <c r="BB33" i="1"/>
  <c r="CI24" i="1"/>
  <c r="CF78" i="1"/>
  <c r="EO4" i="1"/>
  <c r="EM171" i="1"/>
  <c r="EQ30" i="1"/>
  <c r="DD33" i="1"/>
  <c r="AT38" i="1"/>
  <c r="CI9" i="1"/>
  <c r="AX21" i="1"/>
  <c r="DD18" i="1"/>
  <c r="CH145" i="1"/>
  <c r="AS23" i="1"/>
  <c r="AW58" i="1"/>
  <c r="EM174" i="1"/>
  <c r="EM88" i="1"/>
  <c r="CG78" i="1"/>
  <c r="BC25" i="1"/>
  <c r="AT63" i="1"/>
  <c r="CH138" i="1"/>
  <c r="CE170" i="1"/>
  <c r="AT8" i="1"/>
  <c r="CG23" i="1"/>
  <c r="EP36" i="1"/>
  <c r="AW23" i="1"/>
  <c r="EO110" i="1"/>
  <c r="CE143" i="1"/>
  <c r="CI47" i="1"/>
  <c r="CH13" i="1"/>
  <c r="BE17" i="1"/>
  <c r="AT29" i="1"/>
  <c r="CE6" i="1"/>
  <c r="BD45" i="1"/>
  <c r="BB18" i="1"/>
  <c r="CG140" i="1"/>
  <c r="CE156" i="1"/>
  <c r="EN102" i="1"/>
  <c r="CH74" i="1"/>
  <c r="BD47" i="1"/>
  <c r="AS22" i="1"/>
  <c r="CG183" i="1"/>
  <c r="CI27" i="1"/>
  <c r="AS21" i="1"/>
  <c r="EQ112" i="1"/>
  <c r="AU45" i="1"/>
  <c r="AT48" i="1"/>
  <c r="EO14" i="1"/>
  <c r="EO117" i="1"/>
  <c r="BD5" i="1"/>
  <c r="CI160" i="1"/>
  <c r="DE27" i="1"/>
  <c r="CE176" i="1"/>
  <c r="CF21" i="1"/>
  <c r="AV13" i="1"/>
  <c r="EM109" i="1"/>
  <c r="CI137" i="1"/>
  <c r="EQ15" i="1"/>
  <c r="EP19" i="1"/>
  <c r="AX22" i="1"/>
  <c r="DC17" i="1"/>
  <c r="CI177" i="1"/>
  <c r="BB29" i="1"/>
  <c r="DF13" i="1"/>
  <c r="DC5" i="1"/>
  <c r="CI147" i="1"/>
  <c r="CG170" i="1"/>
  <c r="EM156" i="1"/>
  <c r="AS70" i="1"/>
  <c r="CD15" i="1"/>
  <c r="EO15" i="1"/>
  <c r="EM185" i="1"/>
  <c r="AV76" i="1"/>
  <c r="EN27" i="1"/>
  <c r="DC14" i="1"/>
  <c r="EL157" i="1"/>
  <c r="EO96" i="1"/>
  <c r="EL124" i="1"/>
  <c r="BB11" i="1"/>
  <c r="BF33" i="1"/>
  <c r="BD25" i="1"/>
  <c r="DA22" i="1"/>
  <c r="BB77" i="1"/>
  <c r="AU10" i="1"/>
  <c r="BB19" i="1"/>
  <c r="EQ123" i="1"/>
  <c r="AX33" i="1"/>
  <c r="CE181" i="1"/>
  <c r="BE37" i="1"/>
  <c r="EL78" i="1"/>
  <c r="CG29" i="1"/>
  <c r="EM117" i="1"/>
  <c r="CD18" i="1"/>
  <c r="EO90" i="1"/>
  <c r="BF180" i="1"/>
  <c r="EO33" i="1"/>
  <c r="EN109" i="1"/>
  <c r="EO95" i="1"/>
  <c r="CG7" i="1"/>
  <c r="BE45" i="1"/>
  <c r="EL171" i="1"/>
  <c r="AU33" i="1"/>
  <c r="CH154" i="1"/>
  <c r="CF35" i="1"/>
  <c r="CI29" i="1"/>
  <c r="DD25" i="1"/>
  <c r="DF17" i="1"/>
  <c r="BE60" i="1"/>
  <c r="AX6" i="1"/>
  <c r="BC37" i="1"/>
  <c r="EP126" i="1"/>
  <c r="CE48" i="1"/>
  <c r="AU78" i="1"/>
  <c r="EN9" i="1"/>
  <c r="DE5" i="1"/>
  <c r="AU13" i="1"/>
  <c r="CE187" i="1"/>
  <c r="EO128" i="1"/>
  <c r="EP27" i="1"/>
  <c r="EM32" i="1"/>
  <c r="AV17" i="1"/>
  <c r="EP25" i="1"/>
  <c r="CE16" i="1"/>
  <c r="BB71" i="1"/>
  <c r="EN29" i="1"/>
  <c r="DE26" i="1"/>
  <c r="EQ18" i="1"/>
  <c r="EP17" i="1"/>
  <c r="CE57" i="1"/>
  <c r="CF10" i="1"/>
  <c r="AW71" i="1"/>
  <c r="AX12" i="1"/>
  <c r="EQ117" i="1"/>
  <c r="EM6" i="1"/>
  <c r="CD159" i="1"/>
  <c r="CF159" i="1"/>
  <c r="EL127" i="1"/>
  <c r="AS78" i="1"/>
  <c r="AW15" i="1"/>
  <c r="CE160" i="1"/>
  <c r="AX47" i="1"/>
  <c r="AS34" i="1"/>
  <c r="CH47" i="1"/>
  <c r="DC33" i="1"/>
  <c r="DC36" i="1"/>
  <c r="AU11" i="1"/>
  <c r="BF32" i="1"/>
  <c r="AV16" i="1"/>
  <c r="DD36" i="1"/>
  <c r="CF75" i="1"/>
  <c r="CG175" i="1"/>
  <c r="EL87" i="1"/>
  <c r="EP104" i="1"/>
  <c r="AU61" i="1"/>
  <c r="BF47" i="1"/>
  <c r="CH137" i="1"/>
  <c r="BE35" i="1"/>
  <c r="CH72" i="1"/>
  <c r="AX27" i="1"/>
  <c r="CF4" i="1"/>
  <c r="BC57" i="1"/>
  <c r="BC75" i="1"/>
  <c r="EM20" i="1"/>
  <c r="EL17" i="1"/>
  <c r="CG158" i="1"/>
  <c r="CF171" i="1"/>
  <c r="EN98" i="1"/>
  <c r="DC15" i="1"/>
  <c r="DE38" i="1"/>
  <c r="EL25" i="1"/>
  <c r="BC70" i="1"/>
  <c r="CF74" i="1"/>
  <c r="DC30" i="1"/>
  <c r="CI36" i="1"/>
  <c r="AU7" i="1"/>
  <c r="CF175" i="1"/>
  <c r="CH36" i="1"/>
  <c r="BD189" i="1"/>
  <c r="AX26" i="1"/>
  <c r="EN35" i="1"/>
  <c r="CI19" i="1"/>
  <c r="AW47" i="1"/>
  <c r="EM77" i="1"/>
  <c r="CH166" i="1"/>
  <c r="CH150" i="1"/>
  <c r="EM12" i="1"/>
  <c r="AS71" i="1"/>
  <c r="BD186" i="1"/>
  <c r="BE30" i="1"/>
  <c r="CH9" i="1"/>
  <c r="BF28" i="1"/>
  <c r="CD174" i="1"/>
  <c r="CH184" i="1"/>
  <c r="CF22" i="1"/>
  <c r="EO32" i="1"/>
  <c r="AV35" i="1"/>
  <c r="DC34" i="1"/>
  <c r="EL158" i="1"/>
  <c r="DC10" i="1"/>
  <c r="CF58" i="1"/>
  <c r="CI154" i="1"/>
  <c r="EL95" i="1"/>
  <c r="BE73" i="1"/>
  <c r="CD45" i="1"/>
  <c r="BB26" i="1"/>
  <c r="EM98" i="1"/>
  <c r="CD189" i="1"/>
  <c r="BB61" i="1"/>
  <c r="EQ17" i="1"/>
  <c r="EN107" i="1"/>
  <c r="BA12" i="1"/>
  <c r="EP34" i="1"/>
  <c r="EM73" i="1"/>
  <c r="EQ88" i="1"/>
  <c r="EL33" i="1"/>
  <c r="AX24" i="1"/>
  <c r="EO91" i="1"/>
  <c r="EQ92" i="1"/>
  <c r="BF76" i="1"/>
  <c r="EN38" i="1"/>
  <c r="BB28" i="1"/>
  <c r="EO122" i="1"/>
  <c r="BE46" i="1"/>
  <c r="CE58" i="1"/>
  <c r="BC187" i="1"/>
  <c r="CF17" i="1"/>
  <c r="BD24" i="1"/>
  <c r="CE166" i="1"/>
  <c r="EP97" i="1"/>
  <c r="AV75" i="1"/>
  <c r="BD27" i="1"/>
  <c r="EN36" i="1"/>
  <c r="EN89" i="1"/>
  <c r="BF27" i="1"/>
  <c r="EQ121" i="1"/>
  <c r="EQ87" i="1"/>
  <c r="AW33" i="1"/>
  <c r="EM165" i="1"/>
  <c r="AU46" i="1"/>
  <c r="EQ125" i="1"/>
  <c r="EL13" i="1"/>
  <c r="CH5" i="1"/>
  <c r="BF10" i="1"/>
  <c r="CI79" i="1"/>
  <c r="AS33" i="1"/>
  <c r="AT14" i="1"/>
  <c r="CG185" i="1"/>
  <c r="EO27" i="1"/>
  <c r="EP24" i="1"/>
  <c r="BB32" i="1"/>
  <c r="BB188" i="1"/>
  <c r="DA32" i="1"/>
  <c r="CH139" i="1"/>
  <c r="BE74" i="1"/>
  <c r="EO121" i="1"/>
  <c r="EM173" i="1"/>
  <c r="AU5" i="1"/>
  <c r="AW8" i="1"/>
  <c r="CI21" i="1"/>
  <c r="EL118" i="1"/>
  <c r="CH20" i="1"/>
  <c r="CH17" i="1"/>
  <c r="EO13" i="1"/>
  <c r="CG34" i="1"/>
  <c r="DB22" i="1"/>
  <c r="DB37" i="1"/>
  <c r="AV19" i="1"/>
  <c r="CE144" i="1"/>
  <c r="CD185" i="1"/>
  <c r="BB14" i="1"/>
  <c r="EQ32" i="1"/>
  <c r="CD180" i="1"/>
  <c r="AU18" i="1"/>
  <c r="CH170" i="1"/>
  <c r="CI4" i="1"/>
  <c r="EN95" i="1"/>
  <c r="BB74" i="1"/>
  <c r="BA4" i="1"/>
  <c r="CE76" i="1"/>
  <c r="DB18" i="1"/>
  <c r="EP89" i="1"/>
  <c r="EL100" i="1"/>
  <c r="EQ37" i="1"/>
  <c r="DB14" i="1"/>
  <c r="CI172" i="1"/>
  <c r="AV5" i="1"/>
  <c r="CI73" i="1"/>
  <c r="BB34" i="1"/>
  <c r="EN127" i="1"/>
  <c r="EM154" i="1"/>
  <c r="EO17" i="1"/>
  <c r="EQ101" i="1"/>
  <c r="EL85" i="1"/>
  <c r="EO11" i="1"/>
  <c r="BA70" i="1"/>
  <c r="CG176" i="1"/>
  <c r="EQ24" i="1"/>
  <c r="BD34" i="1"/>
  <c r="BB78" i="1"/>
  <c r="EN115" i="1"/>
  <c r="EM21" i="1"/>
  <c r="DD7" i="1"/>
  <c r="EL176" i="1"/>
  <c r="CH141" i="1"/>
  <c r="EM37" i="1"/>
  <c r="CG36" i="1"/>
  <c r="AW59" i="1"/>
  <c r="EO22" i="1"/>
  <c r="CF150" i="1"/>
  <c r="AV36" i="1"/>
  <c r="EL92" i="1"/>
  <c r="DA6" i="1"/>
  <c r="CF6" i="1"/>
  <c r="AS15" i="1"/>
  <c r="AV23" i="1"/>
  <c r="EP35" i="1"/>
  <c r="CD169" i="1"/>
  <c r="CH146" i="1"/>
  <c r="DD16" i="1"/>
  <c r="CE142" i="1"/>
  <c r="BB182" i="1"/>
  <c r="BB21" i="1"/>
  <c r="EP122" i="1"/>
  <c r="DA36" i="1"/>
  <c r="AS58" i="1"/>
  <c r="BA5" i="1"/>
  <c r="DE8" i="1"/>
  <c r="BB189" i="1"/>
  <c r="EL117" i="1"/>
  <c r="AT71" i="1"/>
  <c r="BE29" i="1"/>
  <c r="DB31" i="1"/>
  <c r="AV37" i="1"/>
  <c r="EL38" i="1"/>
  <c r="DE21" i="1"/>
  <c r="BB12" i="1"/>
  <c r="BC11" i="1"/>
  <c r="DA19" i="1"/>
  <c r="CI59" i="1"/>
  <c r="EP121" i="1"/>
  <c r="AT11" i="1"/>
  <c r="EP14" i="1"/>
  <c r="CE18" i="1"/>
  <c r="EM72" i="1"/>
  <c r="EM101" i="1"/>
  <c r="EL128" i="1"/>
  <c r="EN25" i="1"/>
  <c r="CI180" i="1"/>
  <c r="BF78" i="1"/>
  <c r="CE141" i="1"/>
  <c r="BB183" i="1"/>
  <c r="BD21" i="1"/>
  <c r="EQ8" i="1"/>
  <c r="CE75" i="1"/>
  <c r="EL28" i="1"/>
  <c r="EL48" i="1"/>
  <c r="DD29" i="1"/>
  <c r="CE9" i="1"/>
  <c r="DE14" i="1"/>
  <c r="EN118" i="1"/>
  <c r="CD160" i="1"/>
  <c r="EN20" i="1"/>
  <c r="AX4" i="1"/>
  <c r="EM130" i="1"/>
  <c r="EL75" i="1"/>
  <c r="AS72" i="1"/>
  <c r="EM85" i="1"/>
  <c r="EM107" i="1"/>
  <c r="CG38" i="1"/>
  <c r="BA14" i="1"/>
  <c r="CE34" i="1"/>
  <c r="DF35" i="1"/>
  <c r="AX46" i="1"/>
  <c r="DB36" i="1"/>
  <c r="CE21" i="1"/>
  <c r="CG13" i="1"/>
  <c r="CG9" i="1"/>
  <c r="EM105" i="1"/>
  <c r="CE149" i="1"/>
  <c r="CD20" i="1"/>
  <c r="AS45" i="1"/>
  <c r="CI61" i="1"/>
  <c r="BD79" i="1"/>
  <c r="BB36" i="1"/>
  <c r="AT77" i="1"/>
  <c r="CG179" i="1"/>
  <c r="EQ94" i="1"/>
  <c r="AU23" i="1"/>
  <c r="EM148" i="1"/>
  <c r="EQ14" i="1"/>
  <c r="EN105" i="1"/>
  <c r="EN104" i="1"/>
  <c r="DA24" i="1"/>
  <c r="AV33" i="1"/>
  <c r="CF24" i="1"/>
  <c r="EP110" i="1"/>
  <c r="AS31" i="1"/>
  <c r="DD13" i="1"/>
  <c r="DB16" i="1"/>
  <c r="CD31" i="1"/>
  <c r="BF45" i="1"/>
  <c r="CG45" i="1"/>
  <c r="BD36" i="1"/>
  <c r="CI159" i="1"/>
  <c r="DA31" i="1"/>
  <c r="EL11" i="1"/>
  <c r="DA13" i="1"/>
  <c r="CG21" i="1"/>
  <c r="CI187" i="1"/>
  <c r="EL105" i="1"/>
  <c r="CH140" i="1"/>
  <c r="EO104" i="1"/>
  <c r="AU35" i="1"/>
  <c r="AX59" i="1"/>
  <c r="CG73" i="1"/>
  <c r="EL31" i="1"/>
  <c r="DE36" i="1"/>
  <c r="CI16" i="1"/>
  <c r="BF14" i="1"/>
  <c r="EP88" i="1"/>
  <c r="BC16" i="1"/>
  <c r="DB24" i="1"/>
  <c r="DD10" i="1"/>
  <c r="EM78" i="1"/>
  <c r="AV14" i="1"/>
  <c r="DC35" i="1"/>
  <c r="CH157" i="1"/>
  <c r="DB21" i="1"/>
  <c r="CE152" i="1"/>
  <c r="AS73" i="1"/>
  <c r="BA74" i="1"/>
  <c r="AV79" i="1"/>
  <c r="AT21" i="1"/>
  <c r="EM59" i="1"/>
  <c r="AT75" i="1"/>
  <c r="AT36" i="1"/>
  <c r="BF74" i="1"/>
  <c r="CD8" i="1"/>
  <c r="BD11" i="1"/>
  <c r="DD27" i="1"/>
  <c r="CH61" i="1"/>
  <c r="BE24" i="1"/>
  <c r="CD30" i="1"/>
  <c r="DF29" i="1"/>
  <c r="EQ126" i="1"/>
  <c r="CH167" i="1"/>
  <c r="AW4" i="1"/>
  <c r="CH151" i="1"/>
  <c r="BF182" i="1"/>
  <c r="CH142" i="1"/>
  <c r="BF20" i="1"/>
  <c r="AX25" i="1"/>
  <c r="CF7" i="1"/>
  <c r="AV8" i="1"/>
  <c r="AW26" i="1"/>
  <c r="DE30" i="1"/>
  <c r="CF16" i="1"/>
  <c r="CG16" i="1"/>
  <c r="DE32" i="1"/>
  <c r="CD75" i="1"/>
  <c r="BD188" i="1"/>
  <c r="DC22" i="1"/>
  <c r="CI25" i="1"/>
  <c r="DE4" i="1"/>
  <c r="CE29" i="1"/>
  <c r="CG142" i="1"/>
  <c r="AX45" i="1"/>
  <c r="EM31" i="1"/>
  <c r="BD60" i="1"/>
  <c r="CG19" i="1"/>
  <c r="CI152" i="1"/>
  <c r="EL108" i="1"/>
  <c r="AW70" i="1"/>
  <c r="BC61" i="1"/>
  <c r="CG159" i="1"/>
  <c r="EM8" i="1"/>
  <c r="AV21" i="1"/>
  <c r="BC188" i="1"/>
  <c r="EL45" i="1"/>
  <c r="DE33" i="1"/>
  <c r="EP38" i="1"/>
  <c r="EQ119" i="1"/>
  <c r="BD183" i="1"/>
  <c r="CF154" i="1"/>
  <c r="AS35" i="1"/>
  <c r="DE11" i="1"/>
  <c r="EN124" i="1"/>
  <c r="AW60" i="1"/>
  <c r="CG187" i="1"/>
  <c r="EP108" i="1"/>
  <c r="CI7" i="1"/>
  <c r="BA182" i="1"/>
  <c r="BC73" i="1"/>
  <c r="EL24" i="1"/>
  <c r="CE46" i="1"/>
  <c r="CF143" i="1"/>
  <c r="CG33" i="1"/>
  <c r="CF149" i="1"/>
  <c r="CD79" i="1"/>
  <c r="CD57" i="1"/>
  <c r="AT24" i="1"/>
  <c r="EL86" i="1"/>
  <c r="DE7" i="1"/>
  <c r="AW5" i="1"/>
  <c r="BD29" i="1"/>
  <c r="BA179" i="1"/>
  <c r="BB38" i="1"/>
  <c r="EO98" i="1"/>
  <c r="BB35" i="1"/>
  <c r="BC76" i="1"/>
  <c r="EO10" i="1"/>
  <c r="EL173" i="1"/>
  <c r="EO88" i="1"/>
  <c r="AT10" i="1"/>
  <c r="CG14" i="1"/>
  <c r="EN122" i="1"/>
  <c r="CE4" i="1"/>
  <c r="CH144" i="1"/>
  <c r="CD13" i="1"/>
  <c r="EN93" i="1"/>
  <c r="DF26" i="1"/>
  <c r="DE35" i="1"/>
  <c r="EM108" i="1"/>
  <c r="AX7" i="1"/>
  <c r="EO111" i="1"/>
  <c r="AU6" i="1"/>
  <c r="AV24" i="1"/>
  <c r="EM115" i="1"/>
  <c r="BE33" i="1"/>
  <c r="BB47" i="1"/>
  <c r="CI145" i="1"/>
  <c r="EM28" i="1"/>
  <c r="CH174" i="1"/>
  <c r="CH155" i="1"/>
  <c r="EM92" i="1"/>
  <c r="AU4" i="1"/>
  <c r="EL34" i="1"/>
  <c r="EO23" i="1"/>
  <c r="CD9" i="1"/>
  <c r="CF31" i="1"/>
  <c r="CH173" i="1"/>
  <c r="BF29" i="1"/>
  <c r="CH158" i="1"/>
  <c r="CE22" i="1"/>
  <c r="AT30" i="1"/>
  <c r="DF22" i="1"/>
  <c r="BC71" i="1"/>
  <c r="EO123" i="1"/>
  <c r="BA60" i="1"/>
  <c r="CH175" i="1"/>
  <c r="AX29" i="1"/>
  <c r="CE147" i="1"/>
  <c r="BF72" i="1"/>
  <c r="CE180" i="1"/>
  <c r="CI176" i="1"/>
  <c r="BA26" i="1"/>
  <c r="CD21" i="1"/>
  <c r="AV4" i="1"/>
  <c r="AU34" i="1"/>
  <c r="AS48" i="1"/>
  <c r="BD14" i="1"/>
  <c r="DD34" i="1"/>
  <c r="EL112" i="1"/>
  <c r="AT74" i="1"/>
  <c r="AX15" i="1"/>
  <c r="EM5" i="1"/>
  <c r="AX38" i="1"/>
  <c r="AS37" i="1"/>
  <c r="EP101" i="1"/>
  <c r="EM120" i="1"/>
  <c r="CF30" i="1"/>
  <c r="AU15" i="1"/>
  <c r="EM114" i="1"/>
  <c r="EN86" i="1"/>
  <c r="DF31" i="1"/>
  <c r="CD187" i="1"/>
  <c r="CE177" i="1"/>
  <c r="CF141" i="1"/>
  <c r="CG48" i="1"/>
  <c r="AV62" i="1"/>
  <c r="CD29" i="1"/>
  <c r="EQ93" i="1"/>
  <c r="BB17" i="1"/>
  <c r="CI151" i="1"/>
  <c r="CI157" i="1"/>
  <c r="AX8" i="1"/>
  <c r="DF10" i="1"/>
  <c r="BF185" i="1"/>
  <c r="EO125" i="1"/>
  <c r="BB22" i="1"/>
  <c r="CG186" i="1"/>
  <c r="EM15" i="1"/>
  <c r="AU24" i="1"/>
  <c r="DB28" i="1"/>
  <c r="AT26" i="1"/>
  <c r="BB7" i="1"/>
  <c r="EL35" i="1"/>
  <c r="BD184" i="1"/>
  <c r="AS32" i="1"/>
  <c r="DA11" i="1"/>
  <c r="EL63" i="1"/>
  <c r="BB76" i="1"/>
  <c r="DC16" i="1"/>
  <c r="CH29" i="1"/>
  <c r="AW46" i="1"/>
  <c r="CI14" i="1"/>
  <c r="AS62" i="1"/>
  <c r="DA4" i="1"/>
  <c r="BA76" i="1"/>
  <c r="CH38" i="1"/>
  <c r="CG178" i="1"/>
  <c r="CD25" i="1"/>
  <c r="DA26" i="1"/>
  <c r="AS25" i="1"/>
  <c r="CG8" i="1"/>
  <c r="AV71" i="1"/>
  <c r="EN23" i="1"/>
  <c r="CF158" i="1"/>
  <c r="BA37" i="1"/>
  <c r="EM29" i="1"/>
  <c r="BE11" i="1"/>
  <c r="CH25" i="1"/>
  <c r="BD187" i="1"/>
  <c r="AT20" i="1"/>
  <c r="EM79" i="1"/>
  <c r="DE12" i="1"/>
  <c r="BE76" i="1"/>
  <c r="DA17" i="1"/>
  <c r="BF179" i="1"/>
  <c r="DB10" i="1"/>
  <c r="CD171" i="1"/>
  <c r="BA6" i="1"/>
  <c r="EN85" i="1"/>
  <c r="EL116" i="1"/>
  <c r="DF36" i="1"/>
  <c r="AW20" i="1"/>
  <c r="BA13" i="1"/>
  <c r="BD4" i="1"/>
  <c r="CG184" i="1"/>
  <c r="BF7" i="1"/>
  <c r="EP10" i="1"/>
  <c r="EM7" i="1"/>
  <c r="EM125" i="1"/>
  <c r="AX71" i="1"/>
  <c r="EP96" i="1"/>
  <c r="CG20" i="1"/>
  <c r="AT85" i="1"/>
  <c r="EP87" i="1"/>
  <c r="BC6" i="1"/>
  <c r="EM24" i="1"/>
  <c r="BF61" i="1"/>
  <c r="EO5" i="1"/>
  <c r="CF160" i="1"/>
  <c r="BA63" i="1"/>
  <c r="BB79" i="1"/>
  <c r="AX16" i="1"/>
  <c r="BF34" i="1"/>
  <c r="AT5" i="1"/>
  <c r="CI158" i="1"/>
  <c r="BC182" i="1"/>
  <c r="EL62" i="1"/>
  <c r="AV28" i="1"/>
  <c r="CE12" i="1"/>
  <c r="AV72" i="1"/>
  <c r="CE139" i="1"/>
  <c r="DA12" i="1"/>
  <c r="AV30" i="1"/>
  <c r="BD26" i="1"/>
  <c r="BD58" i="1"/>
  <c r="BC35" i="1"/>
  <c r="CE27" i="1"/>
  <c r="AW28" i="1"/>
  <c r="EL77" i="1"/>
  <c r="EM18" i="1"/>
  <c r="CH34" i="1"/>
  <c r="BD18" i="1"/>
  <c r="CG24" i="1"/>
  <c r="AT28" i="1"/>
  <c r="DA20" i="1"/>
  <c r="BF9" i="1"/>
  <c r="AU26" i="1"/>
  <c r="CI78" i="1"/>
  <c r="CI181" i="1"/>
  <c r="CF176" i="1"/>
  <c r="CH10" i="1"/>
  <c r="AV9" i="1"/>
  <c r="CE140" i="1"/>
  <c r="AX35" i="1"/>
  <c r="DF14" i="1"/>
  <c r="CG172" i="1"/>
  <c r="DC31" i="1"/>
  <c r="CE189" i="1"/>
  <c r="DD15" i="1"/>
  <c r="EP116" i="1"/>
  <c r="AT60" i="1"/>
  <c r="CH18" i="1"/>
  <c r="CH11" i="1"/>
  <c r="EP105" i="1"/>
  <c r="EO102" i="1"/>
  <c r="BA38" i="1"/>
  <c r="DD31" i="1"/>
  <c r="AT27" i="1"/>
  <c r="CG177" i="1"/>
  <c r="EM10" i="1"/>
  <c r="EM64" i="1"/>
  <c r="CF152" i="1"/>
  <c r="EM45" i="1"/>
  <c r="BB59" i="1"/>
  <c r="DE9" i="1"/>
  <c r="EQ36" i="1"/>
  <c r="AS11" i="1"/>
  <c r="DE25" i="1"/>
  <c r="CF186" i="1"/>
  <c r="AT78" i="1"/>
  <c r="EP130" i="1"/>
  <c r="CE158" i="1"/>
  <c r="CE172" i="1"/>
  <c r="EM152" i="1"/>
  <c r="BC14" i="1"/>
  <c r="CE37" i="1"/>
  <c r="EM147" i="1"/>
  <c r="EO12" i="1"/>
  <c r="AS8" i="1"/>
  <c r="BD75" i="1"/>
  <c r="DC11" i="1"/>
  <c r="AS13" i="1"/>
  <c r="BD9" i="1"/>
  <c r="AU29" i="1"/>
  <c r="CE45" i="1"/>
  <c r="BF183" i="1"/>
  <c r="BA184" i="1"/>
  <c r="EN87" i="1"/>
  <c r="BA19" i="1"/>
  <c r="DA5" i="1"/>
  <c r="CI75" i="1"/>
  <c r="AV15" i="1"/>
  <c r="CG145" i="1"/>
  <c r="EQ115" i="1"/>
  <c r="DF32" i="1"/>
  <c r="EM93" i="1"/>
  <c r="CE73" i="1"/>
  <c r="AV26" i="1"/>
  <c r="EN31" i="1"/>
  <c r="EQ97" i="1"/>
  <c r="CH75" i="1"/>
  <c r="BD180" i="1"/>
  <c r="EM116" i="1"/>
  <c r="AT59" i="1"/>
  <c r="CD14" i="1"/>
  <c r="EO85" i="1"/>
  <c r="EP119" i="1"/>
  <c r="BC18" i="1"/>
  <c r="CI33" i="1"/>
  <c r="EM75" i="1"/>
  <c r="BB8" i="1"/>
  <c r="BA185" i="1"/>
  <c r="CG28" i="1"/>
  <c r="DE17" i="1"/>
  <c r="BD35" i="1"/>
  <c r="DA28" i="1"/>
  <c r="CI31" i="1"/>
  <c r="DF21" i="1"/>
  <c r="EL4" i="1"/>
  <c r="CH182" i="1"/>
  <c r="AW74" i="1"/>
  <c r="CD38" i="1"/>
  <c r="CH147" i="1"/>
  <c r="CH160" i="1"/>
  <c r="DD14" i="1"/>
  <c r="EO118" i="1"/>
  <c r="CF169" i="1"/>
  <c r="CI48" i="1"/>
  <c r="CG74" i="1"/>
  <c r="EQ129" i="1"/>
  <c r="CI141" i="1"/>
  <c r="EL91" i="1"/>
  <c r="EL90" i="1"/>
  <c r="DB13" i="1"/>
  <c r="BA24" i="1"/>
  <c r="AU189" i="1"/>
  <c r="AX20" i="1"/>
  <c r="AS38" i="1"/>
  <c r="DD32" i="1"/>
  <c r="CH148" i="1"/>
  <c r="AX30" i="1"/>
  <c r="CE154" i="1"/>
  <c r="EQ104" i="1"/>
  <c r="DB32" i="1"/>
  <c r="CD16" i="1"/>
  <c r="DF20" i="1"/>
  <c r="CF26" i="1"/>
  <c r="AT57" i="1"/>
  <c r="EN101" i="1"/>
  <c r="EP129" i="1"/>
  <c r="CI139" i="1"/>
  <c r="CD35" i="1"/>
  <c r="AX78" i="1"/>
  <c r="EN123" i="1"/>
  <c r="CH152" i="1"/>
  <c r="DD38" i="1"/>
  <c r="EL14" i="1"/>
  <c r="CE188" i="1"/>
  <c r="DC28" i="1"/>
  <c r="CE178" i="1"/>
  <c r="DF8" i="1"/>
  <c r="CF72" i="1"/>
  <c r="EM9" i="1"/>
  <c r="BD70" i="1"/>
  <c r="CH28" i="1"/>
  <c r="EO105" i="1"/>
  <c r="EP109" i="1"/>
  <c r="EM86" i="1"/>
  <c r="DE19" i="1"/>
  <c r="BE16" i="1"/>
  <c r="DB38" i="1"/>
  <c r="CG171" i="1"/>
  <c r="CE79" i="1"/>
  <c r="EL59" i="1"/>
  <c r="AT73" i="1"/>
  <c r="DA7" i="1"/>
  <c r="EM102" i="1"/>
  <c r="EQ102" i="1"/>
  <c r="CD24" i="1"/>
  <c r="AV78" i="1"/>
  <c r="AV188" i="1"/>
  <c r="CD32" i="1"/>
  <c r="EQ29" i="1"/>
  <c r="EM36" i="1"/>
  <c r="CI30" i="1"/>
  <c r="EN88" i="1"/>
  <c r="CG138" i="1"/>
  <c r="AS10" i="1"/>
  <c r="EM96" i="1"/>
  <c r="AW13" i="1"/>
  <c r="AT17" i="1"/>
  <c r="CD173" i="1"/>
  <c r="EP16" i="1"/>
  <c r="CG188" i="1"/>
  <c r="EM189" i="1"/>
  <c r="BE23" i="1"/>
  <c r="EO19" i="1"/>
  <c r="BE18" i="1"/>
  <c r="BA71" i="1"/>
  <c r="BE70" i="1"/>
  <c r="EO37" i="1"/>
  <c r="AU8" i="1"/>
  <c r="BC31" i="1"/>
  <c r="CF173" i="1"/>
  <c r="DA30" i="1"/>
  <c r="AV77" i="1"/>
  <c r="CE36" i="1"/>
  <c r="EQ106" i="1"/>
  <c r="BF17" i="1"/>
  <c r="BA183" i="1"/>
  <c r="EM169" i="1"/>
  <c r="CF28" i="1"/>
  <c r="AW48" i="1"/>
  <c r="AV47" i="1"/>
  <c r="EL96" i="1"/>
  <c r="BF36" i="1"/>
  <c r="CG77" i="1"/>
  <c r="CI12" i="1"/>
  <c r="AT45" i="1"/>
  <c r="BA59" i="1"/>
  <c r="BF11" i="1"/>
  <c r="BF6" i="1"/>
  <c r="DA27" i="1"/>
  <c r="EQ127" i="1"/>
  <c r="BA61" i="1"/>
  <c r="CE23" i="1"/>
  <c r="CF38" i="1"/>
  <c r="DF15" i="1"/>
  <c r="BC27" i="1"/>
  <c r="AT9" i="1"/>
  <c r="DE18" i="1"/>
  <c r="AU37" i="1"/>
  <c r="EL98" i="1"/>
  <c r="DB23" i="1"/>
  <c r="AX77" i="1"/>
  <c r="BE19" i="1"/>
  <c r="CD6" i="1"/>
  <c r="EL8" i="1"/>
  <c r="CG79" i="1"/>
  <c r="EP30" i="1"/>
  <c r="EM146" i="1"/>
  <c r="CI150" i="1"/>
  <c r="BF181" i="1"/>
  <c r="CE138" i="1"/>
  <c r="DD26" i="1"/>
  <c r="EM121" i="1"/>
  <c r="DC29" i="1"/>
  <c r="EM22" i="1"/>
  <c r="DE37" i="1"/>
  <c r="AW73" i="1"/>
  <c r="EL27" i="1"/>
  <c r="EL9" i="1"/>
  <c r="CD58" i="1"/>
  <c r="EM127" i="1"/>
  <c r="EP90" i="1"/>
  <c r="EM95" i="1"/>
  <c r="CE14" i="1"/>
  <c r="CI153" i="1"/>
  <c r="EO112" i="1"/>
  <c r="CH21" i="1"/>
  <c r="EQ26" i="1"/>
  <c r="AV29" i="1"/>
  <c r="CF14" i="1"/>
  <c r="BB4" i="1"/>
  <c r="EM113" i="1"/>
  <c r="EL29" i="1"/>
  <c r="BC45" i="1"/>
  <c r="AS20" i="1"/>
  <c r="CD47" i="1"/>
  <c r="EP92" i="1"/>
  <c r="EQ107" i="1"/>
  <c r="DC21" i="1"/>
  <c r="BF79" i="1"/>
  <c r="BC48" i="1"/>
  <c r="BC36" i="1"/>
  <c r="BE27" i="1"/>
  <c r="EO18" i="1"/>
  <c r="EM153" i="1"/>
  <c r="BA188" i="1"/>
  <c r="EL73" i="1"/>
  <c r="CE5" i="1"/>
  <c r="BD72" i="1"/>
  <c r="EM94" i="1"/>
  <c r="EO28" i="1"/>
  <c r="BA47" i="1"/>
  <c r="EM129" i="1"/>
  <c r="DC18" i="1"/>
  <c r="CF145" i="1"/>
  <c r="AW14" i="1"/>
  <c r="AT13" i="1"/>
  <c r="CI170" i="1"/>
  <c r="EN126" i="1"/>
  <c r="BC34" i="1"/>
  <c r="BD73" i="1"/>
  <c r="DB33" i="1"/>
  <c r="CF45" i="1"/>
  <c r="EO100" i="1"/>
  <c r="CD7" i="1"/>
  <c r="CH159" i="1"/>
  <c r="AW78" i="1"/>
  <c r="AU30" i="1"/>
  <c r="EM34" i="1"/>
  <c r="AU57" i="1"/>
  <c r="BE13" i="1"/>
  <c r="EM46" i="1"/>
  <c r="BD17" i="1"/>
  <c r="EM11" i="1"/>
  <c r="AW30" i="1"/>
  <c r="CG174" i="1"/>
  <c r="BE63" i="1"/>
  <c r="CI10" i="1"/>
  <c r="EL170" i="1"/>
  <c r="EM176" i="1"/>
  <c r="EP8" i="1"/>
  <c r="EN120" i="1"/>
  <c r="EQ34" i="1"/>
  <c r="BE8" i="1"/>
  <c r="CI140" i="1"/>
  <c r="DC37" i="1"/>
  <c r="AS4" i="1"/>
  <c r="BA58" i="1"/>
  <c r="BE47" i="1"/>
  <c r="EL70" i="1"/>
  <c r="AV45" i="1"/>
  <c r="CH58" i="1"/>
  <c r="DA25" i="1"/>
  <c r="EQ90" i="1"/>
  <c r="AW24" i="1"/>
  <c r="BA27" i="1"/>
  <c r="BA21" i="1"/>
  <c r="BF38" i="1"/>
  <c r="EM25" i="1"/>
  <c r="CE11" i="1"/>
  <c r="BD63" i="1"/>
  <c r="AT12" i="1"/>
  <c r="CD72" i="1"/>
  <c r="EL115" i="1"/>
  <c r="CD76" i="1"/>
  <c r="CG148" i="1"/>
  <c r="DB26" i="1"/>
  <c r="CI13" i="1"/>
  <c r="EO8" i="1"/>
  <c r="DA8" i="1"/>
  <c r="BC72" i="1"/>
  <c r="AU71" i="1"/>
  <c r="AS74" i="1"/>
  <c r="AW17" i="1"/>
  <c r="CH60" i="1"/>
  <c r="CI72" i="1"/>
  <c r="BB25" i="1"/>
  <c r="EO31" i="1"/>
  <c r="DD24" i="1"/>
  <c r="AV31" i="1"/>
  <c r="EQ120" i="1"/>
  <c r="EN14" i="1"/>
  <c r="BE71" i="1"/>
  <c r="AV34" i="1"/>
  <c r="EQ96" i="1"/>
  <c r="AT37" i="1"/>
  <c r="BA23" i="1"/>
  <c r="CG47" i="1"/>
  <c r="EQ118" i="1"/>
  <c r="BF5" i="1"/>
  <c r="CE25" i="1"/>
  <c r="CI143" i="1"/>
  <c r="EP21" i="1"/>
  <c r="AS77" i="1"/>
  <c r="AX28" i="1"/>
  <c r="EM14" i="1"/>
  <c r="EP93" i="1"/>
  <c r="DF18" i="1"/>
  <c r="EN5" i="1"/>
  <c r="DD8" i="1"/>
  <c r="BF188" i="1"/>
  <c r="EN117" i="1"/>
  <c r="CH180" i="1"/>
  <c r="EO130" i="1"/>
  <c r="EN129" i="1"/>
  <c r="BA78" i="1"/>
  <c r="CE7" i="1"/>
  <c r="EO101" i="1"/>
  <c r="DA14" i="1"/>
  <c r="DC9" i="1"/>
  <c r="CG180" i="1"/>
  <c r="AV189" i="1"/>
  <c r="EO29" i="1"/>
  <c r="EM30" i="1"/>
  <c r="DD22" i="1"/>
  <c r="CE10" i="1"/>
  <c r="BC59" i="1"/>
  <c r="EO114" i="1"/>
  <c r="AX10" i="1"/>
  <c r="BB186" i="1"/>
  <c r="EQ100" i="1"/>
  <c r="BE10" i="1"/>
  <c r="DB20" i="1"/>
  <c r="CE31" i="1"/>
  <c r="BA32" i="1"/>
  <c r="CH15" i="1"/>
  <c r="EM60" i="1"/>
  <c r="CG144" i="1"/>
  <c r="EL32" i="1"/>
  <c r="EN33" i="1"/>
  <c r="CG147" i="1"/>
  <c r="DD17" i="1"/>
  <c r="CI15" i="1"/>
  <c r="EM62" i="1"/>
  <c r="CG160" i="1"/>
  <c r="EQ7" i="1"/>
  <c r="DF33" i="1"/>
  <c r="CF189" i="1"/>
  <c r="CH143" i="1"/>
  <c r="EP100" i="1"/>
  <c r="CD179" i="1"/>
  <c r="AS12" i="1"/>
  <c r="EL121" i="1"/>
  <c r="EL129" i="1"/>
  <c r="CI166" i="1"/>
  <c r="BC19" i="1"/>
  <c r="BC21" i="1"/>
  <c r="CH186" i="1"/>
  <c r="AS17" i="1"/>
  <c r="EO106" i="1"/>
  <c r="DA10" i="1"/>
  <c r="CE173" i="1"/>
  <c r="EQ113" i="1"/>
  <c r="CI189" i="1"/>
  <c r="BD77" i="1"/>
  <c r="BB180" i="1"/>
  <c r="EM23" i="1"/>
  <c r="DE28" i="1"/>
  <c r="CF177" i="1"/>
  <c r="DE6" i="1"/>
  <c r="EL76" i="1"/>
  <c r="CD184" i="1"/>
  <c r="AX5" i="1"/>
  <c r="AS14" i="1"/>
  <c r="AX13" i="1"/>
  <c r="CF5" i="1"/>
  <c r="CG37" i="1"/>
  <c r="CE74" i="1"/>
  <c r="AV61" i="1"/>
  <c r="AS26" i="1"/>
  <c r="BF4" i="1"/>
  <c r="DE13" i="1"/>
  <c r="EL101" i="1"/>
  <c r="BD185" i="1"/>
  <c r="AT19" i="1"/>
  <c r="CF148" i="1"/>
  <c r="AW12" i="1"/>
  <c r="EP32" i="1"/>
  <c r="AU22" i="1"/>
  <c r="EN12" i="1"/>
  <c r="EL71" i="1"/>
  <c r="BF8" i="1"/>
  <c r="CH8" i="1"/>
  <c r="EM26" i="1"/>
  <c r="CH31" i="1"/>
  <c r="CG189" i="1"/>
  <c r="DA34" i="1"/>
  <c r="EL111" i="1"/>
  <c r="BD76" i="1"/>
  <c r="CG35" i="1"/>
  <c r="DE16" i="1"/>
  <c r="CF57" i="1"/>
  <c r="CG26" i="1"/>
  <c r="EO107" i="1"/>
  <c r="EL125" i="1"/>
  <c r="AS24" i="1"/>
  <c r="EQ109" i="1"/>
  <c r="EO127" i="1"/>
  <c r="DA16" i="1"/>
  <c r="AX31" i="1"/>
  <c r="CI45" i="1"/>
  <c r="CE20" i="1"/>
  <c r="CF178" i="1"/>
  <c r="EQ116" i="1"/>
  <c r="BF60" i="1"/>
  <c r="DB29" i="1"/>
  <c r="BE38" i="1"/>
  <c r="AX60" i="1"/>
  <c r="EO87" i="1"/>
  <c r="AS79" i="1"/>
  <c r="EQ13" i="1"/>
  <c r="CF140" i="1"/>
  <c r="AW79" i="1"/>
  <c r="DE34" i="1"/>
  <c r="EP9" i="1"/>
  <c r="BB6" i="1"/>
  <c r="AS9" i="1"/>
  <c r="EM166" i="1"/>
  <c r="AT18" i="1"/>
  <c r="DF38" i="1"/>
  <c r="CG139" i="1"/>
  <c r="AW61" i="1"/>
  <c r="CG11" i="1"/>
  <c r="AX58" i="1"/>
  <c r="CF144" i="1"/>
  <c r="AW72" i="1"/>
  <c r="DF7" i="1"/>
  <c r="DF30" i="1"/>
  <c r="CH185" i="1"/>
  <c r="BD16" i="1"/>
  <c r="EM63" i="1"/>
  <c r="BD32" i="1"/>
  <c r="AW35" i="1"/>
  <c r="AX37" i="1"/>
  <c r="EM111" i="1"/>
  <c r="AT79" i="1"/>
  <c r="CD48" i="1"/>
  <c r="CF8" i="1"/>
  <c r="BD30" i="1"/>
  <c r="CD34" i="1"/>
  <c r="EP128" i="1"/>
  <c r="EN91" i="1"/>
  <c r="BF18" i="1"/>
  <c r="EO116" i="1"/>
  <c r="BF19" i="1"/>
  <c r="AV22" i="1"/>
  <c r="AU76" i="1"/>
  <c r="CI5" i="1"/>
  <c r="EP103" i="1"/>
  <c r="AT7" i="1"/>
  <c r="CD19" i="1"/>
  <c r="DD21" i="1"/>
  <c r="CE137" i="1"/>
  <c r="EN119" i="1"/>
  <c r="DE22" i="1"/>
  <c r="CF23" i="1"/>
  <c r="EL106" i="1"/>
  <c r="EO99" i="1"/>
  <c r="BC78" i="1"/>
  <c r="BC189" i="1"/>
  <c r="CF11" i="1"/>
  <c r="EM71" i="1"/>
  <c r="CH27" i="1"/>
  <c r="AX14" i="1"/>
  <c r="EL103" i="1"/>
  <c r="BA34" i="1"/>
  <c r="CH16" i="1"/>
  <c r="BE22" i="1"/>
  <c r="BC62" i="1"/>
  <c r="AV7" i="1"/>
  <c r="CE33" i="1"/>
  <c r="AS28" i="1"/>
  <c r="EM155" i="1"/>
  <c r="AX57" i="1"/>
  <c r="BA57" i="1"/>
  <c r="EL104" i="1"/>
  <c r="CD23" i="1"/>
  <c r="BD59" i="1"/>
  <c r="AW38" i="1"/>
  <c r="EL107" i="1"/>
  <c r="BF12" i="1"/>
  <c r="CH23" i="1"/>
  <c r="BD61" i="1"/>
  <c r="EL126" i="1"/>
  <c r="BF184" i="1"/>
  <c r="BF48" i="1"/>
  <c r="CE179" i="1"/>
  <c r="EP95" i="1"/>
  <c r="EM106" i="1"/>
  <c r="CF25" i="1"/>
  <c r="EP4" i="1"/>
  <c r="AT35" i="1"/>
  <c r="DB34" i="1"/>
  <c r="CI146" i="1"/>
  <c r="EN106" i="1"/>
  <c r="EM61" i="1"/>
  <c r="EP15" i="1"/>
  <c r="CG32" i="1"/>
  <c r="CI183" i="1"/>
  <c r="AU28" i="1"/>
  <c r="DB17" i="1"/>
  <c r="EP112" i="1"/>
  <c r="CI18" i="1"/>
  <c r="CD73" i="1"/>
  <c r="EQ19" i="1"/>
  <c r="EP102" i="1"/>
  <c r="CE72" i="1"/>
  <c r="EP18" i="1"/>
  <c r="AX34" i="1"/>
  <c r="AX17" i="1"/>
  <c r="BE14" i="1"/>
  <c r="EO108" i="1"/>
  <c r="EP11" i="1"/>
  <c r="EP13" i="1"/>
  <c r="EL109" i="1"/>
  <c r="CH26" i="1"/>
  <c r="CE167" i="1"/>
  <c r="BC24" i="1"/>
  <c r="CF59" i="1"/>
  <c r="EM187" i="1"/>
  <c r="BC184" i="1"/>
  <c r="CF36" i="1"/>
  <c r="AV73" i="1"/>
  <c r="BC183" i="1"/>
  <c r="CG12" i="1"/>
  <c r="CD28" i="1"/>
  <c r="DD11" i="1"/>
  <c r="DF34" i="1"/>
  <c r="CI26" i="1"/>
  <c r="CH171" i="1"/>
  <c r="CH169" i="1"/>
  <c r="EL22" i="1"/>
  <c r="EQ33" i="1"/>
  <c r="EL12" i="1"/>
  <c r="AU47" i="1"/>
  <c r="AX75" i="1"/>
  <c r="DD20" i="1"/>
  <c r="CG31" i="1"/>
  <c r="AX62" i="1"/>
  <c r="CF174" i="1"/>
  <c r="BB46" i="1"/>
  <c r="EN96" i="1"/>
  <c r="CF37" i="1"/>
  <c r="AS61" i="1"/>
  <c r="EM151" i="1"/>
  <c r="CE146" i="1"/>
  <c r="AU79" i="1"/>
  <c r="BA31" i="1"/>
  <c r="EM126" i="1"/>
  <c r="AU75" i="1"/>
  <c r="AV18" i="1"/>
  <c r="CH6" i="1"/>
  <c r="CE77" i="1"/>
  <c r="BA9" i="1"/>
  <c r="EL37" i="1"/>
  <c r="DF27" i="1"/>
  <c r="EM87" i="1"/>
  <c r="CG181" i="1"/>
  <c r="AT32" i="1"/>
  <c r="EQ5" i="1"/>
  <c r="DB12" i="1"/>
  <c r="DA9" i="1"/>
  <c r="BF31" i="1"/>
  <c r="BD7" i="1"/>
  <c r="BD31" i="1"/>
  <c r="AU17" i="1"/>
  <c r="BC17" i="1"/>
  <c r="CH172" i="1"/>
  <c r="DA29" i="1"/>
  <c r="AT34" i="1"/>
  <c r="CE186" i="1"/>
  <c r="EM170" i="1"/>
  <c r="DE23" i="1"/>
  <c r="EL174" i="1"/>
  <c r="CD167" i="1"/>
  <c r="EP37" i="1"/>
  <c r="EO129" i="1"/>
  <c r="BC26" i="1"/>
  <c r="CD46" i="1"/>
  <c r="BA11" i="1"/>
  <c r="BB73" i="1"/>
  <c r="EP22" i="1"/>
  <c r="CG75" i="1"/>
  <c r="AX32" i="1"/>
  <c r="CF138" i="1"/>
  <c r="EO93" i="1"/>
  <c r="EM175" i="1"/>
  <c r="BD181" i="1"/>
  <c r="EN26" i="1"/>
  <c r="EN34" i="1"/>
  <c r="DF9" i="1"/>
  <c r="BA7" i="1"/>
  <c r="EM17" i="1"/>
  <c r="EM123" i="1"/>
  <c r="DA15" i="1"/>
  <c r="EQ89" i="1"/>
  <c r="CI46" i="1"/>
  <c r="EN37" i="1"/>
  <c r="BB57" i="1"/>
  <c r="AT4" i="1"/>
  <c r="EN130" i="1"/>
  <c r="EQ108" i="1"/>
  <c r="CH77" i="1"/>
  <c r="EO30" i="1"/>
  <c r="DC13" i="1"/>
  <c r="BC9" i="1"/>
  <c r="AT15" i="1"/>
  <c r="BB5" i="1"/>
  <c r="BF16" i="1"/>
  <c r="CI178" i="1"/>
  <c r="CH35" i="1"/>
  <c r="AS19" i="1"/>
  <c r="CI188" i="1"/>
  <c r="BE21" i="1"/>
  <c r="EM35" i="1"/>
  <c r="BB13" i="1"/>
  <c r="EM16" i="1"/>
  <c r="BE58" i="1"/>
  <c r="EM122" i="1"/>
  <c r="BA77" i="1"/>
  <c r="BC63" i="1"/>
  <c r="EP125" i="1"/>
  <c r="CG27" i="1"/>
  <c r="CG146" i="1"/>
  <c r="CH177" i="1"/>
  <c r="BB48" i="1"/>
  <c r="CD4" i="1"/>
  <c r="CD178" i="1"/>
  <c r="CI156" i="1"/>
  <c r="EO6" i="1"/>
  <c r="EQ114" i="1"/>
  <c r="BB63" i="1"/>
  <c r="AT61" i="1"/>
  <c r="EM104" i="1"/>
  <c r="EM89" i="1"/>
  <c r="EQ31" i="1"/>
  <c r="EL46" i="1"/>
  <c r="BF63" i="1"/>
  <c r="EL47" i="1"/>
  <c r="CD175" i="1"/>
  <c r="EN28" i="1"/>
  <c r="EL23" i="1"/>
  <c r="DB8" i="1"/>
  <c r="CF60" i="1"/>
  <c r="EM27" i="1"/>
  <c r="CG17" i="1"/>
  <c r="CD183" i="1"/>
  <c r="CD181" i="1"/>
  <c r="CD60" i="1"/>
  <c r="BD78" i="1"/>
  <c r="CH79" i="1"/>
  <c r="DF19" i="1"/>
  <c r="AS6" i="1"/>
  <c r="BB10" i="1"/>
  <c r="CF157" i="1"/>
  <c r="DD28" i="1"/>
  <c r="AW34" i="1"/>
  <c r="CD156" i="1"/>
  <c r="CH178" i="1"/>
  <c r="DE15" i="1"/>
  <c r="CF153" i="1"/>
  <c r="BE25" i="1"/>
  <c r="AS30" i="1"/>
  <c r="BA73" i="1"/>
  <c r="BB15" i="1"/>
  <c r="EL15" i="1"/>
  <c r="EN32" i="1"/>
  <c r="EM99" i="1"/>
  <c r="EM4" i="1"/>
  <c r="AX61" i="1"/>
  <c r="DA18" i="1"/>
  <c r="EL20" i="1"/>
  <c r="CH181" i="1"/>
  <c r="EP6" i="1"/>
  <c r="DC26" i="1"/>
  <c r="CE38" i="1"/>
  <c r="CG61" i="1"/>
  <c r="BC5" i="1"/>
  <c r="BA18" i="1"/>
  <c r="BE57" i="1"/>
  <c r="CE78" i="1"/>
  <c r="EM167" i="1"/>
  <c r="EN92" i="1"/>
  <c r="EO97" i="1"/>
  <c r="AS18" i="1"/>
  <c r="DA38" i="1"/>
  <c r="AT76" i="1"/>
  <c r="BA33" i="1"/>
  <c r="EL21" i="1"/>
  <c r="CD59" i="1"/>
  <c r="CE157" i="1"/>
  <c r="EP111" i="1"/>
  <c r="BC28" i="1"/>
  <c r="BE20" i="1"/>
  <c r="BB16" i="1"/>
  <c r="CF20" i="1"/>
  <c r="CE15" i="1"/>
  <c r="CI76" i="1"/>
  <c r="BF58" i="1"/>
  <c r="BA186" i="1"/>
  <c r="CD172" i="1"/>
  <c r="CH179" i="1"/>
  <c r="BC10" i="1"/>
  <c r="AW45" i="1"/>
  <c r="CH187" i="1"/>
  <c r="EL58" i="1"/>
  <c r="CH189" i="1"/>
  <c r="EM149" i="1"/>
  <c r="EO94" i="1"/>
  <c r="AW31" i="1"/>
  <c r="EL16" i="1"/>
  <c r="CF61" i="1"/>
  <c r="CG141" i="1"/>
  <c r="EL114" i="1"/>
  <c r="BD33" i="1"/>
  <c r="CE26" i="1"/>
  <c r="EP98" i="1"/>
  <c r="BC15" i="1"/>
  <c r="CH188" i="1"/>
  <c r="CH153" i="1"/>
  <c r="EL110" i="1"/>
  <c r="BB185" i="1"/>
  <c r="EL123" i="1"/>
  <c r="AV57" i="1"/>
  <c r="BF73" i="1"/>
  <c r="CE24" i="1"/>
  <c r="CD26" i="1"/>
  <c r="AU59" i="1"/>
  <c r="CH46" i="1"/>
  <c r="BE34" i="1"/>
  <c r="EM168" i="1"/>
  <c r="CD139" i="1"/>
  <c r="CE8" i="1"/>
  <c r="BA189" i="1"/>
  <c r="CI60" i="1"/>
  <c r="AU14" i="1"/>
  <c r="BC30" i="1"/>
  <c r="EO124" i="1"/>
  <c r="CE169" i="1"/>
  <c r="AT6" i="1"/>
  <c r="AU73" i="1"/>
  <c r="AU19" i="1"/>
  <c r="CI74" i="1"/>
  <c r="EM118" i="1"/>
  <c r="EQ105" i="1"/>
  <c r="AX79" i="1"/>
  <c r="BC8" i="1"/>
  <c r="AX36" i="1"/>
  <c r="CF47" i="1"/>
  <c r="CH73" i="1"/>
  <c r="EP107" i="1"/>
  <c r="EO35" i="1"/>
  <c r="DC20" i="1"/>
  <c r="AW62" i="1"/>
  <c r="EQ35" i="1"/>
  <c r="AX9" i="1"/>
  <c r="DD19" i="1"/>
  <c r="EL175" i="1"/>
  <c r="CH37" i="1"/>
  <c r="AX72" i="1"/>
  <c r="AV27" i="1"/>
  <c r="EM38" i="1"/>
  <c r="BA8" i="1"/>
  <c r="CF170" i="1"/>
  <c r="BC38" i="1"/>
  <c r="DB15" i="1"/>
  <c r="EQ124" i="1"/>
  <c r="BC60" i="1"/>
  <c r="EM13" i="1"/>
  <c r="AV74" i="1"/>
  <c r="CI142" i="1"/>
  <c r="CD22" i="1"/>
  <c r="BC29" i="1"/>
  <c r="DB27" i="1"/>
  <c r="AT25" i="1"/>
  <c r="DD23" i="1"/>
  <c r="EO120" i="1"/>
  <c r="BF22" i="1"/>
  <c r="CE155" i="1"/>
  <c r="BB58" i="1"/>
  <c r="EL99" i="1"/>
  <c r="EM158" i="1"/>
  <c r="BD57" i="1"/>
  <c r="CF29" i="1"/>
  <c r="CI148" i="1"/>
  <c r="CG59" i="1"/>
  <c r="AW6" i="1"/>
  <c r="EM100" i="1"/>
  <c r="DA37" i="1"/>
  <c r="AW9" i="1"/>
  <c r="CI23" i="1"/>
  <c r="AU12" i="1"/>
  <c r="EL122" i="1"/>
  <c r="CH19" i="1"/>
  <c r="BB72" i="1"/>
  <c r="CD27" i="1"/>
  <c r="AW11" i="1"/>
  <c r="CE148" i="1"/>
  <c r="BF15" i="1"/>
  <c r="EN103" i="1"/>
  <c r="BC77" i="1"/>
  <c r="EQ85" i="1"/>
  <c r="EM119" i="1"/>
  <c r="CD10" i="1"/>
  <c r="CE61" i="1"/>
  <c r="BE5" i="1"/>
  <c r="CI186" i="1"/>
  <c r="CF19" i="1"/>
  <c r="BC46" i="1"/>
  <c r="EO103" i="1"/>
  <c r="CF77" i="1"/>
  <c r="CI182" i="1"/>
  <c r="DA21" i="1"/>
  <c r="BD48" i="1"/>
  <c r="CH78" i="1"/>
  <c r="EQ128" i="1"/>
  <c r="AV59" i="1"/>
  <c r="CD186" i="1"/>
  <c r="CE174" i="1"/>
  <c r="BF77" i="1"/>
  <c r="BD19" i="1"/>
  <c r="CI167" i="1"/>
  <c r="EN22" i="1"/>
  <c r="AS59" i="1"/>
  <c r="BB70" i="1"/>
  <c r="EQ110" i="1"/>
  <c r="CI17" i="1"/>
  <c r="DC23" i="1"/>
  <c r="AT47" i="1"/>
  <c r="BE48" i="1"/>
  <c r="CG25" i="1"/>
  <c r="EQ10" i="1"/>
  <c r="CI32" i="1"/>
  <c r="CH24" i="1"/>
  <c r="DA23" i="1"/>
  <c r="BD23" i="1"/>
  <c r="BB9" i="1"/>
  <c r="AV12" i="1"/>
  <c r="BE75" i="1"/>
  <c r="AW75" i="1"/>
  <c r="DC7" i="1"/>
  <c r="BA72" i="1"/>
  <c r="BA29" i="1"/>
  <c r="CF32" i="1"/>
  <c r="EQ86" i="1"/>
  <c r="DD30" i="1"/>
  <c r="CG22" i="1"/>
  <c r="EM19" i="1"/>
  <c r="EP29" i="1"/>
  <c r="BF21" i="1"/>
  <c r="DC25" i="1"/>
  <c r="BC7" i="1"/>
  <c r="CD188" i="1"/>
  <c r="BB20" i="1"/>
  <c r="CE60" i="1"/>
  <c r="CE184" i="1"/>
  <c r="CI175" i="1"/>
  <c r="CG30" i="1"/>
  <c r="AS75" i="1"/>
  <c r="BA181" i="1"/>
  <c r="BB27" i="1"/>
  <c r="DF23" i="1"/>
  <c r="BE178" i="1"/>
  <c r="BA153" i="1"/>
  <c r="BE138" i="1"/>
  <c r="BA146" i="1"/>
  <c r="BF158" i="1"/>
  <c r="BF148" i="1"/>
  <c r="BA151" i="1"/>
  <c r="BA149" i="1"/>
  <c r="BF157" i="1"/>
  <c r="BA155" i="1"/>
  <c r="BF155" i="1"/>
  <c r="BF159" i="1"/>
  <c r="BE143" i="1"/>
  <c r="BD170" i="1"/>
  <c r="BC148" i="1"/>
  <c r="BD177" i="1"/>
  <c r="BC175" i="1"/>
  <c r="BD160" i="1"/>
  <c r="BC145" i="1"/>
  <c r="AV138" i="1"/>
  <c r="BB173" i="1"/>
  <c r="BC152" i="1"/>
  <c r="BC143" i="1"/>
  <c r="BC140" i="1"/>
  <c r="BD162" i="1"/>
  <c r="BA178" i="1"/>
  <c r="BD174" i="1"/>
  <c r="BB170" i="1"/>
  <c r="BB147" i="1"/>
  <c r="BC155" i="1"/>
  <c r="BB174" i="1"/>
  <c r="BA175" i="1"/>
  <c r="BB169" i="1"/>
  <c r="BB144" i="1"/>
  <c r="BC170" i="1"/>
  <c r="BA169" i="1"/>
  <c r="BD141" i="1"/>
  <c r="BB140" i="1"/>
  <c r="BF177" i="1"/>
  <c r="BC161" i="1"/>
  <c r="BE140" i="1"/>
  <c r="BB177" i="1"/>
  <c r="BC177" i="1"/>
  <c r="BD146" i="1"/>
  <c r="BC158" i="1"/>
  <c r="BC178" i="1"/>
  <c r="BB167" i="1"/>
  <c r="BA176" i="1"/>
  <c r="BD167" i="1"/>
  <c r="BD166" i="1"/>
  <c r="BA144" i="1"/>
  <c r="BA140" i="1"/>
  <c r="BA150" i="1"/>
  <c r="BF154" i="1"/>
  <c r="BF143" i="1"/>
  <c r="BD164" i="1"/>
  <c r="BF156" i="1"/>
  <c r="BD165" i="1"/>
  <c r="BA142" i="1"/>
  <c r="BD173" i="1"/>
  <c r="BF137" i="1"/>
  <c r="BB137" i="1"/>
  <c r="BB155" i="1"/>
  <c r="BA158" i="1"/>
  <c r="BE141" i="1"/>
  <c r="BA159" i="1"/>
  <c r="BB152" i="1"/>
  <c r="BC150" i="1"/>
  <c r="AU137" i="1"/>
  <c r="BC162" i="1"/>
  <c r="BA171" i="1"/>
  <c r="BB153" i="1"/>
  <c r="BD178" i="1"/>
  <c r="BD138" i="1"/>
  <c r="BB146" i="1"/>
  <c r="BB166" i="1"/>
  <c r="BD144" i="1"/>
  <c r="BA160" i="1"/>
  <c r="BC137" i="1"/>
  <c r="BB162" i="1"/>
  <c r="BB171" i="1"/>
  <c r="BE147" i="1"/>
  <c r="BB151" i="1"/>
  <c r="BB142" i="1"/>
  <c r="BD159" i="1"/>
  <c r="BC149" i="1"/>
  <c r="BB148" i="1"/>
  <c r="BB165" i="1"/>
  <c r="BF139" i="1"/>
  <c r="BA139" i="1"/>
  <c r="BC160" i="1"/>
  <c r="BD172" i="1"/>
  <c r="BC154" i="1"/>
  <c r="BA172" i="1"/>
  <c r="BD171" i="1"/>
  <c r="BA138" i="1"/>
  <c r="BD176" i="1"/>
  <c r="BA170" i="1"/>
  <c r="AV137" i="1"/>
  <c r="BC142" i="1"/>
  <c r="BA152" i="1"/>
  <c r="BE177" i="1"/>
  <c r="BF146" i="1"/>
  <c r="BA145" i="1"/>
  <c r="BA143" i="1"/>
  <c r="BF145" i="1"/>
  <c r="BD169" i="1"/>
  <c r="BA154" i="1"/>
  <c r="BC173" i="1"/>
  <c r="BB160" i="1"/>
  <c r="BC147" i="1"/>
  <c r="BB141" i="1"/>
  <c r="BB143" i="1"/>
  <c r="BC164" i="1"/>
  <c r="BB149" i="1"/>
  <c r="BC167" i="1"/>
  <c r="BC146" i="1"/>
  <c r="BC159" i="1"/>
  <c r="BD140" i="1"/>
  <c r="BB139" i="1"/>
  <c r="BE142" i="1"/>
  <c r="BC144" i="1"/>
  <c r="BB157" i="1"/>
  <c r="BE146" i="1"/>
  <c r="BC171" i="1"/>
  <c r="BB145" i="1"/>
  <c r="BD142" i="1"/>
  <c r="BA156" i="1"/>
  <c r="BF141" i="1"/>
  <c r="BA177" i="1"/>
  <c r="BC156" i="1"/>
  <c r="BB150" i="1"/>
  <c r="BE145" i="1"/>
  <c r="BF142" i="1"/>
  <c r="BD143" i="1"/>
  <c r="BC141" i="1"/>
  <c r="BB176" i="1"/>
  <c r="BD175" i="1"/>
  <c r="BC151" i="1"/>
  <c r="BD161" i="1"/>
  <c r="BC169" i="1"/>
  <c r="BF160" i="1"/>
  <c r="BB159" i="1"/>
  <c r="AV139" i="1"/>
  <c r="BA173" i="1"/>
  <c r="BC174" i="1"/>
  <c r="BF140" i="1"/>
  <c r="BC165" i="1"/>
  <c r="BD147" i="1"/>
  <c r="BF144" i="1"/>
  <c r="BA147" i="1"/>
  <c r="BA148" i="1"/>
  <c r="BF147" i="1"/>
  <c r="BF153" i="1"/>
  <c r="BA141" i="1"/>
  <c r="BE139" i="1"/>
  <c r="BB161" i="1"/>
  <c r="BD137" i="1"/>
  <c r="BB164" i="1"/>
  <c r="BC176" i="1"/>
  <c r="AU138" i="1"/>
  <c r="BC166" i="1"/>
  <c r="BA174" i="1"/>
  <c r="BB156" i="1"/>
  <c r="BC139" i="1"/>
  <c r="BE144" i="1"/>
  <c r="BF138" i="1"/>
  <c r="BD145" i="1"/>
  <c r="BF178" i="1"/>
  <c r="BC157" i="1"/>
  <c r="BB158" i="1"/>
  <c r="BC153" i="1"/>
  <c r="BB178" i="1"/>
  <c r="BD148" i="1"/>
  <c r="BB154" i="1"/>
  <c r="BB172" i="1"/>
  <c r="BA157" i="1"/>
  <c r="BC138" i="1"/>
  <c r="BB175" i="1"/>
  <c r="BB138" i="1"/>
  <c r="BE148" i="1"/>
  <c r="BD158" i="1"/>
  <c r="BD139" i="1"/>
  <c r="BC172" i="1"/>
  <c r="DK186" i="1" l="1"/>
  <c r="DK147" i="1"/>
  <c r="DK162" i="1"/>
  <c r="DM162" i="1" s="1"/>
  <c r="DJ147" i="1"/>
  <c r="DJ151" i="1"/>
  <c r="DJ187" i="1"/>
  <c r="DJ148" i="1"/>
  <c r="DJ143" i="1"/>
  <c r="DK161" i="1"/>
  <c r="DK58" i="1"/>
  <c r="DK169" i="1"/>
  <c r="DK5" i="1"/>
  <c r="DJ57" i="1"/>
  <c r="DJ71" i="1"/>
  <c r="DK47" i="1"/>
  <c r="DJ62" i="1"/>
  <c r="EI9" i="1"/>
  <c r="EB9" i="1" s="1"/>
  <c r="BN9" i="1" s="1"/>
  <c r="C12" i="1"/>
  <c r="CM12" i="1"/>
  <c r="EI37" i="1"/>
  <c r="EB37" i="1" s="1"/>
  <c r="BN37" i="1" s="1"/>
  <c r="EJ7" i="1"/>
  <c r="EC7" i="1" s="1"/>
  <c r="BO7" i="1" s="1"/>
  <c r="EI125" i="1"/>
  <c r="EB125" i="1" s="1"/>
  <c r="BN125" i="1" s="1"/>
  <c r="D9" i="1"/>
  <c r="CO9" i="1"/>
  <c r="CK167" i="1"/>
  <c r="EF62" i="1"/>
  <c r="DY62" i="1" s="1"/>
  <c r="BK62" i="1" s="1"/>
  <c r="BZ158" i="1"/>
  <c r="CS158" i="1"/>
  <c r="EJ113" i="1"/>
  <c r="EC113" i="1" s="1"/>
  <c r="BO113" i="1" s="1"/>
  <c r="DH37" i="1"/>
  <c r="DN37" i="1"/>
  <c r="DJ37" i="1"/>
  <c r="EE174" i="1"/>
  <c r="DX174" i="1" s="1"/>
  <c r="BJ174" i="1" s="1"/>
  <c r="BU79" i="1"/>
  <c r="D79" i="1"/>
  <c r="CO79" i="1"/>
  <c r="EF100" i="1"/>
  <c r="DY100" i="1" s="1"/>
  <c r="BK100" i="1" s="1"/>
  <c r="CS63" i="1"/>
  <c r="BZ63" i="1"/>
  <c r="CA64" i="1" s="1"/>
  <c r="CO6" i="1"/>
  <c r="D6" i="1"/>
  <c r="DU27" i="1"/>
  <c r="DN10" i="1"/>
  <c r="DJ10" i="1"/>
  <c r="DH10" i="1"/>
  <c r="EG33" i="1"/>
  <c r="DZ33" i="1" s="1"/>
  <c r="BL33" i="1" s="1"/>
  <c r="CM140" i="1"/>
  <c r="EF170" i="1"/>
  <c r="DY170" i="1" s="1"/>
  <c r="BK170" i="1" s="1"/>
  <c r="EE32" i="1"/>
  <c r="DX32" i="1" s="1"/>
  <c r="BJ32" i="1" s="1"/>
  <c r="DN77" i="1"/>
  <c r="DH77" i="1"/>
  <c r="DJ77" i="1"/>
  <c r="BH77" i="1"/>
  <c r="DT77" i="1"/>
  <c r="CQ77" i="1"/>
  <c r="BH173" i="1"/>
  <c r="DH173" i="1"/>
  <c r="CQ173" i="1"/>
  <c r="DJ173" i="1"/>
  <c r="DN173" i="1"/>
  <c r="DV173" i="1" s="1"/>
  <c r="DT173" i="1"/>
  <c r="EH106" i="1"/>
  <c r="EA106" i="1" s="1"/>
  <c r="BM106" i="1" s="1"/>
  <c r="BH181" i="1"/>
  <c r="BX181" i="1"/>
  <c r="DN181" i="1"/>
  <c r="DV181" i="1" s="1"/>
  <c r="DT181" i="1"/>
  <c r="DH181" i="1"/>
  <c r="CQ181" i="1"/>
  <c r="DJ181" i="1"/>
  <c r="CK17" i="1"/>
  <c r="AY17" i="1"/>
  <c r="B17" i="1"/>
  <c r="EF60" i="1"/>
  <c r="DY60" i="1" s="1"/>
  <c r="BK60" i="1" s="1"/>
  <c r="EJ13" i="1"/>
  <c r="EC13" i="1" s="1"/>
  <c r="BO13" i="1" s="1"/>
  <c r="EF122" i="1"/>
  <c r="DY122" i="1" s="1"/>
  <c r="BK122" i="1" s="1"/>
  <c r="EF158" i="1"/>
  <c r="DY158" i="1" s="1"/>
  <c r="BK158" i="1" s="1"/>
  <c r="CO186" i="1"/>
  <c r="DT32" i="1"/>
  <c r="CQ32" i="1"/>
  <c r="BH32" i="1"/>
  <c r="B75" i="1"/>
  <c r="CK75" i="1"/>
  <c r="AY75" i="1"/>
  <c r="EE99" i="1"/>
  <c r="DX99" i="1" s="1"/>
  <c r="BJ99" i="1" s="1"/>
  <c r="CU181" i="1"/>
  <c r="CB181" i="1"/>
  <c r="CK79" i="1"/>
  <c r="B79" i="1"/>
  <c r="AY79" i="1"/>
  <c r="DI58" i="1"/>
  <c r="DO58" i="1"/>
  <c r="DU58" i="1"/>
  <c r="DI20" i="1"/>
  <c r="DO20" i="1"/>
  <c r="DK20" i="1"/>
  <c r="CS21" i="1"/>
  <c r="CU10" i="1"/>
  <c r="DJ29" i="1"/>
  <c r="DH29" i="1"/>
  <c r="DN29" i="1"/>
  <c r="EJ100" i="1"/>
  <c r="EC100" i="1" s="1"/>
  <c r="BO100" i="1" s="1"/>
  <c r="EH87" i="1"/>
  <c r="EA87" i="1" s="1"/>
  <c r="BM87" i="1" s="1"/>
  <c r="EH120" i="1"/>
  <c r="EA120" i="1" s="1"/>
  <c r="BM120" i="1" s="1"/>
  <c r="CS19" i="1"/>
  <c r="DO186" i="1"/>
  <c r="DU186" i="1"/>
  <c r="DI186" i="1"/>
  <c r="CO172" i="1"/>
  <c r="CU58" i="1"/>
  <c r="CB58" i="1"/>
  <c r="CB148" i="1"/>
  <c r="CC149" i="1" s="1"/>
  <c r="CU148" i="1"/>
  <c r="CS172" i="1"/>
  <c r="BZ172" i="1"/>
  <c r="EE188" i="1"/>
  <c r="DX188" i="1" s="1"/>
  <c r="BJ188" i="1" s="1"/>
  <c r="EH114" i="1"/>
  <c r="EA114" i="1" s="1"/>
  <c r="BM114" i="1" s="1"/>
  <c r="DO27" i="1"/>
  <c r="DI27" i="1"/>
  <c r="DK27" i="1"/>
  <c r="CS17" i="1"/>
  <c r="CQ153" i="1"/>
  <c r="DT153" i="1"/>
  <c r="DJ153" i="1"/>
  <c r="DN153" i="1"/>
  <c r="BH153" i="1"/>
  <c r="DH153" i="1"/>
  <c r="CU38" i="1"/>
  <c r="CS29" i="1"/>
  <c r="EE129" i="1"/>
  <c r="DX129" i="1" s="1"/>
  <c r="BJ129" i="1" s="1"/>
  <c r="CS59" i="1"/>
  <c r="BZ59" i="1"/>
  <c r="EF16" i="1"/>
  <c r="DY16" i="1" s="1"/>
  <c r="BK16" i="1" s="1"/>
  <c r="C17" i="1"/>
  <c r="CM17" i="1"/>
  <c r="EE121" i="1"/>
  <c r="DX121" i="1" s="1"/>
  <c r="BJ121" i="1" s="1"/>
  <c r="DI29" i="1"/>
  <c r="DO29" i="1"/>
  <c r="DK29" i="1"/>
  <c r="EF30" i="1"/>
  <c r="DY30" i="1" s="1"/>
  <c r="BK30" i="1" s="1"/>
  <c r="EF13" i="1"/>
  <c r="AY12" i="1"/>
  <c r="CK12" i="1"/>
  <c r="B12" i="1"/>
  <c r="EH29" i="1"/>
  <c r="EA29" i="1" s="1"/>
  <c r="BM29" i="1" s="1"/>
  <c r="CS60" i="1"/>
  <c r="BZ60" i="1"/>
  <c r="DU20" i="1"/>
  <c r="EJ124" i="1"/>
  <c r="EC124" i="1" s="1"/>
  <c r="BO124" i="1" s="1"/>
  <c r="CM180" i="1"/>
  <c r="DJ170" i="1"/>
  <c r="DH170" i="1"/>
  <c r="DT170" i="1"/>
  <c r="CQ170" i="1"/>
  <c r="DN170" i="1"/>
  <c r="DV170" i="1" s="1"/>
  <c r="BH170" i="1"/>
  <c r="DI15" i="1"/>
  <c r="DO15" i="1"/>
  <c r="DK15" i="1"/>
  <c r="CK179" i="1"/>
  <c r="EJ116" i="1"/>
  <c r="EC116" i="1" s="1"/>
  <c r="BO116" i="1" s="1"/>
  <c r="CS38" i="1"/>
  <c r="DH9" i="1"/>
  <c r="DN9" i="1"/>
  <c r="DJ9" i="1"/>
  <c r="DH14" i="1"/>
  <c r="DN14" i="1"/>
  <c r="DJ14" i="1"/>
  <c r="CK188" i="1"/>
  <c r="EI100" i="1"/>
  <c r="EB100" i="1" s="1"/>
  <c r="BN100" i="1" s="1"/>
  <c r="EH101" i="1"/>
  <c r="EA101" i="1" s="1"/>
  <c r="BM101" i="1" s="1"/>
  <c r="DU13" i="1"/>
  <c r="CM170" i="1"/>
  <c r="CS7" i="1"/>
  <c r="BH8" i="1"/>
  <c r="CQ8" i="1"/>
  <c r="DT8" i="1"/>
  <c r="DO12" i="1"/>
  <c r="DI12" i="1"/>
  <c r="DK12" i="1"/>
  <c r="DH78" i="1"/>
  <c r="BH78" i="1"/>
  <c r="BI78" i="1" s="1"/>
  <c r="DT78" i="1"/>
  <c r="CQ78" i="1"/>
  <c r="DN78" i="1"/>
  <c r="DJ78" i="1"/>
  <c r="CM178" i="1"/>
  <c r="EF38" i="1"/>
  <c r="DY38" i="1" s="1"/>
  <c r="BK38" i="1" s="1"/>
  <c r="CO143" i="1"/>
  <c r="EG129" i="1"/>
  <c r="DZ129" i="1" s="1"/>
  <c r="BL129" i="1" s="1"/>
  <c r="EF35" i="1"/>
  <c r="DY35" i="1" s="1"/>
  <c r="BK35" i="1" s="1"/>
  <c r="EH130" i="1"/>
  <c r="EA130" i="1" s="1"/>
  <c r="BM130" i="1" s="1"/>
  <c r="CO180" i="1"/>
  <c r="EJ5" i="1"/>
  <c r="EC5" i="1" s="1"/>
  <c r="BO5" i="1" s="1"/>
  <c r="EG117" i="1"/>
  <c r="DZ117" i="1" s="1"/>
  <c r="BL117" i="1" s="1"/>
  <c r="EE189" i="1"/>
  <c r="DX189" i="1" s="1"/>
  <c r="BJ189" i="1" s="1"/>
  <c r="EE175" i="1"/>
  <c r="DX175" i="1" s="1"/>
  <c r="BJ175" i="1" s="1"/>
  <c r="CU21" i="1"/>
  <c r="CM181" i="1"/>
  <c r="CU138" i="1"/>
  <c r="CB138" i="1"/>
  <c r="BE136" i="1"/>
  <c r="CI44" i="1"/>
  <c r="EJ35" i="1"/>
  <c r="EC35" i="1" s="1"/>
  <c r="BO35" i="1" s="1"/>
  <c r="EF87" i="1"/>
  <c r="DY87" i="1" s="1"/>
  <c r="BK87" i="1" s="1"/>
  <c r="EG5" i="1"/>
  <c r="DZ5" i="1" s="1"/>
  <c r="BL5" i="1" s="1"/>
  <c r="D62" i="1"/>
  <c r="CO62" i="1"/>
  <c r="BU62" i="1"/>
  <c r="EE154" i="1"/>
  <c r="DX154" i="1" s="1"/>
  <c r="BJ154" i="1" s="1"/>
  <c r="EI29" i="1"/>
  <c r="EB29" i="1" s="1"/>
  <c r="BN29" i="1" s="1"/>
  <c r="EI93" i="1"/>
  <c r="EB93" i="1" s="1"/>
  <c r="BN93" i="1" s="1"/>
  <c r="EH35" i="1"/>
  <c r="EA35" i="1" s="1"/>
  <c r="BM35" i="1" s="1"/>
  <c r="DO169" i="1"/>
  <c r="DU169" i="1"/>
  <c r="DI169" i="1"/>
  <c r="EF19" i="1"/>
  <c r="DY19" i="1" s="1"/>
  <c r="BK19" i="1" s="1"/>
  <c r="EI107" i="1"/>
  <c r="EB107" i="1" s="1"/>
  <c r="BN107" i="1" s="1"/>
  <c r="EE37" i="1"/>
  <c r="DX37" i="1" s="1"/>
  <c r="BJ37" i="1" s="1"/>
  <c r="EF14" i="1"/>
  <c r="DY14" i="1" s="1"/>
  <c r="BK14" i="1" s="1"/>
  <c r="AY19" i="1"/>
  <c r="CK19" i="1"/>
  <c r="B19" i="1"/>
  <c r="DT9" i="1"/>
  <c r="BH9" i="1"/>
  <c r="CQ9" i="1"/>
  <c r="DH16" i="1"/>
  <c r="DJ16" i="1"/>
  <c r="DN16" i="1"/>
  <c r="CS160" i="1"/>
  <c r="BZ160" i="1"/>
  <c r="B77" i="1"/>
  <c r="CK77" i="1"/>
  <c r="AY77" i="1"/>
  <c r="EI21" i="1"/>
  <c r="EB21" i="1" s="1"/>
  <c r="BN21" i="1" s="1"/>
  <c r="CS8" i="1"/>
  <c r="EH127" i="1"/>
  <c r="EA127" i="1" s="1"/>
  <c r="BM127" i="1" s="1"/>
  <c r="EJ105" i="1"/>
  <c r="EC105" i="1" s="1"/>
  <c r="BO105" i="1" s="1"/>
  <c r="BS75" i="1"/>
  <c r="CM75" i="1"/>
  <c r="C75" i="1"/>
  <c r="EJ109" i="1"/>
  <c r="EC109" i="1" s="1"/>
  <c r="BO109" i="1" s="1"/>
  <c r="EF118" i="1"/>
  <c r="DY118" i="1" s="1"/>
  <c r="BK118" i="1" s="1"/>
  <c r="EF126" i="1"/>
  <c r="DY126" i="1" s="1"/>
  <c r="BK126" i="1" s="1"/>
  <c r="EJ118" i="1"/>
  <c r="EC118" i="1" s="1"/>
  <c r="BO118" i="1" s="1"/>
  <c r="EJ86" i="1"/>
  <c r="EC86" i="1" s="1"/>
  <c r="BO86" i="1" s="1"/>
  <c r="BZ178" i="1"/>
  <c r="CS178" i="1"/>
  <c r="CB153" i="1"/>
  <c r="CC153" i="1" s="1"/>
  <c r="CU153" i="1"/>
  <c r="CK152" i="1"/>
  <c r="CB160" i="1"/>
  <c r="CC161" i="1" s="1"/>
  <c r="CU160" i="1"/>
  <c r="CK24" i="1"/>
  <c r="B24" i="1"/>
  <c r="AY24" i="1"/>
  <c r="DJ172" i="1"/>
  <c r="DT172" i="1"/>
  <c r="CQ172" i="1"/>
  <c r="DH172" i="1"/>
  <c r="BH172" i="1"/>
  <c r="DN172" i="1"/>
  <c r="DV172" i="1" s="1"/>
  <c r="BH31" i="1"/>
  <c r="DT31" i="1"/>
  <c r="CQ31" i="1"/>
  <c r="DT23" i="1"/>
  <c r="CQ23" i="1"/>
  <c r="BH23" i="1"/>
  <c r="C19" i="1"/>
  <c r="CM19" i="1"/>
  <c r="C79" i="1"/>
  <c r="BS79" i="1"/>
  <c r="CM79" i="1"/>
  <c r="C73" i="1"/>
  <c r="BS73" i="1"/>
  <c r="CM73" i="1"/>
  <c r="CK144" i="1"/>
  <c r="EE125" i="1"/>
  <c r="DX125" i="1" s="1"/>
  <c r="BJ125" i="1" s="1"/>
  <c r="EF151" i="1"/>
  <c r="DY151" i="1" s="1"/>
  <c r="BK151" i="1" s="1"/>
  <c r="EJ96" i="1"/>
  <c r="EC96" i="1" s="1"/>
  <c r="BO96" i="1" s="1"/>
  <c r="BH29" i="1"/>
  <c r="DT29" i="1"/>
  <c r="CQ29" i="1"/>
  <c r="B61" i="1"/>
  <c r="AY61" i="1"/>
  <c r="CK61" i="1"/>
  <c r="DI5" i="1"/>
  <c r="DU5" i="1"/>
  <c r="DO5" i="1"/>
  <c r="DW5" i="1" s="1"/>
  <c r="EH124" i="1"/>
  <c r="EA124" i="1" s="1"/>
  <c r="BM124" i="1" s="1"/>
  <c r="CS170" i="1"/>
  <c r="BZ170" i="1"/>
  <c r="DN146" i="1"/>
  <c r="CQ146" i="1"/>
  <c r="DH146" i="1"/>
  <c r="BH146" i="1"/>
  <c r="DJ146" i="1"/>
  <c r="DT146" i="1"/>
  <c r="EH107" i="1"/>
  <c r="EA107" i="1" s="1"/>
  <c r="BM107" i="1" s="1"/>
  <c r="CS30" i="1"/>
  <c r="CB71" i="1"/>
  <c r="CU71" i="1"/>
  <c r="DT72" i="1"/>
  <c r="DJ72" i="1"/>
  <c r="DN72" i="1"/>
  <c r="CQ72" i="1"/>
  <c r="BH72" i="1"/>
  <c r="DH72" i="1"/>
  <c r="C14" i="1"/>
  <c r="CM14" i="1"/>
  <c r="EG96" i="1"/>
  <c r="DZ96" i="1" s="1"/>
  <c r="BL96" i="1" s="1"/>
  <c r="EG14" i="1"/>
  <c r="DZ14" i="1" s="1"/>
  <c r="BL14" i="1" s="1"/>
  <c r="DK46" i="1"/>
  <c r="DO46" i="1"/>
  <c r="DU46" i="1"/>
  <c r="DI46" i="1"/>
  <c r="EJ120" i="1"/>
  <c r="EC120" i="1" s="1"/>
  <c r="BO120" i="1" s="1"/>
  <c r="DJ189" i="1"/>
  <c r="DN189" i="1"/>
  <c r="CQ189" i="1"/>
  <c r="DT189" i="1"/>
  <c r="DH189" i="1"/>
  <c r="BH189" i="1"/>
  <c r="CM174" i="1"/>
  <c r="DN169" i="1"/>
  <c r="BH169" i="1"/>
  <c r="BI169" i="1" s="1"/>
  <c r="DT169" i="1"/>
  <c r="CQ169" i="1"/>
  <c r="DH169" i="1"/>
  <c r="DJ169" i="1"/>
  <c r="CK139" i="1"/>
  <c r="EH31" i="1"/>
  <c r="EA31" i="1" s="1"/>
  <c r="BM31" i="1" s="1"/>
  <c r="EF168" i="1"/>
  <c r="DY168" i="1" s="1"/>
  <c r="BK168" i="1" s="1"/>
  <c r="DR168" i="1" s="1"/>
  <c r="DU25" i="1"/>
  <c r="CU34" i="1"/>
  <c r="CM47" i="1"/>
  <c r="BS47" i="1"/>
  <c r="C47" i="1"/>
  <c r="CS9" i="1"/>
  <c r="CM59" i="1"/>
  <c r="BS59" i="1"/>
  <c r="C59" i="1"/>
  <c r="EE12" i="1"/>
  <c r="DX12" i="1" s="1"/>
  <c r="BJ12" i="1" s="1"/>
  <c r="CO17" i="1"/>
  <c r="D17" i="1"/>
  <c r="BU75" i="1"/>
  <c r="D75" i="1"/>
  <c r="CO75" i="1"/>
  <c r="EJ33" i="1"/>
  <c r="EC33" i="1" s="1"/>
  <c r="BO33" i="1" s="1"/>
  <c r="AY74" i="1"/>
  <c r="B74" i="1"/>
  <c r="CK74" i="1"/>
  <c r="EE22" i="1"/>
  <c r="DX22" i="1" s="1"/>
  <c r="BJ22" i="1" s="1"/>
  <c r="C71" i="1"/>
  <c r="CM71" i="1"/>
  <c r="BS71" i="1"/>
  <c r="BT71" i="1" s="1"/>
  <c r="CO169" i="1"/>
  <c r="BZ72" i="1"/>
  <c r="CS72" i="1"/>
  <c r="CU75" i="1"/>
  <c r="CB75" i="1"/>
  <c r="CO171" i="1"/>
  <c r="DN8" i="1"/>
  <c r="DJ8" i="1"/>
  <c r="DH8" i="1"/>
  <c r="EE123" i="1"/>
  <c r="DX123" i="1" s="1"/>
  <c r="BJ123" i="1" s="1"/>
  <c r="EH8" i="1"/>
  <c r="EA8" i="1" s="1"/>
  <c r="BM8" i="1" s="1"/>
  <c r="DI185" i="1"/>
  <c r="DK185" i="1"/>
  <c r="DU185" i="1"/>
  <c r="DO185" i="1"/>
  <c r="DK144" i="1"/>
  <c r="DO144" i="1"/>
  <c r="DU144" i="1"/>
  <c r="DI144" i="1"/>
  <c r="EH30" i="1"/>
  <c r="EA30" i="1" s="1"/>
  <c r="BM30" i="1" s="1"/>
  <c r="EE110" i="1"/>
  <c r="DX110" i="1" s="1"/>
  <c r="BJ110" i="1" s="1"/>
  <c r="DI26" i="1"/>
  <c r="DK26" i="1"/>
  <c r="DO26" i="1"/>
  <c r="DU9" i="1"/>
  <c r="CO153" i="1"/>
  <c r="EE111" i="1"/>
  <c r="DX111" i="1" s="1"/>
  <c r="BJ111" i="1" s="1"/>
  <c r="CO188" i="1"/>
  <c r="CS15" i="1"/>
  <c r="EE115" i="1"/>
  <c r="DX115" i="1" s="1"/>
  <c r="BJ115" i="1" s="1"/>
  <c r="EI98" i="1"/>
  <c r="EB98" i="1" s="1"/>
  <c r="BN98" i="1" s="1"/>
  <c r="BZ183" i="1"/>
  <c r="CS183" i="1"/>
  <c r="DH154" i="1"/>
  <c r="DT154" i="1"/>
  <c r="CQ154" i="1"/>
  <c r="BH154" i="1"/>
  <c r="DJ154" i="1"/>
  <c r="DN154" i="1"/>
  <c r="DV154" i="1" s="1"/>
  <c r="DJ34" i="1"/>
  <c r="DN34" i="1"/>
  <c r="DH34" i="1"/>
  <c r="DJ138" i="1"/>
  <c r="DH138" i="1"/>
  <c r="DN138" i="1"/>
  <c r="DV138" i="1" s="1"/>
  <c r="DT138" i="1"/>
  <c r="BX138" i="1"/>
  <c r="BH138" i="1"/>
  <c r="BA136" i="1"/>
  <c r="CQ138" i="1"/>
  <c r="EJ108" i="1"/>
  <c r="EC108" i="1" s="1"/>
  <c r="BO108" i="1" s="1"/>
  <c r="DJ23" i="1"/>
  <c r="DH23" i="1"/>
  <c r="DN23" i="1"/>
  <c r="DV23" i="1" s="1"/>
  <c r="BZ184" i="1"/>
  <c r="CS184" i="1"/>
  <c r="CK146" i="1"/>
  <c r="EE114" i="1"/>
  <c r="DX114" i="1" s="1"/>
  <c r="BJ114" i="1" s="1"/>
  <c r="EF187" i="1"/>
  <c r="DY187" i="1" s="1"/>
  <c r="BK187" i="1" s="1"/>
  <c r="EF25" i="1"/>
  <c r="DY25" i="1" s="1"/>
  <c r="BK25" i="1" s="1"/>
  <c r="EG130" i="1"/>
  <c r="DZ130" i="1" s="1"/>
  <c r="BL130" i="1" s="1"/>
  <c r="CS24" i="1"/>
  <c r="EE16" i="1"/>
  <c r="DX16" i="1" s="1"/>
  <c r="BJ16" i="1" s="1"/>
  <c r="DT21" i="1"/>
  <c r="CQ21" i="1"/>
  <c r="BH21" i="1"/>
  <c r="D31" i="1"/>
  <c r="CO31" i="1"/>
  <c r="CS174" i="1"/>
  <c r="BZ174" i="1"/>
  <c r="DT27" i="1"/>
  <c r="CQ27" i="1"/>
  <c r="BH27" i="1"/>
  <c r="AT3" i="1"/>
  <c r="EH94" i="1"/>
  <c r="EA94" i="1" s="1"/>
  <c r="BM94" i="1" s="1"/>
  <c r="CS169" i="1"/>
  <c r="BZ169" i="1"/>
  <c r="CA169" i="1" s="1"/>
  <c r="DN140" i="1"/>
  <c r="CQ140" i="1"/>
  <c r="BX140" i="1"/>
  <c r="DJ140" i="1"/>
  <c r="DH140" i="1"/>
  <c r="BH140" i="1"/>
  <c r="DT140" i="1"/>
  <c r="EF26" i="1"/>
  <c r="DY26" i="1" s="1"/>
  <c r="BK26" i="1" s="1"/>
  <c r="EF149" i="1"/>
  <c r="DY149" i="1" s="1"/>
  <c r="BK149" i="1" s="1"/>
  <c r="D24" i="1"/>
  <c r="CO24" i="1"/>
  <c r="BZ177" i="1"/>
  <c r="CS177" i="1"/>
  <c r="EE109" i="1"/>
  <c r="DX109" i="1" s="1"/>
  <c r="BJ109" i="1" s="1"/>
  <c r="EJ90" i="1"/>
  <c r="EC90" i="1" s="1"/>
  <c r="BO90" i="1" s="1"/>
  <c r="EJ10" i="1"/>
  <c r="EC10" i="1" s="1"/>
  <c r="BO10" i="1" s="1"/>
  <c r="CO189" i="1"/>
  <c r="EI13" i="1"/>
  <c r="EB13" i="1" s="1"/>
  <c r="BN13" i="1" s="1"/>
  <c r="DH25" i="1"/>
  <c r="DJ25" i="1"/>
  <c r="DN25" i="1"/>
  <c r="EE58" i="1"/>
  <c r="DX58" i="1" s="1"/>
  <c r="BJ58" i="1" s="1"/>
  <c r="EI11" i="1"/>
  <c r="EB11" i="1" s="1"/>
  <c r="BN11" i="1" s="1"/>
  <c r="DU57" i="1"/>
  <c r="DO57" i="1"/>
  <c r="DK57" i="1"/>
  <c r="DI57" i="1"/>
  <c r="CO187" i="1"/>
  <c r="EH108" i="1"/>
  <c r="EA108" i="1" s="1"/>
  <c r="BM108" i="1" s="1"/>
  <c r="AV44" i="1"/>
  <c r="AW44" i="1"/>
  <c r="BU45" i="1"/>
  <c r="D45" i="1"/>
  <c r="CO45" i="1"/>
  <c r="CU14" i="1"/>
  <c r="EE70" i="1"/>
  <c r="DX70" i="1" s="1"/>
  <c r="BJ70" i="1" s="1"/>
  <c r="CS10" i="1"/>
  <c r="EF162" i="1"/>
  <c r="DY162" i="1" s="1"/>
  <c r="BK162" i="1" s="1"/>
  <c r="BQ162" i="1" s="1"/>
  <c r="CW162" i="1" s="1"/>
  <c r="DT175" i="1"/>
  <c r="DN175" i="1"/>
  <c r="DV175" i="1" s="1"/>
  <c r="DH175" i="1"/>
  <c r="DJ175" i="1"/>
  <c r="BH175" i="1"/>
  <c r="CQ175" i="1"/>
  <c r="EG37" i="1"/>
  <c r="DZ37" i="1" s="1"/>
  <c r="BL37" i="1" s="1"/>
  <c r="EF164" i="1"/>
  <c r="DY164" i="1" s="1"/>
  <c r="BK164" i="1" s="1"/>
  <c r="BQ164" i="1" s="1"/>
  <c r="CW164" i="1" s="1"/>
  <c r="CB47" i="1"/>
  <c r="CU47" i="1"/>
  <c r="EE186" i="1"/>
  <c r="DX186" i="1" s="1"/>
  <c r="BJ186" i="1" s="1"/>
  <c r="CO179" i="1"/>
  <c r="DN58" i="1"/>
  <c r="DJ58" i="1"/>
  <c r="DM58" i="1" s="1"/>
  <c r="DT58" i="1"/>
  <c r="CQ58" i="1"/>
  <c r="BH58" i="1"/>
  <c r="DH58" i="1"/>
  <c r="CU48" i="1"/>
  <c r="CB48" i="1"/>
  <c r="CC49" i="1" s="1"/>
  <c r="CK172" i="1"/>
  <c r="EI18" i="1"/>
  <c r="EB18" i="1" s="1"/>
  <c r="BN18" i="1" s="1"/>
  <c r="AY4" i="1"/>
  <c r="AS3" i="1"/>
  <c r="B4" i="1"/>
  <c r="CK4" i="1"/>
  <c r="EE71" i="1"/>
  <c r="DX71" i="1" s="1"/>
  <c r="BJ71" i="1" s="1"/>
  <c r="BH186" i="1"/>
  <c r="DH186" i="1"/>
  <c r="DT186" i="1"/>
  <c r="CQ186" i="1"/>
  <c r="DN186" i="1"/>
  <c r="DJ186" i="1"/>
  <c r="DS186" i="1" s="1"/>
  <c r="EI102" i="1"/>
  <c r="EB102" i="1" s="1"/>
  <c r="BN102" i="1" s="1"/>
  <c r="EG12" i="1"/>
  <c r="DZ12" i="1" s="1"/>
  <c r="BL12" i="1" s="1"/>
  <c r="EJ19" i="1"/>
  <c r="EC19" i="1" s="1"/>
  <c r="BO19" i="1" s="1"/>
  <c r="CU8" i="1"/>
  <c r="CK155" i="1"/>
  <c r="BZ154" i="1"/>
  <c r="CS154" i="1"/>
  <c r="EJ34" i="1"/>
  <c r="EC34" i="1" s="1"/>
  <c r="BO34" i="1" s="1"/>
  <c r="EG120" i="1"/>
  <c r="DZ120" i="1" s="1"/>
  <c r="BL120" i="1" s="1"/>
  <c r="C22" i="1"/>
  <c r="CM22" i="1"/>
  <c r="EI112" i="1"/>
  <c r="EB112" i="1" s="1"/>
  <c r="BN112" i="1" s="1"/>
  <c r="DI138" i="1"/>
  <c r="DK138" i="1"/>
  <c r="DU138" i="1"/>
  <c r="DO138" i="1"/>
  <c r="DW138" i="1" s="1"/>
  <c r="EJ89" i="1"/>
  <c r="EC89" i="1" s="1"/>
  <c r="BO89" i="1" s="1"/>
  <c r="DU16" i="1"/>
  <c r="DK17" i="1"/>
  <c r="DO17" i="1"/>
  <c r="DI17" i="1"/>
  <c r="EI8" i="1"/>
  <c r="EB8" i="1" s="1"/>
  <c r="BN8" i="1" s="1"/>
  <c r="BH176" i="1"/>
  <c r="DN176" i="1"/>
  <c r="DV176" i="1" s="1"/>
  <c r="DJ176" i="1"/>
  <c r="CQ176" i="1"/>
  <c r="DH176" i="1"/>
  <c r="DT176" i="1"/>
  <c r="CU20" i="1"/>
  <c r="CM28" i="1"/>
  <c r="C28" i="1"/>
  <c r="EF176" i="1"/>
  <c r="DY176" i="1" s="1"/>
  <c r="BK176" i="1" s="1"/>
  <c r="EI32" i="1"/>
  <c r="EB32" i="1" s="1"/>
  <c r="BN32" i="1" s="1"/>
  <c r="CS28" i="1"/>
  <c r="EE170" i="1"/>
  <c r="DX170" i="1" s="1"/>
  <c r="BJ170" i="1" s="1"/>
  <c r="AV136" i="1"/>
  <c r="CK140" i="1"/>
  <c r="DJ15" i="1"/>
  <c r="DN15" i="1"/>
  <c r="DH15" i="1"/>
  <c r="EI111" i="1"/>
  <c r="EB111" i="1" s="1"/>
  <c r="BN111" i="1" s="1"/>
  <c r="EI15" i="1"/>
  <c r="EB15" i="1" s="1"/>
  <c r="BN15" i="1" s="1"/>
  <c r="D12" i="1"/>
  <c r="CO12" i="1"/>
  <c r="EF61" i="1"/>
  <c r="DY61" i="1" s="1"/>
  <c r="BK61" i="1" s="1"/>
  <c r="CB63" i="1"/>
  <c r="CC64" i="1" s="1"/>
  <c r="CU63" i="1"/>
  <c r="EG106" i="1"/>
  <c r="DZ106" i="1" s="1"/>
  <c r="BL106" i="1" s="1"/>
  <c r="EF123" i="1"/>
  <c r="DY123" i="1" s="1"/>
  <c r="BK123" i="1" s="1"/>
  <c r="EE21" i="1"/>
  <c r="DX21" i="1" s="1"/>
  <c r="BJ21" i="1" s="1"/>
  <c r="D30" i="1"/>
  <c r="CO30" i="1"/>
  <c r="DU147" i="1"/>
  <c r="DI147" i="1"/>
  <c r="DO147" i="1"/>
  <c r="CM148" i="1"/>
  <c r="DT33" i="1"/>
  <c r="CQ33" i="1"/>
  <c r="BH33" i="1"/>
  <c r="EF11" i="1"/>
  <c r="DY11" i="1" s="1"/>
  <c r="BK11" i="1" s="1"/>
  <c r="CU159" i="1"/>
  <c r="CB159" i="1"/>
  <c r="CU24" i="1"/>
  <c r="DK34" i="1"/>
  <c r="DO34" i="1"/>
  <c r="DI34" i="1"/>
  <c r="EJ110" i="1"/>
  <c r="EC110" i="1" s="1"/>
  <c r="BO110" i="1" s="1"/>
  <c r="DI142" i="1"/>
  <c r="DK142" i="1"/>
  <c r="DO142" i="1"/>
  <c r="DU142" i="1"/>
  <c r="DH38" i="1"/>
  <c r="DJ38" i="1"/>
  <c r="DN38" i="1"/>
  <c r="C26" i="1"/>
  <c r="CM26" i="1"/>
  <c r="EF17" i="1"/>
  <c r="DY17" i="1" s="1"/>
  <c r="BK17" i="1" s="1"/>
  <c r="B18" i="1"/>
  <c r="AY18" i="1"/>
  <c r="CK18" i="1"/>
  <c r="EP3" i="1"/>
  <c r="EI4" i="1"/>
  <c r="EB4" i="1" s="1"/>
  <c r="BN4" i="1" s="1"/>
  <c r="DH20" i="1"/>
  <c r="DN20" i="1"/>
  <c r="DJ20" i="1"/>
  <c r="DQ20" i="1" s="1"/>
  <c r="EF46" i="1"/>
  <c r="DY46" i="1" s="1"/>
  <c r="BK46" i="1" s="1"/>
  <c r="EH97" i="1"/>
  <c r="EA97" i="1" s="1"/>
  <c r="BM97" i="1" s="1"/>
  <c r="CU13" i="1"/>
  <c r="DI70" i="1"/>
  <c r="DK70" i="1"/>
  <c r="DU70" i="1"/>
  <c r="DO70" i="1"/>
  <c r="EF59" i="1"/>
  <c r="DY59" i="1" s="1"/>
  <c r="BK59" i="1" s="1"/>
  <c r="EG92" i="1"/>
  <c r="DZ92" i="1" s="1"/>
  <c r="BL92" i="1" s="1"/>
  <c r="EF106" i="1"/>
  <c r="DY106" i="1" s="1"/>
  <c r="BK106" i="1" s="1"/>
  <c r="CM57" i="1"/>
  <c r="BS57" i="1"/>
  <c r="BT57" i="1" s="1"/>
  <c r="C57" i="1"/>
  <c r="DT7" i="1"/>
  <c r="BH7" i="1"/>
  <c r="CQ7" i="1"/>
  <c r="DK151" i="1"/>
  <c r="DO151" i="1"/>
  <c r="DU151" i="1"/>
  <c r="DI151" i="1"/>
  <c r="DU177" i="1"/>
  <c r="DO177" i="1"/>
  <c r="DI177" i="1"/>
  <c r="DK177" i="1"/>
  <c r="EI95" i="1"/>
  <c r="EB95" i="1" s="1"/>
  <c r="BN95" i="1" s="1"/>
  <c r="EF18" i="1"/>
  <c r="DY18" i="1" s="1"/>
  <c r="BK18" i="1" s="1"/>
  <c r="DK178" i="1"/>
  <c r="DU178" i="1"/>
  <c r="DI178" i="1"/>
  <c r="DO178" i="1"/>
  <c r="CQ165" i="1"/>
  <c r="BH165" i="1"/>
  <c r="DO165" i="1"/>
  <c r="DU165" i="1"/>
  <c r="DK165" i="1"/>
  <c r="DQ165" i="1" s="1"/>
  <c r="DI165" i="1"/>
  <c r="DL165" i="1" s="1"/>
  <c r="AY59" i="1"/>
  <c r="CK59" i="1"/>
  <c r="B59" i="1"/>
  <c r="EE77" i="1"/>
  <c r="DX77" i="1" s="1"/>
  <c r="BJ77" i="1" s="1"/>
  <c r="DT74" i="1"/>
  <c r="DH74" i="1"/>
  <c r="BH74" i="1"/>
  <c r="CQ74" i="1"/>
  <c r="DN74" i="1"/>
  <c r="DV74" i="1" s="1"/>
  <c r="DJ74" i="1"/>
  <c r="EF167" i="1"/>
  <c r="DY167" i="1" s="1"/>
  <c r="BK167" i="1" s="1"/>
  <c r="CO28" i="1"/>
  <c r="D28" i="1"/>
  <c r="CK73" i="1"/>
  <c r="B73" i="1"/>
  <c r="AY73" i="1"/>
  <c r="EF34" i="1"/>
  <c r="DY34" i="1" s="1"/>
  <c r="BK34" i="1" s="1"/>
  <c r="CS151" i="1"/>
  <c r="BZ151" i="1"/>
  <c r="CS35" i="1"/>
  <c r="DK21" i="1"/>
  <c r="DI21" i="1"/>
  <c r="DO21" i="1"/>
  <c r="C30" i="1"/>
  <c r="CM30" i="1"/>
  <c r="EG22" i="1"/>
  <c r="DZ22" i="1" s="1"/>
  <c r="BL22" i="1" s="1"/>
  <c r="CO157" i="1"/>
  <c r="CB57" i="1"/>
  <c r="CC57" i="1" s="1"/>
  <c r="CU57" i="1"/>
  <c r="CO78" i="1"/>
  <c r="BU78" i="1"/>
  <c r="D78" i="1"/>
  <c r="EE126" i="1"/>
  <c r="DX126" i="1" s="1"/>
  <c r="BJ126" i="1" s="1"/>
  <c r="CO159" i="1"/>
  <c r="DJ12" i="1"/>
  <c r="DQ12" i="1" s="1"/>
  <c r="DN12" i="1"/>
  <c r="DH12" i="1"/>
  <c r="DT18" i="1"/>
  <c r="BH18" i="1"/>
  <c r="CQ18" i="1"/>
  <c r="EF78" i="1"/>
  <c r="DY78" i="1" s="1"/>
  <c r="BK78" i="1" s="1"/>
  <c r="CS5" i="1"/>
  <c r="DI24" i="1"/>
  <c r="DK24" i="1"/>
  <c r="DO24" i="1"/>
  <c r="EH100" i="1"/>
  <c r="EA100" i="1" s="1"/>
  <c r="BM100" i="1" s="1"/>
  <c r="CS16" i="1"/>
  <c r="EG34" i="1"/>
  <c r="DZ34" i="1" s="1"/>
  <c r="BL34" i="1" s="1"/>
  <c r="EE62" i="1"/>
  <c r="DX62" i="1" s="1"/>
  <c r="BJ62" i="1" s="1"/>
  <c r="BZ153" i="1"/>
  <c r="CS153" i="1"/>
  <c r="CF44" i="1"/>
  <c r="BZ182" i="1"/>
  <c r="CS182" i="1"/>
  <c r="EI88" i="1"/>
  <c r="EB88" i="1" s="1"/>
  <c r="BN88" i="1" s="1"/>
  <c r="EE101" i="1"/>
  <c r="DX101" i="1" s="1"/>
  <c r="BJ101" i="1" s="1"/>
  <c r="EE107" i="1"/>
  <c r="DX107" i="1" s="1"/>
  <c r="BJ107" i="1" s="1"/>
  <c r="DO33" i="1"/>
  <c r="DI33" i="1"/>
  <c r="DK33" i="1"/>
  <c r="CS142" i="1"/>
  <c r="BZ142" i="1"/>
  <c r="CU140" i="1"/>
  <c r="CB140" i="1"/>
  <c r="CO38" i="1"/>
  <c r="D38" i="1"/>
  <c r="BH167" i="1"/>
  <c r="BI168" i="1" s="1"/>
  <c r="DO167" i="1"/>
  <c r="CQ167" i="1"/>
  <c r="DK167" i="1"/>
  <c r="DS167" i="1" s="1"/>
  <c r="DI167" i="1"/>
  <c r="DP167" i="1" s="1"/>
  <c r="DU167" i="1"/>
  <c r="DK79" i="1"/>
  <c r="DU79" i="1"/>
  <c r="DO79" i="1"/>
  <c r="DI79" i="1"/>
  <c r="EE31" i="1"/>
  <c r="DX31" i="1" s="1"/>
  <c r="BJ31" i="1" s="1"/>
  <c r="CS34" i="1"/>
  <c r="DN63" i="1"/>
  <c r="DJ63" i="1"/>
  <c r="BH63" i="1"/>
  <c r="DH63" i="1"/>
  <c r="DT63" i="1"/>
  <c r="CQ63" i="1"/>
  <c r="EG26" i="1"/>
  <c r="DZ26" i="1" s="1"/>
  <c r="BL26" i="1" s="1"/>
  <c r="CM160" i="1"/>
  <c r="EG126" i="1"/>
  <c r="DZ126" i="1" s="1"/>
  <c r="BL126" i="1" s="1"/>
  <c r="EH5" i="1"/>
  <c r="EA5" i="1" s="1"/>
  <c r="BM5" i="1" s="1"/>
  <c r="CM35" i="1"/>
  <c r="C35" i="1"/>
  <c r="EI6" i="1"/>
  <c r="EB6" i="1" s="1"/>
  <c r="BN6" i="1" s="1"/>
  <c r="EH104" i="1"/>
  <c r="EA104" i="1" s="1"/>
  <c r="BM104" i="1" s="1"/>
  <c r="EE104" i="1"/>
  <c r="DX104" i="1" s="1"/>
  <c r="BJ104" i="1" s="1"/>
  <c r="EF24" i="1"/>
  <c r="DY24" i="1" s="1"/>
  <c r="BK24" i="1" s="1"/>
  <c r="CO140" i="1"/>
  <c r="BF3" i="1"/>
  <c r="CO181" i="1"/>
  <c r="CS6" i="1"/>
  <c r="EE105" i="1"/>
  <c r="DX105" i="1" s="1"/>
  <c r="BJ105" i="1" s="1"/>
  <c r="DH57" i="1"/>
  <c r="DT57" i="1"/>
  <c r="CQ57" i="1"/>
  <c r="DN57" i="1"/>
  <c r="BH57" i="1"/>
  <c r="EI87" i="1"/>
  <c r="EB87" i="1" s="1"/>
  <c r="BN87" i="1" s="1"/>
  <c r="AT84" i="1"/>
  <c r="DJ13" i="1"/>
  <c r="DN13" i="1"/>
  <c r="DH13" i="1"/>
  <c r="EE20" i="1"/>
  <c r="DX20" i="1" s="1"/>
  <c r="BJ20" i="1" s="1"/>
  <c r="EI96" i="1"/>
  <c r="EB96" i="1" s="1"/>
  <c r="BN96" i="1" s="1"/>
  <c r="DU158" i="1"/>
  <c r="DK158" i="1"/>
  <c r="DO158" i="1"/>
  <c r="DI158" i="1"/>
  <c r="EF146" i="1"/>
  <c r="DY146" i="1" s="1"/>
  <c r="BK146" i="1" s="1"/>
  <c r="EE11" i="1"/>
  <c r="DX11" i="1" s="1"/>
  <c r="BJ11" i="1" s="1"/>
  <c r="CO14" i="1"/>
  <c r="D14" i="1"/>
  <c r="EI30" i="1"/>
  <c r="EB30" i="1" s="1"/>
  <c r="BN30" i="1" s="1"/>
  <c r="EF125" i="1"/>
  <c r="DY125" i="1" s="1"/>
  <c r="BK125" i="1" s="1"/>
  <c r="DJ31" i="1"/>
  <c r="DH31" i="1"/>
  <c r="DN31" i="1"/>
  <c r="DV31" i="1" s="1"/>
  <c r="EL136" i="1"/>
  <c r="EE145" i="1"/>
  <c r="DX145" i="1" s="1"/>
  <c r="BJ145" i="1" s="1"/>
  <c r="EF7" i="1"/>
  <c r="DY7" i="1" s="1"/>
  <c r="BK7" i="1" s="1"/>
  <c r="EF155" i="1"/>
  <c r="DY155" i="1" s="1"/>
  <c r="BK155" i="1" s="1"/>
  <c r="EI10" i="1"/>
  <c r="EB10" i="1" s="1"/>
  <c r="BN10" i="1" s="1"/>
  <c r="CU185" i="1"/>
  <c r="CB185" i="1"/>
  <c r="B26" i="1"/>
  <c r="CK26" i="1"/>
  <c r="AY26" i="1"/>
  <c r="EE8" i="1"/>
  <c r="DX8" i="1" s="1"/>
  <c r="BJ8" i="1" s="1"/>
  <c r="DJ18" i="1"/>
  <c r="DH18" i="1"/>
  <c r="DN18" i="1"/>
  <c r="DV18" i="1" s="1"/>
  <c r="CM184" i="1"/>
  <c r="CG44" i="1"/>
  <c r="EE150" i="1"/>
  <c r="DX150" i="1" s="1"/>
  <c r="BJ150" i="1" s="1"/>
  <c r="CU19" i="1"/>
  <c r="BD3" i="1"/>
  <c r="BF44" i="1"/>
  <c r="CM145" i="1"/>
  <c r="DT13" i="1"/>
  <c r="CQ13" i="1"/>
  <c r="BH13" i="1"/>
  <c r="EF175" i="1"/>
  <c r="DY175" i="1" s="1"/>
  <c r="BK175" i="1" s="1"/>
  <c r="DJ150" i="1"/>
  <c r="DN150" i="1"/>
  <c r="CQ150" i="1"/>
  <c r="DT150" i="1"/>
  <c r="BH150" i="1"/>
  <c r="DH150" i="1"/>
  <c r="CO20" i="1"/>
  <c r="D20" i="1"/>
  <c r="DO16" i="1"/>
  <c r="DK16" i="1"/>
  <c r="DI16" i="1"/>
  <c r="B28" i="1"/>
  <c r="AY28" i="1"/>
  <c r="CK28" i="1"/>
  <c r="DI23" i="1"/>
  <c r="DO23" i="1"/>
  <c r="DK23" i="1"/>
  <c r="EE98" i="1"/>
  <c r="DX98" i="1" s="1"/>
  <c r="BJ98" i="1" s="1"/>
  <c r="EE116" i="1"/>
  <c r="DX116" i="1" s="1"/>
  <c r="BJ116" i="1" s="1"/>
  <c r="DU162" i="1"/>
  <c r="BH162" i="1"/>
  <c r="BI163" i="1" s="1"/>
  <c r="DI162" i="1"/>
  <c r="DL162" i="1" s="1"/>
  <c r="DO162" i="1"/>
  <c r="CQ162" i="1"/>
  <c r="CM37" i="1"/>
  <c r="C37" i="1"/>
  <c r="EG85" i="1"/>
  <c r="EN84" i="1"/>
  <c r="AY31" i="1"/>
  <c r="B31" i="1"/>
  <c r="CK31" i="1"/>
  <c r="DT6" i="1"/>
  <c r="BH6" i="1"/>
  <c r="CQ6" i="1"/>
  <c r="EI110" i="1"/>
  <c r="EB110" i="1" s="1"/>
  <c r="BN110" i="1" s="1"/>
  <c r="CK171" i="1"/>
  <c r="EF129" i="1"/>
  <c r="DY129" i="1" s="1"/>
  <c r="BK129" i="1" s="1"/>
  <c r="CS27" i="1"/>
  <c r="DI10" i="1"/>
  <c r="DK10" i="1"/>
  <c r="DO10" i="1"/>
  <c r="DN24" i="1"/>
  <c r="DH24" i="1"/>
  <c r="DJ24" i="1"/>
  <c r="EF4" i="1"/>
  <c r="DY4" i="1" s="1"/>
  <c r="BK4" i="1" s="1"/>
  <c r="EM3" i="1"/>
  <c r="DN17" i="1"/>
  <c r="DH17" i="1"/>
  <c r="DJ17" i="1"/>
  <c r="DS17" i="1" s="1"/>
  <c r="EG104" i="1"/>
  <c r="DZ104" i="1" s="1"/>
  <c r="BL104" i="1" s="1"/>
  <c r="CB76" i="1"/>
  <c r="CU76" i="1"/>
  <c r="EG105" i="1"/>
  <c r="DZ105" i="1" s="1"/>
  <c r="BL105" i="1" s="1"/>
  <c r="BH47" i="1"/>
  <c r="DH47" i="1"/>
  <c r="DN47" i="1"/>
  <c r="DJ47" i="1"/>
  <c r="CQ47" i="1"/>
  <c r="DT47" i="1"/>
  <c r="DN61" i="1"/>
  <c r="DT61" i="1"/>
  <c r="DJ61" i="1"/>
  <c r="BH61" i="1"/>
  <c r="CQ61" i="1"/>
  <c r="DH61" i="1"/>
  <c r="EJ14" i="1"/>
  <c r="EC14" i="1" s="1"/>
  <c r="BO14" i="1" s="1"/>
  <c r="EH93" i="1"/>
  <c r="EA93" i="1" s="1"/>
  <c r="BM93" i="1" s="1"/>
  <c r="EJ127" i="1"/>
  <c r="EC127" i="1" s="1"/>
  <c r="BO127" i="1" s="1"/>
  <c r="EF163" i="1"/>
  <c r="DY163" i="1" s="1"/>
  <c r="BK163" i="1" s="1"/>
  <c r="DR163" i="1" s="1"/>
  <c r="EF148" i="1"/>
  <c r="DY148" i="1" s="1"/>
  <c r="BK148" i="1" s="1"/>
  <c r="CS62" i="1"/>
  <c r="BZ62" i="1"/>
  <c r="DJ27" i="1"/>
  <c r="DH27" i="1"/>
  <c r="DN27" i="1"/>
  <c r="DV27" i="1" s="1"/>
  <c r="EF79" i="1"/>
  <c r="DY79" i="1" s="1"/>
  <c r="BK79" i="1" s="1"/>
  <c r="C23" i="1"/>
  <c r="CM23" i="1"/>
  <c r="EH28" i="1"/>
  <c r="EA28" i="1" s="1"/>
  <c r="BM28" i="1" s="1"/>
  <c r="DU145" i="1"/>
  <c r="DO145" i="1"/>
  <c r="DK145" i="1"/>
  <c r="DI145" i="1"/>
  <c r="CK186" i="1"/>
  <c r="EJ94" i="1"/>
  <c r="EC94" i="1" s="1"/>
  <c r="BO94" i="1" s="1"/>
  <c r="EF99" i="1"/>
  <c r="DY99" i="1" s="1"/>
  <c r="BK99" i="1" s="1"/>
  <c r="CQ59" i="1"/>
  <c r="DJ59" i="1"/>
  <c r="DH59" i="1"/>
  <c r="BH59" i="1"/>
  <c r="DN59" i="1"/>
  <c r="DT59" i="1"/>
  <c r="CM179" i="1"/>
  <c r="CU22" i="1"/>
  <c r="AT44" i="1"/>
  <c r="CU11" i="1"/>
  <c r="EF94" i="1"/>
  <c r="DY94" i="1" s="1"/>
  <c r="BK94" i="1" s="1"/>
  <c r="EF29" i="1"/>
  <c r="DY29" i="1" s="1"/>
  <c r="BK29" i="1" s="1"/>
  <c r="DU36" i="1"/>
  <c r="BH37" i="1"/>
  <c r="DT37" i="1"/>
  <c r="CQ37" i="1"/>
  <c r="EG32" i="1"/>
  <c r="DZ32" i="1" s="1"/>
  <c r="BL32" i="1" s="1"/>
  <c r="CM158" i="1"/>
  <c r="EE96" i="1"/>
  <c r="DX96" i="1" s="1"/>
  <c r="BJ96" i="1" s="1"/>
  <c r="EG23" i="1"/>
  <c r="DZ23" i="1" s="1"/>
  <c r="BL23" i="1" s="1"/>
  <c r="CK45" i="1"/>
  <c r="B45" i="1"/>
  <c r="AS44" i="1"/>
  <c r="AY45" i="1"/>
  <c r="DI174" i="1"/>
  <c r="DU174" i="1"/>
  <c r="DO174" i="1"/>
  <c r="DK174" i="1"/>
  <c r="EE15" i="1"/>
  <c r="DX15" i="1" s="1"/>
  <c r="BJ15" i="1" s="1"/>
  <c r="D48" i="1"/>
  <c r="BU48" i="1"/>
  <c r="CO48" i="1"/>
  <c r="B25" i="1"/>
  <c r="AY25" i="1"/>
  <c r="CK25" i="1"/>
  <c r="CU187" i="1"/>
  <c r="CB187" i="1"/>
  <c r="DN26" i="1"/>
  <c r="DH26" i="1"/>
  <c r="DJ26" i="1"/>
  <c r="EF105" i="1"/>
  <c r="DY105" i="1" s="1"/>
  <c r="BK105" i="1" s="1"/>
  <c r="EF169" i="1"/>
  <c r="DY169" i="1" s="1"/>
  <c r="BK169" i="1" s="1"/>
  <c r="DU15" i="1"/>
  <c r="DT183" i="1"/>
  <c r="DN183" i="1"/>
  <c r="DV183" i="1" s="1"/>
  <c r="BH183" i="1"/>
  <c r="BX183" i="1"/>
  <c r="CQ183" i="1"/>
  <c r="DH183" i="1"/>
  <c r="DJ183" i="1"/>
  <c r="DT34" i="1"/>
  <c r="BH34" i="1"/>
  <c r="CQ34" i="1"/>
  <c r="EJ106" i="1"/>
  <c r="EC106" i="1" s="1"/>
  <c r="BO106" i="1" s="1"/>
  <c r="CQ76" i="1"/>
  <c r="DJ76" i="1"/>
  <c r="DH76" i="1"/>
  <c r="DN76" i="1"/>
  <c r="BH76" i="1"/>
  <c r="DT76" i="1"/>
  <c r="DI36" i="1"/>
  <c r="DK36" i="1"/>
  <c r="DO36" i="1"/>
  <c r="DH4" i="1"/>
  <c r="DJ4" i="1"/>
  <c r="DN4" i="1"/>
  <c r="DA3" i="1"/>
  <c r="DH73" i="1"/>
  <c r="CQ73" i="1"/>
  <c r="DT73" i="1"/>
  <c r="DN73" i="1"/>
  <c r="DJ73" i="1"/>
  <c r="BH73" i="1"/>
  <c r="CK62" i="1"/>
  <c r="AY62" i="1"/>
  <c r="B62" i="1"/>
  <c r="EE103" i="1"/>
  <c r="DX103" i="1" s="1"/>
  <c r="BJ103" i="1" s="1"/>
  <c r="DN30" i="1"/>
  <c r="DH30" i="1"/>
  <c r="DJ30" i="1"/>
  <c r="BC136" i="1"/>
  <c r="CS137" i="1"/>
  <c r="BZ137" i="1"/>
  <c r="EE73" i="1"/>
  <c r="DX73" i="1" s="1"/>
  <c r="BJ73" i="1" s="1"/>
  <c r="CM173" i="1"/>
  <c r="D46" i="1"/>
  <c r="BU46" i="1"/>
  <c r="CO46" i="1"/>
  <c r="CS31" i="1"/>
  <c r="CQ14" i="1"/>
  <c r="BH14" i="1"/>
  <c r="DT14" i="1"/>
  <c r="AY30" i="1"/>
  <c r="CK30" i="1"/>
  <c r="B30" i="1"/>
  <c r="CM8" i="1"/>
  <c r="C8" i="1"/>
  <c r="EH37" i="1"/>
  <c r="EA37" i="1" s="1"/>
  <c r="BM37" i="1" s="1"/>
  <c r="EE185" i="1"/>
  <c r="DX185" i="1" s="1"/>
  <c r="BJ185" i="1" s="1"/>
  <c r="EF107" i="1"/>
  <c r="DY107" i="1" s="1"/>
  <c r="BK107" i="1" s="1"/>
  <c r="CU70" i="1"/>
  <c r="CB70" i="1"/>
  <c r="DO76" i="1"/>
  <c r="DI76" i="1"/>
  <c r="DK76" i="1"/>
  <c r="DU76" i="1"/>
  <c r="EF85" i="1"/>
  <c r="DY85" i="1" s="1"/>
  <c r="BK85" i="1" s="1"/>
  <c r="EM84" i="1"/>
  <c r="CU25" i="1"/>
  <c r="DH71" i="1"/>
  <c r="DT71" i="1"/>
  <c r="CQ71" i="1"/>
  <c r="DN71" i="1"/>
  <c r="BH71" i="1"/>
  <c r="EE63" i="1"/>
  <c r="DX63" i="1" s="1"/>
  <c r="BJ63" i="1" s="1"/>
  <c r="BZ157" i="1"/>
  <c r="CS157" i="1"/>
  <c r="CU18" i="1"/>
  <c r="DN11" i="1"/>
  <c r="DH11" i="1"/>
  <c r="DJ11" i="1"/>
  <c r="B72" i="1"/>
  <c r="AY72" i="1"/>
  <c r="CK72" i="1"/>
  <c r="DJ188" i="1"/>
  <c r="DT188" i="1"/>
  <c r="BH188" i="1"/>
  <c r="CQ188" i="1"/>
  <c r="DH188" i="1"/>
  <c r="DN188" i="1"/>
  <c r="DV188" i="1" s="1"/>
  <c r="EH19" i="1"/>
  <c r="EA19" i="1" s="1"/>
  <c r="BM19" i="1" s="1"/>
  <c r="AY32" i="1"/>
  <c r="CK32" i="1"/>
  <c r="B32" i="1"/>
  <c r="EE75" i="1"/>
  <c r="DX75" i="1" s="1"/>
  <c r="BJ75" i="1" s="1"/>
  <c r="EJ128" i="1"/>
  <c r="EC128" i="1" s="1"/>
  <c r="BO128" i="1" s="1"/>
  <c r="BZ141" i="1"/>
  <c r="CS141" i="1"/>
  <c r="EF130" i="1"/>
  <c r="DY130" i="1" s="1"/>
  <c r="BK130" i="1" s="1"/>
  <c r="BZ161" i="1"/>
  <c r="CS161" i="1"/>
  <c r="CU23" i="1"/>
  <c r="EE35" i="1"/>
  <c r="DX35" i="1" s="1"/>
  <c r="BJ35" i="1" s="1"/>
  <c r="AX3" i="1"/>
  <c r="EF189" i="1"/>
  <c r="DY189" i="1" s="1"/>
  <c r="BK189" i="1" s="1"/>
  <c r="DU7" i="1"/>
  <c r="EG20" i="1"/>
  <c r="DZ20" i="1" s="1"/>
  <c r="BL20" i="1" s="1"/>
  <c r="EF153" i="1"/>
  <c r="DY153" i="1" s="1"/>
  <c r="BK153" i="1" s="1"/>
  <c r="BZ138" i="1"/>
  <c r="CS138" i="1"/>
  <c r="EE149" i="1"/>
  <c r="DX149" i="1" s="1"/>
  <c r="BJ149" i="1" s="1"/>
  <c r="CK160" i="1"/>
  <c r="EF71" i="1"/>
  <c r="DY71" i="1" s="1"/>
  <c r="BK71" i="1" s="1"/>
  <c r="EI16" i="1"/>
  <c r="EB16" i="1" s="1"/>
  <c r="BN16" i="1" s="1"/>
  <c r="DI28" i="1"/>
  <c r="DO28" i="1"/>
  <c r="DK28" i="1"/>
  <c r="EG118" i="1"/>
  <c r="DZ118" i="1" s="1"/>
  <c r="BL118" i="1" s="1"/>
  <c r="EH18" i="1"/>
  <c r="EA18" i="1" s="1"/>
  <c r="BM18" i="1" s="1"/>
  <c r="CK173" i="1"/>
  <c r="CM24" i="1"/>
  <c r="C24" i="1"/>
  <c r="EF15" i="1"/>
  <c r="DY15" i="1" s="1"/>
  <c r="BK15" i="1" s="1"/>
  <c r="AY139" i="1"/>
  <c r="BS139" i="1"/>
  <c r="C139" i="1"/>
  <c r="E139" i="1" s="1"/>
  <c r="CO13" i="1"/>
  <c r="D13" i="1"/>
  <c r="EF96" i="1"/>
  <c r="DY96" i="1" s="1"/>
  <c r="BK96" i="1" s="1"/>
  <c r="DU22" i="1"/>
  <c r="EE48" i="1"/>
  <c r="DX48" i="1" s="1"/>
  <c r="BJ48" i="1" s="1"/>
  <c r="CU27" i="1"/>
  <c r="CK10" i="1"/>
  <c r="AY10" i="1"/>
  <c r="B10" i="1"/>
  <c r="EH125" i="1"/>
  <c r="EA125" i="1" s="1"/>
  <c r="BM125" i="1" s="1"/>
  <c r="EE28" i="1"/>
  <c r="DX28" i="1" s="1"/>
  <c r="BJ28" i="1" s="1"/>
  <c r="CM153" i="1"/>
  <c r="EG88" i="1"/>
  <c r="DZ88" i="1" s="1"/>
  <c r="BL88" i="1" s="1"/>
  <c r="CU147" i="1"/>
  <c r="CB147" i="1"/>
  <c r="EJ8" i="1"/>
  <c r="EC8" i="1" s="1"/>
  <c r="BO8" i="1" s="1"/>
  <c r="BZ189" i="1"/>
  <c r="CS189" i="1"/>
  <c r="CS36" i="1"/>
  <c r="EF36" i="1"/>
  <c r="DY36" i="1" s="1"/>
  <c r="BK36" i="1" s="1"/>
  <c r="DU183" i="1"/>
  <c r="DI183" i="1"/>
  <c r="DK183" i="1"/>
  <c r="DO183" i="1"/>
  <c r="DH157" i="1"/>
  <c r="DJ157" i="1"/>
  <c r="DT157" i="1"/>
  <c r="BH157" i="1"/>
  <c r="CQ157" i="1"/>
  <c r="DN157" i="1"/>
  <c r="EJ29" i="1"/>
  <c r="EC29" i="1" s="1"/>
  <c r="BO29" i="1" s="1"/>
  <c r="CS78" i="1"/>
  <c r="BZ78" i="1"/>
  <c r="DU17" i="1"/>
  <c r="CS48" i="1"/>
  <c r="BZ48" i="1"/>
  <c r="CA49" i="1" s="1"/>
  <c r="EJ93" i="1"/>
  <c r="EC93" i="1" s="1"/>
  <c r="BO93" i="1" s="1"/>
  <c r="EG25" i="1"/>
  <c r="DZ25" i="1" s="1"/>
  <c r="BL25" i="1" s="1"/>
  <c r="EI22" i="1"/>
  <c r="EB22" i="1" s="1"/>
  <c r="BN22" i="1" s="1"/>
  <c r="EE128" i="1"/>
  <c r="DX128" i="1" s="1"/>
  <c r="BJ128" i="1" s="1"/>
  <c r="CO178" i="1"/>
  <c r="EF101" i="1"/>
  <c r="DY101" i="1" s="1"/>
  <c r="BK101" i="1" s="1"/>
  <c r="EH99" i="1"/>
  <c r="EA99" i="1" s="1"/>
  <c r="BM99" i="1" s="1"/>
  <c r="EJ102" i="1"/>
  <c r="EC102" i="1" s="1"/>
  <c r="BO102" i="1" s="1"/>
  <c r="EF72" i="1"/>
  <c r="DY72" i="1" s="1"/>
  <c r="BK72" i="1" s="1"/>
  <c r="EF102" i="1"/>
  <c r="DY102" i="1" s="1"/>
  <c r="BK102" i="1" s="1"/>
  <c r="DO154" i="1"/>
  <c r="DU154" i="1"/>
  <c r="DK154" i="1"/>
  <c r="DI154" i="1"/>
  <c r="CK14" i="1"/>
  <c r="B14" i="1"/>
  <c r="AY14" i="1"/>
  <c r="DN7" i="1"/>
  <c r="DH7" i="1"/>
  <c r="DJ7" i="1"/>
  <c r="CM141" i="1"/>
  <c r="BH160" i="1"/>
  <c r="DN160" i="1"/>
  <c r="DV160" i="1" s="1"/>
  <c r="DH160" i="1"/>
  <c r="CQ160" i="1"/>
  <c r="DT160" i="1"/>
  <c r="DJ160" i="1"/>
  <c r="CK156" i="1"/>
  <c r="EI14" i="1"/>
  <c r="EB14" i="1" s="1"/>
  <c r="BN14" i="1" s="1"/>
  <c r="EE106" i="1"/>
  <c r="DX106" i="1" s="1"/>
  <c r="BJ106" i="1" s="1"/>
  <c r="EE59" i="1"/>
  <c r="DX59" i="1" s="1"/>
  <c r="BJ59" i="1" s="1"/>
  <c r="CK187" i="1"/>
  <c r="EI121" i="1"/>
  <c r="EB121" i="1" s="1"/>
  <c r="BN121" i="1" s="1"/>
  <c r="DJ145" i="1"/>
  <c r="DM145" i="1" s="1"/>
  <c r="BH145" i="1"/>
  <c r="DN145" i="1"/>
  <c r="DT145" i="1"/>
  <c r="DH145" i="1"/>
  <c r="CQ145" i="1"/>
  <c r="EG86" i="1"/>
  <c r="DZ86" i="1" s="1"/>
  <c r="BL86" i="1" s="1"/>
  <c r="D34" i="1"/>
  <c r="CO34" i="1"/>
  <c r="DO38" i="1"/>
  <c r="DI38" i="1"/>
  <c r="DK38" i="1"/>
  <c r="EF114" i="1"/>
  <c r="DY114" i="1" s="1"/>
  <c r="BK114" i="1" s="1"/>
  <c r="DH19" i="1"/>
  <c r="DN19" i="1"/>
  <c r="DJ19" i="1"/>
  <c r="CU16" i="1"/>
  <c r="C15" i="1"/>
  <c r="CM15" i="1"/>
  <c r="CS11" i="1"/>
  <c r="EJ107" i="1"/>
  <c r="EC107" i="1" s="1"/>
  <c r="BO107" i="1" s="1"/>
  <c r="DU12" i="1"/>
  <c r="EF86" i="1"/>
  <c r="DY86" i="1" s="1"/>
  <c r="BK86" i="1" s="1"/>
  <c r="BX177" i="1"/>
  <c r="DN177" i="1"/>
  <c r="DV177" i="1" s="1"/>
  <c r="DT177" i="1"/>
  <c r="DH177" i="1"/>
  <c r="DJ177" i="1"/>
  <c r="BH177" i="1"/>
  <c r="CQ177" i="1"/>
  <c r="EF120" i="1"/>
  <c r="DY120" i="1" s="1"/>
  <c r="BK120" i="1" s="1"/>
  <c r="EI109" i="1"/>
  <c r="EB109" i="1" s="1"/>
  <c r="BN109" i="1" s="1"/>
  <c r="EI101" i="1"/>
  <c r="EB101" i="1" s="1"/>
  <c r="BN101" i="1" s="1"/>
  <c r="EE38" i="1"/>
  <c r="DX38" i="1" s="1"/>
  <c r="BJ38" i="1" s="1"/>
  <c r="DK175" i="1"/>
  <c r="DO175" i="1"/>
  <c r="DI175" i="1"/>
  <c r="DU175" i="1"/>
  <c r="EH105" i="1"/>
  <c r="EA105" i="1" s="1"/>
  <c r="BM105" i="1" s="1"/>
  <c r="B37" i="1"/>
  <c r="AY37" i="1"/>
  <c r="CK37" i="1"/>
  <c r="DO73" i="1"/>
  <c r="DI73" i="1"/>
  <c r="DU73" i="1"/>
  <c r="DK73" i="1"/>
  <c r="DO31" i="1"/>
  <c r="DI31" i="1"/>
  <c r="DK31" i="1"/>
  <c r="CM157" i="1"/>
  <c r="EF5" i="1"/>
  <c r="DY5" i="1" s="1"/>
  <c r="BK5" i="1" s="1"/>
  <c r="CU29" i="1"/>
  <c r="EG119" i="1"/>
  <c r="DZ119" i="1" s="1"/>
  <c r="BL119" i="1" s="1"/>
  <c r="DI148" i="1"/>
  <c r="DU148" i="1"/>
  <c r="DO148" i="1"/>
  <c r="DK148" i="1"/>
  <c r="EI92" i="1"/>
  <c r="EB92" i="1" s="1"/>
  <c r="BN92" i="1" s="1"/>
  <c r="EF9" i="1"/>
  <c r="DY9" i="1" s="1"/>
  <c r="BK9" i="1" s="1"/>
  <c r="EE117" i="1"/>
  <c r="DX117" i="1" s="1"/>
  <c r="BJ117" i="1" s="1"/>
  <c r="EE112" i="1"/>
  <c r="DX112" i="1" s="1"/>
  <c r="BJ112" i="1" s="1"/>
  <c r="DO189" i="1"/>
  <c r="DK189" i="1"/>
  <c r="DI189" i="1"/>
  <c r="DU189" i="1"/>
  <c r="DU10" i="1"/>
  <c r="CK147" i="1"/>
  <c r="DN21" i="1"/>
  <c r="DJ21" i="1"/>
  <c r="DH21" i="1"/>
  <c r="DL21" i="1" s="1"/>
  <c r="B48" i="1"/>
  <c r="AY48" i="1"/>
  <c r="CK48" i="1"/>
  <c r="CQ5" i="1"/>
  <c r="BH5" i="1"/>
  <c r="DT5" i="1"/>
  <c r="B6" i="1"/>
  <c r="AY6" i="1"/>
  <c r="CK6" i="1"/>
  <c r="CM34" i="1"/>
  <c r="C34" i="1"/>
  <c r="AY58" i="1"/>
  <c r="B58" i="1"/>
  <c r="CK58" i="1"/>
  <c r="EE14" i="1"/>
  <c r="DX14" i="1" s="1"/>
  <c r="BJ14" i="1" s="1"/>
  <c r="AV3" i="1"/>
  <c r="DH36" i="1"/>
  <c r="DJ36" i="1"/>
  <c r="DN36" i="1"/>
  <c r="EI122" i="1"/>
  <c r="EB122" i="1" s="1"/>
  <c r="BN122" i="1" s="1"/>
  <c r="CK184" i="1"/>
  <c r="CO152" i="1"/>
  <c r="BH26" i="1"/>
  <c r="CQ26" i="1"/>
  <c r="DT26" i="1"/>
  <c r="EG123" i="1"/>
  <c r="DZ123" i="1" s="1"/>
  <c r="BL123" i="1" s="1"/>
  <c r="DU21" i="1"/>
  <c r="DU171" i="1"/>
  <c r="DO171" i="1"/>
  <c r="DI171" i="1"/>
  <c r="DK171" i="1"/>
  <c r="DK182" i="1"/>
  <c r="DU182" i="1"/>
  <c r="DI182" i="1"/>
  <c r="DO182" i="1"/>
  <c r="DW182" i="1" s="1"/>
  <c r="CQ11" i="1"/>
  <c r="DT11" i="1"/>
  <c r="BH11" i="1"/>
  <c r="DK170" i="1"/>
  <c r="DI170" i="1"/>
  <c r="DO170" i="1"/>
  <c r="DU170" i="1"/>
  <c r="CK142" i="1"/>
  <c r="EI129" i="1"/>
  <c r="EB129" i="1" s="1"/>
  <c r="BN129" i="1" s="1"/>
  <c r="CO146" i="1"/>
  <c r="CU139" i="1"/>
  <c r="CB139" i="1"/>
  <c r="CK169" i="1"/>
  <c r="CK20" i="1"/>
  <c r="AY20" i="1"/>
  <c r="B20" i="1"/>
  <c r="CO175" i="1"/>
  <c r="EI35" i="1"/>
  <c r="EB35" i="1" s="1"/>
  <c r="BN35" i="1" s="1"/>
  <c r="EE76" i="1"/>
  <c r="DX76" i="1" s="1"/>
  <c r="BJ76" i="1" s="1"/>
  <c r="EG101" i="1"/>
  <c r="DZ101" i="1" s="1"/>
  <c r="BL101" i="1" s="1"/>
  <c r="DT60" i="1"/>
  <c r="DH60" i="1"/>
  <c r="DJ60" i="1"/>
  <c r="BH60" i="1"/>
  <c r="DN60" i="1"/>
  <c r="CQ60" i="1"/>
  <c r="EH123" i="1"/>
  <c r="EA123" i="1" s="1"/>
  <c r="BM123" i="1" s="1"/>
  <c r="CK15" i="1"/>
  <c r="AY15" i="1"/>
  <c r="B15" i="1"/>
  <c r="EI103" i="1"/>
  <c r="EB103" i="1" s="1"/>
  <c r="BN103" i="1" s="1"/>
  <c r="BZ71" i="1"/>
  <c r="CS71" i="1"/>
  <c r="CS45" i="1"/>
  <c r="BC44" i="1"/>
  <c r="BZ45" i="1"/>
  <c r="DH6" i="1"/>
  <c r="DJ6" i="1"/>
  <c r="DN6" i="1"/>
  <c r="EE92" i="1"/>
  <c r="DX92" i="1" s="1"/>
  <c r="BJ92" i="1" s="1"/>
  <c r="CK181" i="1"/>
  <c r="DO32" i="1"/>
  <c r="DK32" i="1"/>
  <c r="DI32" i="1"/>
  <c r="EJ104" i="1"/>
  <c r="EC104" i="1" s="1"/>
  <c r="BO104" i="1" s="1"/>
  <c r="CO158" i="1"/>
  <c r="CM150" i="1"/>
  <c r="CU155" i="1"/>
  <c r="CB155" i="1"/>
  <c r="CB145" i="1"/>
  <c r="CU145" i="1"/>
  <c r="EH22" i="1"/>
  <c r="EA22" i="1" s="1"/>
  <c r="BM22" i="1" s="1"/>
  <c r="BZ149" i="1"/>
  <c r="CS149" i="1"/>
  <c r="CO173" i="1"/>
  <c r="BU59" i="1"/>
  <c r="D59" i="1"/>
  <c r="CO59" i="1"/>
  <c r="CK183" i="1"/>
  <c r="CE136" i="1"/>
  <c r="C76" i="1"/>
  <c r="CM76" i="1"/>
  <c r="BS76" i="1"/>
  <c r="EF37" i="1"/>
  <c r="DY37" i="1" s="1"/>
  <c r="BK37" i="1" s="1"/>
  <c r="EH23" i="1"/>
  <c r="EA23" i="1" s="1"/>
  <c r="BM23" i="1" s="1"/>
  <c r="CO141" i="1"/>
  <c r="DU159" i="1"/>
  <c r="DO159" i="1"/>
  <c r="DK159" i="1"/>
  <c r="DI159" i="1"/>
  <c r="DU150" i="1"/>
  <c r="DI150" i="1"/>
  <c r="DO150" i="1"/>
  <c r="DK150" i="1"/>
  <c r="EE34" i="1"/>
  <c r="DX34" i="1" s="1"/>
  <c r="BJ34" i="1" s="1"/>
  <c r="EE176" i="1"/>
  <c r="DX176" i="1" s="1"/>
  <c r="BJ176" i="1" s="1"/>
  <c r="CO148" i="1"/>
  <c r="C4" i="1"/>
  <c r="AU3" i="1"/>
  <c r="CM4" i="1"/>
  <c r="DD3" i="1"/>
  <c r="EE29" i="1"/>
  <c r="DX29" i="1" s="1"/>
  <c r="BJ29" i="1" s="1"/>
  <c r="BZ155" i="1"/>
  <c r="CS155" i="1"/>
  <c r="EF92" i="1"/>
  <c r="DY92" i="1" s="1"/>
  <c r="BK92" i="1" s="1"/>
  <c r="EF21" i="1"/>
  <c r="DY21" i="1" s="1"/>
  <c r="BK21" i="1" s="1"/>
  <c r="EH103" i="1"/>
  <c r="EA103" i="1" s="1"/>
  <c r="BM103" i="1" s="1"/>
  <c r="CO155" i="1"/>
  <c r="EG115" i="1"/>
  <c r="DZ115" i="1" s="1"/>
  <c r="BL115" i="1" s="1"/>
  <c r="CK38" i="1"/>
  <c r="AY38" i="1"/>
  <c r="B38" i="1"/>
  <c r="CO174" i="1"/>
  <c r="DU78" i="1"/>
  <c r="DK78" i="1"/>
  <c r="DO78" i="1"/>
  <c r="DI78" i="1"/>
  <c r="EF28" i="1"/>
  <c r="DY28" i="1" s="1"/>
  <c r="BK28" i="1" s="1"/>
  <c r="EE153" i="1"/>
  <c r="DX153" i="1" s="1"/>
  <c r="BJ153" i="1" s="1"/>
  <c r="CS26" i="1"/>
  <c r="AY189" i="1"/>
  <c r="BS189" i="1"/>
  <c r="CM189" i="1"/>
  <c r="C189" i="1"/>
  <c r="E189" i="1" s="1"/>
  <c r="EF27" i="1"/>
  <c r="DY27" i="1" s="1"/>
  <c r="BK27" i="1" s="1"/>
  <c r="CQ24" i="1"/>
  <c r="DT24" i="1"/>
  <c r="BH24" i="1"/>
  <c r="EJ24" i="1"/>
  <c r="EC24" i="1" s="1"/>
  <c r="BO24" i="1" s="1"/>
  <c r="EH116" i="1"/>
  <c r="EA116" i="1" s="1"/>
  <c r="BM116" i="1" s="1"/>
  <c r="DO13" i="1"/>
  <c r="DI13" i="1"/>
  <c r="DK13" i="1"/>
  <c r="DI47" i="1"/>
  <c r="DO47" i="1"/>
  <c r="DU47" i="1"/>
  <c r="EF113" i="1"/>
  <c r="DY113" i="1" s="1"/>
  <c r="BK113" i="1" s="1"/>
  <c r="EE90" i="1"/>
  <c r="DX90" i="1" s="1"/>
  <c r="BJ90" i="1" s="1"/>
  <c r="CU33" i="1"/>
  <c r="DH70" i="1"/>
  <c r="DJ70" i="1"/>
  <c r="DT70" i="1"/>
  <c r="DN70" i="1"/>
  <c r="CQ70" i="1"/>
  <c r="BH70" i="1"/>
  <c r="CM177" i="1"/>
  <c r="EE91" i="1"/>
  <c r="DX91" i="1" s="1"/>
  <c r="BJ91" i="1" s="1"/>
  <c r="EF115" i="1"/>
  <c r="DY115" i="1" s="1"/>
  <c r="BK115" i="1" s="1"/>
  <c r="EH11" i="1"/>
  <c r="EA11" i="1" s="1"/>
  <c r="BM11" i="1" s="1"/>
  <c r="EE85" i="1"/>
  <c r="DX85" i="1" s="1"/>
  <c r="BJ85" i="1" s="1"/>
  <c r="EL84" i="1"/>
  <c r="EJ129" i="1"/>
  <c r="EC129" i="1" s="1"/>
  <c r="BO129" i="1" s="1"/>
  <c r="C6" i="1"/>
  <c r="CM6" i="1"/>
  <c r="EJ101" i="1"/>
  <c r="EC101" i="1" s="1"/>
  <c r="BO101" i="1" s="1"/>
  <c r="DK4" i="1"/>
  <c r="DI4" i="1"/>
  <c r="DU4" i="1"/>
  <c r="DO4" i="1"/>
  <c r="BB3" i="1"/>
  <c r="EH111" i="1"/>
  <c r="EA111" i="1" s="1"/>
  <c r="BM111" i="1" s="1"/>
  <c r="EH17" i="1"/>
  <c r="EA17" i="1" s="1"/>
  <c r="BM17" i="1" s="1"/>
  <c r="CS46" i="1"/>
  <c r="BZ46" i="1"/>
  <c r="EF154" i="1"/>
  <c r="DY154" i="1" s="1"/>
  <c r="BK154" i="1" s="1"/>
  <c r="DO8" i="1"/>
  <c r="DK8" i="1"/>
  <c r="DI8" i="1"/>
  <c r="CM169" i="1"/>
  <c r="EF108" i="1"/>
  <c r="DY108" i="1" s="1"/>
  <c r="BK108" i="1" s="1"/>
  <c r="EG127" i="1"/>
  <c r="DZ127" i="1" s="1"/>
  <c r="BL127" i="1" s="1"/>
  <c r="EG91" i="1"/>
  <c r="DZ91" i="1" s="1"/>
  <c r="BL91" i="1" s="1"/>
  <c r="EH118" i="1"/>
  <c r="EA118" i="1" s="1"/>
  <c r="BM118" i="1" s="1"/>
  <c r="DU34" i="1"/>
  <c r="BH139" i="1"/>
  <c r="BI140" i="1" s="1"/>
  <c r="DJ139" i="1"/>
  <c r="BX139" i="1"/>
  <c r="BY139" i="1" s="1"/>
  <c r="DH139" i="1"/>
  <c r="CQ139" i="1"/>
  <c r="DT139" i="1"/>
  <c r="DN139" i="1"/>
  <c r="CO160" i="1"/>
  <c r="EG93" i="1"/>
  <c r="DZ93" i="1" s="1"/>
  <c r="BL93" i="1" s="1"/>
  <c r="CS171" i="1"/>
  <c r="BZ171" i="1"/>
  <c r="EE23" i="1"/>
  <c r="DX23" i="1" s="1"/>
  <c r="BJ23" i="1" s="1"/>
  <c r="DI172" i="1"/>
  <c r="DO172" i="1"/>
  <c r="DK172" i="1"/>
  <c r="DU172" i="1"/>
  <c r="CQ166" i="1"/>
  <c r="DI166" i="1"/>
  <c r="BH166" i="1"/>
  <c r="DO166" i="1"/>
  <c r="DU166" i="1"/>
  <c r="DK166" i="1"/>
  <c r="EI128" i="1"/>
  <c r="EB128" i="1" s="1"/>
  <c r="BN128" i="1" s="1"/>
  <c r="CO147" i="1"/>
  <c r="CO144" i="1"/>
  <c r="CB156" i="1"/>
  <c r="CU156" i="1"/>
  <c r="CE3" i="1"/>
  <c r="BU74" i="1"/>
  <c r="CO74" i="1"/>
  <c r="D74" i="1"/>
  <c r="EG122" i="1"/>
  <c r="DZ122" i="1" s="1"/>
  <c r="BL122" i="1" s="1"/>
  <c r="CO182" i="1"/>
  <c r="DK14" i="1"/>
  <c r="DQ14" i="1" s="1"/>
  <c r="DO14" i="1"/>
  <c r="DI14" i="1"/>
  <c r="DP14" i="1" s="1"/>
  <c r="CU180" i="1"/>
  <c r="CB180" i="1"/>
  <c r="EL3" i="1"/>
  <c r="EE4" i="1"/>
  <c r="DX4" i="1" s="1"/>
  <c r="BJ4" i="1" s="1"/>
  <c r="EJ37" i="1"/>
  <c r="EC37" i="1" s="1"/>
  <c r="BO37" i="1" s="1"/>
  <c r="EE100" i="1"/>
  <c r="DX100" i="1" s="1"/>
  <c r="BJ100" i="1" s="1"/>
  <c r="EG28" i="1"/>
  <c r="DZ28" i="1" s="1"/>
  <c r="BL28" i="1" s="1"/>
  <c r="EH88" i="1"/>
  <c r="EA88" i="1" s="1"/>
  <c r="BM88" i="1" s="1"/>
  <c r="EI89" i="1"/>
  <c r="EB89" i="1" s="1"/>
  <c r="BN89" i="1" s="1"/>
  <c r="DH28" i="1"/>
  <c r="DN28" i="1"/>
  <c r="DJ28" i="1"/>
  <c r="EE173" i="1"/>
  <c r="DX173" i="1" s="1"/>
  <c r="BJ173" i="1" s="1"/>
  <c r="DK18" i="1"/>
  <c r="DO18" i="1"/>
  <c r="DI18" i="1"/>
  <c r="DU176" i="1"/>
  <c r="DK176" i="1"/>
  <c r="DI176" i="1"/>
  <c r="DO176" i="1"/>
  <c r="EH10" i="1"/>
  <c r="EA10" i="1" s="1"/>
  <c r="BM10" i="1" s="1"/>
  <c r="BZ76" i="1"/>
  <c r="CS76" i="1"/>
  <c r="BA3" i="1"/>
  <c r="CQ4" i="1"/>
  <c r="DT4" i="1"/>
  <c r="BH4" i="1"/>
  <c r="CK175" i="1"/>
  <c r="EF160" i="1"/>
  <c r="DY160" i="1" s="1"/>
  <c r="BK160" i="1" s="1"/>
  <c r="BQ160" i="1" s="1"/>
  <c r="CW160" i="1" s="1"/>
  <c r="DK74" i="1"/>
  <c r="DO74" i="1"/>
  <c r="DI74" i="1"/>
  <c r="DU74" i="1"/>
  <c r="DU35" i="1"/>
  <c r="EG95" i="1"/>
  <c r="DZ95" i="1" s="1"/>
  <c r="BL95" i="1" s="1"/>
  <c r="EF23" i="1"/>
  <c r="DY23" i="1" s="1"/>
  <c r="BK23" i="1" s="1"/>
  <c r="CQ185" i="1"/>
  <c r="DN185" i="1"/>
  <c r="DV185" i="1" s="1"/>
  <c r="DT185" i="1"/>
  <c r="DJ185" i="1"/>
  <c r="BH185" i="1"/>
  <c r="BI186" i="1" s="1"/>
  <c r="DH185" i="1"/>
  <c r="EH98" i="1"/>
  <c r="EA98" i="1" s="1"/>
  <c r="BM98" i="1" s="1"/>
  <c r="CI3" i="1"/>
  <c r="EE47" i="1"/>
  <c r="DX47" i="1" s="1"/>
  <c r="BJ47" i="1" s="1"/>
  <c r="DU8" i="1"/>
  <c r="DU38" i="1"/>
  <c r="CO170" i="1"/>
  <c r="EF75" i="1"/>
  <c r="DY75" i="1" s="1"/>
  <c r="BK75" i="1" s="1"/>
  <c r="DJ179" i="1"/>
  <c r="DN179" i="1"/>
  <c r="DH179" i="1"/>
  <c r="CQ179" i="1"/>
  <c r="BH179" i="1"/>
  <c r="BX179" i="1"/>
  <c r="DT179" i="1"/>
  <c r="EI34" i="1"/>
  <c r="EB34" i="1" s="1"/>
  <c r="BN34" i="1" s="1"/>
  <c r="CM36" i="1"/>
  <c r="C36" i="1"/>
  <c r="C18" i="1"/>
  <c r="CM18" i="1"/>
  <c r="EJ26" i="1"/>
  <c r="EC26" i="1" s="1"/>
  <c r="BO26" i="1" s="1"/>
  <c r="CB177" i="1"/>
  <c r="CU177" i="1"/>
  <c r="CB154" i="1"/>
  <c r="CU154" i="1"/>
  <c r="CK180" i="1"/>
  <c r="CQ12" i="1"/>
  <c r="BH12" i="1"/>
  <c r="BI12" i="1" s="1"/>
  <c r="DT12" i="1"/>
  <c r="EJ22" i="1"/>
  <c r="EC22" i="1" s="1"/>
  <c r="BO22" i="1" s="1"/>
  <c r="EG107" i="1"/>
  <c r="DZ107" i="1" s="1"/>
  <c r="BL107" i="1" s="1"/>
  <c r="EI120" i="1"/>
  <c r="EB120" i="1" s="1"/>
  <c r="BN120" i="1" s="1"/>
  <c r="EJ32" i="1"/>
  <c r="EC32" i="1" s="1"/>
  <c r="BO32" i="1" s="1"/>
  <c r="EJ17" i="1"/>
  <c r="EC17" i="1" s="1"/>
  <c r="BO17" i="1" s="1"/>
  <c r="CS18" i="1"/>
  <c r="D5" i="1"/>
  <c r="CO5" i="1"/>
  <c r="CK153" i="1"/>
  <c r="CP153" i="1" s="1"/>
  <c r="EM136" i="1"/>
  <c r="EF145" i="1"/>
  <c r="DY145" i="1" s="1"/>
  <c r="BK145" i="1" s="1"/>
  <c r="EI119" i="1"/>
  <c r="EB119" i="1" s="1"/>
  <c r="BN119" i="1" s="1"/>
  <c r="DO61" i="1"/>
  <c r="DK61" i="1"/>
  <c r="DI61" i="1"/>
  <c r="DP61" i="1" s="1"/>
  <c r="DU61" i="1"/>
  <c r="DU14" i="1"/>
  <c r="CK189" i="1"/>
  <c r="CK138" i="1"/>
  <c r="EH85" i="1"/>
  <c r="EA85" i="1" s="1"/>
  <c r="BM85" i="1" s="1"/>
  <c r="EO84" i="1"/>
  <c r="EF98" i="1"/>
  <c r="DY98" i="1" s="1"/>
  <c r="BK98" i="1" s="1"/>
  <c r="EG17" i="1"/>
  <c r="DZ17" i="1" s="1"/>
  <c r="BL17" i="1" s="1"/>
  <c r="EE86" i="1"/>
  <c r="DX86" i="1" s="1"/>
  <c r="BJ86" i="1" s="1"/>
  <c r="CK185" i="1"/>
  <c r="DU26" i="1"/>
  <c r="EJ99" i="1"/>
  <c r="EC99" i="1" s="1"/>
  <c r="BO99" i="1" s="1"/>
  <c r="EH112" i="1"/>
  <c r="EA112" i="1" s="1"/>
  <c r="BM112" i="1" s="1"/>
  <c r="BH171" i="1"/>
  <c r="BI171" i="1" s="1"/>
  <c r="DH171" i="1"/>
  <c r="DN171" i="1"/>
  <c r="DV171" i="1" s="1"/>
  <c r="DT171" i="1"/>
  <c r="DJ171" i="1"/>
  <c r="CQ171" i="1"/>
  <c r="CD44" i="1"/>
  <c r="CS23" i="1"/>
  <c r="CU5" i="1"/>
  <c r="CU73" i="1"/>
  <c r="CB73" i="1"/>
  <c r="CO19" i="1"/>
  <c r="D19" i="1"/>
  <c r="DK146" i="1"/>
  <c r="DO146" i="1"/>
  <c r="DU146" i="1"/>
  <c r="DI146" i="1"/>
  <c r="EE95" i="1"/>
  <c r="DX95" i="1" s="1"/>
  <c r="BJ95" i="1" s="1"/>
  <c r="EE46" i="1"/>
  <c r="DX46" i="1" s="1"/>
  <c r="BJ46" i="1" s="1"/>
  <c r="EF116" i="1"/>
  <c r="DY116" i="1" s="1"/>
  <c r="BK116" i="1" s="1"/>
  <c r="CI136" i="1"/>
  <c r="EE36" i="1"/>
  <c r="DX36" i="1" s="1"/>
  <c r="BJ36" i="1" s="1"/>
  <c r="BX36" i="1" s="1"/>
  <c r="CK151" i="1"/>
  <c r="CM58" i="1"/>
  <c r="DH144" i="1"/>
  <c r="DL144" i="1" s="1"/>
  <c r="BX144" i="1"/>
  <c r="DN144" i="1"/>
  <c r="BH144" i="1"/>
  <c r="DJ144" i="1"/>
  <c r="DT144" i="1"/>
  <c r="CQ144" i="1"/>
  <c r="DK37" i="1"/>
  <c r="DO37" i="1"/>
  <c r="DI37" i="1"/>
  <c r="EE158" i="1"/>
  <c r="DX158" i="1" s="1"/>
  <c r="BJ158" i="1" s="1"/>
  <c r="EJ31" i="1"/>
  <c r="EC31" i="1" s="1"/>
  <c r="BO31" i="1" s="1"/>
  <c r="BZ180" i="1"/>
  <c r="CS180" i="1"/>
  <c r="DT16" i="1"/>
  <c r="CQ16" i="1"/>
  <c r="BH16" i="1"/>
  <c r="CM149" i="1"/>
  <c r="DK22" i="1"/>
  <c r="DI22" i="1"/>
  <c r="DO22" i="1"/>
  <c r="EJ23" i="1"/>
  <c r="EC23" i="1" s="1"/>
  <c r="BO23" i="1" s="1"/>
  <c r="EF111" i="1"/>
  <c r="DY111" i="1" s="1"/>
  <c r="BK111" i="1" s="1"/>
  <c r="EH32" i="1"/>
  <c r="EA32" i="1" s="1"/>
  <c r="BM32" i="1" s="1"/>
  <c r="CK149" i="1"/>
  <c r="EJ97" i="1"/>
  <c r="EC97" i="1" s="1"/>
  <c r="BO97" i="1" s="1"/>
  <c r="CM143" i="1"/>
  <c r="CO184" i="1"/>
  <c r="EE120" i="1"/>
  <c r="DX120" i="1" s="1"/>
  <c r="BJ120" i="1" s="1"/>
  <c r="EH13" i="1"/>
  <c r="EA13" i="1" s="1"/>
  <c r="BM13" i="1" s="1"/>
  <c r="CK174" i="1"/>
  <c r="CM32" i="1"/>
  <c r="C32" i="1"/>
  <c r="EG31" i="1"/>
  <c r="DZ31" i="1" s="1"/>
  <c r="BL31" i="1" s="1"/>
  <c r="EF89" i="1"/>
  <c r="DY89" i="1" s="1"/>
  <c r="BK89" i="1" s="1"/>
  <c r="EG94" i="1"/>
  <c r="DZ94" i="1" s="1"/>
  <c r="BL94" i="1" s="1"/>
  <c r="CU30" i="1"/>
  <c r="EH9" i="1"/>
  <c r="EA9" i="1" s="1"/>
  <c r="BM9" i="1" s="1"/>
  <c r="EE24" i="1"/>
  <c r="DX24" i="1" s="1"/>
  <c r="BJ24" i="1" s="1"/>
  <c r="BQ24" i="1" s="1"/>
  <c r="EE79" i="1"/>
  <c r="DX79" i="1" s="1"/>
  <c r="BJ79" i="1" s="1"/>
  <c r="AY71" i="1"/>
  <c r="CK71" i="1"/>
  <c r="B71" i="1"/>
  <c r="D10" i="1"/>
  <c r="CO10" i="1"/>
  <c r="EF124" i="1"/>
  <c r="DY124" i="1" s="1"/>
  <c r="BK124" i="1" s="1"/>
  <c r="EF12" i="1"/>
  <c r="DY12" i="1" s="1"/>
  <c r="BK12" i="1" s="1"/>
  <c r="EI113" i="1"/>
  <c r="EB113" i="1" s="1"/>
  <c r="BN113" i="1" s="1"/>
  <c r="CO150" i="1"/>
  <c r="CH44" i="1"/>
  <c r="CS73" i="1"/>
  <c r="BZ73" i="1"/>
  <c r="CO166" i="1"/>
  <c r="CQ45" i="1"/>
  <c r="BH45" i="1"/>
  <c r="DJ45" i="1"/>
  <c r="DN45" i="1"/>
  <c r="DT45" i="1"/>
  <c r="BA44" i="1"/>
  <c r="DH45" i="1"/>
  <c r="EE118" i="1"/>
  <c r="DX118" i="1" s="1"/>
  <c r="BJ118" i="1" s="1"/>
  <c r="DR118" i="1" s="1"/>
  <c r="EF77" i="1"/>
  <c r="DY77" i="1" s="1"/>
  <c r="BK77" i="1" s="1"/>
  <c r="CK141" i="1"/>
  <c r="AY57" i="1"/>
  <c r="B57" i="1"/>
  <c r="CK57" i="1"/>
  <c r="EF93" i="1"/>
  <c r="DY93" i="1" s="1"/>
  <c r="BK93" i="1" s="1"/>
  <c r="D47" i="1"/>
  <c r="CO47" i="1"/>
  <c r="BU47" i="1"/>
  <c r="CM166" i="1"/>
  <c r="EF57" i="1"/>
  <c r="DY57" i="1" s="1"/>
  <c r="BK57" i="1" s="1"/>
  <c r="DJ182" i="1"/>
  <c r="CQ182" i="1"/>
  <c r="DH182" i="1"/>
  <c r="DP182" i="1" s="1"/>
  <c r="DT182" i="1"/>
  <c r="BH182" i="1"/>
  <c r="BI182" i="1" s="1"/>
  <c r="DN182" i="1"/>
  <c r="DV182" i="1" s="1"/>
  <c r="BX182" i="1"/>
  <c r="EF91" i="1"/>
  <c r="DY91" i="1" s="1"/>
  <c r="BK91" i="1" s="1"/>
  <c r="EG35" i="1"/>
  <c r="DZ35" i="1" s="1"/>
  <c r="BL35" i="1" s="1"/>
  <c r="DU180" i="1"/>
  <c r="DK180" i="1"/>
  <c r="DI180" i="1"/>
  <c r="DO180" i="1"/>
  <c r="C25" i="1"/>
  <c r="CM25" i="1"/>
  <c r="EH24" i="1"/>
  <c r="EA24" i="1" s="1"/>
  <c r="BM24" i="1" s="1"/>
  <c r="D35" i="1"/>
  <c r="CO35" i="1"/>
  <c r="CM175" i="1"/>
  <c r="CU178" i="1"/>
  <c r="CB178" i="1"/>
  <c r="BX142" i="1"/>
  <c r="CQ142" i="1"/>
  <c r="DN142" i="1"/>
  <c r="DT142" i="1"/>
  <c r="DH142" i="1"/>
  <c r="BH142" i="1"/>
  <c r="DJ142" i="1"/>
  <c r="C7" i="1"/>
  <c r="CM7" i="1"/>
  <c r="CM27" i="1"/>
  <c r="C27" i="1"/>
  <c r="CO8" i="1"/>
  <c r="D8" i="1"/>
  <c r="CU36" i="1"/>
  <c r="EG114" i="1"/>
  <c r="DZ114" i="1" s="1"/>
  <c r="BL114" i="1" s="1"/>
  <c r="EF104" i="1"/>
  <c r="DY104" i="1" s="1"/>
  <c r="BK104" i="1" s="1"/>
  <c r="EJ115" i="1"/>
  <c r="EC115" i="1" s="1"/>
  <c r="BO115" i="1" s="1"/>
  <c r="DJ155" i="1"/>
  <c r="DH155" i="1"/>
  <c r="DN155" i="1"/>
  <c r="DT155" i="1"/>
  <c r="BH155" i="1"/>
  <c r="CQ155" i="1"/>
  <c r="EG19" i="1"/>
  <c r="DZ19" i="1" s="1"/>
  <c r="BL19" i="1" s="1"/>
  <c r="EF172" i="1"/>
  <c r="DY172" i="1" s="1"/>
  <c r="BK172" i="1" s="1"/>
  <c r="EJ95" i="1"/>
  <c r="EC95" i="1" s="1"/>
  <c r="BO95" i="1" s="1"/>
  <c r="BZ70" i="1"/>
  <c r="CA70" i="1" s="1"/>
  <c r="CS70" i="1"/>
  <c r="EI108" i="1"/>
  <c r="EB108" i="1" s="1"/>
  <c r="BN108" i="1" s="1"/>
  <c r="EE25" i="1"/>
  <c r="DX25" i="1" s="1"/>
  <c r="BJ25" i="1" s="1"/>
  <c r="CQ36" i="1"/>
  <c r="DT36" i="1"/>
  <c r="BH36" i="1"/>
  <c r="CM5" i="1"/>
  <c r="C5" i="1"/>
  <c r="CU32" i="1"/>
  <c r="CO22" i="1"/>
  <c r="D22" i="1"/>
  <c r="EG98" i="1"/>
  <c r="DZ98" i="1" s="1"/>
  <c r="BL98" i="1" s="1"/>
  <c r="DO9" i="1"/>
  <c r="DW9" i="1" s="1"/>
  <c r="DK9" i="1"/>
  <c r="DI9" i="1"/>
  <c r="DL9" i="1" s="1"/>
  <c r="CM171" i="1"/>
  <c r="EI5" i="1"/>
  <c r="EB5" i="1" s="1"/>
  <c r="BN5" i="1" s="1"/>
  <c r="CS74" i="1"/>
  <c r="BZ74" i="1"/>
  <c r="EF173" i="1"/>
  <c r="DY173" i="1" s="1"/>
  <c r="BK173" i="1" s="1"/>
  <c r="CG136" i="1"/>
  <c r="EP84" i="1"/>
  <c r="EI85" i="1"/>
  <c r="EB85" i="1" s="1"/>
  <c r="BN85" i="1" s="1"/>
  <c r="EE17" i="1"/>
  <c r="DX17" i="1" s="1"/>
  <c r="BJ17" i="1" s="1"/>
  <c r="CB79" i="1"/>
  <c r="CU79" i="1"/>
  <c r="EI28" i="1"/>
  <c r="EB28" i="1" s="1"/>
  <c r="BN28" i="1" s="1"/>
  <c r="EF20" i="1"/>
  <c r="DY20" i="1" s="1"/>
  <c r="BK20" i="1" s="1"/>
  <c r="EG15" i="1"/>
  <c r="DZ15" i="1" s="1"/>
  <c r="BL15" i="1" s="1"/>
  <c r="DO35" i="1"/>
  <c r="DI35" i="1"/>
  <c r="DK35" i="1"/>
  <c r="D60" i="1"/>
  <c r="BU60" i="1"/>
  <c r="CO60" i="1"/>
  <c r="CS75" i="1"/>
  <c r="BZ75" i="1"/>
  <c r="BH147" i="1"/>
  <c r="CQ147" i="1"/>
  <c r="DH147" i="1"/>
  <c r="DT147" i="1"/>
  <c r="DN147" i="1"/>
  <c r="EF119" i="1"/>
  <c r="DY119" i="1" s="1"/>
  <c r="BK119" i="1" s="1"/>
  <c r="CS57" i="1"/>
  <c r="BZ57" i="1"/>
  <c r="CA57" i="1" s="1"/>
  <c r="CS166" i="1"/>
  <c r="BZ166" i="1"/>
  <c r="EG100" i="1"/>
  <c r="DZ100" i="1" s="1"/>
  <c r="BL100" i="1" s="1"/>
  <c r="DN5" i="1"/>
  <c r="DV5" i="1" s="1"/>
  <c r="DJ5" i="1"/>
  <c r="DH5" i="1"/>
  <c r="DL5" i="1" s="1"/>
  <c r="CF3" i="1"/>
  <c r="CS12" i="1"/>
  <c r="EG124" i="1"/>
  <c r="DZ124" i="1" s="1"/>
  <c r="BL124" i="1" s="1"/>
  <c r="EH121" i="1"/>
  <c r="EA121" i="1" s="1"/>
  <c r="BM121" i="1" s="1"/>
  <c r="CU142" i="1"/>
  <c r="CB142" i="1"/>
  <c r="EH25" i="1"/>
  <c r="EA25" i="1" s="1"/>
  <c r="BM25" i="1" s="1"/>
  <c r="DO63" i="1"/>
  <c r="DK63" i="1"/>
  <c r="DI63" i="1"/>
  <c r="DU63" i="1"/>
  <c r="EJ122" i="1"/>
  <c r="EC122" i="1" s="1"/>
  <c r="BO122" i="1" s="1"/>
  <c r="CD136" i="1"/>
  <c r="CK154" i="1"/>
  <c r="CU35" i="1"/>
  <c r="EE130" i="1"/>
  <c r="DX130" i="1" s="1"/>
  <c r="BJ130" i="1" s="1"/>
  <c r="EJ9" i="1"/>
  <c r="EC9" i="1" s="1"/>
  <c r="BO9" i="1" s="1"/>
  <c r="CO137" i="1"/>
  <c r="EG112" i="1"/>
  <c r="DZ112" i="1" s="1"/>
  <c r="BL112" i="1" s="1"/>
  <c r="EJ103" i="1"/>
  <c r="EC103" i="1" s="1"/>
  <c r="BO103" i="1" s="1"/>
  <c r="CB103" i="1" s="1"/>
  <c r="CU74" i="1"/>
  <c r="CB74" i="1"/>
  <c r="EF103" i="1"/>
  <c r="DY103" i="1" s="1"/>
  <c r="BK103" i="1" s="1"/>
  <c r="BS61" i="1"/>
  <c r="CM61" i="1"/>
  <c r="C61" i="1"/>
  <c r="EH7" i="1"/>
  <c r="EA7" i="1" s="1"/>
  <c r="BM7" i="1" s="1"/>
  <c r="BH35" i="1"/>
  <c r="DT35" i="1"/>
  <c r="CQ35" i="1"/>
  <c r="BH19" i="1"/>
  <c r="CQ19" i="1"/>
  <c r="DT19" i="1"/>
  <c r="EI104" i="1"/>
  <c r="EB104" i="1" s="1"/>
  <c r="BN104" i="1" s="1"/>
  <c r="EG18" i="1"/>
  <c r="DZ18" i="1" s="1"/>
  <c r="BL18" i="1" s="1"/>
  <c r="BH17" i="1"/>
  <c r="DT17" i="1"/>
  <c r="CQ17" i="1"/>
  <c r="EE87" i="1"/>
  <c r="DX87" i="1" s="1"/>
  <c r="BJ87" i="1" s="1"/>
  <c r="CQ22" i="1"/>
  <c r="DT22" i="1"/>
  <c r="BH22" i="1"/>
  <c r="BI23" i="1" s="1"/>
  <c r="CS164" i="1"/>
  <c r="BZ164" i="1"/>
  <c r="CA164" i="1" s="1"/>
  <c r="CB179" i="1"/>
  <c r="CU179" i="1"/>
  <c r="EG116" i="1"/>
  <c r="DZ116" i="1" s="1"/>
  <c r="BL116" i="1" s="1"/>
  <c r="CU7" i="1"/>
  <c r="EJ114" i="1"/>
  <c r="EC114" i="1" s="1"/>
  <c r="BO114" i="1" s="1"/>
  <c r="EG128" i="1"/>
  <c r="DZ128" i="1" s="1"/>
  <c r="BL128" i="1" s="1"/>
  <c r="EH21" i="1"/>
  <c r="EA21" i="1" s="1"/>
  <c r="BM21" i="1" s="1"/>
  <c r="EG87" i="1"/>
  <c r="DZ87" i="1" s="1"/>
  <c r="BL87" i="1" s="1"/>
  <c r="EJ28" i="1"/>
  <c r="EC28" i="1" s="1"/>
  <c r="BO28" i="1" s="1"/>
  <c r="AY35" i="1"/>
  <c r="B35" i="1"/>
  <c r="CK35" i="1"/>
  <c r="CO183" i="1"/>
  <c r="CG3" i="1"/>
  <c r="CB146" i="1"/>
  <c r="CU146" i="1"/>
  <c r="CS145" i="1"/>
  <c r="BZ145" i="1"/>
  <c r="EF63" i="1"/>
  <c r="DY63" i="1" s="1"/>
  <c r="BK63" i="1" s="1"/>
  <c r="CM11" i="1"/>
  <c r="C11" i="1"/>
  <c r="CS181" i="1"/>
  <c r="BZ181" i="1"/>
  <c r="CM21" i="1"/>
  <c r="C21" i="1"/>
  <c r="DJ184" i="1"/>
  <c r="BX184" i="1"/>
  <c r="DT184" i="1"/>
  <c r="BH184" i="1"/>
  <c r="CQ184" i="1"/>
  <c r="DH184" i="1"/>
  <c r="DN184" i="1"/>
  <c r="DV184" i="1" s="1"/>
  <c r="D29" i="1"/>
  <c r="CO29" i="1"/>
  <c r="C62" i="1"/>
  <c r="BS62" i="1"/>
  <c r="BT63" i="1" s="1"/>
  <c r="CM62" i="1"/>
  <c r="CM154" i="1"/>
  <c r="CF136" i="1"/>
  <c r="EI91" i="1"/>
  <c r="EB91" i="1" s="1"/>
  <c r="BN91" i="1" s="1"/>
  <c r="EF76" i="1"/>
  <c r="DY76" i="1" s="1"/>
  <c r="BK76" i="1" s="1"/>
  <c r="EF110" i="1"/>
  <c r="DY110" i="1" s="1"/>
  <c r="BK110" i="1" s="1"/>
  <c r="EF95" i="1"/>
  <c r="DY95" i="1" s="1"/>
  <c r="BK95" i="1" s="1"/>
  <c r="BQ95" i="1" s="1"/>
  <c r="B34" i="1"/>
  <c r="AY34" i="1"/>
  <c r="CK34" i="1"/>
  <c r="D27" i="1"/>
  <c r="CO27" i="1"/>
  <c r="EE147" i="1"/>
  <c r="DX147" i="1" s="1"/>
  <c r="BJ147" i="1" s="1"/>
  <c r="CS20" i="1"/>
  <c r="CO139" i="1"/>
  <c r="EH6" i="1"/>
  <c r="EA6" i="1" s="1"/>
  <c r="BM6" i="1" s="1"/>
  <c r="D15" i="1"/>
  <c r="CO15" i="1"/>
  <c r="EE57" i="1"/>
  <c r="DX57" i="1" s="1"/>
  <c r="BJ57" i="1" s="1"/>
  <c r="CE44" i="1"/>
  <c r="AY78" i="1"/>
  <c r="B78" i="1"/>
  <c r="CK78" i="1"/>
  <c r="AY7" i="1"/>
  <c r="CK7" i="1"/>
  <c r="B7" i="1"/>
  <c r="EE127" i="1"/>
  <c r="DX127" i="1" s="1"/>
  <c r="BJ127" i="1" s="1"/>
  <c r="C138" i="1"/>
  <c r="E138" i="1" s="1"/>
  <c r="CM138" i="1"/>
  <c r="BS138" i="1"/>
  <c r="AY138" i="1"/>
  <c r="DN32" i="1"/>
  <c r="DV32" i="1" s="1"/>
  <c r="DJ32" i="1"/>
  <c r="DH32" i="1"/>
  <c r="CM159" i="1"/>
  <c r="EF186" i="1"/>
  <c r="DY186" i="1" s="1"/>
  <c r="BK186" i="1" s="1"/>
  <c r="EG8" i="1"/>
  <c r="DZ8" i="1" s="1"/>
  <c r="BL8" i="1" s="1"/>
  <c r="CK159" i="1"/>
  <c r="CM74" i="1"/>
  <c r="C74" i="1"/>
  <c r="BS74" i="1"/>
  <c r="B85" i="1"/>
  <c r="E85" i="1" s="1"/>
  <c r="AS84" i="1"/>
  <c r="CK85" i="1"/>
  <c r="CK84" i="1" s="1"/>
  <c r="CK132" i="1" s="1"/>
  <c r="CJ132" i="1" s="1"/>
  <c r="AY85" i="1"/>
  <c r="AY84" i="1" s="1"/>
  <c r="C29" i="1"/>
  <c r="CM29" i="1"/>
  <c r="EF6" i="1"/>
  <c r="DY6" i="1" s="1"/>
  <c r="BK6" i="1" s="1"/>
  <c r="EJ119" i="1"/>
  <c r="EC119" i="1" s="1"/>
  <c r="BO119" i="1" s="1"/>
  <c r="EJ117" i="1"/>
  <c r="EC117" i="1" s="1"/>
  <c r="BO117" i="1" s="1"/>
  <c r="DI187" i="1"/>
  <c r="DO187" i="1"/>
  <c r="DU187" i="1"/>
  <c r="DK187" i="1"/>
  <c r="DI188" i="1"/>
  <c r="DU188" i="1"/>
  <c r="DK188" i="1"/>
  <c r="DO188" i="1"/>
  <c r="DI184" i="1"/>
  <c r="DP184" i="1" s="1"/>
  <c r="DK184" i="1"/>
  <c r="DU184" i="1"/>
  <c r="DO184" i="1"/>
  <c r="EG121" i="1"/>
  <c r="DZ121" i="1" s="1"/>
  <c r="BL121" i="1" s="1"/>
  <c r="EI90" i="1"/>
  <c r="EB90" i="1" s="1"/>
  <c r="BN90" i="1" s="1"/>
  <c r="BU71" i="1"/>
  <c r="D71" i="1"/>
  <c r="CO71" i="1"/>
  <c r="DN48" i="1"/>
  <c r="DT48" i="1"/>
  <c r="CQ48" i="1"/>
  <c r="DJ48" i="1"/>
  <c r="BH48" i="1"/>
  <c r="BI49" i="1" s="1"/>
  <c r="DH48" i="1"/>
  <c r="EI38" i="1"/>
  <c r="EB38" i="1" s="1"/>
  <c r="BN38" i="1" s="1"/>
  <c r="BZ143" i="1"/>
  <c r="CS143" i="1"/>
  <c r="DU32" i="1"/>
  <c r="EJ85" i="1"/>
  <c r="EC85" i="1" s="1"/>
  <c r="BO85" i="1" s="1"/>
  <c r="EQ84" i="1"/>
  <c r="EI17" i="1"/>
  <c r="EB17" i="1" s="1"/>
  <c r="BN17" i="1" s="1"/>
  <c r="DU30" i="1"/>
  <c r="EI127" i="1"/>
  <c r="EB127" i="1" s="1"/>
  <c r="BN127" i="1" s="1"/>
  <c r="B13" i="1"/>
  <c r="CK13" i="1"/>
  <c r="AY13" i="1"/>
  <c r="EJ18" i="1"/>
  <c r="EC18" i="1" s="1"/>
  <c r="BO18" i="1" s="1"/>
  <c r="EE5" i="1"/>
  <c r="DX5" i="1" s="1"/>
  <c r="BJ5" i="1" s="1"/>
  <c r="DI7" i="1"/>
  <c r="DB3" i="1"/>
  <c r="DO7" i="1"/>
  <c r="DW7" i="1" s="1"/>
  <c r="DK7" i="1"/>
  <c r="DN62" i="1"/>
  <c r="DT62" i="1"/>
  <c r="CQ62" i="1"/>
  <c r="DH62" i="1"/>
  <c r="BH62" i="1"/>
  <c r="EI24" i="1"/>
  <c r="EB24" i="1" s="1"/>
  <c r="BN24" i="1" s="1"/>
  <c r="EJ91" i="1"/>
  <c r="EC91" i="1" s="1"/>
  <c r="BO91" i="1" s="1"/>
  <c r="EG29" i="1"/>
  <c r="DZ29" i="1" s="1"/>
  <c r="BL29" i="1" s="1"/>
  <c r="EF128" i="1"/>
  <c r="DY128" i="1" s="1"/>
  <c r="BK128" i="1" s="1"/>
  <c r="CB72" i="1"/>
  <c r="CU72" i="1"/>
  <c r="DI71" i="1"/>
  <c r="DU71" i="1"/>
  <c r="DO71" i="1"/>
  <c r="DK71" i="1"/>
  <c r="DI30" i="1"/>
  <c r="DK30" i="1"/>
  <c r="DO30" i="1"/>
  <c r="EE45" i="1"/>
  <c r="DX45" i="1" s="1"/>
  <c r="BJ45" i="1" s="1"/>
  <c r="EL44" i="1"/>
  <c r="CS176" i="1"/>
  <c r="BZ176" i="1"/>
  <c r="CU28" i="1"/>
  <c r="EH27" i="1"/>
  <c r="EA27" i="1" s="1"/>
  <c r="BM27" i="1" s="1"/>
  <c r="EE151" i="1"/>
  <c r="DX151" i="1" s="1"/>
  <c r="BJ151" i="1" s="1"/>
  <c r="BQ151" i="1" s="1"/>
  <c r="DO11" i="1"/>
  <c r="DI11" i="1"/>
  <c r="DL11" i="1" s="1"/>
  <c r="DK11" i="1"/>
  <c r="EI25" i="1"/>
  <c r="EB25" i="1" s="1"/>
  <c r="BN25" i="1" s="1"/>
  <c r="EE88" i="1"/>
  <c r="DX88" i="1" s="1"/>
  <c r="BJ88" i="1" s="1"/>
  <c r="BZ188" i="1"/>
  <c r="CS188" i="1"/>
  <c r="CK177" i="1"/>
  <c r="CU31" i="1"/>
  <c r="BZ162" i="1"/>
  <c r="CS162" i="1"/>
  <c r="DC3" i="1"/>
  <c r="EF127" i="1"/>
  <c r="DY127" i="1" s="1"/>
  <c r="BK127" i="1" s="1"/>
  <c r="EF32" i="1"/>
  <c r="DY32" i="1" s="1"/>
  <c r="BK32" i="1" s="1"/>
  <c r="EE169" i="1"/>
  <c r="DX169" i="1" s="1"/>
  <c r="BJ169" i="1" s="1"/>
  <c r="EJ12" i="1"/>
  <c r="EC12" i="1" s="1"/>
  <c r="BO12" i="1" s="1"/>
  <c r="BH151" i="1"/>
  <c r="DH151" i="1"/>
  <c r="DN151" i="1"/>
  <c r="CQ151" i="1"/>
  <c r="DT151" i="1"/>
  <c r="EI27" i="1"/>
  <c r="EB27" i="1" s="1"/>
  <c r="BN27" i="1" s="1"/>
  <c r="CK137" i="1"/>
  <c r="EE155" i="1"/>
  <c r="DX155" i="1" s="1"/>
  <c r="BJ155" i="1" s="1"/>
  <c r="EH128" i="1"/>
  <c r="EA128" i="1" s="1"/>
  <c r="BM128" i="1" s="1"/>
  <c r="CM172" i="1"/>
  <c r="EG11" i="1"/>
  <c r="DZ11" i="1" s="1"/>
  <c r="BL11" i="1" s="1"/>
  <c r="DI181" i="1"/>
  <c r="DO181" i="1"/>
  <c r="DK181" i="1"/>
  <c r="DU181" i="1"/>
  <c r="EG108" i="1"/>
  <c r="DZ108" i="1" s="1"/>
  <c r="BL108" i="1" s="1"/>
  <c r="CO185" i="1"/>
  <c r="CM13" i="1"/>
  <c r="C13" i="1"/>
  <c r="EE102" i="1"/>
  <c r="DX102" i="1" s="1"/>
  <c r="BJ102" i="1" s="1"/>
  <c r="CK8" i="1"/>
  <c r="AY8" i="1"/>
  <c r="B8" i="1"/>
  <c r="CU144" i="1"/>
  <c r="CB144" i="1"/>
  <c r="EF112" i="1"/>
  <c r="DY112" i="1" s="1"/>
  <c r="BK112" i="1" s="1"/>
  <c r="CU59" i="1"/>
  <c r="CB59" i="1"/>
  <c r="CC59" i="1" s="1"/>
  <c r="EI12" i="1"/>
  <c r="EB12" i="1" s="1"/>
  <c r="BN12" i="1" s="1"/>
  <c r="B33" i="1"/>
  <c r="CK33" i="1"/>
  <c r="AY33" i="1"/>
  <c r="EG9" i="1"/>
  <c r="DZ9" i="1" s="1"/>
  <c r="BL9" i="1" s="1"/>
  <c r="EI20" i="1"/>
  <c r="EB20" i="1" s="1"/>
  <c r="BN20" i="1" s="1"/>
  <c r="DU23" i="1"/>
  <c r="DW23" i="1" s="1"/>
  <c r="CM78" i="1"/>
  <c r="BS78" i="1"/>
  <c r="C78" i="1"/>
  <c r="DO143" i="1"/>
  <c r="DU143" i="1"/>
  <c r="DK143" i="1"/>
  <c r="DI143" i="1"/>
  <c r="EH12" i="1"/>
  <c r="EA12" i="1" s="1"/>
  <c r="BM12" i="1" s="1"/>
  <c r="BS60" i="1"/>
  <c r="CM60" i="1"/>
  <c r="C60" i="1"/>
  <c r="EF8" i="1"/>
  <c r="DY8" i="1" s="1"/>
  <c r="BK8" i="1" s="1"/>
  <c r="EI126" i="1"/>
  <c r="EB126" i="1" s="1"/>
  <c r="BN126" i="1" s="1"/>
  <c r="EI33" i="1"/>
  <c r="EB33" i="1" s="1"/>
  <c r="BN33" i="1" s="1"/>
  <c r="DJ33" i="1"/>
  <c r="DN33" i="1"/>
  <c r="DH33" i="1"/>
  <c r="CS37" i="1"/>
  <c r="EG125" i="1"/>
  <c r="DZ125" i="1" s="1"/>
  <c r="BL125" i="1" s="1"/>
  <c r="EH113" i="1"/>
  <c r="EA113" i="1" s="1"/>
  <c r="BM113" i="1" s="1"/>
  <c r="BZ77" i="1"/>
  <c r="CS77" i="1"/>
  <c r="EJ111" i="1"/>
  <c r="EC111" i="1" s="1"/>
  <c r="BO111" i="1" s="1"/>
  <c r="EF147" i="1"/>
  <c r="DY147" i="1" s="1"/>
  <c r="BK147" i="1" s="1"/>
  <c r="CK148" i="1"/>
  <c r="EI99" i="1"/>
  <c r="EB99" i="1" s="1"/>
  <c r="BN99" i="1" s="1"/>
  <c r="EG99" i="1"/>
  <c r="DZ99" i="1" s="1"/>
  <c r="BL99" i="1" s="1"/>
  <c r="CU60" i="1"/>
  <c r="CB60" i="1"/>
  <c r="CC60" i="1" s="1"/>
  <c r="EJ11" i="1"/>
  <c r="EC11" i="1" s="1"/>
  <c r="BO11" i="1" s="1"/>
  <c r="CU9" i="1"/>
  <c r="CV9" i="1" s="1"/>
  <c r="EE119" i="1"/>
  <c r="DX119" i="1" s="1"/>
  <c r="BJ119" i="1" s="1"/>
  <c r="EH129" i="1"/>
  <c r="EA129" i="1" s="1"/>
  <c r="BM129" i="1" s="1"/>
  <c r="BH187" i="1"/>
  <c r="DT187" i="1"/>
  <c r="DN187" i="1"/>
  <c r="DV187" i="1" s="1"/>
  <c r="CQ187" i="1"/>
  <c r="DH187" i="1"/>
  <c r="EE61" i="1"/>
  <c r="DX61" i="1" s="1"/>
  <c r="BJ61" i="1" s="1"/>
  <c r="CS14" i="1"/>
  <c r="CH136" i="1"/>
  <c r="CO154" i="1"/>
  <c r="CK47" i="1"/>
  <c r="AY47" i="1"/>
  <c r="B47" i="1"/>
  <c r="EG10" i="1"/>
  <c r="DZ10" i="1" s="1"/>
  <c r="BL10" i="1" s="1"/>
  <c r="DT178" i="1"/>
  <c r="CQ178" i="1"/>
  <c r="DH178" i="1"/>
  <c r="BH178" i="1"/>
  <c r="BX178" i="1"/>
  <c r="DJ178" i="1"/>
  <c r="DN178" i="1"/>
  <c r="DV178" i="1" s="1"/>
  <c r="CM33" i="1"/>
  <c r="C33" i="1"/>
  <c r="DN148" i="1"/>
  <c r="CQ148" i="1"/>
  <c r="BH148" i="1"/>
  <c r="DT148" i="1"/>
  <c r="DH148" i="1"/>
  <c r="DF3" i="1"/>
  <c r="EE171" i="1"/>
  <c r="DX171" i="1" s="1"/>
  <c r="BJ171" i="1" s="1"/>
  <c r="CO176" i="1"/>
  <c r="EF152" i="1"/>
  <c r="DY152" i="1" s="1"/>
  <c r="BK152" i="1" s="1"/>
  <c r="CU45" i="1"/>
  <c r="CB45" i="1"/>
  <c r="BE44" i="1"/>
  <c r="EH109" i="1"/>
  <c r="EA109" i="1" s="1"/>
  <c r="BM109" i="1" s="1"/>
  <c r="CS61" i="1"/>
  <c r="BZ61" i="1"/>
  <c r="CA61" i="1" s="1"/>
  <c r="EH95" i="1"/>
  <c r="EA95" i="1" s="1"/>
  <c r="BM95" i="1" s="1"/>
  <c r="DI179" i="1"/>
  <c r="DL179" i="1" s="1"/>
  <c r="DK179" i="1"/>
  <c r="DU179" i="1"/>
  <c r="DO179" i="1"/>
  <c r="DH143" i="1"/>
  <c r="DN143" i="1"/>
  <c r="BH143" i="1"/>
  <c r="CQ143" i="1"/>
  <c r="DT143" i="1"/>
  <c r="BX143" i="1"/>
  <c r="CU6" i="1"/>
  <c r="CS33" i="1"/>
  <c r="EG109" i="1"/>
  <c r="DZ109" i="1" s="1"/>
  <c r="BL109" i="1" s="1"/>
  <c r="CK166" i="1"/>
  <c r="EE74" i="1"/>
  <c r="DX74" i="1" s="1"/>
  <c r="BJ74" i="1" s="1"/>
  <c r="CO72" i="1"/>
  <c r="D72" i="1"/>
  <c r="BU72" i="1"/>
  <c r="CS139" i="1"/>
  <c r="BZ139" i="1"/>
  <c r="CQ15" i="1"/>
  <c r="DT15" i="1"/>
  <c r="DV15" i="1" s="1"/>
  <c r="BH15" i="1"/>
  <c r="EH33" i="1"/>
  <c r="EA33" i="1" s="1"/>
  <c r="BM33" i="1" s="1"/>
  <c r="EE19" i="1"/>
  <c r="DX19" i="1" s="1"/>
  <c r="BJ19" i="1" s="1"/>
  <c r="EE93" i="1"/>
  <c r="DX93" i="1" s="1"/>
  <c r="BJ93" i="1" s="1"/>
  <c r="DR93" i="1" s="1"/>
  <c r="D70" i="1"/>
  <c r="CO70" i="1"/>
  <c r="BU70" i="1"/>
  <c r="EH86" i="1"/>
  <c r="EA86" i="1" s="1"/>
  <c r="BM86" i="1" s="1"/>
  <c r="EE13" i="1"/>
  <c r="DX13" i="1" s="1"/>
  <c r="BJ13" i="1" s="1"/>
  <c r="EH90" i="1"/>
  <c r="EA90" i="1" s="1"/>
  <c r="BM90" i="1" s="1"/>
  <c r="BE3" i="1"/>
  <c r="CU4" i="1"/>
  <c r="CB77" i="1"/>
  <c r="CU77" i="1"/>
  <c r="EE9" i="1"/>
  <c r="DX9" i="1" s="1"/>
  <c r="BJ9" i="1" s="1"/>
  <c r="EQ3" i="1"/>
  <c r="EJ4" i="1"/>
  <c r="EC4" i="1" s="1"/>
  <c r="BO4" i="1" s="1"/>
  <c r="EG13" i="1"/>
  <c r="DZ13" i="1" s="1"/>
  <c r="BL13" i="1" s="1"/>
  <c r="EI130" i="1"/>
  <c r="EB130" i="1" s="1"/>
  <c r="BN130" i="1" s="1"/>
  <c r="EF117" i="1"/>
  <c r="DY117" i="1" s="1"/>
  <c r="BK117" i="1" s="1"/>
  <c r="EE108" i="1"/>
  <c r="DX108" i="1" s="1"/>
  <c r="BJ108" i="1" s="1"/>
  <c r="EG21" i="1"/>
  <c r="DZ21" i="1" s="1"/>
  <c r="BL21" i="1" s="1"/>
  <c r="EJ125" i="1"/>
  <c r="EC125" i="1" s="1"/>
  <c r="BO125" i="1" s="1"/>
  <c r="EE78" i="1"/>
  <c r="DX78" i="1" s="1"/>
  <c r="BJ78" i="1" s="1"/>
  <c r="CM167" i="1"/>
  <c r="EG103" i="1"/>
  <c r="DZ103" i="1" s="1"/>
  <c r="BL103" i="1" s="1"/>
  <c r="DU156" i="1"/>
  <c r="DI156" i="1"/>
  <c r="DO156" i="1"/>
  <c r="DK156" i="1"/>
  <c r="CS32" i="1"/>
  <c r="CU37" i="1"/>
  <c r="CU186" i="1"/>
  <c r="CB186" i="1"/>
  <c r="EF48" i="1"/>
  <c r="DY48" i="1" s="1"/>
  <c r="BK48" i="1" s="1"/>
  <c r="BS46" i="1"/>
  <c r="C46" i="1"/>
  <c r="CM46" i="1"/>
  <c r="EI7" i="1"/>
  <c r="EB7" i="1" s="1"/>
  <c r="BN7" i="1" s="1"/>
  <c r="CM147" i="1"/>
  <c r="CM144" i="1"/>
  <c r="CB184" i="1"/>
  <c r="CU184" i="1"/>
  <c r="EJ123" i="1"/>
  <c r="EC123" i="1" s="1"/>
  <c r="BO123" i="1" s="1"/>
  <c r="DK164" i="1"/>
  <c r="DI164" i="1"/>
  <c r="DU164" i="1"/>
  <c r="BH164" i="1"/>
  <c r="BI164" i="1" s="1"/>
  <c r="CQ164" i="1"/>
  <c r="DO164" i="1"/>
  <c r="EH36" i="1"/>
  <c r="EA36" i="1" s="1"/>
  <c r="BM36" i="1" s="1"/>
  <c r="DU19" i="1"/>
  <c r="AY188" i="1"/>
  <c r="C188" i="1"/>
  <c r="E188" i="1" s="1"/>
  <c r="CM188" i="1"/>
  <c r="BS188" i="1"/>
  <c r="BT188" i="1" s="1"/>
  <c r="CM10" i="1"/>
  <c r="C10" i="1"/>
  <c r="CS22" i="1"/>
  <c r="CM186" i="1"/>
  <c r="DO77" i="1"/>
  <c r="DU77" i="1"/>
  <c r="DK77" i="1"/>
  <c r="DI77" i="1"/>
  <c r="DN22" i="1"/>
  <c r="DJ22" i="1"/>
  <c r="DH22" i="1"/>
  <c r="EF165" i="1"/>
  <c r="DY165" i="1" s="1"/>
  <c r="BK165" i="1" s="1"/>
  <c r="BQ165" i="1" s="1"/>
  <c r="CU61" i="1"/>
  <c r="CB61" i="1"/>
  <c r="CK178" i="1"/>
  <c r="CP178" i="1" s="1"/>
  <c r="BS137" i="1"/>
  <c r="CW137" i="1" s="1"/>
  <c r="AU136" i="1"/>
  <c r="C136" i="1" s="1"/>
  <c r="CM137" i="1"/>
  <c r="C137" i="1"/>
  <c r="E137" i="1" s="1"/>
  <c r="AY137" i="1"/>
  <c r="EH119" i="1"/>
  <c r="EA119" i="1" s="1"/>
  <c r="BM119" i="1" s="1"/>
  <c r="BZ156" i="1"/>
  <c r="CS156" i="1"/>
  <c r="D16" i="1"/>
  <c r="CO16" i="1"/>
  <c r="DU11" i="1"/>
  <c r="DU37" i="1"/>
  <c r="EH20" i="1"/>
  <c r="EA20" i="1" s="1"/>
  <c r="BM20" i="1" s="1"/>
  <c r="D33" i="1"/>
  <c r="CO33" i="1"/>
  <c r="EE124" i="1"/>
  <c r="DX124" i="1" s="1"/>
  <c r="BJ124" i="1" s="1"/>
  <c r="EI86" i="1"/>
  <c r="EB86" i="1" s="1"/>
  <c r="BN86" i="1" s="1"/>
  <c r="EH96" i="1"/>
  <c r="EA96" i="1" s="1"/>
  <c r="BM96" i="1" s="1"/>
  <c r="CK176" i="1"/>
  <c r="DO141" i="1"/>
  <c r="DW141" i="1" s="1"/>
  <c r="DU141" i="1"/>
  <c r="DK141" i="1"/>
  <c r="DI141" i="1"/>
  <c r="CS152" i="1"/>
  <c r="BZ152" i="1"/>
  <c r="CS175" i="1"/>
  <c r="BZ175" i="1"/>
  <c r="EF31" i="1"/>
  <c r="DY31" i="1" s="1"/>
  <c r="BK31" i="1" s="1"/>
  <c r="EE157" i="1"/>
  <c r="DX157" i="1" s="1"/>
  <c r="BJ157" i="1" s="1"/>
  <c r="EJ21" i="1"/>
  <c r="EC21" i="1" s="1"/>
  <c r="BO21" i="1" s="1"/>
  <c r="BZ148" i="1"/>
  <c r="CS148" i="1"/>
  <c r="EJ87" i="1"/>
  <c r="EC87" i="1" s="1"/>
  <c r="BO87" i="1" s="1"/>
  <c r="EE60" i="1"/>
  <c r="DX60" i="1" s="1"/>
  <c r="BJ60" i="1" s="1"/>
  <c r="BQ60" i="1" s="1"/>
  <c r="EE97" i="1"/>
  <c r="DX97" i="1" s="1"/>
  <c r="BJ97" i="1" s="1"/>
  <c r="EE27" i="1"/>
  <c r="DX27" i="1" s="1"/>
  <c r="BJ27" i="1" s="1"/>
  <c r="EG27" i="1"/>
  <c r="DZ27" i="1" s="1"/>
  <c r="BL27" i="1" s="1"/>
  <c r="DU155" i="1"/>
  <c r="DI155" i="1"/>
  <c r="DO155" i="1"/>
  <c r="DK155" i="1"/>
  <c r="BZ147" i="1"/>
  <c r="CS147" i="1"/>
  <c r="CK11" i="1"/>
  <c r="AY11" i="1"/>
  <c r="B11" i="1"/>
  <c r="EJ6" i="1"/>
  <c r="EC6" i="1" s="1"/>
  <c r="BO6" i="1" s="1"/>
  <c r="AX44" i="1"/>
  <c r="EF185" i="1"/>
  <c r="DY185" i="1" s="1"/>
  <c r="BK185" i="1" s="1"/>
  <c r="CM155" i="1"/>
  <c r="EG6" i="1"/>
  <c r="DZ6" i="1" s="1"/>
  <c r="BL6" i="1" s="1"/>
  <c r="CB157" i="1"/>
  <c r="CU157" i="1"/>
  <c r="EH15" i="1"/>
  <c r="EA15" i="1" s="1"/>
  <c r="BM15" i="1" s="1"/>
  <c r="CS159" i="1"/>
  <c r="BZ159" i="1"/>
  <c r="EG4" i="1"/>
  <c r="DZ4" i="1" s="1"/>
  <c r="BL4" i="1" s="1"/>
  <c r="EN3" i="1"/>
  <c r="CD3" i="1"/>
  <c r="EG110" i="1"/>
  <c r="DZ110" i="1" s="1"/>
  <c r="BL110" i="1" s="1"/>
  <c r="EJ36" i="1"/>
  <c r="EC36" i="1" s="1"/>
  <c r="BO36" i="1" s="1"/>
  <c r="B70" i="1"/>
  <c r="E70" i="1" s="1"/>
  <c r="AY70" i="1"/>
  <c r="CK70" i="1"/>
  <c r="CO76" i="1"/>
  <c r="D76" i="1"/>
  <c r="BU76" i="1"/>
  <c r="BZ47" i="1"/>
  <c r="CS47" i="1"/>
  <c r="EF156" i="1"/>
  <c r="DY156" i="1" s="1"/>
  <c r="BK156" i="1" s="1"/>
  <c r="DK153" i="1"/>
  <c r="DU153" i="1"/>
  <c r="DI153" i="1"/>
  <c r="DO153" i="1"/>
  <c r="EF58" i="1"/>
  <c r="DY58" i="1" s="1"/>
  <c r="BK58" i="1" s="1"/>
  <c r="CM182" i="1"/>
  <c r="CU182" i="1"/>
  <c r="CB182" i="1"/>
  <c r="CC182" i="1" s="1"/>
  <c r="EE94" i="1"/>
  <c r="DX94" i="1" s="1"/>
  <c r="BJ94" i="1" s="1"/>
  <c r="EE187" i="1"/>
  <c r="DX187" i="1" s="1"/>
  <c r="BJ187" i="1" s="1"/>
  <c r="CK36" i="1"/>
  <c r="B36" i="1"/>
  <c r="AY36" i="1"/>
  <c r="DU140" i="1"/>
  <c r="DI140" i="1"/>
  <c r="DO140" i="1"/>
  <c r="DW140" i="1" s="1"/>
  <c r="DK140" i="1"/>
  <c r="DU29" i="1"/>
  <c r="DI59" i="1"/>
  <c r="DU59" i="1"/>
  <c r="DO59" i="1"/>
  <c r="DK59" i="1"/>
  <c r="BX141" i="1"/>
  <c r="CQ141" i="1"/>
  <c r="DH141" i="1"/>
  <c r="DJ141" i="1"/>
  <c r="DT141" i="1"/>
  <c r="DN141" i="1"/>
  <c r="BH141" i="1"/>
  <c r="EJ121" i="1"/>
  <c r="EC121" i="1" s="1"/>
  <c r="BO121" i="1" s="1"/>
  <c r="EE18" i="1"/>
  <c r="DX18" i="1" s="1"/>
  <c r="BJ18" i="1" s="1"/>
  <c r="CO73" i="1"/>
  <c r="BU73" i="1"/>
  <c r="D73" i="1"/>
  <c r="EF188" i="1"/>
  <c r="DY188" i="1" s="1"/>
  <c r="BK188" i="1" s="1"/>
  <c r="EF45" i="1"/>
  <c r="DY45" i="1" s="1"/>
  <c r="BK45" i="1" s="1"/>
  <c r="EM44" i="1"/>
  <c r="EI19" i="1"/>
  <c r="EB19" i="1" s="1"/>
  <c r="BN19" i="1" s="1"/>
  <c r="C58" i="1"/>
  <c r="BS58" i="1"/>
  <c r="D36" i="1"/>
  <c r="CO36" i="1"/>
  <c r="EJ15" i="1"/>
  <c r="EC15" i="1" s="1"/>
  <c r="BO15" i="1" s="1"/>
  <c r="CS146" i="1"/>
  <c r="BZ146" i="1"/>
  <c r="EE113" i="1"/>
  <c r="DX113" i="1" s="1"/>
  <c r="BJ113" i="1" s="1"/>
  <c r="BH20" i="1"/>
  <c r="DT20" i="1"/>
  <c r="DV20" i="1" s="1"/>
  <c r="CQ20" i="1"/>
  <c r="CM77" i="1"/>
  <c r="C77" i="1"/>
  <c r="BS77" i="1"/>
  <c r="BZ165" i="1"/>
  <c r="CS165" i="1"/>
  <c r="EF109" i="1"/>
  <c r="DY109" i="1" s="1"/>
  <c r="BK109" i="1" s="1"/>
  <c r="BQ109" i="1" s="1"/>
  <c r="DN75" i="1"/>
  <c r="CQ75" i="1"/>
  <c r="DJ75" i="1"/>
  <c r="DT75" i="1"/>
  <c r="BH75" i="1"/>
  <c r="DH75" i="1"/>
  <c r="CM152" i="1"/>
  <c r="D63" i="1"/>
  <c r="BU63" i="1"/>
  <c r="CO63" i="1"/>
  <c r="DI60" i="1"/>
  <c r="DU60" i="1"/>
  <c r="DK60" i="1"/>
  <c r="DO60" i="1"/>
  <c r="DE3" i="1"/>
  <c r="CS150" i="1"/>
  <c r="BZ150" i="1"/>
  <c r="DN180" i="1"/>
  <c r="DV180" i="1" s="1"/>
  <c r="DJ180" i="1"/>
  <c r="DT180" i="1"/>
  <c r="BH180" i="1"/>
  <c r="BI181" i="1" s="1"/>
  <c r="DH180" i="1"/>
  <c r="CQ180" i="1"/>
  <c r="BX180" i="1"/>
  <c r="DU31" i="1"/>
  <c r="EG89" i="1"/>
  <c r="DZ89" i="1" s="1"/>
  <c r="BL89" i="1" s="1"/>
  <c r="DK48" i="1"/>
  <c r="DO48" i="1"/>
  <c r="DW48" i="1" s="1"/>
  <c r="DI48" i="1"/>
  <c r="DU48" i="1"/>
  <c r="EF64" i="1"/>
  <c r="DY64" i="1" s="1"/>
  <c r="BK64" i="1" s="1"/>
  <c r="EJ16" i="1"/>
  <c r="EC16" i="1" s="1"/>
  <c r="BO16" i="1" s="1"/>
  <c r="CS185" i="1"/>
  <c r="BZ185" i="1"/>
  <c r="EG97" i="1"/>
  <c r="DZ97" i="1" s="1"/>
  <c r="BL97" i="1" s="1"/>
  <c r="EG36" i="1"/>
  <c r="DZ36" i="1" s="1"/>
  <c r="BL36" i="1" s="1"/>
  <c r="DK173" i="1"/>
  <c r="DM173" i="1" s="1"/>
  <c r="DU173" i="1"/>
  <c r="DI173" i="1"/>
  <c r="DO173" i="1"/>
  <c r="DW173" i="1" s="1"/>
  <c r="DI75" i="1"/>
  <c r="DU75" i="1"/>
  <c r="DO75" i="1"/>
  <c r="DK75" i="1"/>
  <c r="EH92" i="1"/>
  <c r="EA92" i="1" s="1"/>
  <c r="BM92" i="1" s="1"/>
  <c r="CO61" i="1"/>
  <c r="BU61" i="1"/>
  <c r="D61" i="1"/>
  <c r="CK143" i="1"/>
  <c r="CK170" i="1"/>
  <c r="EE64" i="1"/>
  <c r="DX64" i="1" s="1"/>
  <c r="BJ64" i="1" s="1"/>
  <c r="EH117" i="1"/>
  <c r="EA117" i="1" s="1"/>
  <c r="BM117" i="1" s="1"/>
  <c r="BS117" i="1" s="1"/>
  <c r="DK152" i="1"/>
  <c r="DI152" i="1"/>
  <c r="DU152" i="1"/>
  <c r="DO152" i="1"/>
  <c r="EI106" i="1"/>
  <c r="EB106" i="1" s="1"/>
  <c r="BN106" i="1" s="1"/>
  <c r="EF10" i="1"/>
  <c r="DY10" i="1" s="1"/>
  <c r="BK10" i="1" s="1"/>
  <c r="EH14" i="1"/>
  <c r="EA14" i="1" s="1"/>
  <c r="BM14" i="1" s="1"/>
  <c r="EI117" i="1"/>
  <c r="EB117" i="1" s="1"/>
  <c r="BN117" i="1" s="1"/>
  <c r="CK158" i="1"/>
  <c r="CP158" i="1" s="1"/>
  <c r="CM139" i="1"/>
  <c r="CU158" i="1"/>
  <c r="CB158" i="1"/>
  <c r="EG111" i="1"/>
  <c r="DZ111" i="1" s="1"/>
  <c r="BL111" i="1" s="1"/>
  <c r="AU44" i="1"/>
  <c r="C45" i="1"/>
  <c r="BS45" i="1"/>
  <c r="CM45" i="1"/>
  <c r="CO156" i="1"/>
  <c r="DH152" i="1"/>
  <c r="DN152" i="1"/>
  <c r="CQ152" i="1"/>
  <c r="DT152" i="1"/>
  <c r="DJ152" i="1"/>
  <c r="BH152" i="1"/>
  <c r="EI97" i="1"/>
  <c r="EB97" i="1" s="1"/>
  <c r="BN97" i="1" s="1"/>
  <c r="EJ112" i="1"/>
  <c r="EC112" i="1" s="1"/>
  <c r="BO112" i="1" s="1"/>
  <c r="DT25" i="1"/>
  <c r="BH25" i="1"/>
  <c r="CQ25" i="1"/>
  <c r="EE89" i="1"/>
  <c r="DX89" i="1" s="1"/>
  <c r="BJ89" i="1" s="1"/>
  <c r="B21" i="1"/>
  <c r="CK21" i="1"/>
  <c r="AY21" i="1"/>
  <c r="EH126" i="1"/>
  <c r="EA126" i="1" s="1"/>
  <c r="BM126" i="1" s="1"/>
  <c r="CM146" i="1"/>
  <c r="CM183" i="1"/>
  <c r="CM151" i="1"/>
  <c r="DO161" i="1"/>
  <c r="DI161" i="1"/>
  <c r="DP161" i="1" s="1"/>
  <c r="DU161" i="1"/>
  <c r="CQ161" i="1"/>
  <c r="BH161" i="1"/>
  <c r="B22" i="1"/>
  <c r="AY22" i="1"/>
  <c r="CK22" i="1"/>
  <c r="D32" i="1"/>
  <c r="CO32" i="1"/>
  <c r="CU137" i="1"/>
  <c r="BF136" i="1"/>
  <c r="CB137" i="1"/>
  <c r="EG102" i="1"/>
  <c r="DZ102" i="1" s="1"/>
  <c r="BL102" i="1" s="1"/>
  <c r="EE6" i="1"/>
  <c r="DX6" i="1" s="1"/>
  <c r="BJ6" i="1" s="1"/>
  <c r="DJ79" i="1"/>
  <c r="DH79" i="1"/>
  <c r="CQ79" i="1"/>
  <c r="DN79" i="1"/>
  <c r="DT79" i="1"/>
  <c r="BH79" i="1"/>
  <c r="C38" i="1"/>
  <c r="CM38" i="1"/>
  <c r="CO177" i="1"/>
  <c r="B46" i="1"/>
  <c r="CK46" i="1"/>
  <c r="AY46" i="1"/>
  <c r="DT38" i="1"/>
  <c r="CQ38" i="1"/>
  <c r="BH38" i="1"/>
  <c r="DU18" i="1"/>
  <c r="B76" i="1"/>
  <c r="AY76" i="1"/>
  <c r="CK76" i="1"/>
  <c r="BD44" i="1"/>
  <c r="EH16" i="1"/>
  <c r="EA16" i="1" s="1"/>
  <c r="BM16" i="1" s="1"/>
  <c r="DI160" i="1"/>
  <c r="DK160" i="1"/>
  <c r="DO160" i="1"/>
  <c r="DU160" i="1"/>
  <c r="EH34" i="1"/>
  <c r="EA34" i="1" s="1"/>
  <c r="BM34" i="1" s="1"/>
  <c r="CU17" i="1"/>
  <c r="C72" i="1"/>
  <c r="CM72" i="1"/>
  <c r="BS72" i="1"/>
  <c r="DU157" i="1"/>
  <c r="DO157" i="1"/>
  <c r="DK157" i="1"/>
  <c r="DI157" i="1"/>
  <c r="DK137" i="1"/>
  <c r="DM137" i="1" s="1"/>
  <c r="BH137" i="1"/>
  <c r="DI137" i="1"/>
  <c r="DU137" i="1"/>
  <c r="BX137" i="1"/>
  <c r="BB136" i="1"/>
  <c r="CQ137" i="1"/>
  <c r="DO137" i="1"/>
  <c r="DW137" i="1" s="1"/>
  <c r="CO11" i="1"/>
  <c r="D11" i="1"/>
  <c r="BU77" i="1"/>
  <c r="D77" i="1"/>
  <c r="CO77" i="1"/>
  <c r="EH102" i="1"/>
  <c r="EA102" i="1" s="1"/>
  <c r="BM102" i="1" s="1"/>
  <c r="CB78" i="1"/>
  <c r="CU78" i="1"/>
  <c r="EH110" i="1"/>
  <c r="EA110" i="1" s="1"/>
  <c r="BM110" i="1" s="1"/>
  <c r="D23" i="1"/>
  <c r="CO23" i="1"/>
  <c r="EG24" i="1"/>
  <c r="DZ24" i="1" s="1"/>
  <c r="BL24" i="1" s="1"/>
  <c r="EI105" i="1"/>
  <c r="EB105" i="1" s="1"/>
  <c r="BN105" i="1" s="1"/>
  <c r="DH159" i="1"/>
  <c r="DJ159" i="1"/>
  <c r="BH159" i="1"/>
  <c r="DT159" i="1"/>
  <c r="DN159" i="1"/>
  <c r="CQ159" i="1"/>
  <c r="EI36" i="1"/>
  <c r="EB36" i="1" s="1"/>
  <c r="BN36" i="1" s="1"/>
  <c r="CM142" i="1"/>
  <c r="EE7" i="1"/>
  <c r="DX7" i="1" s="1"/>
  <c r="BJ7" i="1" s="1"/>
  <c r="BZ187" i="1"/>
  <c r="CS187" i="1"/>
  <c r="DH35" i="1"/>
  <c r="DN35" i="1"/>
  <c r="DJ35" i="1"/>
  <c r="EE146" i="1"/>
  <c r="DX146" i="1" s="1"/>
  <c r="BJ146" i="1" s="1"/>
  <c r="CQ28" i="1"/>
  <c r="BH28" i="1"/>
  <c r="DT28" i="1"/>
  <c r="CO26" i="1"/>
  <c r="D26" i="1"/>
  <c r="EE30" i="1"/>
  <c r="DX30" i="1" s="1"/>
  <c r="BJ30" i="1" s="1"/>
  <c r="CO138" i="1"/>
  <c r="AY63" i="1"/>
  <c r="CK63" i="1"/>
  <c r="B63" i="1"/>
  <c r="E63" i="1" s="1"/>
  <c r="EF33" i="1"/>
  <c r="DY33" i="1" s="1"/>
  <c r="BK33" i="1" s="1"/>
  <c r="CS25" i="1"/>
  <c r="EF90" i="1"/>
  <c r="DY90" i="1" s="1"/>
  <c r="BK90" i="1" s="1"/>
  <c r="BH46" i="1"/>
  <c r="DN46" i="1"/>
  <c r="CQ46" i="1"/>
  <c r="DJ46" i="1"/>
  <c r="DT46" i="1"/>
  <c r="DH46" i="1"/>
  <c r="DL46" i="1" s="1"/>
  <c r="CU46" i="1"/>
  <c r="CB46" i="1"/>
  <c r="EE10" i="1"/>
  <c r="DX10" i="1" s="1"/>
  <c r="BJ10" i="1" s="1"/>
  <c r="EF88" i="1"/>
  <c r="DY88" i="1" s="1"/>
  <c r="BK88" i="1" s="1"/>
  <c r="CH3" i="1"/>
  <c r="EF174" i="1"/>
  <c r="DY174" i="1" s="1"/>
  <c r="BK174" i="1" s="1"/>
  <c r="CM156" i="1"/>
  <c r="DJ156" i="1"/>
  <c r="CQ156" i="1"/>
  <c r="DT156" i="1"/>
  <c r="DN156" i="1"/>
  <c r="BH156" i="1"/>
  <c r="DH156" i="1"/>
  <c r="CO58" i="1"/>
  <c r="BU58" i="1"/>
  <c r="D58" i="1"/>
  <c r="C31" i="1"/>
  <c r="CM31" i="1"/>
  <c r="EH122" i="1"/>
  <c r="EA122" i="1" s="1"/>
  <c r="BM122" i="1" s="1"/>
  <c r="CK23" i="1"/>
  <c r="B23" i="1"/>
  <c r="AY23" i="1"/>
  <c r="CS58" i="1"/>
  <c r="BZ58" i="1"/>
  <c r="EE148" i="1"/>
  <c r="DX148" i="1" s="1"/>
  <c r="BJ148" i="1" s="1"/>
  <c r="EG7" i="1"/>
  <c r="DZ7" i="1" s="1"/>
  <c r="BL7" i="1" s="1"/>
  <c r="BZ79" i="1"/>
  <c r="CS79" i="1"/>
  <c r="CO145" i="1"/>
  <c r="CB62" i="1"/>
  <c r="CU62" i="1"/>
  <c r="BH30" i="1"/>
  <c r="CQ30" i="1"/>
  <c r="DT30" i="1"/>
  <c r="CS167" i="1"/>
  <c r="BZ167" i="1"/>
  <c r="EI115" i="1"/>
  <c r="EB115" i="1" s="1"/>
  <c r="BN115" i="1" s="1"/>
  <c r="DU28" i="1"/>
  <c r="CO37" i="1"/>
  <c r="D37" i="1"/>
  <c r="E37" i="1" s="1"/>
  <c r="D7" i="1"/>
  <c r="CO7" i="1"/>
  <c r="DU72" i="1"/>
  <c r="DO72" i="1"/>
  <c r="DK72" i="1"/>
  <c r="DI72" i="1"/>
  <c r="C16" i="1"/>
  <c r="CM16" i="1"/>
  <c r="CM187" i="1"/>
  <c r="EI116" i="1"/>
  <c r="EB116" i="1" s="1"/>
  <c r="BN116" i="1" s="1"/>
  <c r="CM9" i="1"/>
  <c r="C9" i="1"/>
  <c r="EF74" i="1"/>
  <c r="DY74" i="1" s="1"/>
  <c r="BK74" i="1" s="1"/>
  <c r="EI114" i="1"/>
  <c r="EB114" i="1" s="1"/>
  <c r="BN114" i="1" s="1"/>
  <c r="EG38" i="1"/>
  <c r="DZ38" i="1" s="1"/>
  <c r="BL38" i="1" s="1"/>
  <c r="EJ30" i="1"/>
  <c r="EC30" i="1" s="1"/>
  <c r="BO30" i="1" s="1"/>
  <c r="EF171" i="1"/>
  <c r="DY171" i="1" s="1"/>
  <c r="BK171" i="1" s="1"/>
  <c r="EI94" i="1"/>
  <c r="EB94" i="1" s="1"/>
  <c r="BN94" i="1" s="1"/>
  <c r="CM185" i="1"/>
  <c r="EO3" i="1"/>
  <c r="EH4" i="1"/>
  <c r="EA4" i="1" s="1"/>
  <c r="BM4" i="1" s="1"/>
  <c r="CK27" i="1"/>
  <c r="AY27" i="1"/>
  <c r="B27" i="1"/>
  <c r="DK149" i="1"/>
  <c r="DI149" i="1"/>
  <c r="DU149" i="1"/>
  <c r="DO149" i="1"/>
  <c r="CK145" i="1"/>
  <c r="CP145" i="1" s="1"/>
  <c r="EF22" i="1"/>
  <c r="DY22" i="1" s="1"/>
  <c r="BK22" i="1" s="1"/>
  <c r="CK60" i="1"/>
  <c r="AY60" i="1"/>
  <c r="B60" i="1"/>
  <c r="EG30" i="1"/>
  <c r="DZ30" i="1" s="1"/>
  <c r="BL30" i="1" s="1"/>
  <c r="DU33" i="1"/>
  <c r="DW33" i="1" s="1"/>
  <c r="EE152" i="1"/>
  <c r="DX152" i="1" s="1"/>
  <c r="BJ152" i="1" s="1"/>
  <c r="CQ174" i="1"/>
  <c r="DT174" i="1"/>
  <c r="BH174" i="1"/>
  <c r="DN174" i="1"/>
  <c r="DH174" i="1"/>
  <c r="DJ174" i="1"/>
  <c r="CU183" i="1"/>
  <c r="CB183" i="1"/>
  <c r="EJ130" i="1"/>
  <c r="EC130" i="1" s="1"/>
  <c r="BO130" i="1" s="1"/>
  <c r="CK150" i="1"/>
  <c r="EH38" i="1"/>
  <c r="EA38" i="1" s="1"/>
  <c r="BM38" i="1" s="1"/>
  <c r="EJ92" i="1"/>
  <c r="EC92" i="1" s="1"/>
  <c r="BO92" i="1" s="1"/>
  <c r="EI124" i="1"/>
  <c r="EB124" i="1" s="1"/>
  <c r="BN124" i="1" s="1"/>
  <c r="CO18" i="1"/>
  <c r="D18" i="1"/>
  <c r="EI31" i="1"/>
  <c r="EB31" i="1" s="1"/>
  <c r="BN31" i="1" s="1"/>
  <c r="BZ179" i="1"/>
  <c r="CS179" i="1"/>
  <c r="C20" i="1"/>
  <c r="CM20" i="1"/>
  <c r="CO25" i="1"/>
  <c r="D25" i="1"/>
  <c r="CO142" i="1"/>
  <c r="EF157" i="1"/>
  <c r="DY157" i="1" s="1"/>
  <c r="BK157" i="1" s="1"/>
  <c r="CS140" i="1"/>
  <c r="BZ140" i="1"/>
  <c r="BC3" i="1"/>
  <c r="CS4" i="1"/>
  <c r="CS173" i="1"/>
  <c r="BZ173" i="1"/>
  <c r="EH26" i="1"/>
  <c r="EA26" i="1" s="1"/>
  <c r="BM26" i="1" s="1"/>
  <c r="EF159" i="1"/>
  <c r="DY159" i="1" s="1"/>
  <c r="BK159" i="1" s="1"/>
  <c r="BX159" i="1" s="1"/>
  <c r="CU15" i="1"/>
  <c r="EJ98" i="1"/>
  <c r="EC98" i="1" s="1"/>
  <c r="BO98" i="1" s="1"/>
  <c r="DJ149" i="1"/>
  <c r="CQ149" i="1"/>
  <c r="DT149" i="1"/>
  <c r="DH149" i="1"/>
  <c r="DN149" i="1"/>
  <c r="BH149" i="1"/>
  <c r="EH91" i="1"/>
  <c r="EA91" i="1" s="1"/>
  <c r="BM91" i="1" s="1"/>
  <c r="DU24" i="1"/>
  <c r="EH115" i="1"/>
  <c r="EA115" i="1" s="1"/>
  <c r="BM115" i="1" s="1"/>
  <c r="EF166" i="1"/>
  <c r="DY166" i="1" s="1"/>
  <c r="BK166" i="1" s="1"/>
  <c r="BQ166" i="1" s="1"/>
  <c r="CW166" i="1" s="1"/>
  <c r="EJ27" i="1"/>
  <c r="EC27" i="1" s="1"/>
  <c r="BO27" i="1" s="1"/>
  <c r="BD136" i="1"/>
  <c r="EI23" i="1"/>
  <c r="EB23" i="1" s="1"/>
  <c r="BN23" i="1" s="1"/>
  <c r="CB141" i="1"/>
  <c r="CU141" i="1"/>
  <c r="EG113" i="1"/>
  <c r="DZ113" i="1" s="1"/>
  <c r="BL113" i="1" s="1"/>
  <c r="EJ38" i="1"/>
  <c r="EC38" i="1" s="1"/>
  <c r="BO38" i="1" s="1"/>
  <c r="B16" i="1"/>
  <c r="AY16" i="1"/>
  <c r="CK16" i="1"/>
  <c r="EE172" i="1"/>
  <c r="DX172" i="1" s="1"/>
  <c r="BJ172" i="1" s="1"/>
  <c r="EE26" i="1"/>
  <c r="DX26" i="1" s="1"/>
  <c r="BJ26" i="1" s="1"/>
  <c r="CB143" i="1"/>
  <c r="CU143" i="1"/>
  <c r="EF121" i="1"/>
  <c r="DY121" i="1" s="1"/>
  <c r="BK121" i="1" s="1"/>
  <c r="CK157" i="1"/>
  <c r="CK182" i="1"/>
  <c r="CQ10" i="1"/>
  <c r="CV10" i="1" s="1"/>
  <c r="BH10" i="1"/>
  <c r="DT10" i="1"/>
  <c r="DV10" i="1" s="1"/>
  <c r="DO25" i="1"/>
  <c r="DW25" i="1" s="1"/>
  <c r="DK25" i="1"/>
  <c r="DI25" i="1"/>
  <c r="CO151" i="1"/>
  <c r="EG90" i="1"/>
  <c r="DZ90" i="1" s="1"/>
  <c r="BL90" i="1" s="1"/>
  <c r="EE33" i="1"/>
  <c r="DX33" i="1" s="1"/>
  <c r="BJ33" i="1" s="1"/>
  <c r="CO149" i="1"/>
  <c r="B29" i="1"/>
  <c r="CK29" i="1"/>
  <c r="AY29" i="1"/>
  <c r="EE122" i="1"/>
  <c r="DX122" i="1" s="1"/>
  <c r="BJ122" i="1" s="1"/>
  <c r="DU139" i="1"/>
  <c r="DI139" i="1"/>
  <c r="DK139" i="1"/>
  <c r="DO139" i="1"/>
  <c r="EJ20" i="1"/>
  <c r="EC20" i="1" s="1"/>
  <c r="BO20" i="1" s="1"/>
  <c r="CK5" i="1"/>
  <c r="AY5" i="1"/>
  <c r="B5" i="1"/>
  <c r="CU26" i="1"/>
  <c r="CO21" i="1"/>
  <c r="D21" i="1"/>
  <c r="CO4" i="1"/>
  <c r="D4" i="1"/>
  <c r="E4" i="1" s="1"/>
  <c r="AW3" i="1"/>
  <c r="CU188" i="1"/>
  <c r="CB188" i="1"/>
  <c r="EH89" i="1"/>
  <c r="AY9" i="1"/>
  <c r="B9" i="1"/>
  <c r="CK9" i="1"/>
  <c r="DI62" i="1"/>
  <c r="DK62" i="1"/>
  <c r="DU62" i="1"/>
  <c r="DO62" i="1"/>
  <c r="EF70" i="1"/>
  <c r="DY70" i="1" s="1"/>
  <c r="BK70" i="1" s="1"/>
  <c r="EI26" i="1"/>
  <c r="EB26" i="1" s="1"/>
  <c r="BN26" i="1" s="1"/>
  <c r="EF161" i="1"/>
  <c r="DY161" i="1" s="1"/>
  <c r="BK161" i="1" s="1"/>
  <c r="BQ161" i="1" s="1"/>
  <c r="EF97" i="1"/>
  <c r="DY97" i="1" s="1"/>
  <c r="BK97" i="1" s="1"/>
  <c r="EJ88" i="1"/>
  <c r="EC88" i="1" s="1"/>
  <c r="BO88" i="1" s="1"/>
  <c r="BZ186" i="1"/>
  <c r="CS186" i="1"/>
  <c r="EF150" i="1"/>
  <c r="DY150" i="1" s="1"/>
  <c r="BK150" i="1" s="1"/>
  <c r="CS13" i="1"/>
  <c r="CV13" i="1" s="1"/>
  <c r="EJ25" i="1"/>
  <c r="EC25" i="1" s="1"/>
  <c r="BO25" i="1" s="1"/>
  <c r="EE72" i="1"/>
  <c r="DX72" i="1" s="1"/>
  <c r="BJ72" i="1" s="1"/>
  <c r="EG16" i="1"/>
  <c r="DZ16" i="1" s="1"/>
  <c r="BL16" i="1" s="1"/>
  <c r="CU12" i="1"/>
  <c r="CO167" i="1"/>
  <c r="EE156" i="1"/>
  <c r="DX156" i="1" s="1"/>
  <c r="BJ156" i="1" s="1"/>
  <c r="DK45" i="1"/>
  <c r="DI45" i="1"/>
  <c r="DU45" i="1"/>
  <c r="BB44" i="1"/>
  <c r="DO45" i="1"/>
  <c r="EF73" i="1"/>
  <c r="DY73" i="1" s="1"/>
  <c r="BK73" i="1" s="1"/>
  <c r="EI118" i="1"/>
  <c r="EB118" i="1" s="1"/>
  <c r="BN118" i="1" s="1"/>
  <c r="DK6" i="1"/>
  <c r="DI6" i="1"/>
  <c r="DU6" i="1"/>
  <c r="DO6" i="1"/>
  <c r="DN158" i="1"/>
  <c r="CQ158" i="1"/>
  <c r="DH158" i="1"/>
  <c r="DL158" i="1" s="1"/>
  <c r="BH158" i="1"/>
  <c r="DJ158" i="1"/>
  <c r="DT158" i="1"/>
  <c r="DK19" i="1"/>
  <c r="DO19" i="1"/>
  <c r="DI19" i="1"/>
  <c r="EF47" i="1"/>
  <c r="DY47" i="1" s="1"/>
  <c r="BK47" i="1" s="1"/>
  <c r="CM176" i="1"/>
  <c r="C48" i="1"/>
  <c r="BS48" i="1"/>
  <c r="BT49" i="1" s="1"/>
  <c r="CM48" i="1"/>
  <c r="EJ126" i="1"/>
  <c r="EC126" i="1" s="1"/>
  <c r="BO126" i="1" s="1"/>
  <c r="EI123" i="1"/>
  <c r="EB123" i="1" s="1"/>
  <c r="BN123" i="1" s="1"/>
  <c r="D57" i="1"/>
  <c r="BU57" i="1"/>
  <c r="CO57" i="1"/>
  <c r="CS144" i="1"/>
  <c r="BZ144" i="1"/>
  <c r="DM167" i="1"/>
  <c r="E28" i="1"/>
  <c r="DM161" i="1"/>
  <c r="DQ161" i="1"/>
  <c r="DS161" i="1"/>
  <c r="CA46" i="1" l="1"/>
  <c r="BT79" i="1"/>
  <c r="CC180" i="1"/>
  <c r="DS57" i="1"/>
  <c r="CC148" i="1"/>
  <c r="BI24" i="1"/>
  <c r="DW45" i="1"/>
  <c r="DW46" i="1"/>
  <c r="E48" i="1"/>
  <c r="CV33" i="1"/>
  <c r="DW22" i="1"/>
  <c r="DW31" i="1"/>
  <c r="E18" i="1"/>
  <c r="CP38" i="1"/>
  <c r="CP186" i="1"/>
  <c r="DP141" i="1"/>
  <c r="CP19" i="1"/>
  <c r="DV45" i="1"/>
  <c r="CP15" i="1"/>
  <c r="DR111" i="1"/>
  <c r="BI150" i="1"/>
  <c r="CB21" i="1"/>
  <c r="BS8" i="1"/>
  <c r="CP34" i="1"/>
  <c r="DW148" i="1"/>
  <c r="CV16" i="1"/>
  <c r="BX59" i="1"/>
  <c r="ET59" i="1" s="1"/>
  <c r="CP14" i="1"/>
  <c r="DV78" i="1"/>
  <c r="DW164" i="1"/>
  <c r="DV35" i="1"/>
  <c r="DW158" i="1"/>
  <c r="DP37" i="1"/>
  <c r="BQ72" i="1"/>
  <c r="CW72" i="1" s="1"/>
  <c r="BR162" i="1"/>
  <c r="CB98" i="1"/>
  <c r="CA173" i="1"/>
  <c r="CP27" i="1"/>
  <c r="CP11" i="1"/>
  <c r="BZ97" i="1"/>
  <c r="DS180" i="1"/>
  <c r="CP152" i="1"/>
  <c r="BU121" i="1"/>
  <c r="DS47" i="1"/>
  <c r="CP48" i="1"/>
  <c r="CP60" i="1"/>
  <c r="BX121" i="1"/>
  <c r="BY141" i="1"/>
  <c r="CA152" i="1"/>
  <c r="BX95" i="1"/>
  <c r="BI157" i="1"/>
  <c r="BU106" i="1"/>
  <c r="BZ109" i="1"/>
  <c r="DR95" i="1"/>
  <c r="CB115" i="1"/>
  <c r="CB127" i="1"/>
  <c r="DR120" i="1"/>
  <c r="CA79" i="1"/>
  <c r="BX164" i="1"/>
  <c r="ET164" i="1" s="1"/>
  <c r="BZ19" i="1"/>
  <c r="BI167" i="1"/>
  <c r="BT76" i="1"/>
  <c r="DW180" i="1"/>
  <c r="DV179" i="1"/>
  <c r="DW189" i="1"/>
  <c r="DW144" i="1"/>
  <c r="DW146" i="1"/>
  <c r="DV169" i="1"/>
  <c r="DW150" i="1"/>
  <c r="DV158" i="1"/>
  <c r="DV186" i="1"/>
  <c r="DW188" i="1"/>
  <c r="DW178" i="1"/>
  <c r="DW176" i="1"/>
  <c r="DW142" i="1"/>
  <c r="DW184" i="1"/>
  <c r="DV174" i="1"/>
  <c r="DW174" i="1"/>
  <c r="DV189" i="1"/>
  <c r="DV156" i="1"/>
  <c r="DL186" i="1"/>
  <c r="DV139" i="1"/>
  <c r="DW162" i="1"/>
  <c r="DW186" i="1"/>
  <c r="DW183" i="1"/>
  <c r="BS122" i="1"/>
  <c r="CP47" i="1"/>
  <c r="BS94" i="1"/>
  <c r="CC181" i="1"/>
  <c r="BT61" i="1"/>
  <c r="CB31" i="1"/>
  <c r="E22" i="1"/>
  <c r="E45" i="1"/>
  <c r="DV144" i="1"/>
  <c r="E20" i="1"/>
  <c r="BX37" i="1"/>
  <c r="BY37" i="1" s="1"/>
  <c r="BS101" i="1"/>
  <c r="DM170" i="1"/>
  <c r="BX30" i="1"/>
  <c r="DW175" i="1"/>
  <c r="CB96" i="1"/>
  <c r="BI59" i="1"/>
  <c r="DW147" i="1"/>
  <c r="DW145" i="1"/>
  <c r="DW139" i="1"/>
  <c r="BX188" i="1"/>
  <c r="ET188" i="1" s="1"/>
  <c r="BI152" i="1"/>
  <c r="DP27" i="1"/>
  <c r="BZ106" i="1"/>
  <c r="DV7" i="1"/>
  <c r="CA161" i="1"/>
  <c r="DV14" i="1"/>
  <c r="DV79" i="1"/>
  <c r="BI146" i="1"/>
  <c r="CP24" i="1"/>
  <c r="DP57" i="1"/>
  <c r="DP178" i="1"/>
  <c r="BX176" i="1"/>
  <c r="ET176" i="1" s="1"/>
  <c r="DL59" i="1"/>
  <c r="CV6" i="1"/>
  <c r="DM172" i="1"/>
  <c r="BX172" i="1"/>
  <c r="ET172" i="1" s="1"/>
  <c r="DV159" i="1"/>
  <c r="DR64" i="1"/>
  <c r="DW185" i="1"/>
  <c r="CP62" i="1"/>
  <c r="CP171" i="1"/>
  <c r="CP181" i="1"/>
  <c r="DV73" i="1"/>
  <c r="DW10" i="1"/>
  <c r="DL149" i="1"/>
  <c r="CP57" i="1"/>
  <c r="CP22" i="1"/>
  <c r="BU19" i="1"/>
  <c r="CY178" i="1"/>
  <c r="DL189" i="1"/>
  <c r="DW143" i="1"/>
  <c r="DV157" i="1"/>
  <c r="DL77" i="1"/>
  <c r="DW47" i="1"/>
  <c r="CP183" i="1"/>
  <c r="CP23" i="1"/>
  <c r="DQ26" i="1"/>
  <c r="BI8" i="1"/>
  <c r="CP17" i="1"/>
  <c r="BX122" i="1"/>
  <c r="DP35" i="1"/>
  <c r="CV12" i="1"/>
  <c r="BQ189" i="1"/>
  <c r="CW189" i="1" s="1"/>
  <c r="DW187" i="1"/>
  <c r="BQ35" i="1"/>
  <c r="BS20" i="1"/>
  <c r="BI15" i="1"/>
  <c r="BI188" i="1"/>
  <c r="BI151" i="1"/>
  <c r="BQ18" i="1"/>
  <c r="DL184" i="1"/>
  <c r="BI25" i="1"/>
  <c r="BX75" i="1"/>
  <c r="ET75" i="1" s="1"/>
  <c r="BZ130" i="1"/>
  <c r="BZ22" i="1"/>
  <c r="BI177" i="1"/>
  <c r="DR106" i="1"/>
  <c r="DV37" i="1"/>
  <c r="DW149" i="1"/>
  <c r="CP72" i="1"/>
  <c r="BZ87" i="1"/>
  <c r="DW179" i="1"/>
  <c r="DV76" i="1"/>
  <c r="CC184" i="1"/>
  <c r="DW6" i="1"/>
  <c r="DW171" i="1"/>
  <c r="DV70" i="1"/>
  <c r="DV38" i="1"/>
  <c r="DV30" i="1"/>
  <c r="BX130" i="1"/>
  <c r="DW166" i="1"/>
  <c r="DW170" i="1"/>
  <c r="DV140" i="1"/>
  <c r="BX14" i="1"/>
  <c r="E27" i="1"/>
  <c r="DV63" i="1"/>
  <c r="DV33" i="1"/>
  <c r="DW165" i="1"/>
  <c r="CV34" i="1"/>
  <c r="DW74" i="1"/>
  <c r="DW73" i="1"/>
  <c r="DV28" i="1"/>
  <c r="DW169" i="1"/>
  <c r="DW151" i="1"/>
  <c r="DW78" i="1"/>
  <c r="DW152" i="1"/>
  <c r="CP76" i="1"/>
  <c r="CP70" i="1"/>
  <c r="E74" i="1"/>
  <c r="DV75" i="1"/>
  <c r="CB128" i="1"/>
  <c r="DL4" i="1"/>
  <c r="E6" i="1"/>
  <c r="BS23" i="1"/>
  <c r="BI58" i="1"/>
  <c r="DW177" i="1"/>
  <c r="DS155" i="1"/>
  <c r="DW70" i="1"/>
  <c r="E58" i="1"/>
  <c r="E71" i="1"/>
  <c r="DW75" i="1"/>
  <c r="DS76" i="1"/>
  <c r="CV21" i="1"/>
  <c r="CP79" i="1"/>
  <c r="E75" i="1"/>
  <c r="DQ32" i="1"/>
  <c r="BX76" i="1"/>
  <c r="CY76" i="1" s="1"/>
  <c r="DQ31" i="1"/>
  <c r="CB126" i="1"/>
  <c r="DW11" i="1"/>
  <c r="DM183" i="1"/>
  <c r="BS17" i="1"/>
  <c r="BZ107" i="1"/>
  <c r="BS10" i="1"/>
  <c r="DP179" i="1"/>
  <c r="DL141" i="1"/>
  <c r="CA142" i="1"/>
  <c r="BU110" i="1"/>
  <c r="CA178" i="1"/>
  <c r="BI9" i="1"/>
  <c r="BI178" i="1"/>
  <c r="BX4" i="1"/>
  <c r="CB13" i="1"/>
  <c r="BX162" i="1"/>
  <c r="ET162" i="1" s="1"/>
  <c r="DW34" i="1"/>
  <c r="BS18" i="1"/>
  <c r="BS107" i="1"/>
  <c r="DL30" i="1"/>
  <c r="B3" i="1"/>
  <c r="CP176" i="1"/>
  <c r="BY144" i="1"/>
  <c r="DW13" i="1"/>
  <c r="DM57" i="1"/>
  <c r="CP139" i="1"/>
  <c r="BX48" i="1"/>
  <c r="BY49" i="1" s="1"/>
  <c r="BZ18" i="1"/>
  <c r="DR92" i="1"/>
  <c r="CV11" i="1"/>
  <c r="DP29" i="1"/>
  <c r="DW58" i="1"/>
  <c r="DL154" i="1"/>
  <c r="DV6" i="1"/>
  <c r="DV36" i="1"/>
  <c r="DV8" i="1"/>
  <c r="DP171" i="1"/>
  <c r="DS29" i="1"/>
  <c r="DQ148" i="1"/>
  <c r="BU13" i="1"/>
  <c r="DQ17" i="1"/>
  <c r="DP9" i="1"/>
  <c r="DV145" i="1"/>
  <c r="ET138" i="1"/>
  <c r="E16" i="1"/>
  <c r="DW167" i="1"/>
  <c r="DV72" i="1"/>
  <c r="BS121" i="1"/>
  <c r="E59" i="1"/>
  <c r="DW157" i="1"/>
  <c r="DW71" i="1"/>
  <c r="DV4" i="1"/>
  <c r="DV48" i="1"/>
  <c r="BY184" i="1"/>
  <c r="BQ4" i="1"/>
  <c r="DS74" i="1"/>
  <c r="BQ163" i="1"/>
  <c r="CW163" i="1" s="1"/>
  <c r="BS87" i="1"/>
  <c r="DM17" i="1"/>
  <c r="DP157" i="1"/>
  <c r="DM147" i="1"/>
  <c r="CP58" i="1"/>
  <c r="CC178" i="1"/>
  <c r="DW37" i="1"/>
  <c r="DW38" i="1"/>
  <c r="DR180" i="1"/>
  <c r="CV35" i="1"/>
  <c r="DV147" i="1"/>
  <c r="BI47" i="1"/>
  <c r="DL171" i="1"/>
  <c r="DP74" i="1"/>
  <c r="BU108" i="1"/>
  <c r="CP71" i="1"/>
  <c r="E24" i="1"/>
  <c r="DM29" i="1"/>
  <c r="DV77" i="1"/>
  <c r="DL37" i="1"/>
  <c r="BU125" i="1"/>
  <c r="BX35" i="1"/>
  <c r="BY36" i="1" s="1"/>
  <c r="DQ167" i="1"/>
  <c r="BQ94" i="1"/>
  <c r="BR95" i="1" s="1"/>
  <c r="BX58" i="1"/>
  <c r="DP30" i="1"/>
  <c r="DV47" i="1"/>
  <c r="DV34" i="1"/>
  <c r="DW159" i="1"/>
  <c r="DW63" i="1"/>
  <c r="BI20" i="1"/>
  <c r="BX108" i="1"/>
  <c r="CP184" i="1"/>
  <c r="CV23" i="1"/>
  <c r="DW79" i="1"/>
  <c r="BS109" i="1"/>
  <c r="CA144" i="1"/>
  <c r="CP147" i="1"/>
  <c r="DM21" i="1"/>
  <c r="BY143" i="1"/>
  <c r="DW32" i="1"/>
  <c r="DW72" i="1"/>
  <c r="DL187" i="1"/>
  <c r="DR119" i="1"/>
  <c r="DQ162" i="1"/>
  <c r="CB14" i="1"/>
  <c r="BX8" i="1"/>
  <c r="DP172" i="1"/>
  <c r="BS123" i="1"/>
  <c r="BQ63" i="1"/>
  <c r="CW63" i="1" s="1"/>
  <c r="B84" i="1"/>
  <c r="CA143" i="1"/>
  <c r="CV24" i="1"/>
  <c r="C44" i="1"/>
  <c r="BQ58" i="1"/>
  <c r="CW58" i="1" s="1"/>
  <c r="CB108" i="1"/>
  <c r="BX111" i="1"/>
  <c r="BI189" i="1"/>
  <c r="DQ29" i="1"/>
  <c r="CB125" i="1"/>
  <c r="BI60" i="1"/>
  <c r="BX151" i="1"/>
  <c r="ET151" i="1" s="1"/>
  <c r="CM82" i="1"/>
  <c r="BX163" i="1"/>
  <c r="CY163" i="1" s="1"/>
  <c r="DL182" i="1"/>
  <c r="BX24" i="1"/>
  <c r="BT73" i="1"/>
  <c r="BI162" i="1"/>
  <c r="CA185" i="1"/>
  <c r="DS12" i="1"/>
  <c r="DS162" i="1"/>
  <c r="DR162" i="1"/>
  <c r="DS147" i="1"/>
  <c r="DV71" i="1"/>
  <c r="DL155" i="1"/>
  <c r="E10" i="1"/>
  <c r="BQ8" i="1"/>
  <c r="DV58" i="1"/>
  <c r="DM23" i="1"/>
  <c r="DS34" i="1"/>
  <c r="DW26" i="1"/>
  <c r="DW20" i="1"/>
  <c r="DQ27" i="1"/>
  <c r="BQ119" i="1"/>
  <c r="DP149" i="1"/>
  <c r="BT62" i="1"/>
  <c r="BQ130" i="1"/>
  <c r="DR130" i="1"/>
  <c r="DL156" i="1"/>
  <c r="BZ7" i="1"/>
  <c r="DQ48" i="1"/>
  <c r="BQ124" i="1"/>
  <c r="CP141" i="1"/>
  <c r="BZ94" i="1"/>
  <c r="BI36" i="1"/>
  <c r="DP155" i="1"/>
  <c r="BS112" i="1"/>
  <c r="DW35" i="1"/>
  <c r="BS25" i="1"/>
  <c r="DQ61" i="1"/>
  <c r="DV150" i="1"/>
  <c r="DP31" i="1"/>
  <c r="CB6" i="1"/>
  <c r="DS178" i="1"/>
  <c r="BS31" i="1"/>
  <c r="BZ121" i="1"/>
  <c r="BX119" i="1"/>
  <c r="DR89" i="1"/>
  <c r="DS22" i="1"/>
  <c r="DR91" i="1"/>
  <c r="CP189" i="1"/>
  <c r="CA156" i="1"/>
  <c r="BZ88" i="1"/>
  <c r="BQ48" i="1"/>
  <c r="CW48" i="1" s="1"/>
  <c r="BQ75" i="1"/>
  <c r="CW75" i="1" s="1"/>
  <c r="DV11" i="1"/>
  <c r="BX63" i="1"/>
  <c r="ET63" i="1" s="1"/>
  <c r="DW76" i="1"/>
  <c r="DV60" i="1"/>
  <c r="BS22" i="1"/>
  <c r="BZ25" i="1"/>
  <c r="DM31" i="1"/>
  <c r="CB28" i="1"/>
  <c r="DQ74" i="1"/>
  <c r="DR102" i="1"/>
  <c r="BU103" i="1"/>
  <c r="BZ123" i="1"/>
  <c r="DL73" i="1"/>
  <c r="BX145" i="1"/>
  <c r="CY145" i="1" s="1"/>
  <c r="DL61" i="1"/>
  <c r="DM165" i="1"/>
  <c r="BS88" i="1"/>
  <c r="CP85" i="1"/>
  <c r="CP131" i="1" s="1"/>
  <c r="BI7" i="1"/>
  <c r="BX160" i="1"/>
  <c r="BY160" i="1" s="1"/>
  <c r="CB101" i="1"/>
  <c r="DQ30" i="1"/>
  <c r="DP73" i="1"/>
  <c r="DR167" i="1"/>
  <c r="DW17" i="1"/>
  <c r="DQ23" i="1"/>
  <c r="DM34" i="1"/>
  <c r="DQ8" i="1"/>
  <c r="DM72" i="1"/>
  <c r="CP73" i="1"/>
  <c r="DQ16" i="1"/>
  <c r="CB93" i="1"/>
  <c r="DS14" i="1"/>
  <c r="CP179" i="1"/>
  <c r="DS27" i="1"/>
  <c r="DQ47" i="1"/>
  <c r="CK131" i="1"/>
  <c r="CJ131" i="1" s="1"/>
  <c r="DQ147" i="1"/>
  <c r="BQ111" i="1"/>
  <c r="DL157" i="1"/>
  <c r="DR94" i="1"/>
  <c r="DQ34" i="1"/>
  <c r="DR30" i="1"/>
  <c r="BU96" i="1"/>
  <c r="DM16" i="1"/>
  <c r="DM26" i="1"/>
  <c r="BZ30" i="1"/>
  <c r="CV22" i="1"/>
  <c r="DS16" i="1"/>
  <c r="DQ139" i="1"/>
  <c r="DQ186" i="1"/>
  <c r="BZ122" i="1"/>
  <c r="DL167" i="1"/>
  <c r="CL82" i="1"/>
  <c r="DS26" i="1"/>
  <c r="DP5" i="1"/>
  <c r="DQ145" i="1"/>
  <c r="CB25" i="1"/>
  <c r="BU26" i="1"/>
  <c r="ET143" i="1"/>
  <c r="CP25" i="1"/>
  <c r="DQ72" i="1"/>
  <c r="BI160" i="1"/>
  <c r="BS126" i="1"/>
  <c r="BQ89" i="1"/>
  <c r="CA166" i="1"/>
  <c r="DM153" i="1"/>
  <c r="DL74" i="1"/>
  <c r="BZ105" i="1"/>
  <c r="BI72" i="1"/>
  <c r="DV61" i="1"/>
  <c r="BQ62" i="1"/>
  <c r="CW62" i="1" s="1"/>
  <c r="DM138" i="1"/>
  <c r="DW29" i="1"/>
  <c r="DW27" i="1"/>
  <c r="DL75" i="1"/>
  <c r="DW59" i="1"/>
  <c r="E36" i="1"/>
  <c r="CA148" i="1"/>
  <c r="DW77" i="1"/>
  <c r="DV148" i="1"/>
  <c r="CP159" i="1"/>
  <c r="DV155" i="1"/>
  <c r="E35" i="1"/>
  <c r="DW36" i="1"/>
  <c r="B44" i="1"/>
  <c r="CP156" i="1"/>
  <c r="E72" i="1"/>
  <c r="BU115" i="1"/>
  <c r="BX89" i="1"/>
  <c r="CP78" i="1"/>
  <c r="CP35" i="1"/>
  <c r="BX161" i="1"/>
  <c r="CY161" i="1" s="1"/>
  <c r="DW62" i="1"/>
  <c r="BX6" i="1"/>
  <c r="DQ155" i="1"/>
  <c r="BI143" i="1"/>
  <c r="DP187" i="1"/>
  <c r="BU99" i="1"/>
  <c r="BX173" i="1"/>
  <c r="ET173" i="1" s="1"/>
  <c r="BQ91" i="1"/>
  <c r="BS7" i="1"/>
  <c r="DR161" i="1"/>
  <c r="BU98" i="1"/>
  <c r="DQ180" i="1"/>
  <c r="DL35" i="1"/>
  <c r="CA165" i="1"/>
  <c r="BZ6" i="1"/>
  <c r="CB36" i="1"/>
  <c r="BS6" i="1"/>
  <c r="DR97" i="1"/>
  <c r="BX10" i="1"/>
  <c r="BZ27" i="1"/>
  <c r="BZ9" i="1"/>
  <c r="BX127" i="1"/>
  <c r="BX94" i="1"/>
  <c r="BS113" i="1"/>
  <c r="CC62" i="1"/>
  <c r="EE44" i="1"/>
  <c r="DL152" i="1"/>
  <c r="BZ113" i="1"/>
  <c r="BX72" i="1"/>
  <c r="CY72" i="1" s="1"/>
  <c r="BU129" i="1"/>
  <c r="BI14" i="1"/>
  <c r="DP79" i="1"/>
  <c r="DM146" i="1"/>
  <c r="DS143" i="1"/>
  <c r="CP36" i="1"/>
  <c r="BZ4" i="1"/>
  <c r="DR74" i="1"/>
  <c r="CP33" i="1"/>
  <c r="BU12" i="1"/>
  <c r="DR147" i="1"/>
  <c r="DR57" i="1"/>
  <c r="BZ112" i="1"/>
  <c r="CP5" i="1"/>
  <c r="DM179" i="1"/>
  <c r="DS139" i="1"/>
  <c r="E38" i="1"/>
  <c r="CA71" i="1"/>
  <c r="BU101" i="1"/>
  <c r="BI161" i="1"/>
  <c r="BX102" i="1"/>
  <c r="E13" i="1"/>
  <c r="DW28" i="1"/>
  <c r="CP160" i="1"/>
  <c r="CA157" i="1"/>
  <c r="DM30" i="1"/>
  <c r="E62" i="1"/>
  <c r="CV37" i="1"/>
  <c r="BU14" i="1"/>
  <c r="DS61" i="1"/>
  <c r="DV24" i="1"/>
  <c r="BX98" i="1"/>
  <c r="DR8" i="1"/>
  <c r="DL31" i="1"/>
  <c r="DV57" i="1"/>
  <c r="BZ126" i="1"/>
  <c r="DP33" i="1"/>
  <c r="BI19" i="1"/>
  <c r="DW21" i="1"/>
  <c r="DR178" i="1"/>
  <c r="CP18" i="1"/>
  <c r="CP30" i="1"/>
  <c r="CB112" i="1"/>
  <c r="CB34" i="1"/>
  <c r="CC48" i="1"/>
  <c r="BI176" i="1"/>
  <c r="CV14" i="1"/>
  <c r="CV27" i="1"/>
  <c r="BX25" i="1"/>
  <c r="DS23" i="1"/>
  <c r="BI139" i="1"/>
  <c r="CA184" i="1"/>
  <c r="DM8" i="1"/>
  <c r="BT72" i="1"/>
  <c r="CP74" i="1"/>
  <c r="CP59" i="1"/>
  <c r="BZ31" i="1"/>
  <c r="DL72" i="1"/>
  <c r="BI147" i="1"/>
  <c r="DL172" i="1"/>
  <c r="BU93" i="1"/>
  <c r="DM14" i="1"/>
  <c r="E12" i="1"/>
  <c r="CA60" i="1"/>
  <c r="CV38" i="1"/>
  <c r="DS153" i="1"/>
  <c r="DM27" i="1"/>
  <c r="DP181" i="1"/>
  <c r="DP77" i="1"/>
  <c r="CP12" i="1"/>
  <c r="DM47" i="1"/>
  <c r="DQ169" i="1"/>
  <c r="DS148" i="1"/>
  <c r="DP153" i="1"/>
  <c r="DL153" i="1"/>
  <c r="BS100" i="1"/>
  <c r="BZ100" i="1"/>
  <c r="BI144" i="1"/>
  <c r="DL28" i="1"/>
  <c r="DP28" i="1"/>
  <c r="BX167" i="1"/>
  <c r="ET167" i="1" s="1"/>
  <c r="BQ167" i="1"/>
  <c r="CW167" i="1" s="1"/>
  <c r="DM74" i="1"/>
  <c r="BQ30" i="1"/>
  <c r="DS170" i="1"/>
  <c r="BQ176" i="1"/>
  <c r="BR177" i="1" s="1"/>
  <c r="DL181" i="1"/>
  <c r="BQ106" i="1"/>
  <c r="DR148" i="1"/>
  <c r="DM148" i="1"/>
  <c r="BZ101" i="1"/>
  <c r="BS30" i="1"/>
  <c r="DS137" i="1"/>
  <c r="DQ137" i="1"/>
  <c r="BS14" i="1"/>
  <c r="DP173" i="1"/>
  <c r="DL173" i="1"/>
  <c r="DS48" i="1"/>
  <c r="DM48" i="1"/>
  <c r="DR48" i="1"/>
  <c r="DS75" i="1"/>
  <c r="DM164" i="1"/>
  <c r="DQ164" i="1"/>
  <c r="DR14" i="1"/>
  <c r="CP173" i="1"/>
  <c r="BX153" i="1"/>
  <c r="CY153" i="1" s="1"/>
  <c r="BQ153" i="1"/>
  <c r="CW153" i="1" s="1"/>
  <c r="DP11" i="1"/>
  <c r="BI34" i="1"/>
  <c r="BI35" i="1"/>
  <c r="DP150" i="1"/>
  <c r="DM186" i="1"/>
  <c r="DS164" i="1"/>
  <c r="DM12" i="1"/>
  <c r="BX109" i="1"/>
  <c r="BQ74" i="1"/>
  <c r="CW74" i="1" s="1"/>
  <c r="DP186" i="1"/>
  <c r="DL150" i="1"/>
  <c r="BS27" i="1"/>
  <c r="DL27" i="1"/>
  <c r="DR153" i="1"/>
  <c r="DP72" i="1"/>
  <c r="DM155" i="1"/>
  <c r="DQ153" i="1"/>
  <c r="DS165" i="1"/>
  <c r="DR139" i="1"/>
  <c r="DR137" i="1"/>
  <c r="DP152" i="1"/>
  <c r="BQ14" i="1"/>
  <c r="DQ170" i="1"/>
  <c r="DR176" i="1"/>
  <c r="BQ98" i="1"/>
  <c r="DP162" i="1"/>
  <c r="DS31" i="1"/>
  <c r="BS106" i="1"/>
  <c r="CA153" i="1"/>
  <c r="BX106" i="1"/>
  <c r="DS8" i="1"/>
  <c r="DQ178" i="1"/>
  <c r="CA159" i="1"/>
  <c r="D44" i="1"/>
  <c r="DL33" i="1"/>
  <c r="BQ102" i="1"/>
  <c r="DS30" i="1"/>
  <c r="E34" i="1"/>
  <c r="BI18" i="1"/>
  <c r="BU34" i="1"/>
  <c r="DV21" i="1"/>
  <c r="D3" i="1"/>
  <c r="DS72" i="1"/>
  <c r="BQ148" i="1"/>
  <c r="CW148" i="1" s="1"/>
  <c r="E31" i="1"/>
  <c r="CP26" i="1"/>
  <c r="BU112" i="1"/>
  <c r="BU6" i="1"/>
  <c r="DM178" i="1"/>
  <c r="DR98" i="1"/>
  <c r="DM61" i="1"/>
  <c r="DR29" i="1"/>
  <c r="CA63" i="1"/>
  <c r="BX126" i="1"/>
  <c r="CC160" i="1"/>
  <c r="DS169" i="1"/>
  <c r="DW161" i="1"/>
  <c r="DV152" i="1"/>
  <c r="DW60" i="1"/>
  <c r="CY137" i="1"/>
  <c r="DL183" i="1"/>
  <c r="DV13" i="1"/>
  <c r="DW57" i="1"/>
  <c r="BQ159" i="1"/>
  <c r="CW159" i="1" s="1"/>
  <c r="BQ172" i="1"/>
  <c r="CW172" i="1" s="1"/>
  <c r="DV46" i="1"/>
  <c r="DL143" i="1"/>
  <c r="BS104" i="1"/>
  <c r="DV143" i="1"/>
  <c r="DV26" i="1"/>
  <c r="E9" i="1"/>
  <c r="CM44" i="1"/>
  <c r="CM80" i="1" s="1"/>
  <c r="BX156" i="1"/>
  <c r="ET156" i="1" s="1"/>
  <c r="CP46" i="1"/>
  <c r="E33" i="1"/>
  <c r="BU27" i="1"/>
  <c r="BO84" i="1"/>
  <c r="DR184" i="1"/>
  <c r="CP137" i="1"/>
  <c r="CV32" i="1"/>
  <c r="E57" i="1"/>
  <c r="CP166" i="1"/>
  <c r="CV30" i="1"/>
  <c r="BS102" i="1"/>
  <c r="DQ75" i="1"/>
  <c r="BU36" i="1"/>
  <c r="E46" i="1"/>
  <c r="DW156" i="1"/>
  <c r="CP167" i="1"/>
  <c r="BX74" i="1"/>
  <c r="ET74" i="1" s="1"/>
  <c r="BX171" i="1"/>
  <c r="CB12" i="1"/>
  <c r="DV151" i="1"/>
  <c r="CA176" i="1"/>
  <c r="DV62" i="1"/>
  <c r="BX147" i="1"/>
  <c r="CY147" i="1" s="1"/>
  <c r="E32" i="1"/>
  <c r="CP149" i="1"/>
  <c r="CU3" i="1"/>
  <c r="BS11" i="1"/>
  <c r="CB24" i="1"/>
  <c r="CP174" i="1"/>
  <c r="BS115" i="1"/>
  <c r="CP148" i="1"/>
  <c r="CC155" i="1"/>
  <c r="CP175" i="1"/>
  <c r="CR1" i="1"/>
  <c r="DL148" i="1"/>
  <c r="CP37" i="1"/>
  <c r="E15" i="1"/>
  <c r="DL19" i="1"/>
  <c r="DM160" i="1"/>
  <c r="DL7" i="1"/>
  <c r="CP32" i="1"/>
  <c r="DP188" i="1"/>
  <c r="DR188" i="1"/>
  <c r="DS11" i="1"/>
  <c r="DP36" i="1"/>
  <c r="E25" i="1"/>
  <c r="DL174" i="1"/>
  <c r="BZ32" i="1"/>
  <c r="DV59" i="1"/>
  <c r="DP145" i="1"/>
  <c r="BI61" i="1"/>
  <c r="CC77" i="1"/>
  <c r="CP31" i="1"/>
  <c r="BI13" i="1"/>
  <c r="E26" i="1"/>
  <c r="DR155" i="1"/>
  <c r="DM63" i="1"/>
  <c r="DL79" i="1"/>
  <c r="CY140" i="1"/>
  <c r="CV18" i="1"/>
  <c r="E30" i="1"/>
  <c r="CP28" i="1"/>
  <c r="BX77" i="1"/>
  <c r="CV7" i="1"/>
  <c r="DL70" i="1"/>
  <c r="BQ17" i="1"/>
  <c r="DS38" i="1"/>
  <c r="CP140" i="1"/>
  <c r="CB32" i="1"/>
  <c r="DS176" i="1"/>
  <c r="BU89" i="1"/>
  <c r="DS25" i="1"/>
  <c r="DQ140" i="1"/>
  <c r="BI27" i="1"/>
  <c r="CP146" i="1"/>
  <c r="BI155" i="1"/>
  <c r="DL8" i="1"/>
  <c r="CB33" i="1"/>
  <c r="BT60" i="1"/>
  <c r="BT48" i="1"/>
  <c r="DQ46" i="1"/>
  <c r="E14" i="1"/>
  <c r="DS146" i="1"/>
  <c r="DV146" i="1"/>
  <c r="CP144" i="1"/>
  <c r="BS127" i="1"/>
  <c r="CP77" i="1"/>
  <c r="DV16" i="1"/>
  <c r="DR87" i="1"/>
  <c r="CC139" i="1"/>
  <c r="CP170" i="1"/>
  <c r="DP15" i="1"/>
  <c r="CB124" i="1"/>
  <c r="BQ16" i="1"/>
  <c r="CV29" i="1"/>
  <c r="DV153" i="1"/>
  <c r="BS114" i="1"/>
  <c r="CV19" i="1"/>
  <c r="E79" i="1"/>
  <c r="BX99" i="1"/>
  <c r="BI32" i="1"/>
  <c r="BQ158" i="1"/>
  <c r="CW158" i="1" s="1"/>
  <c r="DM77" i="1"/>
  <c r="BQ170" i="1"/>
  <c r="CW170" i="1" s="1"/>
  <c r="CP6" i="1"/>
  <c r="DS37" i="1"/>
  <c r="DS5" i="1"/>
  <c r="DM143" i="1"/>
  <c r="E21" i="1"/>
  <c r="BZ24" i="1"/>
  <c r="BX57" i="1"/>
  <c r="E47" i="1"/>
  <c r="DQ45" i="1"/>
  <c r="DQ179" i="1"/>
  <c r="DQ19" i="1"/>
  <c r="DM19" i="1"/>
  <c r="CB88" i="1"/>
  <c r="BU88" i="1"/>
  <c r="DL62" i="1"/>
  <c r="DP62" i="1"/>
  <c r="CC183" i="1"/>
  <c r="CY183" i="1"/>
  <c r="BZ96" i="1"/>
  <c r="BS96" i="1"/>
  <c r="CP154" i="1"/>
  <c r="CP169" i="1"/>
  <c r="DL170" i="1"/>
  <c r="DP170" i="1"/>
  <c r="AY44" i="1"/>
  <c r="AY3" i="1"/>
  <c r="CP10" i="1"/>
  <c r="BS136" i="1"/>
  <c r="BS190" i="1" s="1"/>
  <c r="CS136" i="1"/>
  <c r="BI74" i="1"/>
  <c r="BI73" i="1"/>
  <c r="BS93" i="1"/>
  <c r="BZ93" i="1"/>
  <c r="DM18" i="1"/>
  <c r="DS18" i="1"/>
  <c r="DR142" i="1"/>
  <c r="DS142" i="1"/>
  <c r="BX26" i="1"/>
  <c r="CS3" i="1"/>
  <c r="CB120" i="1"/>
  <c r="BU120" i="1"/>
  <c r="DQ172" i="1"/>
  <c r="BS35" i="1"/>
  <c r="DS9" i="1"/>
  <c r="DQ9" i="1"/>
  <c r="CV17" i="1"/>
  <c r="E17" i="1"/>
  <c r="BQ168" i="1"/>
  <c r="CW168" i="1" s="1"/>
  <c r="DL57" i="1"/>
  <c r="DW160" i="1"/>
  <c r="CY180" i="1"/>
  <c r="CP8" i="1"/>
  <c r="DR88" i="1"/>
  <c r="DR17" i="1"/>
  <c r="DP45" i="1"/>
  <c r="EA89" i="1"/>
  <c r="BM89" i="1" s="1"/>
  <c r="BS89" i="1" s="1"/>
  <c r="EH84" i="1"/>
  <c r="CC185" i="1"/>
  <c r="CY184" i="1"/>
  <c r="CM136" i="1"/>
  <c r="CM190" i="1" s="1"/>
  <c r="CS44" i="1"/>
  <c r="DR96" i="1"/>
  <c r="BX96" i="1"/>
  <c r="DM4" i="1"/>
  <c r="DR4" i="1"/>
  <c r="CK44" i="1"/>
  <c r="CP45" i="1"/>
  <c r="BM3" i="1"/>
  <c r="E78" i="1"/>
  <c r="DQ177" i="1"/>
  <c r="DR177" i="1"/>
  <c r="CV20" i="1"/>
  <c r="BS120" i="1"/>
  <c r="BZ120" i="1"/>
  <c r="CP155" i="1"/>
  <c r="CL1" i="1"/>
  <c r="DL23" i="1"/>
  <c r="DM185" i="1"/>
  <c r="DQ185" i="1"/>
  <c r="DL169" i="1"/>
  <c r="DP169" i="1"/>
  <c r="CV31" i="1"/>
  <c r="CP180" i="1"/>
  <c r="DP78" i="1"/>
  <c r="CB37" i="1"/>
  <c r="BU37" i="1"/>
  <c r="DM62" i="1"/>
  <c r="DQ62" i="1"/>
  <c r="BZ114" i="1"/>
  <c r="DP148" i="1"/>
  <c r="ET183" i="1"/>
  <c r="DQ188" i="1"/>
  <c r="BX16" i="1"/>
  <c r="DS160" i="1"/>
  <c r="DP4" i="1"/>
  <c r="BQ59" i="1"/>
  <c r="CW59" i="1" s="1"/>
  <c r="CC147" i="1"/>
  <c r="BI33" i="1"/>
  <c r="DP158" i="1"/>
  <c r="CR134" i="1"/>
  <c r="DS157" i="1"/>
  <c r="DM157" i="1"/>
  <c r="CP151" i="1"/>
  <c r="DS159" i="1"/>
  <c r="E76" i="1"/>
  <c r="CS42" i="1"/>
  <c r="DL16" i="1"/>
  <c r="DP16" i="1"/>
  <c r="DP138" i="1"/>
  <c r="DL138" i="1"/>
  <c r="BU18" i="1"/>
  <c r="DP58" i="1"/>
  <c r="DL58" i="1"/>
  <c r="E19" i="1"/>
  <c r="BI172" i="1"/>
  <c r="BQ19" i="1"/>
  <c r="DR19" i="1"/>
  <c r="BZ29" i="1"/>
  <c r="BS29" i="1"/>
  <c r="CP172" i="1"/>
  <c r="BI173" i="1"/>
  <c r="DS188" i="1"/>
  <c r="EF84" i="1"/>
  <c r="BQ120" i="1"/>
  <c r="DR37" i="1"/>
  <c r="BU31" i="1"/>
  <c r="CC156" i="1"/>
  <c r="CO136" i="1"/>
  <c r="CO190" i="1" s="1"/>
  <c r="CL134" i="1"/>
  <c r="DL29" i="1"/>
  <c r="DR185" i="1"/>
  <c r="AY136" i="1"/>
  <c r="BI149" i="1"/>
  <c r="CP138" i="1"/>
  <c r="DV142" i="1"/>
  <c r="CP185" i="1"/>
  <c r="DQ143" i="1"/>
  <c r="DR18" i="1"/>
  <c r="BS24" i="1"/>
  <c r="BZ10" i="1"/>
  <c r="DR164" i="1"/>
  <c r="DR165" i="1"/>
  <c r="DR76" i="1"/>
  <c r="BQ57" i="1"/>
  <c r="BX91" i="1"/>
  <c r="BY142" i="1"/>
  <c r="BX185" i="1"/>
  <c r="ET185" i="1" s="1"/>
  <c r="EE3" i="1"/>
  <c r="BZ8" i="1"/>
  <c r="BI187" i="1"/>
  <c r="CB99" i="1"/>
  <c r="DP59" i="1"/>
  <c r="DR75" i="1"/>
  <c r="BS9" i="1"/>
  <c r="DR143" i="1"/>
  <c r="ET144" i="1"/>
  <c r="DM139" i="1"/>
  <c r="CP150" i="1"/>
  <c r="BU114" i="1"/>
  <c r="CV28" i="1"/>
  <c r="CP142" i="1"/>
  <c r="CO44" i="1"/>
  <c r="CO80" i="1" s="1"/>
  <c r="DS152" i="1"/>
  <c r="DW155" i="1"/>
  <c r="BX27" i="1"/>
  <c r="DP156" i="1"/>
  <c r="DR179" i="1"/>
  <c r="CP177" i="1"/>
  <c r="CP13" i="1"/>
  <c r="DQ22" i="1"/>
  <c r="BX157" i="1"/>
  <c r="DR121" i="1"/>
  <c r="DR109" i="1"/>
  <c r="BI26" i="1"/>
  <c r="BQ185" i="1"/>
  <c r="BR185" i="1" s="1"/>
  <c r="BX18" i="1"/>
  <c r="BI148" i="1"/>
  <c r="BI46" i="1"/>
  <c r="BQ188" i="1"/>
  <c r="CW188" i="1" s="1"/>
  <c r="BZ20" i="1"/>
  <c r="CB26" i="1"/>
  <c r="CP29" i="1"/>
  <c r="E60" i="1"/>
  <c r="E7" i="1"/>
  <c r="DR23" i="1"/>
  <c r="CQ3" i="1"/>
  <c r="BX15" i="1"/>
  <c r="BQ15" i="1"/>
  <c r="DP23" i="1"/>
  <c r="DR172" i="1"/>
  <c r="DS172" i="1"/>
  <c r="CM3" i="1"/>
  <c r="CM40" i="1" s="1"/>
  <c r="DM5" i="1"/>
  <c r="DR59" i="1"/>
  <c r="DM76" i="1"/>
  <c r="DQ4" i="1"/>
  <c r="BX19" i="1"/>
  <c r="DL78" i="1"/>
  <c r="BY140" i="1"/>
  <c r="DM176" i="1"/>
  <c r="CA170" i="1"/>
  <c r="DS185" i="1"/>
  <c r="DQ77" i="1"/>
  <c r="DQ25" i="1"/>
  <c r="DP165" i="1"/>
  <c r="DR99" i="1"/>
  <c r="DP21" i="1"/>
  <c r="BI174" i="1"/>
  <c r="BZ38" i="1"/>
  <c r="CP9" i="1"/>
  <c r="BI29" i="1"/>
  <c r="BI28" i="1"/>
  <c r="BX7" i="1"/>
  <c r="BQ7" i="1"/>
  <c r="BU11" i="1"/>
  <c r="CB11" i="1"/>
  <c r="BU33" i="1"/>
  <c r="BQ127" i="1"/>
  <c r="DR127" i="1"/>
  <c r="CC72" i="1"/>
  <c r="BU24" i="1"/>
  <c r="CP7" i="1"/>
  <c r="E11" i="1"/>
  <c r="DM73" i="1"/>
  <c r="DS73" i="1"/>
  <c r="DQ73" i="1"/>
  <c r="DR73" i="1"/>
  <c r="DQ28" i="1"/>
  <c r="DS28" i="1"/>
  <c r="DM28" i="1"/>
  <c r="DL24" i="1"/>
  <c r="DP24" i="1"/>
  <c r="DR63" i="1"/>
  <c r="DS63" i="1"/>
  <c r="DY13" i="1"/>
  <c r="BK13" i="1" s="1"/>
  <c r="BQ13" i="1" s="1"/>
  <c r="EF3" i="1"/>
  <c r="BQ87" i="1"/>
  <c r="BI57" i="1"/>
  <c r="DM37" i="1"/>
  <c r="CC76" i="1"/>
  <c r="EI84" i="1"/>
  <c r="BQ96" i="1"/>
  <c r="BR96" i="1" s="1"/>
  <c r="BU124" i="1"/>
  <c r="CL42" i="1"/>
  <c r="DL15" i="1"/>
  <c r="DS177" i="1"/>
  <c r="DM188" i="1"/>
  <c r="CM1" i="1"/>
  <c r="BI145" i="1"/>
  <c r="DR160" i="1"/>
  <c r="EH3" i="1"/>
  <c r="CR42" i="1"/>
  <c r="DQ5" i="1"/>
  <c r="DL145" i="1"/>
  <c r="DM177" i="1"/>
  <c r="DQ76" i="1"/>
  <c r="DP183" i="1"/>
  <c r="DQ146" i="1"/>
  <c r="DR170" i="1"/>
  <c r="CP4" i="1"/>
  <c r="BZ104" i="1"/>
  <c r="DM20" i="1"/>
  <c r="CV5" i="1"/>
  <c r="DR26" i="1"/>
  <c r="CA177" i="1"/>
  <c r="DQ63" i="1"/>
  <c r="DM38" i="1"/>
  <c r="DS77" i="1"/>
  <c r="DM11" i="1"/>
  <c r="DQ38" i="1"/>
  <c r="CW161" i="1"/>
  <c r="BR161" i="1"/>
  <c r="DM25" i="1"/>
  <c r="ET140" i="1"/>
  <c r="DQ174" i="1"/>
  <c r="DM174" i="1"/>
  <c r="BZ102" i="1"/>
  <c r="DM75" i="1"/>
  <c r="DP22" i="1"/>
  <c r="DL22" i="1"/>
  <c r="CP188" i="1"/>
  <c r="BS36" i="1"/>
  <c r="CU44" i="1"/>
  <c r="CA77" i="1"/>
  <c r="CA78" i="1"/>
  <c r="BQ155" i="1"/>
  <c r="CW155" i="1" s="1"/>
  <c r="DQ13" i="1"/>
  <c r="DS13" i="1"/>
  <c r="BQ38" i="1"/>
  <c r="DR38" i="1"/>
  <c r="BX38" i="1"/>
  <c r="DR105" i="1"/>
  <c r="BX105" i="1"/>
  <c r="BQ105" i="1"/>
  <c r="DZ85" i="1"/>
  <c r="BL85" i="1" s="1"/>
  <c r="BL84" i="1" s="1"/>
  <c r="EG84" i="1"/>
  <c r="BX101" i="1"/>
  <c r="DR101" i="1"/>
  <c r="BQ101" i="1"/>
  <c r="DR77" i="1"/>
  <c r="BQ77" i="1"/>
  <c r="CW77" i="1" s="1"/>
  <c r="DR140" i="1"/>
  <c r="DM140" i="1"/>
  <c r="BY181" i="1"/>
  <c r="CY181" i="1"/>
  <c r="BZ127" i="1"/>
  <c r="CB110" i="1"/>
  <c r="EJ3" i="1"/>
  <c r="DQ160" i="1"/>
  <c r="DP8" i="1"/>
  <c r="EE136" i="1"/>
  <c r="DS58" i="1"/>
  <c r="CK136" i="1"/>
  <c r="CK191" i="1" s="1"/>
  <c r="BQ26" i="1"/>
  <c r="DQ176" i="1"/>
  <c r="BX87" i="1"/>
  <c r="ET181" i="1"/>
  <c r="EG3" i="1"/>
  <c r="DQ37" i="1"/>
  <c r="DP7" i="1"/>
  <c r="DR58" i="1"/>
  <c r="DL188" i="1"/>
  <c r="BX168" i="1"/>
  <c r="CY168" i="1" s="1"/>
  <c r="DS4" i="1"/>
  <c r="DS20" i="1"/>
  <c r="CB89" i="1"/>
  <c r="DQ58" i="1"/>
  <c r="BX17" i="1"/>
  <c r="EF44" i="1"/>
  <c r="CQ44" i="1"/>
  <c r="DR16" i="1"/>
  <c r="DP19" i="1"/>
  <c r="BX22" i="1"/>
  <c r="DM46" i="1"/>
  <c r="DS46" i="1"/>
  <c r="EJ84" i="1"/>
  <c r="CY141" i="1"/>
  <c r="CY144" i="1"/>
  <c r="CC154" i="1"/>
  <c r="EI3" i="1"/>
  <c r="BI175" i="1"/>
  <c r="DJ136" i="1"/>
  <c r="CB19" i="1"/>
  <c r="DP174" i="1"/>
  <c r="CM42" i="1"/>
  <c r="DM180" i="1"/>
  <c r="CS1" i="1"/>
  <c r="BQ10" i="1"/>
  <c r="DL161" i="1"/>
  <c r="DQ142" i="1"/>
  <c r="DS140" i="1"/>
  <c r="BQ99" i="1"/>
  <c r="BR99" i="1" s="1"/>
  <c r="DQ18" i="1"/>
  <c r="BX170" i="1"/>
  <c r="CY170" i="1" s="1"/>
  <c r="CC58" i="1"/>
  <c r="BY138" i="1"/>
  <c r="BZ117" i="1"/>
  <c r="DP70" i="1"/>
  <c r="BZ23" i="1"/>
  <c r="BX165" i="1"/>
  <c r="ET165" i="1" s="1"/>
  <c r="DQ11" i="1"/>
  <c r="BS130" i="1"/>
  <c r="CC73" i="1"/>
  <c r="BT75" i="1"/>
  <c r="BT74" i="1"/>
  <c r="DS32" i="1"/>
  <c r="DM32" i="1"/>
  <c r="DV17" i="1"/>
  <c r="CV36" i="1"/>
  <c r="DM142" i="1"/>
  <c r="DL180" i="1"/>
  <c r="DP180" i="1"/>
  <c r="BS32" i="1"/>
  <c r="CB119" i="1"/>
  <c r="BU119" i="1"/>
  <c r="BU32" i="1"/>
  <c r="DV12" i="1"/>
  <c r="DS179" i="1"/>
  <c r="DP185" i="1"/>
  <c r="DL185" i="1"/>
  <c r="DL166" i="1"/>
  <c r="DP166" i="1"/>
  <c r="BI62" i="1"/>
  <c r="BU28" i="1"/>
  <c r="DR25" i="1"/>
  <c r="BQ25" i="1"/>
  <c r="BR25" i="1" s="1"/>
  <c r="BY182" i="1"/>
  <c r="CP143" i="1"/>
  <c r="BI48" i="1"/>
  <c r="BU123" i="1"/>
  <c r="DW19" i="1"/>
  <c r="CB118" i="1"/>
  <c r="CP21" i="1"/>
  <c r="CP182" i="1"/>
  <c r="CC144" i="1"/>
  <c r="CU136" i="1"/>
  <c r="CV15" i="1"/>
  <c r="BX158" i="1"/>
  <c r="BY159" i="1" s="1"/>
  <c r="CC140" i="1"/>
  <c r="DM22" i="1"/>
  <c r="DL45" i="1"/>
  <c r="CV26" i="1"/>
  <c r="E29" i="1"/>
  <c r="CP157" i="1"/>
  <c r="CC141" i="1"/>
  <c r="CV4" i="1"/>
  <c r="CP20" i="1"/>
  <c r="BS4" i="1"/>
  <c r="CP187" i="1"/>
  <c r="E23" i="1"/>
  <c r="E77" i="1"/>
  <c r="BZ34" i="1"/>
  <c r="CC138" i="1"/>
  <c r="BI142" i="1"/>
  <c r="E8" i="1"/>
  <c r="DM9" i="1"/>
  <c r="BV43" i="1"/>
  <c r="CQ136" i="1"/>
  <c r="DP6" i="1"/>
  <c r="E5" i="1"/>
  <c r="BZ115" i="1"/>
  <c r="DV149" i="1"/>
  <c r="BU92" i="1"/>
  <c r="DR152" i="1"/>
  <c r="BU30" i="1"/>
  <c r="CP16" i="1"/>
  <c r="BX88" i="1"/>
  <c r="BX33" i="1"/>
  <c r="DJ40" i="1"/>
  <c r="CC78" i="1"/>
  <c r="BZ111" i="1"/>
  <c r="DL48" i="1"/>
  <c r="DV141" i="1"/>
  <c r="DW153" i="1"/>
  <c r="BQ156" i="1"/>
  <c r="CW156" i="1" s="1"/>
  <c r="CW60" i="1"/>
  <c r="DV22" i="1"/>
  <c r="CY139" i="1"/>
  <c r="DR61" i="1"/>
  <c r="BS99" i="1"/>
  <c r="DP143" i="1"/>
  <c r="DP151" i="1"/>
  <c r="CB18" i="1"/>
  <c r="BU85" i="1"/>
  <c r="BX110" i="1"/>
  <c r="DQ184" i="1"/>
  <c r="BS128" i="1"/>
  <c r="BU104" i="1"/>
  <c r="CC74" i="1"/>
  <c r="CA76" i="1"/>
  <c r="BZ35" i="1"/>
  <c r="DW61" i="1"/>
  <c r="CB22" i="1"/>
  <c r="BZ28" i="1"/>
  <c r="BZ17" i="1"/>
  <c r="BX28" i="1"/>
  <c r="DL36" i="1"/>
  <c r="DP17" i="1"/>
  <c r="BX107" i="1"/>
  <c r="BX123" i="1"/>
  <c r="DW154" i="1"/>
  <c r="CK3" i="1"/>
  <c r="CK39" i="1" s="1"/>
  <c r="CO3" i="1"/>
  <c r="CO40" i="1" s="1"/>
  <c r="DW172" i="1"/>
  <c r="CS134" i="1"/>
  <c r="EF136" i="1"/>
  <c r="EE84" i="1"/>
  <c r="CV25" i="1"/>
  <c r="DW16" i="1"/>
  <c r="BT42" i="1"/>
  <c r="BZ90" i="1"/>
  <c r="BU117" i="1"/>
  <c r="CA181" i="1"/>
  <c r="DW18" i="1"/>
  <c r="DW14" i="1"/>
  <c r="DR90" i="1"/>
  <c r="DL159" i="1"/>
  <c r="CC145" i="1"/>
  <c r="DR6" i="1"/>
  <c r="DP60" i="1"/>
  <c r="BQ9" i="1"/>
  <c r="DV19" i="1"/>
  <c r="DP160" i="1"/>
  <c r="DR36" i="1"/>
  <c r="BU16" i="1"/>
  <c r="DL71" i="1"/>
  <c r="BQ169" i="1"/>
  <c r="CW169" i="1" s="1"/>
  <c r="BI37" i="1"/>
  <c r="BQ79" i="1"/>
  <c r="CW79" i="1" s="1"/>
  <c r="DP18" i="1"/>
  <c r="DP13" i="1"/>
  <c r="BU87" i="1"/>
  <c r="BI42" i="1"/>
  <c r="DW24" i="1"/>
  <c r="DQ21" i="1"/>
  <c r="DL178" i="1"/>
  <c r="BU95" i="1"/>
  <c r="DR151" i="1"/>
  <c r="CB4" i="1"/>
  <c r="DP147" i="1"/>
  <c r="CB15" i="1"/>
  <c r="BZ12" i="1"/>
  <c r="BQ186" i="1"/>
  <c r="CW186" i="1" s="1"/>
  <c r="DP175" i="1"/>
  <c r="BS108" i="1"/>
  <c r="DV25" i="1"/>
  <c r="BX149" i="1"/>
  <c r="ET149" i="1" s="1"/>
  <c r="DL140" i="1"/>
  <c r="CA175" i="1"/>
  <c r="DR114" i="1"/>
  <c r="DL34" i="1"/>
  <c r="DQ154" i="1"/>
  <c r="DP154" i="1"/>
  <c r="DR115" i="1"/>
  <c r="CA72" i="1"/>
  <c r="DP189" i="1"/>
  <c r="BZ124" i="1"/>
  <c r="CB109" i="1"/>
  <c r="CB107" i="1"/>
  <c r="BZ5" i="1"/>
  <c r="BS129" i="1"/>
  <c r="DL14" i="1"/>
  <c r="BI77" i="1"/>
  <c r="BX174" i="1"/>
  <c r="CB113" i="1"/>
  <c r="BU9" i="1"/>
  <c r="DQ57" i="1"/>
  <c r="BZ16" i="1"/>
  <c r="BS16" i="1"/>
  <c r="CC189" i="1"/>
  <c r="CC188" i="1"/>
  <c r="CA168" i="1"/>
  <c r="CA167" i="1"/>
  <c r="DQ159" i="1"/>
  <c r="DM159" i="1"/>
  <c r="DL137" i="1"/>
  <c r="DP137" i="1"/>
  <c r="DI136" i="1"/>
  <c r="DI190" i="1" s="1"/>
  <c r="DS79" i="1"/>
  <c r="DM79" i="1"/>
  <c r="DM152" i="1"/>
  <c r="DQ152" i="1"/>
  <c r="DS173" i="1"/>
  <c r="DR173" i="1"/>
  <c r="BZ103" i="1"/>
  <c r="BS103" i="1"/>
  <c r="BS13" i="1"/>
  <c r="BZ13" i="1"/>
  <c r="BZ125" i="1"/>
  <c r="BS125" i="1"/>
  <c r="DM33" i="1"/>
  <c r="DR33" i="1"/>
  <c r="CA163" i="1"/>
  <c r="CA162" i="1"/>
  <c r="DM71" i="1"/>
  <c r="DQ71" i="1"/>
  <c r="CB38" i="1"/>
  <c r="DL32" i="1"/>
  <c r="DP32" i="1"/>
  <c r="CW138" i="1"/>
  <c r="BT139" i="1"/>
  <c r="BS15" i="1"/>
  <c r="BZ15" i="1"/>
  <c r="DR182" i="1"/>
  <c r="DQ182" i="1"/>
  <c r="DS144" i="1"/>
  <c r="DM144" i="1"/>
  <c r="DQ144" i="1"/>
  <c r="DJ190" i="1"/>
  <c r="DL146" i="1"/>
  <c r="DP146" i="1"/>
  <c r="CC177" i="1"/>
  <c r="ET177" i="1"/>
  <c r="BZ95" i="1"/>
  <c r="BS95" i="1"/>
  <c r="DP176" i="1"/>
  <c r="DL176" i="1"/>
  <c r="BZ116" i="1"/>
  <c r="BS116" i="1"/>
  <c r="BT117" i="1" s="1"/>
  <c r="DM175" i="1"/>
  <c r="DQ175" i="1"/>
  <c r="DS175" i="1"/>
  <c r="DL177" i="1"/>
  <c r="DP177" i="1"/>
  <c r="DQ183" i="1"/>
  <c r="DS183" i="1"/>
  <c r="DR183" i="1"/>
  <c r="BI183" i="1"/>
  <c r="DM158" i="1"/>
  <c r="DQ158" i="1"/>
  <c r="DS158" i="1"/>
  <c r="DR158" i="1"/>
  <c r="BZ26" i="1"/>
  <c r="CY182" i="1"/>
  <c r="CA182" i="1"/>
  <c r="BS92" i="1"/>
  <c r="DR70" i="1"/>
  <c r="DQ70" i="1"/>
  <c r="DL26" i="1"/>
  <c r="DP26" i="1"/>
  <c r="BV42" i="1"/>
  <c r="DS78" i="1"/>
  <c r="DQ78" i="1"/>
  <c r="CB100" i="1"/>
  <c r="BU100" i="1"/>
  <c r="BI190" i="1"/>
  <c r="DR60" i="1"/>
  <c r="DR181" i="1"/>
  <c r="DS181" i="1"/>
  <c r="DP10" i="1"/>
  <c r="DL10" i="1"/>
  <c r="BQ88" i="1"/>
  <c r="ET178" i="1"/>
  <c r="BQ36" i="1"/>
  <c r="BS44" i="1"/>
  <c r="BS80" i="1" s="1"/>
  <c r="DL13" i="1"/>
  <c r="CC75" i="1"/>
  <c r="BQ121" i="1"/>
  <c r="ET180" i="1"/>
  <c r="DI3" i="1"/>
  <c r="DI40" i="1" s="1"/>
  <c r="CY177" i="1"/>
  <c r="DS182" i="1"/>
  <c r="BS111" i="1"/>
  <c r="BU107" i="1"/>
  <c r="DM169" i="1"/>
  <c r="DP144" i="1"/>
  <c r="BU128" i="1"/>
  <c r="BU21" i="1"/>
  <c r="BU109" i="1"/>
  <c r="BS105" i="1"/>
  <c r="DM78" i="1"/>
  <c r="DQ33" i="1"/>
  <c r="BT138" i="1"/>
  <c r="DP75" i="1"/>
  <c r="DL17" i="1"/>
  <c r="DR9" i="1"/>
  <c r="BU38" i="1"/>
  <c r="BI156" i="1"/>
  <c r="BQ110" i="1"/>
  <c r="DS154" i="1"/>
  <c r="BX47" i="1"/>
  <c r="CY47" i="1" s="1"/>
  <c r="DR47" i="1"/>
  <c r="BQ47" i="1"/>
  <c r="DL25" i="1"/>
  <c r="DP25" i="1"/>
  <c r="BI11" i="1"/>
  <c r="BI10" i="1"/>
  <c r="CB23" i="1"/>
  <c r="BU23" i="1"/>
  <c r="DM149" i="1"/>
  <c r="DQ149" i="1"/>
  <c r="DP46" i="1"/>
  <c r="DH44" i="1"/>
  <c r="DH81" i="1" s="1"/>
  <c r="DS35" i="1"/>
  <c r="DQ35" i="1"/>
  <c r="DM35" i="1"/>
  <c r="DR35" i="1"/>
  <c r="DQ60" i="1"/>
  <c r="DS60" i="1"/>
  <c r="DM60" i="1"/>
  <c r="BT77" i="1"/>
  <c r="BT78" i="1"/>
  <c r="DR141" i="1"/>
  <c r="DQ141" i="1"/>
  <c r="DM141" i="1"/>
  <c r="BS119" i="1"/>
  <c r="BZ119" i="1"/>
  <c r="DP164" i="1"/>
  <c r="DL164" i="1"/>
  <c r="CC187" i="1"/>
  <c r="CC186" i="1"/>
  <c r="BS21" i="1"/>
  <c r="BZ21" i="1"/>
  <c r="DR112" i="1"/>
  <c r="BX112" i="1"/>
  <c r="BU91" i="1"/>
  <c r="CB91" i="1"/>
  <c r="DM187" i="1"/>
  <c r="DS187" i="1"/>
  <c r="CC142" i="1"/>
  <c r="ET142" i="1"/>
  <c r="CC143" i="1"/>
  <c r="CC79" i="1"/>
  <c r="BI16" i="1"/>
  <c r="BI17" i="1"/>
  <c r="DP139" i="1"/>
  <c r="DH136" i="1"/>
  <c r="DH191" i="1" s="1"/>
  <c r="DL47" i="1"/>
  <c r="DI44" i="1"/>
  <c r="DI80" i="1" s="1"/>
  <c r="DP47" i="1"/>
  <c r="BX29" i="1"/>
  <c r="BQ29" i="1"/>
  <c r="DQ6" i="1"/>
  <c r="DM6" i="1"/>
  <c r="DJ3" i="1"/>
  <c r="DS6" i="1"/>
  <c r="DJ39" i="1"/>
  <c r="BI5" i="1"/>
  <c r="DP38" i="1"/>
  <c r="DL38" i="1"/>
  <c r="BU102" i="1"/>
  <c r="CB102" i="1"/>
  <c r="CC103" i="1" s="1"/>
  <c r="DQ36" i="1"/>
  <c r="DS36" i="1"/>
  <c r="BU127" i="1"/>
  <c r="DM24" i="1"/>
  <c r="DR24" i="1"/>
  <c r="DR175" i="1"/>
  <c r="DR11" i="1"/>
  <c r="BQ11" i="1"/>
  <c r="DP12" i="1"/>
  <c r="DL12" i="1"/>
  <c r="DQ151" i="1"/>
  <c r="DS151" i="1"/>
  <c r="DM151" i="1"/>
  <c r="BX21" i="1"/>
  <c r="DR15" i="1"/>
  <c r="DS15" i="1"/>
  <c r="DQ15" i="1"/>
  <c r="CA155" i="1"/>
  <c r="CA154" i="1"/>
  <c r="DR71" i="1"/>
  <c r="BZ37" i="1"/>
  <c r="BX125" i="1"/>
  <c r="BQ126" i="1"/>
  <c r="DQ157" i="1"/>
  <c r="DS33" i="1"/>
  <c r="BU15" i="1"/>
  <c r="DL60" i="1"/>
  <c r="BQ71" i="1"/>
  <c r="CW71" i="1" s="1"/>
  <c r="DM70" i="1"/>
  <c r="BY178" i="1"/>
  <c r="DM182" i="1"/>
  <c r="CA147" i="1"/>
  <c r="DS24" i="1"/>
  <c r="CY142" i="1"/>
  <c r="DL151" i="1"/>
  <c r="BU22" i="1"/>
  <c r="DQ79" i="1"/>
  <c r="DM181" i="1"/>
  <c r="DS21" i="1"/>
  <c r="DL6" i="1"/>
  <c r="BX120" i="1"/>
  <c r="CB16" i="1"/>
  <c r="DP159" i="1"/>
  <c r="DS149" i="1"/>
  <c r="BS19" i="1"/>
  <c r="BZ128" i="1"/>
  <c r="DM36" i="1"/>
  <c r="DL160" i="1"/>
  <c r="CB117" i="1"/>
  <c r="DR110" i="1"/>
  <c r="DP48" i="1"/>
  <c r="DS71" i="1"/>
  <c r="DS45" i="1"/>
  <c r="DK81" i="1"/>
  <c r="DR122" i="1"/>
  <c r="BQ122" i="1"/>
  <c r="BI30" i="1"/>
  <c r="BI31" i="1"/>
  <c r="CA58" i="1"/>
  <c r="CA59" i="1"/>
  <c r="DQ156" i="1"/>
  <c r="DM156" i="1"/>
  <c r="DR156" i="1"/>
  <c r="DS156" i="1"/>
  <c r="CB97" i="1"/>
  <c r="BU97" i="1"/>
  <c r="CA150" i="1"/>
  <c r="CA151" i="1"/>
  <c r="BI75" i="1"/>
  <c r="BI76" i="1"/>
  <c r="BT59" i="1"/>
  <c r="BT58" i="1"/>
  <c r="BS33" i="1"/>
  <c r="BZ33" i="1"/>
  <c r="BX61" i="1"/>
  <c r="CY61" i="1" s="1"/>
  <c r="BQ61" i="1"/>
  <c r="CW61" i="1" s="1"/>
  <c r="BU111" i="1"/>
  <c r="CB111" i="1"/>
  <c r="CA188" i="1"/>
  <c r="CA145" i="1"/>
  <c r="CA146" i="1"/>
  <c r="DP63" i="1"/>
  <c r="DL63" i="1"/>
  <c r="BQ118" i="1"/>
  <c r="BX118" i="1"/>
  <c r="DS171" i="1"/>
  <c r="DM171" i="1"/>
  <c r="DQ171" i="1"/>
  <c r="BU17" i="1"/>
  <c r="CB17" i="1"/>
  <c r="BY179" i="1"/>
  <c r="BQ108" i="1"/>
  <c r="DR108" i="1"/>
  <c r="DM150" i="1"/>
  <c r="DS150" i="1"/>
  <c r="DQ150" i="1"/>
  <c r="CB35" i="1"/>
  <c r="BU35" i="1"/>
  <c r="DM7" i="1"/>
  <c r="DQ7" i="1"/>
  <c r="DR7" i="1"/>
  <c r="DS7" i="1"/>
  <c r="CC70" i="1"/>
  <c r="CC71" i="1"/>
  <c r="CB106" i="1"/>
  <c r="DM59" i="1"/>
  <c r="DS59" i="1"/>
  <c r="DQ59" i="1"/>
  <c r="DJ80" i="1"/>
  <c r="DJ44" i="1"/>
  <c r="DS10" i="1"/>
  <c r="DM10" i="1"/>
  <c r="DK40" i="1"/>
  <c r="DK39" i="1"/>
  <c r="DQ10" i="1"/>
  <c r="BQ104" i="1"/>
  <c r="DR104" i="1"/>
  <c r="DS138" i="1"/>
  <c r="DQ138" i="1"/>
  <c r="DR138" i="1"/>
  <c r="DK136" i="1"/>
  <c r="DK190" i="1"/>
  <c r="DP34" i="1"/>
  <c r="DM189" i="1"/>
  <c r="DQ189" i="1"/>
  <c r="CB5" i="1"/>
  <c r="ET139" i="1"/>
  <c r="ET184" i="1"/>
  <c r="BS28" i="1"/>
  <c r="CA48" i="1"/>
  <c r="BQ174" i="1"/>
  <c r="CW174" i="1" s="1"/>
  <c r="DR123" i="1"/>
  <c r="BQ33" i="1"/>
  <c r="CB30" i="1"/>
  <c r="DS184" i="1"/>
  <c r="DQ24" i="1"/>
  <c r="DH3" i="1"/>
  <c r="DH39" i="1" s="1"/>
  <c r="DK3" i="1"/>
  <c r="DJ191" i="1"/>
  <c r="DM184" i="1"/>
  <c r="DK191" i="1"/>
  <c r="DQ173" i="1"/>
  <c r="BQ23" i="1"/>
  <c r="BR24" i="1" s="1"/>
  <c r="DQ181" i="1"/>
  <c r="DP71" i="1"/>
  <c r="DM45" i="1"/>
  <c r="DK80" i="1"/>
  <c r="BX23" i="1"/>
  <c r="BI6" i="1"/>
  <c r="BQ112" i="1"/>
  <c r="BI166" i="1"/>
  <c r="DS189" i="1"/>
  <c r="DS70" i="1"/>
  <c r="CC146" i="1"/>
  <c r="DR144" i="1"/>
  <c r="DM15" i="1"/>
  <c r="DS141" i="1"/>
  <c r="DQ187" i="1"/>
  <c r="CA189" i="1"/>
  <c r="DL175" i="1"/>
  <c r="CY159" i="1"/>
  <c r="BK84" i="1"/>
  <c r="DJ81" i="1"/>
  <c r="DS174" i="1"/>
  <c r="CA140" i="1"/>
  <c r="BY180" i="1"/>
  <c r="DP140" i="1"/>
  <c r="BQ147" i="1"/>
  <c r="CW147" i="1" s="1"/>
  <c r="CC179" i="1"/>
  <c r="DL147" i="1"/>
  <c r="BZ98" i="1"/>
  <c r="BI179" i="1"/>
  <c r="BZ11" i="1"/>
  <c r="CA149" i="1"/>
  <c r="CB104" i="1"/>
  <c r="CC104" i="1" s="1"/>
  <c r="CB129" i="1"/>
  <c r="CB92" i="1"/>
  <c r="BZ99" i="1"/>
  <c r="BI158" i="1"/>
  <c r="DL139" i="1"/>
  <c r="BS90" i="1"/>
  <c r="CB27" i="1"/>
  <c r="BX90" i="1"/>
  <c r="BI38" i="1"/>
  <c r="BZ110" i="1"/>
  <c r="BU126" i="1"/>
  <c r="DR128" i="1"/>
  <c r="DR159" i="1"/>
  <c r="DR10" i="1"/>
  <c r="BX97" i="1"/>
  <c r="BX9" i="1"/>
  <c r="BX152" i="1"/>
  <c r="CY152" i="1" s="1"/>
  <c r="DL18" i="1"/>
  <c r="DM154" i="1"/>
  <c r="DR150" i="1"/>
  <c r="BQ150" i="1"/>
  <c r="CW150" i="1" s="1"/>
  <c r="BI64" i="1"/>
  <c r="BI80" i="1"/>
  <c r="BI63" i="1"/>
  <c r="BH44" i="1"/>
  <c r="BH80" i="1"/>
  <c r="BX34" i="1"/>
  <c r="DR34" i="1"/>
  <c r="BH39" i="1"/>
  <c r="BI1" i="1"/>
  <c r="BI39" i="1"/>
  <c r="CB86" i="1"/>
  <c r="BU86" i="1"/>
  <c r="BX32" i="1"/>
  <c r="DR32" i="1"/>
  <c r="CB87" i="1"/>
  <c r="BZ108" i="1"/>
  <c r="DR174" i="1"/>
  <c r="BI153" i="1"/>
  <c r="DR79" i="1"/>
  <c r="CB136" i="1"/>
  <c r="CB190" i="1" s="1"/>
  <c r="DR126" i="1"/>
  <c r="BH3" i="1"/>
  <c r="BZ92" i="1"/>
  <c r="BZ129" i="1"/>
  <c r="DR107" i="1"/>
  <c r="DR125" i="1"/>
  <c r="DR62" i="1"/>
  <c r="BZ91" i="1"/>
  <c r="BS91" i="1"/>
  <c r="CY179" i="1"/>
  <c r="ET179" i="1"/>
  <c r="CB94" i="1"/>
  <c r="BU94" i="1"/>
  <c r="CB116" i="1"/>
  <c r="BU116" i="1"/>
  <c r="CC47" i="1"/>
  <c r="CC46" i="1"/>
  <c r="BU105" i="1"/>
  <c r="BQ64" i="1"/>
  <c r="BX64" i="1"/>
  <c r="ET64" i="1" s="1"/>
  <c r="BU44" i="1"/>
  <c r="BU81" i="1" s="1"/>
  <c r="BQ113" i="1"/>
  <c r="BX113" i="1"/>
  <c r="BX187" i="1"/>
  <c r="DR187" i="1"/>
  <c r="BQ187" i="1"/>
  <c r="CW187" i="1" s="1"/>
  <c r="BZ44" i="1"/>
  <c r="BZ81" i="1" s="1"/>
  <c r="CC158" i="1"/>
  <c r="CC157" i="1"/>
  <c r="DR27" i="1"/>
  <c r="BQ27" i="1"/>
  <c r="DR124" i="1"/>
  <c r="BX124" i="1"/>
  <c r="BT47" i="1"/>
  <c r="BT46" i="1"/>
  <c r="BQ78" i="1"/>
  <c r="BX78" i="1"/>
  <c r="CY78" i="1" s="1"/>
  <c r="BQ117" i="1"/>
  <c r="DR117" i="1"/>
  <c r="BX93" i="1"/>
  <c r="BQ93" i="1"/>
  <c r="BU25" i="1"/>
  <c r="BX62" i="1"/>
  <c r="BI185" i="1"/>
  <c r="BI184" i="1"/>
  <c r="CB9" i="1"/>
  <c r="BX20" i="1"/>
  <c r="DR20" i="1"/>
  <c r="CA73" i="1"/>
  <c r="BH136" i="1"/>
  <c r="DR116" i="1"/>
  <c r="BX116" i="1"/>
  <c r="BQ116" i="1"/>
  <c r="BQ100" i="1"/>
  <c r="BX100" i="1"/>
  <c r="CA171" i="1"/>
  <c r="CA172" i="1"/>
  <c r="BZ118" i="1"/>
  <c r="BS118" i="1"/>
  <c r="BT118" i="1" s="1"/>
  <c r="BX154" i="1"/>
  <c r="BI70" i="1"/>
  <c r="BI71" i="1"/>
  <c r="BQ92" i="1"/>
  <c r="BX92" i="1"/>
  <c r="BU122" i="1"/>
  <c r="CB122" i="1"/>
  <c r="BU29" i="1"/>
  <c r="CB29" i="1"/>
  <c r="BQ28" i="1"/>
  <c r="DR28" i="1"/>
  <c r="CA138" i="1"/>
  <c r="CY138" i="1"/>
  <c r="BX189" i="1"/>
  <c r="ET189" i="1" s="1"/>
  <c r="DR189" i="1"/>
  <c r="ET141" i="1"/>
  <c r="CA141" i="1"/>
  <c r="DR103" i="1"/>
  <c r="BX103" i="1"/>
  <c r="BQ103" i="1"/>
  <c r="DR169" i="1"/>
  <c r="BX169" i="1"/>
  <c r="CY169" i="1" s="1"/>
  <c r="BQ154" i="1"/>
  <c r="CW154" i="1" s="1"/>
  <c r="DR154" i="1"/>
  <c r="ET182" i="1"/>
  <c r="BS37" i="1"/>
  <c r="BU113" i="1"/>
  <c r="BX114" i="1"/>
  <c r="BS124" i="1"/>
  <c r="BH1" i="1"/>
  <c r="CA183" i="1"/>
  <c r="CA62" i="1"/>
  <c r="CA174" i="1"/>
  <c r="BQ125" i="1"/>
  <c r="CA186" i="1"/>
  <c r="CA187" i="1"/>
  <c r="BQ149" i="1"/>
  <c r="CW149" i="1" s="1"/>
  <c r="BQ114" i="1"/>
  <c r="BH42" i="1"/>
  <c r="DR186" i="1"/>
  <c r="BQ123" i="1"/>
  <c r="BI154" i="1"/>
  <c r="BX186" i="1"/>
  <c r="CY186" i="1" s="1"/>
  <c r="CY143" i="1"/>
  <c r="BX71" i="1"/>
  <c r="ET71" i="1" s="1"/>
  <c r="BX79" i="1"/>
  <c r="CY79" i="1" s="1"/>
  <c r="BI21" i="1"/>
  <c r="CB123" i="1"/>
  <c r="CC159" i="1"/>
  <c r="CB44" i="1"/>
  <c r="CB81" i="1" s="1"/>
  <c r="BQ22" i="1"/>
  <c r="BQ107" i="1"/>
  <c r="BK136" i="1"/>
  <c r="BJ3" i="1"/>
  <c r="DR78" i="1"/>
  <c r="BZ36" i="1"/>
  <c r="BQ115" i="1"/>
  <c r="CB121" i="1"/>
  <c r="BQ20" i="1"/>
  <c r="BI165" i="1"/>
  <c r="BI22" i="1"/>
  <c r="BQ34" i="1"/>
  <c r="CC63" i="1"/>
  <c r="BX11" i="1"/>
  <c r="BQ175" i="1"/>
  <c r="CW175" i="1" s="1"/>
  <c r="CB105" i="1"/>
  <c r="BZ14" i="1"/>
  <c r="BQ32" i="1"/>
  <c r="BX117" i="1"/>
  <c r="CA74" i="1"/>
  <c r="DR113" i="1"/>
  <c r="BS110" i="1"/>
  <c r="BQ90" i="1"/>
  <c r="BQ73" i="1"/>
  <c r="CW73" i="1" s="1"/>
  <c r="BX73" i="1"/>
  <c r="CY73" i="1" s="1"/>
  <c r="BQ70" i="1"/>
  <c r="BX70" i="1"/>
  <c r="BY70" i="1" s="1"/>
  <c r="BU20" i="1"/>
  <c r="CB20" i="1"/>
  <c r="DR157" i="1"/>
  <c r="BQ157" i="1"/>
  <c r="BU130" i="1"/>
  <c r="CB130" i="1"/>
  <c r="DR171" i="1"/>
  <c r="BQ171" i="1"/>
  <c r="CW171" i="1" s="1"/>
  <c r="BI79" i="1"/>
  <c r="BQ31" i="1"/>
  <c r="BX31" i="1"/>
  <c r="DR31" i="1"/>
  <c r="DR46" i="1"/>
  <c r="BX46" i="1"/>
  <c r="CY46" i="1" s="1"/>
  <c r="BQ46" i="1"/>
  <c r="CW46" i="1" s="1"/>
  <c r="BQ21" i="1"/>
  <c r="DR21" i="1"/>
  <c r="CB8" i="1"/>
  <c r="BU8" i="1"/>
  <c r="BS5" i="1"/>
  <c r="BL3" i="1"/>
  <c r="BH190" i="1"/>
  <c r="CA180" i="1"/>
  <c r="DR22" i="1"/>
  <c r="BT43" i="1"/>
  <c r="CB95" i="1"/>
  <c r="DR149" i="1"/>
  <c r="CA47" i="1"/>
  <c r="CA160" i="1"/>
  <c r="BX104" i="1"/>
  <c r="BX115" i="1"/>
  <c r="BI170" i="1"/>
  <c r="BS97" i="1"/>
  <c r="BX150" i="1"/>
  <c r="BX155" i="1"/>
  <c r="ET155" i="1" s="1"/>
  <c r="DR100" i="1"/>
  <c r="BS12" i="1"/>
  <c r="BQ76" i="1"/>
  <c r="CW76" i="1" s="1"/>
  <c r="BX175" i="1"/>
  <c r="CY175" i="1" s="1"/>
  <c r="BI141" i="1"/>
  <c r="BQ97" i="1"/>
  <c r="BS26" i="1"/>
  <c r="BQ152" i="1"/>
  <c r="CW152" i="1" s="1"/>
  <c r="BI180" i="1"/>
  <c r="BX60" i="1"/>
  <c r="CA139" i="1"/>
  <c r="BK44" i="1"/>
  <c r="BQ6" i="1"/>
  <c r="BU4" i="1"/>
  <c r="BU5" i="1"/>
  <c r="DW12" i="1"/>
  <c r="DW15" i="1"/>
  <c r="BI134" i="1"/>
  <c r="DK44" i="1"/>
  <c r="CA179" i="1"/>
  <c r="BI159" i="1"/>
  <c r="BU118" i="1"/>
  <c r="CB114" i="1"/>
  <c r="ET137" i="1"/>
  <c r="CC61" i="1"/>
  <c r="CB85" i="1"/>
  <c r="DV29" i="1"/>
  <c r="BZ136" i="1"/>
  <c r="BZ191" i="1" s="1"/>
  <c r="CM134" i="1"/>
  <c r="BH134" i="1"/>
  <c r="DV9" i="1"/>
  <c r="DS62" i="1"/>
  <c r="DW30" i="1"/>
  <c r="DW8" i="1"/>
  <c r="BQ173" i="1"/>
  <c r="CW173" i="1" s="1"/>
  <c r="BT140" i="1"/>
  <c r="CW139" i="1"/>
  <c r="BY183" i="1"/>
  <c r="DS145" i="1"/>
  <c r="DR166" i="1"/>
  <c r="BS34" i="1"/>
  <c r="BX148" i="1"/>
  <c r="ET148" i="1" s="1"/>
  <c r="DS19" i="1"/>
  <c r="DL142" i="1"/>
  <c r="DP142" i="1"/>
  <c r="DW4" i="1"/>
  <c r="DM13" i="1"/>
  <c r="E73" i="1"/>
  <c r="CV8" i="1"/>
  <c r="CA158" i="1"/>
  <c r="BR166" i="1"/>
  <c r="DR72" i="1"/>
  <c r="BS38" i="1"/>
  <c r="DW181" i="1"/>
  <c r="E61" i="1"/>
  <c r="CA75" i="1"/>
  <c r="BS98" i="1"/>
  <c r="DP76" i="1"/>
  <c r="DL76" i="1"/>
  <c r="DL20" i="1"/>
  <c r="DP20" i="1"/>
  <c r="CP75" i="1"/>
  <c r="BX166" i="1"/>
  <c r="CP63" i="1"/>
  <c r="CP61" i="1"/>
  <c r="DS166" i="1"/>
  <c r="DM166" i="1"/>
  <c r="DQ166" i="1"/>
  <c r="C3" i="1"/>
  <c r="BQ37" i="1"/>
  <c r="BX128" i="1"/>
  <c r="BQ128" i="1"/>
  <c r="BX129" i="1"/>
  <c r="BQ129" i="1"/>
  <c r="DR129" i="1"/>
  <c r="BJ136" i="1"/>
  <c r="DR5" i="1"/>
  <c r="BQ5" i="1"/>
  <c r="CW165" i="1"/>
  <c r="BR165" i="1"/>
  <c r="DR145" i="1"/>
  <c r="BQ145" i="1"/>
  <c r="BR145" i="1" s="1"/>
  <c r="ET159" i="1"/>
  <c r="DR85" i="1"/>
  <c r="BX85" i="1"/>
  <c r="BQ85" i="1"/>
  <c r="BX5" i="1"/>
  <c r="CW151" i="1"/>
  <c r="BU90" i="1"/>
  <c r="CB90" i="1"/>
  <c r="BN84" i="1"/>
  <c r="BZ86" i="1"/>
  <c r="BS86" i="1"/>
  <c r="BJ84" i="1"/>
  <c r="BO3" i="1"/>
  <c r="CB10" i="1"/>
  <c r="BU10" i="1"/>
  <c r="BQ45" i="1"/>
  <c r="BX45" i="1"/>
  <c r="BJ44" i="1"/>
  <c r="DR45" i="1"/>
  <c r="BX86" i="1"/>
  <c r="DR86" i="1"/>
  <c r="BQ86" i="1"/>
  <c r="BX146" i="1"/>
  <c r="DR146" i="1"/>
  <c r="BQ146" i="1"/>
  <c r="BQ12" i="1"/>
  <c r="BX12" i="1"/>
  <c r="DR12" i="1"/>
  <c r="BN3" i="1"/>
  <c r="BU7" i="1"/>
  <c r="CB7" i="1"/>
  <c r="CK1" i="1" l="1"/>
  <c r="CY164" i="1"/>
  <c r="CZ164" i="1" s="1"/>
  <c r="CC22" i="1"/>
  <c r="CC21" i="1"/>
  <c r="BT9" i="1"/>
  <c r="BT8" i="1"/>
  <c r="BY60" i="1"/>
  <c r="BY59" i="1"/>
  <c r="CY59" i="1"/>
  <c r="CC99" i="1"/>
  <c r="CC97" i="1"/>
  <c r="BV121" i="1"/>
  <c r="CC115" i="1"/>
  <c r="BV106" i="1"/>
  <c r="BY122" i="1"/>
  <c r="CC128" i="1"/>
  <c r="BY96" i="1"/>
  <c r="BY95" i="1"/>
  <c r="CC127" i="1"/>
  <c r="CA20" i="1"/>
  <c r="CA19" i="1"/>
  <c r="BT123" i="1"/>
  <c r="BT122" i="1"/>
  <c r="BY38" i="1"/>
  <c r="CC32" i="1"/>
  <c r="CC96" i="1"/>
  <c r="CC31" i="1"/>
  <c r="BT101" i="1"/>
  <c r="BY30" i="1"/>
  <c r="CY188" i="1"/>
  <c r="CA106" i="1"/>
  <c r="CA107" i="1"/>
  <c r="BY177" i="1"/>
  <c r="CY176" i="1"/>
  <c r="CZ177" i="1" s="1"/>
  <c r="BY172" i="1"/>
  <c r="CY172" i="1"/>
  <c r="BV19" i="1"/>
  <c r="BY77" i="1"/>
  <c r="CZ178" i="1"/>
  <c r="CC13" i="1"/>
  <c r="CC14" i="1"/>
  <c r="BT20" i="1"/>
  <c r="BY123" i="1"/>
  <c r="BT21" i="1"/>
  <c r="BR19" i="1"/>
  <c r="BR36" i="1"/>
  <c r="ET76" i="1"/>
  <c r="CC125" i="1"/>
  <c r="CY75" i="1"/>
  <c r="CZ76" i="1" s="1"/>
  <c r="CA23" i="1"/>
  <c r="CA88" i="1"/>
  <c r="CC17" i="1"/>
  <c r="ET130" i="1"/>
  <c r="BY15" i="1"/>
  <c r="CC129" i="1"/>
  <c r="CA125" i="1"/>
  <c r="BT23" i="1"/>
  <c r="BT24" i="1"/>
  <c r="BV110" i="1"/>
  <c r="BY76" i="1"/>
  <c r="BT11" i="1"/>
  <c r="CC126" i="1"/>
  <c r="BT18" i="1"/>
  <c r="CA108" i="1"/>
  <c r="CY162" i="1"/>
  <c r="CZ163" i="1" s="1"/>
  <c r="BY24" i="1"/>
  <c r="CA95" i="1"/>
  <c r="BR94" i="1"/>
  <c r="CW94" i="1"/>
  <c r="BR64" i="1"/>
  <c r="CA18" i="1"/>
  <c r="ET48" i="1"/>
  <c r="CY48" i="1"/>
  <c r="CZ49" i="1" s="1"/>
  <c r="BV14" i="1"/>
  <c r="BV13" i="1"/>
  <c r="BT121" i="1"/>
  <c r="BR164" i="1"/>
  <c r="BR163" i="1"/>
  <c r="BR5" i="1"/>
  <c r="BT88" i="1"/>
  <c r="CY58" i="1"/>
  <c r="ET58" i="1"/>
  <c r="BV126" i="1"/>
  <c r="BV125" i="1"/>
  <c r="BV108" i="1"/>
  <c r="BY164" i="1"/>
  <c r="ET163" i="1"/>
  <c r="BY9" i="1"/>
  <c r="BY58" i="1"/>
  <c r="CY151" i="1"/>
  <c r="CZ152" i="1" s="1"/>
  <c r="CC108" i="1"/>
  <c r="BY108" i="1"/>
  <c r="BY163" i="1"/>
  <c r="BT109" i="1"/>
  <c r="CY14" i="1"/>
  <c r="BR58" i="1"/>
  <c r="BY112" i="1"/>
  <c r="BT124" i="1"/>
  <c r="BY111" i="1"/>
  <c r="CK82" i="1"/>
  <c r="BV103" i="1"/>
  <c r="CA30" i="1"/>
  <c r="CA121" i="1"/>
  <c r="CY121" i="1"/>
  <c r="BV104" i="1"/>
  <c r="BY7" i="1"/>
  <c r="CA94" i="1"/>
  <c r="BR49" i="1"/>
  <c r="BR48" i="1"/>
  <c r="BR111" i="1"/>
  <c r="BU80" i="1"/>
  <c r="BR130" i="1"/>
  <c r="BY154" i="1"/>
  <c r="BT112" i="1"/>
  <c r="CC26" i="1"/>
  <c r="CA114" i="1"/>
  <c r="CC37" i="1"/>
  <c r="CW8" i="1"/>
  <c r="CY36" i="1"/>
  <c r="CA28" i="1"/>
  <c r="ET153" i="1"/>
  <c r="BV101" i="1"/>
  <c r="CA27" i="1"/>
  <c r="BR9" i="1"/>
  <c r="BV116" i="1"/>
  <c r="BR119" i="1"/>
  <c r="BR120" i="1"/>
  <c r="BR124" i="1"/>
  <c r="CA7" i="1"/>
  <c r="CM191" i="1"/>
  <c r="CJ191" i="1" s="1"/>
  <c r="BR31" i="1"/>
  <c r="CY173" i="1"/>
  <c r="BR125" i="1"/>
  <c r="BR8" i="1"/>
  <c r="CY25" i="1"/>
  <c r="BY63" i="1"/>
  <c r="CA93" i="1"/>
  <c r="BY145" i="1"/>
  <c r="CY6" i="1"/>
  <c r="CY63" i="1"/>
  <c r="ET145" i="1"/>
  <c r="CY149" i="1"/>
  <c r="CY8" i="1"/>
  <c r="CK190" i="1"/>
  <c r="CJ190" i="1" s="1"/>
  <c r="BV115" i="1"/>
  <c r="BT30" i="1"/>
  <c r="CP132" i="1"/>
  <c r="CK134" i="1"/>
  <c r="ET36" i="1"/>
  <c r="BY92" i="1"/>
  <c r="CW33" i="1"/>
  <c r="ET35" i="1"/>
  <c r="ET37" i="1"/>
  <c r="CC101" i="1"/>
  <c r="BY174" i="1"/>
  <c r="BT32" i="1"/>
  <c r="CA25" i="1"/>
  <c r="BT113" i="1"/>
  <c r="BT31" i="1"/>
  <c r="CA9" i="1"/>
  <c r="BT7" i="1"/>
  <c r="CA122" i="1"/>
  <c r="ET6" i="1"/>
  <c r="BV100" i="1"/>
  <c r="CA123" i="1"/>
  <c r="BR116" i="1"/>
  <c r="ET93" i="1"/>
  <c r="CC94" i="1"/>
  <c r="BT28" i="1"/>
  <c r="BY119" i="1"/>
  <c r="BY120" i="1"/>
  <c r="BT127" i="1"/>
  <c r="BT26" i="1"/>
  <c r="CY160" i="1"/>
  <c r="CZ160" i="1" s="1"/>
  <c r="CC29" i="1"/>
  <c r="BV99" i="1"/>
  <c r="ET160" i="1"/>
  <c r="BR63" i="1"/>
  <c r="ET27" i="1"/>
  <c r="CC38" i="1"/>
  <c r="CA103" i="1"/>
  <c r="BV27" i="1"/>
  <c r="ET25" i="1"/>
  <c r="CY171" i="1"/>
  <c r="CZ171" i="1" s="1"/>
  <c r="CC93" i="1"/>
  <c r="BY153" i="1"/>
  <c r="BV34" i="1"/>
  <c r="CA31" i="1"/>
  <c r="BY127" i="1"/>
  <c r="BR89" i="1"/>
  <c r="BY25" i="1"/>
  <c r="BY128" i="1"/>
  <c r="BV123" i="1"/>
  <c r="CW25" i="1"/>
  <c r="DN81" i="1"/>
  <c r="BV129" i="1"/>
  <c r="ET127" i="1"/>
  <c r="BY26" i="1"/>
  <c r="BR110" i="1"/>
  <c r="BT19" i="1"/>
  <c r="CY130" i="1"/>
  <c r="BT126" i="1"/>
  <c r="BV93" i="1"/>
  <c r="BY102" i="1"/>
  <c r="CA105" i="1"/>
  <c r="ET174" i="1"/>
  <c r="BY162" i="1"/>
  <c r="BS85" i="1"/>
  <c r="CW85" i="1" s="1"/>
  <c r="DH190" i="1"/>
  <c r="BY161" i="1"/>
  <c r="CY35" i="1"/>
  <c r="BY173" i="1"/>
  <c r="ET77" i="1"/>
  <c r="ET161" i="1"/>
  <c r="BV35" i="1"/>
  <c r="BV97" i="1"/>
  <c r="BV15" i="1"/>
  <c r="CA10" i="1"/>
  <c r="CA32" i="1"/>
  <c r="ET14" i="1"/>
  <c r="BR57" i="1"/>
  <c r="BR170" i="1"/>
  <c r="BR167" i="1"/>
  <c r="BT97" i="1"/>
  <c r="CA6" i="1"/>
  <c r="BR59" i="1"/>
  <c r="BY165" i="1"/>
  <c r="BR91" i="1"/>
  <c r="CM39" i="1"/>
  <c r="BR60" i="1"/>
  <c r="CA21" i="1"/>
  <c r="BY11" i="1"/>
  <c r="BR92" i="1"/>
  <c r="CW57" i="1"/>
  <c r="BT111" i="1"/>
  <c r="CZ183" i="1"/>
  <c r="BT15" i="1"/>
  <c r="ET109" i="1"/>
  <c r="BT128" i="1"/>
  <c r="BT115" i="1"/>
  <c r="ET123" i="1"/>
  <c r="BS81" i="1"/>
  <c r="CW112" i="1"/>
  <c r="CC5" i="1"/>
  <c r="CZ170" i="1"/>
  <c r="CW117" i="1"/>
  <c r="BY34" i="1"/>
  <c r="ET46" i="1"/>
  <c r="CW111" i="1"/>
  <c r="ET73" i="1"/>
  <c r="BV128" i="1"/>
  <c r="CA113" i="1"/>
  <c r="BY23" i="1"/>
  <c r="CW87" i="1"/>
  <c r="CA38" i="1"/>
  <c r="ET8" i="1"/>
  <c r="BY17" i="1"/>
  <c r="CC88" i="1"/>
  <c r="BY106" i="1"/>
  <c r="BR15" i="1"/>
  <c r="CW101" i="1"/>
  <c r="CA5" i="1"/>
  <c r="CW92" i="1"/>
  <c r="BY74" i="1"/>
  <c r="BY125" i="1"/>
  <c r="CW119" i="1"/>
  <c r="ET104" i="1"/>
  <c r="CC98" i="1"/>
  <c r="BT114" i="1"/>
  <c r="BY121" i="1"/>
  <c r="CY37" i="1"/>
  <c r="CA8" i="1"/>
  <c r="CY106" i="1"/>
  <c r="CY101" i="1"/>
  <c r="CC124" i="1"/>
  <c r="BY101" i="1"/>
  <c r="CY93" i="1"/>
  <c r="BR78" i="1"/>
  <c r="CY74" i="1"/>
  <c r="CZ74" i="1" s="1"/>
  <c r="ET22" i="1"/>
  <c r="CA115" i="1"/>
  <c r="BV120" i="1"/>
  <c r="BY19" i="1"/>
  <c r="ET101" i="1"/>
  <c r="CC36" i="1"/>
  <c r="BV111" i="1"/>
  <c r="BY75" i="1"/>
  <c r="CW47" i="1"/>
  <c r="ET112" i="1"/>
  <c r="BV94" i="1"/>
  <c r="CC27" i="1"/>
  <c r="CW176" i="1"/>
  <c r="BY105" i="1"/>
  <c r="BV24" i="1"/>
  <c r="ET4" i="1"/>
  <c r="BR14" i="1"/>
  <c r="CY22" i="1"/>
  <c r="CY112" i="1"/>
  <c r="ET106" i="1"/>
  <c r="ET78" i="1"/>
  <c r="BV21" i="1"/>
  <c r="CY105" i="1"/>
  <c r="BR34" i="1"/>
  <c r="CW114" i="1"/>
  <c r="CC117" i="1"/>
  <c r="ET97" i="1"/>
  <c r="BY91" i="1"/>
  <c r="CC112" i="1"/>
  <c r="CZ142" i="1"/>
  <c r="BY126" i="1"/>
  <c r="BY22" i="1"/>
  <c r="ET88" i="1"/>
  <c r="CC89" i="1"/>
  <c r="BV37" i="1"/>
  <c r="CA24" i="1"/>
  <c r="CC33" i="1"/>
  <c r="CW17" i="1"/>
  <c r="BT27" i="1"/>
  <c r="CY109" i="1"/>
  <c r="CW14" i="1"/>
  <c r="CA102" i="1"/>
  <c r="CC35" i="1"/>
  <c r="ET126" i="1"/>
  <c r="ET98" i="1"/>
  <c r="CZ73" i="1"/>
  <c r="ET171" i="1"/>
  <c r="CO81" i="1"/>
  <c r="BT10" i="1"/>
  <c r="ET72" i="1"/>
  <c r="CO39" i="1"/>
  <c r="BY109" i="1"/>
  <c r="CC6" i="1"/>
  <c r="BR157" i="1"/>
  <c r="CY98" i="1"/>
  <c r="BV112" i="1"/>
  <c r="BY73" i="1"/>
  <c r="CC34" i="1"/>
  <c r="CA111" i="1"/>
  <c r="CW88" i="1"/>
  <c r="BT92" i="1"/>
  <c r="CA14" i="1"/>
  <c r="BV17" i="1"/>
  <c r="BV30" i="1"/>
  <c r="BR10" i="1"/>
  <c r="BY88" i="1"/>
  <c r="BR16" i="1"/>
  <c r="CW19" i="1"/>
  <c r="CQ134" i="1"/>
  <c r="CW93" i="1"/>
  <c r="BY100" i="1"/>
  <c r="ET24" i="1"/>
  <c r="CZ143" i="1"/>
  <c r="BR17" i="1"/>
  <c r="CY126" i="1"/>
  <c r="CW36" i="1"/>
  <c r="BR18" i="1"/>
  <c r="CA101" i="1"/>
  <c r="BV113" i="1"/>
  <c r="BR127" i="1"/>
  <c r="BV38" i="1"/>
  <c r="BT14" i="1"/>
  <c r="BT100" i="1"/>
  <c r="CQ1" i="1"/>
  <c r="BR88" i="1"/>
  <c r="BY18" i="1"/>
  <c r="BM84" i="1"/>
  <c r="BS191" i="1"/>
  <c r="BR20" i="1"/>
  <c r="BT94" i="1"/>
  <c r="CY156" i="1"/>
  <c r="BR168" i="1"/>
  <c r="CW120" i="1"/>
  <c r="CY174" i="1"/>
  <c r="BY99" i="1"/>
  <c r="BV119" i="1"/>
  <c r="BT93" i="1"/>
  <c r="ET32" i="1"/>
  <c r="CC120" i="1"/>
  <c r="BV12" i="1"/>
  <c r="BY157" i="1"/>
  <c r="BY87" i="1"/>
  <c r="BZ89" i="1"/>
  <c r="CY89" i="1" s="1"/>
  <c r="BR23" i="1"/>
  <c r="BT137" i="1"/>
  <c r="CC25" i="1"/>
  <c r="CY115" i="1"/>
  <c r="BR93" i="1"/>
  <c r="BY110" i="1"/>
  <c r="CA33" i="1"/>
  <c r="CY16" i="1"/>
  <c r="BV16" i="1"/>
  <c r="CC23" i="1"/>
  <c r="BR121" i="1"/>
  <c r="CA116" i="1"/>
  <c r="CY24" i="1"/>
  <c r="CY32" i="1"/>
  <c r="BT120" i="1"/>
  <c r="CP136" i="1"/>
  <c r="CO191" i="1"/>
  <c r="CY165" i="1"/>
  <c r="BR98" i="1"/>
  <c r="ET87" i="1"/>
  <c r="BU42" i="1"/>
  <c r="CY128" i="1"/>
  <c r="CW91" i="1"/>
  <c r="ET23" i="1"/>
  <c r="BV32" i="1"/>
  <c r="CA37" i="1"/>
  <c r="CZ79" i="1"/>
  <c r="BR117" i="1"/>
  <c r="CY97" i="1"/>
  <c r="ET107" i="1"/>
  <c r="BV118" i="1"/>
  <c r="CY123" i="1"/>
  <c r="BY29" i="1"/>
  <c r="CY33" i="1"/>
  <c r="CA34" i="1"/>
  <c r="CW123" i="1"/>
  <c r="CC19" i="1"/>
  <c r="CC110" i="1"/>
  <c r="CZ184" i="1"/>
  <c r="CZ181" i="1"/>
  <c r="BV89" i="1"/>
  <c r="CZ141" i="1"/>
  <c r="BT103" i="1"/>
  <c r="CW104" i="1"/>
  <c r="BR103" i="1"/>
  <c r="BT106" i="1"/>
  <c r="CW106" i="1"/>
  <c r="CW30" i="1"/>
  <c r="ET100" i="1"/>
  <c r="CY4" i="1"/>
  <c r="BR30" i="1"/>
  <c r="CY111" i="1"/>
  <c r="CY119" i="1"/>
  <c r="BT105" i="1"/>
  <c r="ET16" i="1"/>
  <c r="BR102" i="1"/>
  <c r="CY100" i="1"/>
  <c r="CC107" i="1"/>
  <c r="DH40" i="1"/>
  <c r="ET33" i="1"/>
  <c r="BY124" i="1"/>
  <c r="BY98" i="1"/>
  <c r="BR160" i="1"/>
  <c r="CY23" i="1"/>
  <c r="CW4" i="1"/>
  <c r="BT5" i="1"/>
  <c r="CW21" i="1"/>
  <c r="BR148" i="1"/>
  <c r="BR106" i="1"/>
  <c r="CW99" i="1"/>
  <c r="CW122" i="1"/>
  <c r="BV114" i="1"/>
  <c r="BR74" i="1"/>
  <c r="CC24" i="1"/>
  <c r="BR107" i="1"/>
  <c r="CC116" i="1"/>
  <c r="BT104" i="1"/>
  <c r="BT102" i="1"/>
  <c r="BY149" i="1"/>
  <c r="BY28" i="1"/>
  <c r="BT29" i="1"/>
  <c r="BT107" i="1"/>
  <c r="BT22" i="1"/>
  <c r="BY167" i="1"/>
  <c r="BR33" i="1"/>
  <c r="CA129" i="1"/>
  <c r="BV86" i="1"/>
  <c r="CZ153" i="1"/>
  <c r="CA100" i="1"/>
  <c r="CY57" i="1"/>
  <c r="CZ57" i="1" s="1"/>
  <c r="CW11" i="1"/>
  <c r="CY167" i="1"/>
  <c r="CZ168" i="1" s="1"/>
  <c r="CW185" i="1"/>
  <c r="CY5" i="1"/>
  <c r="CC100" i="1"/>
  <c r="ET119" i="1"/>
  <c r="BV98" i="1"/>
  <c r="ET105" i="1"/>
  <c r="CW121" i="1"/>
  <c r="BR75" i="1"/>
  <c r="ET57" i="1"/>
  <c r="BR73" i="1"/>
  <c r="BV36" i="1"/>
  <c r="BY168" i="1"/>
  <c r="BY150" i="1"/>
  <c r="BY21" i="1"/>
  <c r="CW27" i="1"/>
  <c r="CW20" i="1"/>
  <c r="CY9" i="1"/>
  <c r="CW124" i="1"/>
  <c r="BR186" i="1"/>
  <c r="BY97" i="1"/>
  <c r="CW35" i="1"/>
  <c r="CA96" i="1"/>
  <c r="DN191" i="1"/>
  <c r="ET95" i="1"/>
  <c r="CW103" i="1"/>
  <c r="CA13" i="1"/>
  <c r="CY107" i="1"/>
  <c r="CA35" i="1"/>
  <c r="CC18" i="1"/>
  <c r="ET111" i="1"/>
  <c r="BT33" i="1"/>
  <c r="BT91" i="1"/>
  <c r="BR108" i="1"/>
  <c r="BR122" i="1"/>
  <c r="ET21" i="1"/>
  <c r="ET96" i="1"/>
  <c r="CY96" i="1"/>
  <c r="CZ97" i="1" s="1"/>
  <c r="BR169" i="1"/>
  <c r="CY185" i="1"/>
  <c r="CZ185" i="1" s="1"/>
  <c r="CW128" i="1"/>
  <c r="CY17" i="1"/>
  <c r="CW15" i="1"/>
  <c r="BY78" i="1"/>
  <c r="BV122" i="1"/>
  <c r="BR72" i="1"/>
  <c r="CY18" i="1"/>
  <c r="CW29" i="1"/>
  <c r="CC111" i="1"/>
  <c r="CY77" i="1"/>
  <c r="BT125" i="1"/>
  <c r="BZ85" i="1"/>
  <c r="ET85" i="1" s="1"/>
  <c r="BR113" i="1"/>
  <c r="CZ180" i="1"/>
  <c r="BK3" i="1"/>
  <c r="CA12" i="1"/>
  <c r="BT16" i="1"/>
  <c r="BT130" i="1"/>
  <c r="CZ140" i="1"/>
  <c r="BV28" i="1"/>
  <c r="BT36" i="1"/>
  <c r="BY89" i="1"/>
  <c r="BV87" i="1"/>
  <c r="BR172" i="1"/>
  <c r="BR62" i="1"/>
  <c r="BR151" i="1"/>
  <c r="CA109" i="1"/>
  <c r="ET99" i="1"/>
  <c r="CC109" i="1"/>
  <c r="CC20" i="1"/>
  <c r="CA112" i="1"/>
  <c r="BR159" i="1"/>
  <c r="BY171" i="1"/>
  <c r="ET17" i="1"/>
  <c r="ET168" i="1"/>
  <c r="CY88" i="1"/>
  <c r="BY16" i="1"/>
  <c r="BR115" i="1"/>
  <c r="BT25" i="1"/>
  <c r="BR61" i="1"/>
  <c r="BR109" i="1"/>
  <c r="BV92" i="1"/>
  <c r="CZ182" i="1"/>
  <c r="CA97" i="1"/>
  <c r="ET157" i="1"/>
  <c r="BT6" i="1"/>
  <c r="BY57" i="1"/>
  <c r="BY148" i="1"/>
  <c r="CW24" i="1"/>
  <c r="BY107" i="1"/>
  <c r="BY185" i="1"/>
  <c r="BZ190" i="1"/>
  <c r="ET170" i="1"/>
  <c r="BV124" i="1"/>
  <c r="ET18" i="1"/>
  <c r="CA17" i="1"/>
  <c r="DI191" i="1"/>
  <c r="ET147" i="1"/>
  <c r="BR11" i="1"/>
  <c r="CA36" i="1"/>
  <c r="DR13" i="1"/>
  <c r="DR3" i="1" s="1"/>
  <c r="DR40" i="1" s="1"/>
  <c r="BY71" i="1"/>
  <c r="CY99" i="1"/>
  <c r="CY157" i="1"/>
  <c r="BY158" i="1"/>
  <c r="BY152" i="1"/>
  <c r="BR112" i="1"/>
  <c r="ET169" i="1"/>
  <c r="CW18" i="1"/>
  <c r="CM81" i="1"/>
  <c r="CJ81" i="1" s="1"/>
  <c r="ET152" i="1"/>
  <c r="BT35" i="1"/>
  <c r="BT12" i="1"/>
  <c r="CW130" i="1"/>
  <c r="CA91" i="1"/>
  <c r="BV18" i="1"/>
  <c r="CW13" i="1"/>
  <c r="BR35" i="1"/>
  <c r="DN80" i="1"/>
  <c r="DN39" i="1"/>
  <c r="CJ39" i="1"/>
  <c r="CW96" i="1"/>
  <c r="BR187" i="1"/>
  <c r="BY166" i="1"/>
  <c r="DQ136" i="1"/>
  <c r="DQ191" i="1" s="1"/>
  <c r="DN190" i="1"/>
  <c r="CC114" i="1"/>
  <c r="ET124" i="1"/>
  <c r="CC16" i="1"/>
  <c r="BV95" i="1"/>
  <c r="BS42" i="1"/>
  <c r="CA117" i="1"/>
  <c r="CZ144" i="1"/>
  <c r="CP190" i="1"/>
  <c r="CW31" i="1"/>
  <c r="CA120" i="1"/>
  <c r="CP44" i="1"/>
  <c r="ET26" i="1"/>
  <c r="BV88" i="1"/>
  <c r="DQ3" i="1"/>
  <c r="DQ40" i="1" s="1"/>
  <c r="CC92" i="1"/>
  <c r="CW26" i="1"/>
  <c r="CC87" i="1"/>
  <c r="CA126" i="1"/>
  <c r="CP191" i="1"/>
  <c r="BR149" i="1"/>
  <c r="CY30" i="1"/>
  <c r="ET29" i="1"/>
  <c r="BV127" i="1"/>
  <c r="CY120" i="1"/>
  <c r="ET9" i="1"/>
  <c r="CY26" i="1"/>
  <c r="BY176" i="1"/>
  <c r="BV105" i="1"/>
  <c r="CW105" i="1"/>
  <c r="BV31" i="1"/>
  <c r="CW9" i="1"/>
  <c r="CA11" i="1"/>
  <c r="CK81" i="1"/>
  <c r="BV25" i="1"/>
  <c r="CY92" i="1"/>
  <c r="BY27" i="1"/>
  <c r="BT110" i="1"/>
  <c r="BR128" i="1"/>
  <c r="BR32" i="1"/>
  <c r="CC130" i="1"/>
  <c r="ET38" i="1"/>
  <c r="ET19" i="1"/>
  <c r="DM3" i="1"/>
  <c r="DM39" i="1" s="1"/>
  <c r="DL44" i="1"/>
  <c r="DL80" i="1" s="1"/>
  <c r="BZ3" i="1"/>
  <c r="BZ40" i="1" s="1"/>
  <c r="CY87" i="1"/>
  <c r="CC113" i="1"/>
  <c r="CY71" i="1"/>
  <c r="CZ72" i="1" s="1"/>
  <c r="BY10" i="1"/>
  <c r="CY29" i="1"/>
  <c r="CW23" i="1"/>
  <c r="BY48" i="1"/>
  <c r="BY72" i="1"/>
  <c r="BR188" i="1"/>
  <c r="CJ80" i="1"/>
  <c r="BY61" i="1"/>
  <c r="CK80" i="1"/>
  <c r="CY125" i="1"/>
  <c r="BV26" i="1"/>
  <c r="CY155" i="1"/>
  <c r="BV96" i="1"/>
  <c r="BV9" i="1"/>
  <c r="CC86" i="1"/>
  <c r="CY103" i="1"/>
  <c r="CA118" i="1"/>
  <c r="CW100" i="1"/>
  <c r="CP40" i="1"/>
  <c r="CQ42" i="1"/>
  <c r="CK42" i="1"/>
  <c r="ET11" i="1"/>
  <c r="DS44" i="1"/>
  <c r="DS136" i="1"/>
  <c r="BT108" i="1"/>
  <c r="CA124" i="1"/>
  <c r="CY124" i="1"/>
  <c r="CZ124" i="1" s="1"/>
  <c r="ET120" i="1"/>
  <c r="DI39" i="1"/>
  <c r="CW107" i="1"/>
  <c r="ET30" i="1"/>
  <c r="CW115" i="1"/>
  <c r="BY156" i="1"/>
  <c r="ET125" i="1"/>
  <c r="CY127" i="1"/>
  <c r="CA26" i="1"/>
  <c r="CA29" i="1"/>
  <c r="BR126" i="1"/>
  <c r="CY38" i="1"/>
  <c r="CZ179" i="1"/>
  <c r="BV20" i="1"/>
  <c r="CW129" i="1"/>
  <c r="CP81" i="1"/>
  <c r="BR7" i="1"/>
  <c r="CA80" i="1"/>
  <c r="BT37" i="1"/>
  <c r="BR156" i="1"/>
  <c r="CW16" i="1"/>
  <c r="BX136" i="1"/>
  <c r="BX190" i="1" s="1"/>
  <c r="DR44" i="1"/>
  <c r="DR80" i="1" s="1"/>
  <c r="CA127" i="1"/>
  <c r="CP80" i="1"/>
  <c r="CA81" i="1"/>
  <c r="CY28" i="1"/>
  <c r="CC106" i="1"/>
  <c r="ET61" i="1"/>
  <c r="CY21" i="1"/>
  <c r="BR153" i="1"/>
  <c r="CK40" i="1"/>
  <c r="BY90" i="1"/>
  <c r="BR27" i="1"/>
  <c r="BV107" i="1"/>
  <c r="CC12" i="1"/>
  <c r="BT129" i="1"/>
  <c r="BR101" i="1"/>
  <c r="BV29" i="1"/>
  <c r="CW32" i="1"/>
  <c r="BY62" i="1"/>
  <c r="ET117" i="1"/>
  <c r="CW28" i="1"/>
  <c r="CY113" i="1"/>
  <c r="CA104" i="1"/>
  <c r="BY8" i="1"/>
  <c r="ET186" i="1"/>
  <c r="DH80" i="1"/>
  <c r="CY15" i="1"/>
  <c r="BT17" i="1"/>
  <c r="CC15" i="1"/>
  <c r="CJ40" i="1"/>
  <c r="BR26" i="1"/>
  <c r="CP39" i="1"/>
  <c r="CW127" i="1"/>
  <c r="ET28" i="1"/>
  <c r="ET118" i="1"/>
  <c r="CW102" i="1"/>
  <c r="BY20" i="1"/>
  <c r="CY19" i="1"/>
  <c r="ET47" i="1"/>
  <c r="BY47" i="1"/>
  <c r="CW126" i="1"/>
  <c r="CA128" i="1"/>
  <c r="BY175" i="1"/>
  <c r="BY32" i="1"/>
  <c r="CZ139" i="1"/>
  <c r="ET92" i="1"/>
  <c r="CA99" i="1"/>
  <c r="CC118" i="1"/>
  <c r="CW95" i="1"/>
  <c r="CA16" i="1"/>
  <c r="ET158" i="1"/>
  <c r="CY158" i="1"/>
  <c r="CZ159" i="1" s="1"/>
  <c r="CC119" i="1"/>
  <c r="BX13" i="1"/>
  <c r="BY1" i="1" s="1"/>
  <c r="BY186" i="1"/>
  <c r="CY94" i="1"/>
  <c r="DI81" i="1"/>
  <c r="BV130" i="1"/>
  <c r="BY64" i="1"/>
  <c r="BY33" i="1"/>
  <c r="CW113" i="1"/>
  <c r="ET103" i="1"/>
  <c r="CA22" i="1"/>
  <c r="CW34" i="1"/>
  <c r="DM44" i="1"/>
  <c r="DM81" i="1" s="1"/>
  <c r="BR105" i="1"/>
  <c r="DQ44" i="1"/>
  <c r="DQ81" i="1" s="1"/>
  <c r="CW108" i="1"/>
  <c r="BV33" i="1"/>
  <c r="CY148" i="1"/>
  <c r="CZ148" i="1" s="1"/>
  <c r="BR118" i="1"/>
  <c r="BR123" i="1"/>
  <c r="DL136" i="1"/>
  <c r="DL191" i="1" s="1"/>
  <c r="DL3" i="1"/>
  <c r="DL39" i="1" s="1"/>
  <c r="CW22" i="1"/>
  <c r="DS3" i="1"/>
  <c r="DS39" i="1" s="1"/>
  <c r="DP44" i="1"/>
  <c r="DP81" i="1" s="1"/>
  <c r="DP136" i="1"/>
  <c r="DP191" i="1" s="1"/>
  <c r="BT119" i="1"/>
  <c r="BV102" i="1"/>
  <c r="DM136" i="1"/>
  <c r="DM191" i="1" s="1"/>
  <c r="DP3" i="1"/>
  <c r="DP39" i="1" s="1"/>
  <c r="ET175" i="1"/>
  <c r="ET15" i="1"/>
  <c r="BV109" i="1"/>
  <c r="ET113" i="1"/>
  <c r="ET70" i="1"/>
  <c r="CW109" i="1"/>
  <c r="CB191" i="1"/>
  <c r="BY114" i="1"/>
  <c r="CY114" i="1"/>
  <c r="CY27" i="1"/>
  <c r="CC28" i="1"/>
  <c r="BT34" i="1"/>
  <c r="BR65" i="1"/>
  <c r="BY170" i="1"/>
  <c r="BR158" i="1"/>
  <c r="CW116" i="1"/>
  <c r="CA15" i="1"/>
  <c r="BY189" i="1"/>
  <c r="BY151" i="1"/>
  <c r="CW157" i="1"/>
  <c r="ET115" i="1"/>
  <c r="BY115" i="1"/>
  <c r="BR90" i="1"/>
  <c r="BR37" i="1"/>
  <c r="BV22" i="1"/>
  <c r="CA110" i="1"/>
  <c r="CY108" i="1"/>
  <c r="BR104" i="1"/>
  <c r="BR97" i="1"/>
  <c r="CW118" i="1"/>
  <c r="ET114" i="1"/>
  <c r="BR114" i="1"/>
  <c r="ET108" i="1"/>
  <c r="BR150" i="1"/>
  <c r="BT96" i="1"/>
  <c r="BT95" i="1"/>
  <c r="CC105" i="1"/>
  <c r="ET20" i="1"/>
  <c r="CY150" i="1"/>
  <c r="CY20" i="1"/>
  <c r="BT116" i="1"/>
  <c r="BR28" i="1"/>
  <c r="BV23" i="1"/>
  <c r="CY11" i="1"/>
  <c r="BR171" i="1"/>
  <c r="CW64" i="1"/>
  <c r="BY113" i="1"/>
  <c r="CZ47" i="1"/>
  <c r="CZ138" i="1"/>
  <c r="CY189" i="1"/>
  <c r="BY155" i="1"/>
  <c r="CA98" i="1"/>
  <c r="BY31" i="1"/>
  <c r="CY102" i="1"/>
  <c r="CC30" i="1"/>
  <c r="BR77" i="1"/>
  <c r="BV117" i="1"/>
  <c r="BT98" i="1"/>
  <c r="BT38" i="1"/>
  <c r="CC9" i="1"/>
  <c r="DN40" i="1"/>
  <c r="CB80" i="1"/>
  <c r="BR22" i="1"/>
  <c r="ET102" i="1"/>
  <c r="CC102" i="1"/>
  <c r="BR21" i="1"/>
  <c r="ET128" i="1"/>
  <c r="ET121" i="1"/>
  <c r="ET150" i="1"/>
  <c r="BR29" i="1"/>
  <c r="ET110" i="1"/>
  <c r="CY110" i="1"/>
  <c r="CZ169" i="1"/>
  <c r="BY169" i="1"/>
  <c r="CW125" i="1"/>
  <c r="CW97" i="1"/>
  <c r="CW37" i="1"/>
  <c r="CY70" i="1"/>
  <c r="CZ70" i="1" s="1"/>
  <c r="BZ80" i="1"/>
  <c r="BR76" i="1"/>
  <c r="CC122" i="1"/>
  <c r="BY116" i="1"/>
  <c r="BR70" i="1"/>
  <c r="CW70" i="1"/>
  <c r="CY187" i="1"/>
  <c r="CZ187" i="1" s="1"/>
  <c r="ET187" i="1"/>
  <c r="CY91" i="1"/>
  <c r="CB84" i="1"/>
  <c r="CB131" i="1" s="1"/>
  <c r="BY187" i="1"/>
  <c r="BY188" i="1"/>
  <c r="BR175" i="1"/>
  <c r="CY104" i="1"/>
  <c r="CY118" i="1"/>
  <c r="BY104" i="1"/>
  <c r="ET116" i="1"/>
  <c r="BY103" i="1"/>
  <c r="ET122" i="1"/>
  <c r="ET31" i="1"/>
  <c r="CC123" i="1"/>
  <c r="CW98" i="1"/>
  <c r="BY65" i="1"/>
  <c r="CA92" i="1"/>
  <c r="CA130" i="1"/>
  <c r="CY129" i="1"/>
  <c r="ET79" i="1"/>
  <c r="BY93" i="1"/>
  <c r="ET62" i="1"/>
  <c r="CY62" i="1"/>
  <c r="BR71" i="1"/>
  <c r="BY94" i="1"/>
  <c r="BR79" i="1"/>
  <c r="BR47" i="1"/>
  <c r="BY118" i="1"/>
  <c r="CW38" i="1"/>
  <c r="BY117" i="1"/>
  <c r="CW78" i="1"/>
  <c r="ET91" i="1"/>
  <c r="CY116" i="1"/>
  <c r="CY117" i="1"/>
  <c r="CY122" i="1"/>
  <c r="CY31" i="1"/>
  <c r="CY34" i="1"/>
  <c r="CY64" i="1"/>
  <c r="CZ65" i="1" s="1"/>
  <c r="BR176" i="1"/>
  <c r="CC121" i="1"/>
  <c r="BR100" i="1"/>
  <c r="BR155" i="1"/>
  <c r="BR129" i="1"/>
  <c r="BT99" i="1"/>
  <c r="BV6" i="1"/>
  <c r="BV5" i="1"/>
  <c r="ET60" i="1"/>
  <c r="CY60" i="1"/>
  <c r="CZ61" i="1" s="1"/>
  <c r="CY154" i="1"/>
  <c r="CZ154" i="1" s="1"/>
  <c r="ET154" i="1"/>
  <c r="CW6" i="1"/>
  <c r="BS3" i="1"/>
  <c r="BS40" i="1" s="1"/>
  <c r="BU84" i="1"/>
  <c r="BU131" i="1" s="1"/>
  <c r="BY79" i="1"/>
  <c r="BT1" i="1"/>
  <c r="CW110" i="1"/>
  <c r="BY35" i="1"/>
  <c r="BT2" i="1"/>
  <c r="CC95" i="1"/>
  <c r="CY95" i="1"/>
  <c r="BR154" i="1"/>
  <c r="ET34" i="1"/>
  <c r="ET94" i="1"/>
  <c r="CA119" i="1"/>
  <c r="BT13" i="1"/>
  <c r="BR152" i="1"/>
  <c r="BR174" i="1"/>
  <c r="BR173" i="1"/>
  <c r="CY166" i="1"/>
  <c r="BR38" i="1"/>
  <c r="ET166" i="1"/>
  <c r="BY129" i="1"/>
  <c r="BY130" i="1"/>
  <c r="ET129" i="1"/>
  <c r="BR82" i="1"/>
  <c r="BQ84" i="1"/>
  <c r="BQ132" i="1" s="1"/>
  <c r="BR1" i="1"/>
  <c r="CW145" i="1"/>
  <c r="BR6" i="1"/>
  <c r="BY146" i="1"/>
  <c r="CW5" i="1"/>
  <c r="BS134" i="1"/>
  <c r="BR2" i="1"/>
  <c r="BS82" i="1"/>
  <c r="BQ3" i="1"/>
  <c r="BQ39" i="1" s="1"/>
  <c r="BR146" i="1"/>
  <c r="BY134" i="1"/>
  <c r="DR136" i="1"/>
  <c r="DR191" i="1" s="1"/>
  <c r="BY6" i="1"/>
  <c r="BX84" i="1"/>
  <c r="BX131" i="1" s="1"/>
  <c r="DR84" i="1"/>
  <c r="BY5" i="1"/>
  <c r="ET5" i="1"/>
  <c r="BR134" i="1"/>
  <c r="DR132" i="1"/>
  <c r="BQ136" i="1"/>
  <c r="BR137" i="1" s="1"/>
  <c r="DR131" i="1"/>
  <c r="BZ134" i="1"/>
  <c r="BZ82" i="1"/>
  <c r="BT90" i="1"/>
  <c r="BT89" i="1"/>
  <c r="CW89" i="1"/>
  <c r="BY12" i="1"/>
  <c r="ET12" i="1"/>
  <c r="CY12" i="1"/>
  <c r="BY147" i="1"/>
  <c r="CY146" i="1"/>
  <c r="CZ147" i="1" s="1"/>
  <c r="ET146" i="1"/>
  <c r="BV11" i="1"/>
  <c r="CW10" i="1"/>
  <c r="BV10" i="1"/>
  <c r="CC90" i="1"/>
  <c r="ET90" i="1"/>
  <c r="CC91" i="1"/>
  <c r="CY90" i="1"/>
  <c r="CY7" i="1"/>
  <c r="CC7" i="1"/>
  <c r="CB3" i="1"/>
  <c r="CC8" i="1"/>
  <c r="ET7" i="1"/>
  <c r="BR12" i="1"/>
  <c r="CW12" i="1"/>
  <c r="BR13" i="1"/>
  <c r="CW86" i="1"/>
  <c r="BR86" i="1"/>
  <c r="CY10" i="1"/>
  <c r="ET10" i="1"/>
  <c r="CC10" i="1"/>
  <c r="CC11" i="1"/>
  <c r="BT87" i="1"/>
  <c r="BV90" i="1"/>
  <c r="CW90" i="1"/>
  <c r="BV91" i="1"/>
  <c r="ET86" i="1"/>
  <c r="BY86" i="1"/>
  <c r="CY86" i="1"/>
  <c r="CW45" i="1"/>
  <c r="BR43" i="1"/>
  <c r="BR46" i="1"/>
  <c r="BR42" i="1"/>
  <c r="BQ44" i="1"/>
  <c r="BY82" i="1"/>
  <c r="BV1" i="1"/>
  <c r="BV2" i="1"/>
  <c r="CW7" i="1"/>
  <c r="BU3" i="1"/>
  <c r="BV8" i="1"/>
  <c r="BV7" i="1"/>
  <c r="BR87" i="1"/>
  <c r="CW146" i="1"/>
  <c r="BR147" i="1"/>
  <c r="BY46" i="1"/>
  <c r="BY42" i="1"/>
  <c r="BX44" i="1"/>
  <c r="ET45" i="1"/>
  <c r="CY45" i="1"/>
  <c r="BZ42" i="1"/>
  <c r="CA87" i="1"/>
  <c r="CZ145" i="1"/>
  <c r="BW190" i="1" l="1"/>
  <c r="CZ165" i="1"/>
  <c r="CZ59" i="1"/>
  <c r="CZ60" i="1"/>
  <c r="CZ189" i="1"/>
  <c r="CZ5" i="1"/>
  <c r="CZ176" i="1"/>
  <c r="CZ173" i="1"/>
  <c r="CZ162" i="1"/>
  <c r="CZ161" i="1"/>
  <c r="CZ48" i="1"/>
  <c r="CZ151" i="1"/>
  <c r="CZ15" i="1"/>
  <c r="CZ157" i="1"/>
  <c r="CZ36" i="1"/>
  <c r="CZ24" i="1"/>
  <c r="CZ63" i="1"/>
  <c r="CZ121" i="1"/>
  <c r="BT86" i="1"/>
  <c r="CX9" i="1"/>
  <c r="CZ37" i="1"/>
  <c r="CX33" i="1"/>
  <c r="CZ174" i="1"/>
  <c r="CX34" i="1"/>
  <c r="CZ25" i="1"/>
  <c r="CZ26" i="1"/>
  <c r="CZ172" i="1"/>
  <c r="CZ123" i="1"/>
  <c r="CX23" i="1"/>
  <c r="CZ167" i="1"/>
  <c r="CZ35" i="1"/>
  <c r="BS84" i="1"/>
  <c r="BS131" i="1" s="1"/>
  <c r="BP131" i="1" s="1"/>
  <c r="CZ93" i="1"/>
  <c r="CZ9" i="1"/>
  <c r="CZ175" i="1"/>
  <c r="CZ94" i="1"/>
  <c r="CX30" i="1"/>
  <c r="CZ107" i="1"/>
  <c r="CZ106" i="1"/>
  <c r="CX14" i="1"/>
  <c r="CX26" i="1"/>
  <c r="BX191" i="1"/>
  <c r="BW191" i="1" s="1"/>
  <c r="BY13" i="1"/>
  <c r="DL40" i="1"/>
  <c r="DM40" i="1"/>
  <c r="CX15" i="1"/>
  <c r="CZ23" i="1"/>
  <c r="CY85" i="1"/>
  <c r="CY131" i="1" s="1"/>
  <c r="CX29" i="1"/>
  <c r="CZ22" i="1"/>
  <c r="CZ108" i="1"/>
  <c r="CX18" i="1"/>
  <c r="CX20" i="1"/>
  <c r="CZ109" i="1"/>
  <c r="DP40" i="1"/>
  <c r="CX27" i="1"/>
  <c r="CX21" i="1"/>
  <c r="CZ112" i="1"/>
  <c r="DP190" i="1"/>
  <c r="CX31" i="1"/>
  <c r="CZ186" i="1"/>
  <c r="CZ116" i="1"/>
  <c r="CZ75" i="1"/>
  <c r="CZ156" i="1"/>
  <c r="CA86" i="1"/>
  <c r="DR81" i="1"/>
  <c r="CZ31" i="1"/>
  <c r="CX37" i="1"/>
  <c r="CZ17" i="1"/>
  <c r="CX36" i="1"/>
  <c r="CZ110" i="1"/>
  <c r="CZ115" i="1"/>
  <c r="CZ38" i="1"/>
  <c r="CX22" i="1"/>
  <c r="CZ19" i="1"/>
  <c r="CZ16" i="1"/>
  <c r="DL81" i="1"/>
  <c r="CZ21" i="1"/>
  <c r="BZ84" i="1"/>
  <c r="BZ132" i="1" s="1"/>
  <c r="CA90" i="1"/>
  <c r="BU132" i="1"/>
  <c r="DQ80" i="1"/>
  <c r="CZ71" i="1"/>
  <c r="CX16" i="1"/>
  <c r="CZ125" i="1"/>
  <c r="CA39" i="1"/>
  <c r="CZ128" i="1"/>
  <c r="CZ89" i="1"/>
  <c r="CZ99" i="1"/>
  <c r="CZ92" i="1"/>
  <c r="ET89" i="1"/>
  <c r="CA89" i="1"/>
  <c r="CX17" i="1"/>
  <c r="BZ1" i="1"/>
  <c r="BX1" i="1" s="1"/>
  <c r="CZ98" i="1"/>
  <c r="CZ129" i="1"/>
  <c r="CZ105" i="1"/>
  <c r="CA40" i="1"/>
  <c r="CZ113" i="1"/>
  <c r="CX32" i="1"/>
  <c r="CZ88" i="1"/>
  <c r="CZ33" i="1"/>
  <c r="CZ127" i="1"/>
  <c r="CZ6" i="1"/>
  <c r="BX3" i="1"/>
  <c r="BX39" i="1" s="1"/>
  <c r="BS39" i="1"/>
  <c r="CZ149" i="1"/>
  <c r="CX38" i="1"/>
  <c r="CZ102" i="1"/>
  <c r="CZ58" i="1"/>
  <c r="CZ32" i="1"/>
  <c r="DL190" i="1"/>
  <c r="CZ20" i="1"/>
  <c r="DQ190" i="1"/>
  <c r="CX24" i="1"/>
  <c r="CZ100" i="1"/>
  <c r="CZ120" i="1"/>
  <c r="DM190" i="1"/>
  <c r="CZ101" i="1"/>
  <c r="CX19" i="1"/>
  <c r="CZ18" i="1"/>
  <c r="DQ39" i="1"/>
  <c r="CX35" i="1"/>
  <c r="CB132" i="1"/>
  <c r="CZ126" i="1"/>
  <c r="CZ114" i="1"/>
  <c r="DP80" i="1"/>
  <c r="CZ111" i="1"/>
  <c r="DM80" i="1"/>
  <c r="CZ96" i="1"/>
  <c r="CX5" i="1"/>
  <c r="CX25" i="1"/>
  <c r="CZ119" i="1"/>
  <c r="CZ27" i="1"/>
  <c r="CZ34" i="1"/>
  <c r="CZ77" i="1"/>
  <c r="CZ78" i="1"/>
  <c r="CZ29" i="1"/>
  <c r="CZ130" i="1"/>
  <c r="CZ122" i="1"/>
  <c r="CZ117" i="1"/>
  <c r="CZ103" i="1"/>
  <c r="CZ30" i="1"/>
  <c r="CZ104" i="1"/>
  <c r="BZ39" i="1"/>
  <c r="CZ95" i="1"/>
  <c r="CX28" i="1"/>
  <c r="CZ150" i="1"/>
  <c r="CZ64" i="1"/>
  <c r="DS40" i="1"/>
  <c r="CZ158" i="1"/>
  <c r="CY13" i="1"/>
  <c r="CZ14" i="1" s="1"/>
  <c r="BY14" i="1"/>
  <c r="ET13" i="1"/>
  <c r="BS1" i="1"/>
  <c r="DR39" i="1"/>
  <c r="CZ28" i="1"/>
  <c r="CZ118" i="1"/>
  <c r="CZ155" i="1"/>
  <c r="CZ62" i="1"/>
  <c r="CZ188" i="1"/>
  <c r="BY132" i="1"/>
  <c r="CZ166" i="1"/>
  <c r="BQ82" i="1"/>
  <c r="BQ134" i="1"/>
  <c r="BX132" i="1"/>
  <c r="CX6" i="1"/>
  <c r="BQ131" i="1"/>
  <c r="BQ1" i="1"/>
  <c r="CY134" i="1"/>
  <c r="BY191" i="1"/>
  <c r="CW136" i="1"/>
  <c r="CW190" i="1" s="1"/>
  <c r="BQ40" i="1"/>
  <c r="BY131" i="1"/>
  <c r="DR190" i="1"/>
  <c r="BX134" i="1"/>
  <c r="BX40" i="1"/>
  <c r="CX134" i="1"/>
  <c r="CZ146" i="1"/>
  <c r="BX82" i="1"/>
  <c r="CW3" i="1"/>
  <c r="CW40" i="1" s="1"/>
  <c r="BQ190" i="1"/>
  <c r="BP190" i="1" s="1"/>
  <c r="CW132" i="1"/>
  <c r="BQ191" i="1"/>
  <c r="BP191" i="1" s="1"/>
  <c r="CY136" i="1"/>
  <c r="CY190" i="1" s="1"/>
  <c r="BY190" i="1"/>
  <c r="BQ42" i="1"/>
  <c r="CY1" i="1"/>
  <c r="CW84" i="1"/>
  <c r="BP40" i="1"/>
  <c r="CY82" i="1"/>
  <c r="CZ46" i="1"/>
  <c r="CY81" i="1"/>
  <c r="CY80" i="1"/>
  <c r="CY44" i="1"/>
  <c r="BY80" i="1"/>
  <c r="BY81" i="1"/>
  <c r="CX8" i="1"/>
  <c r="CX7" i="1"/>
  <c r="CZ10" i="1"/>
  <c r="CZ11" i="1"/>
  <c r="CX12" i="1"/>
  <c r="CX13" i="1"/>
  <c r="CB39" i="1"/>
  <c r="CB40" i="1"/>
  <c r="CZ12" i="1"/>
  <c r="BX42" i="1"/>
  <c r="BU40" i="1"/>
  <c r="BU39" i="1"/>
  <c r="CX10" i="1"/>
  <c r="CX11" i="1"/>
  <c r="BP39" i="1"/>
  <c r="CX82" i="1"/>
  <c r="CX1" i="1"/>
  <c r="CZ87" i="1"/>
  <c r="CW131" i="1"/>
  <c r="BX81" i="1"/>
  <c r="BW81" i="1" s="1"/>
  <c r="BX80" i="1"/>
  <c r="BW80" i="1" s="1"/>
  <c r="BU1" i="1"/>
  <c r="BQ81" i="1"/>
  <c r="BQ80" i="1"/>
  <c r="BP80" i="1" s="1"/>
  <c r="BP81" i="1"/>
  <c r="CW81" i="1"/>
  <c r="CW44" i="1"/>
  <c r="CX42" i="1"/>
  <c r="CW80" i="1"/>
  <c r="CY42" i="1"/>
  <c r="CZ8" i="1"/>
  <c r="CZ7" i="1"/>
  <c r="CZ90" i="1"/>
  <c r="CZ91" i="1"/>
  <c r="BS132" i="1" l="1"/>
  <c r="CY132" i="1"/>
  <c r="BW40" i="1"/>
  <c r="BP132" i="1"/>
  <c r="CY84" i="1"/>
  <c r="FE4" i="1" s="1"/>
  <c r="CZ86" i="1"/>
  <c r="BY40" i="1"/>
  <c r="BZ131" i="1"/>
  <c r="BW131" i="1" s="1"/>
  <c r="CW82" i="1"/>
  <c r="BW132" i="1"/>
  <c r="CA131" i="1"/>
  <c r="CA132" i="1"/>
  <c r="CY3" i="1"/>
  <c r="CY40" i="1" s="1"/>
  <c r="CZ13" i="1"/>
  <c r="BW39" i="1"/>
  <c r="BY39" i="1"/>
  <c r="CW1" i="1"/>
  <c r="CW134" i="1"/>
  <c r="CC134" i="1"/>
  <c r="CW191" i="1"/>
  <c r="FF4" i="1"/>
  <c r="CY191" i="1"/>
  <c r="CW39" i="1"/>
  <c r="CW42" i="1"/>
  <c r="CC42" i="1"/>
  <c r="EX4" i="1" s="1"/>
  <c r="FD4" i="1"/>
  <c r="CC1" i="1" l="1"/>
  <c r="CC82" i="1"/>
  <c r="EZ4" i="1" s="1"/>
  <c r="FC4" i="1"/>
  <c r="CY39" i="1"/>
  <c r="FB4" i="1"/>
  <c r="EV4" i="1" l="1"/>
</calcChain>
</file>

<file path=xl/sharedStrings.xml><?xml version="1.0" encoding="utf-8"?>
<sst xmlns="http://schemas.openxmlformats.org/spreadsheetml/2006/main" count="4212" uniqueCount="3972">
  <si>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</si>
  <si>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</si>
  <si>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</si>
  <si>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</si>
  <si>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</si>
  <si>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</si>
  <si>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</si>
  <si>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</si>
  <si>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</si>
  <si>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</si>
  <si>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</si>
  <si>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</si>
  <si>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</si>
  <si>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</si>
  <si>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</si>
  <si>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</si>
  <si>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</si>
  <si>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</si>
  <si>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</si>
  <si>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</si>
  <si>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</si>
  <si>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</si>
  <si>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</si>
  <si>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</si>
  <si>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</si>
  <si>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</si>
  <si>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</si>
  <si>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</si>
  <si>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</si>
  <si>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</si>
  <si>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</si>
  <si>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</si>
  <si>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</si>
  <si>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</si>
  <si>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</si>
  <si>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</si>
  <si>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</si>
  <si>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</si>
  <si>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</si>
  <si>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</si>
  <si>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</si>
  <si>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</si>
  <si>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</si>
  <si>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</si>
  <si>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</si>
  <si>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</si>
  <si>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</si>
  <si>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</si>
  <si>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</si>
  <si>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</si>
  <si>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</si>
  <si>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</si>
  <si>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</si>
  <si>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</si>
  <si>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</si>
  <si>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</si>
  <si>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</si>
  <si>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</si>
  <si>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</si>
  <si>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2025-05-02 06:09:00,575,,,,575,,,,,,,,</t>
  </si>
  <si>
    <t>2025-05-02 06:09:00,490,,,,470,,,,,,,,</t>
  </si>
  <si>
    <t>2025-05-02 06:09:00,5800,,5700,,5600,,5670,,,,,5760,5500</t>
  </si>
  <si>
    <t>2025-05-02 06:09:00,20100,,,,19475,,,,,,,,</t>
  </si>
  <si>
    <t>2025-05-02 06:09:00,2503478914.09747,0,0,0,0,0,0,0</t>
  </si>
  <si>
    <t>2025-05-02 06:09:00,1232395132.14209,0,,0,,0,0,0</t>
  </si>
  <si>
    <t>2025-05-02 06:09:00,166548888.954598,1071121.26149462,-2470.83333333333,-71,-25596.6436666666,-681.89,-0.190508978571292,-20.38</t>
  </si>
  <si>
    <t>2025-05-02 06:09:00,35791139.559005,0,0,0,0,0,0,0</t>
  </si>
  <si>
    <t>2025-05-02 06:10:00,575,,,,575,,,,,,,,</t>
  </si>
  <si>
    <t>2025-05-02 06:10:00,490,,,,470,,,,,,,,</t>
  </si>
  <si>
    <t>2025-05-02 06:10:00,5800,,5700,,5600,,5670,,,,,5760,5500</t>
  </si>
  <si>
    <t>2025-05-02 06:10:00,20100,,,,19475,,,,,,,,</t>
  </si>
  <si>
    <t>2025-05-02 06:10:00,2450779989.16672,0,0,0,0,0,0,0</t>
  </si>
  <si>
    <t>2025-05-02 06:10:00,1198328918.16693,0,,0,,0,0,0</t>
  </si>
  <si>
    <t>2025-05-02 06:10:00,168389763.781967,1126158.50833752,-1337.1,-45,-8328.29733333332,-179.67,-0.0533803432665722,-4.32</t>
  </si>
  <si>
    <t>2025-05-02 06:10:00,35656021.9017924,0,0,0,0,0,0,0</t>
  </si>
  <si>
    <t>2025-05-02 06:11:00,575,,,,575,,,,,,,,</t>
  </si>
  <si>
    <t>2025-05-02 06:11:00,490,,,,470,,,,,,,,</t>
  </si>
  <si>
    <t>2025-05-02 06:11:00,5800,,5700,,5600,,5670,,,,,5760,5500</t>
  </si>
  <si>
    <t>2025-05-02 06:11:00,20100,,,,19475,,,,,,,,</t>
  </si>
  <si>
    <t>2025-05-02 06:11:00,2491207820.74523,0,0,0,0,0,0,0</t>
  </si>
  <si>
    <t>2025-05-02 06:11:00,1207726730.58296,0,,0,,0,0,0</t>
  </si>
  <si>
    <t>2025-05-02 06:11:00,167500379.481042,1104736.35834204,-664.550000000001,-12,-6995.23050000001,-106.48,0.00540288689495578,-1.55</t>
  </si>
  <si>
    <t>2025-05-02 06:11:00,35708919.8894846,0,0,0,0,0,0,0</t>
  </si>
  <si>
    <t>2025-05-02 06:12:00,575,,,,575,,,,,,,,</t>
  </si>
  <si>
    <t>2025-05-02 06:12:00,490,,,,470,,,,,,,,</t>
  </si>
  <si>
    <t>2025-05-02 06:12:00,5800,,5700,,5600,,5670,,,,,5760,5500</t>
  </si>
  <si>
    <t>2025-05-02 06:12:00,20100,,,,19475,,,,,,,,</t>
  </si>
  <si>
    <t>2025-05-02 06:12:00,2514489302.09023,0,0,0,0,0,0,0</t>
  </si>
  <si>
    <t>2025-05-02 06:12:00,1236745330.36507,0,,0,,0,0,0</t>
  </si>
  <si>
    <t>2025-05-02 06:12:00,166218076.374951,1083555.86070149,-603.750000000001,-13,-11240.0845,-196.05,0.00831207340932488,-2.76</t>
  </si>
  <si>
    <t>2025-05-02 06:12:00,35824942.0708269,0,0,0,0,0,0,0</t>
  </si>
  <si>
    <t>2025-05-02 06:13:00,575,,,,575,,,,,,,,</t>
  </si>
  <si>
    <t>2025-05-02 06:13:00,490,,,,470,,,,,,,,</t>
  </si>
  <si>
    <t>2025-05-02 06:13:00,5800,,5700,,5600,,5670,,,,,5760,5500</t>
  </si>
  <si>
    <t>2025-05-02 06:13:00,20100,,,,19475,,,,,,,,</t>
  </si>
  <si>
    <t>2025-05-02 06:13:00,2515474478.04169,0,0,0,0,0,0,0</t>
  </si>
  <si>
    <t>2025-05-02 06:13:00,1252059917.08907,0,,0,,0,0,0</t>
  </si>
  <si>
    <t>2025-05-02 06:13:00,166735726.359334,1096392.46228605,-304.433333333334,-8,-5056.03500000002,-97.13,0.00569008883660091,-1.21</t>
  </si>
  <si>
    <t>2025-05-02 06:13:00,35868291.0914633,0,0,0,0,0,0,0</t>
  </si>
  <si>
    <t>2025-05-02 06:14:00,575,,,,575,,,,,,,,</t>
  </si>
  <si>
    <t>2025-05-02 06:14:00,490,,,,470,,,,,,,,</t>
  </si>
  <si>
    <t>2025-05-02 06:14:00,5800,,5700,,5600,,5670,,,,,5760,5500</t>
  </si>
  <si>
    <t>2025-05-02 06:14:00,20100,,,,19475,,,,,,,,</t>
  </si>
  <si>
    <t>2025-05-02 06:14:00,2536067650.41309,0,0,0,0,0,0,0</t>
  </si>
  <si>
    <t>2025-05-02 06:14:00,1256405672.15509,0,,0,,0,0,0</t>
  </si>
  <si>
    <t>2025-05-02 06:14:00,167441897.279974,1147540.42142167,-933.1,-28,-13296.65,-265.85,-0.0411234696531854,-5.62</t>
  </si>
  <si>
    <t>2025-05-02 06:14:00,35871295.9505137,0,0,0,0,0,0,0</t>
  </si>
  <si>
    <t>2025-05-02 06:15:00,575,,,,575,,,,,,,,</t>
  </si>
  <si>
    <t>2025-05-02 06:15:00,490,,,,470,,,,,,,,</t>
  </si>
  <si>
    <t>2025-05-02 06:15:00,5800,,5700,,5600,,5670,,,,,5760,5500</t>
  </si>
  <si>
    <t>2025-05-02 06:15:00,20100,,,,19475,,,,,,,,</t>
  </si>
  <si>
    <t>2025-05-02 06:15:00,2599370886.87506,0,0,0,0,0,0,0</t>
  </si>
  <si>
    <t>2025-05-02 06:15:00,1291962346.98683,0,,0,,0,0,0</t>
  </si>
  <si>
    <t>2025-05-02 06:15:00,166376592.578895,1112263.329229,-1178.1,-14,-19038.4800000001,-198.48,0.0189628220778692,-2.31</t>
  </si>
  <si>
    <t>2025-05-02 06:15:00,36027459.6196763,0,0,0,0,0,0,0</t>
  </si>
  <si>
    <t>2025-05-02 06:16:00,575,,,,575,,,,,,,,</t>
  </si>
  <si>
    <t>2025-05-02 06:16:00,490,,,,470,,,,,,,,</t>
  </si>
  <si>
    <t>2025-05-02 06:16:00,5800,,5700,,5600,,5670,,,,,5760,5500</t>
  </si>
  <si>
    <t>2025-05-02 06:16:00,20100,,,,19475,,,,,,,,</t>
  </si>
  <si>
    <t>2025-05-02 06:16:00,2593465589.25936,0,0,0,0,0,0,0</t>
  </si>
  <si>
    <t>2025-05-02 06:16:00,1289446778.34516,0,,0,,0,0,0</t>
  </si>
  <si>
    <t>2025-05-02 06:16:00,166679586.147466,1122363.92644572,-544.183333333333,-13,-4874.9545,-105.27,0.00975520677300066,-1.19</t>
  </si>
  <si>
    <t>2025-05-02 06:16:00,36009909.7121346,0,0,0,0,0,0,0</t>
  </si>
  <si>
    <t>2025-05-02 06:17:00,575,,,,575,,,,,,,,</t>
  </si>
  <si>
    <t>2025-05-02 06:17:00,490,,,,470,,,,,,,,</t>
  </si>
  <si>
    <t>2025-05-02 06:17:00,5800,,5700,,5600,,5670,,,,,5700,5500</t>
  </si>
  <si>
    <t>2025-05-02 06:17:00,20100,,,,19475,,,,,,,,</t>
  </si>
  <si>
    <t>2025-05-02 06:17:00,2716815354.31165,0,0,0,0,0,0,0</t>
  </si>
  <si>
    <t>2025-05-02 06:17:00,1342468302.69245,0,,0,,0,0,0</t>
  </si>
  <si>
    <t>2025-05-02 06:17:00,163977467.812404,1065393.66520725,-1710.46666666667,-39,-15114.539,-229.19,-0.0379405506134778,-4.43</t>
  </si>
  <si>
    <t>2025-05-02 06:17:00,36247060.9388878,0,0,0,0,0,0,0</t>
  </si>
  <si>
    <t>2025-05-02 06:18:00,575,,,,575,,,,,,,,</t>
  </si>
  <si>
    <t>2025-05-02 06:18:00,490,,,,470,,,,,,,,</t>
  </si>
  <si>
    <t>2025-05-02 06:18:00,5800,,5700,,5600,,5670,,,,,5700,5500</t>
  </si>
  <si>
    <t>2025-05-02 06:18:00,20100,,,,19475,,,,,,,,</t>
  </si>
  <si>
    <t>2025-05-02 06:18:00,2753391303.7199,0,0,0,0,0,0,0</t>
  </si>
  <si>
    <t>2025-05-02 06:18:00,1342316549.80389,0,,0,,0,0,0</t>
  </si>
  <si>
    <t>2025-05-02 06:18:00,164132726.511644,1080230.13449656,-594.033333333333,-18,-4118.888,-110.88,-0.00546083543687954,-1.98</t>
  </si>
  <si>
    <t>2025-05-02 06:18:00,36238256.947516,0,0,0,0,0,0,0</t>
  </si>
  <si>
    <t>2025-05-02 06:19:00,575,,,,575,,,,,,,,</t>
  </si>
  <si>
    <t>2025-05-02 06:19:00,490,,,,470,,,,,,,,</t>
  </si>
  <si>
    <t>2025-05-02 06:19:00,5800,,5700,,5600,,5670,,,,,5700,5500</t>
  </si>
  <si>
    <t>2025-05-02 06:19:00,20100,,,,19475,,,,,,,,</t>
  </si>
  <si>
    <t>2025-05-02 06:19:00,2753019292.20268,0,0,0,0,0,0,0</t>
  </si>
  <si>
    <t>2025-05-02 06:19:00,1349937885.85598,0,,0,,0,0,0</t>
  </si>
  <si>
    <t>2025-05-02 06:19:00,163530535.561279,1048289.27170343,-841.599999999998,-20,-17390.2064999999,-249.21,0.0162972867807503,-3.07</t>
  </si>
  <si>
    <t>2025-05-02 06:19:00,36262316.1453358,0,0,0,0,0,0,0</t>
  </si>
  <si>
    <t>2025-05-02 06:20:00,575,,,,575,,,,,,,,</t>
  </si>
  <si>
    <t>2025-05-02 06:20:00,490,,,,470,,,,,,,,</t>
  </si>
  <si>
    <t>2025-05-02 06:20:00,5800,,5700,,5600,,5670,,,,,5700,5500</t>
  </si>
  <si>
    <t>2025-05-02 06:20:00,20100,,,,19475,,,,,,,,</t>
  </si>
  <si>
    <t>2025-05-02 06:20:00,2698105460.90517,0,0,0,0,0,0,0</t>
  </si>
  <si>
    <t>2025-05-02 06:20:00,1334538617.27319,0,,0,,0,0,0</t>
  </si>
  <si>
    <t>2025-05-02 06:20:00,164581399.33628,1077754.56230264,-1277.86666666667,-27,-43290.1229999999,-631.79,0.0579155499006617,-7.49</t>
  </si>
  <si>
    <t>2025-05-02 06:20:00,36185880.0310495,0,0,0,0,0,0,0</t>
  </si>
  <si>
    <t>2025-05-02 06:21:00,575,,,,575,,,,,,,,</t>
  </si>
  <si>
    <t>2025-05-02 06:21:00,490,,,,470,,,,,,,,</t>
  </si>
  <si>
    <t>2025-05-02 06:21:00,5800,,5700,,5600,,5670,,,,,5700,5500</t>
  </si>
  <si>
    <t>2025-05-02 06:21:00,20100,,,,19475,,,,,,,,</t>
  </si>
  <si>
    <t>2025-05-02 06:21:00,2681610846.97118,0,0,0,0,0,0,0</t>
  </si>
  <si>
    <t>2025-05-02 06:21:00,1338586685.53724,0,,0,,0,0,0</t>
  </si>
  <si>
    <t>2025-05-02 06:21:00,164904340.925962,754222.355619788,-30019.2,-587,-525042.7,-10150.06,1.40228783799519,-98.77</t>
  </si>
  <si>
    <t>2025-05-02 06:21:00,36190607.9155225,0,0,0,0,0,0,0</t>
  </si>
  <si>
    <t>2025-05-02 06:22:00,575,,,,575,,,,,,,,</t>
  </si>
  <si>
    <t>2025-05-02 06:22:00,490,,,,470,,,,,,,,</t>
  </si>
  <si>
    <t>2025-05-02 06:22:00,5800,,5700,,5600,,5670,,,,,5700,5500</t>
  </si>
  <si>
    <t>2025-05-02 06:22:00,20100,,,,19475,,,,,,,,</t>
  </si>
  <si>
    <t>2025-05-02 06:22:00,2557582973.34652,0,0,0,0,0,0,0</t>
  </si>
  <si>
    <t>2025-05-02 06:22:00,1277200760.04046,0,,0,,0,0,0</t>
  </si>
  <si>
    <t>2025-05-02 06:22:00,167367207.09114,799550.322001587,-613.1,-22,-5314.58933333333,-124.43,-0.0194542993852918,-2.56</t>
  </si>
  <si>
    <t>2025-05-02 06:22:00,35973348.0950883,0,0,0,0,0,0,0</t>
  </si>
  <si>
    <t>2025-05-02 06:23:00,575,,,,575,,,,,,,,</t>
  </si>
  <si>
    <t>2025-05-02 06:23:00,490,,,,470,,,,,,,,</t>
  </si>
  <si>
    <t>2025-05-02 06:23:00,5800,,5700,,5600,,5670,,,,,5700,5500</t>
  </si>
  <si>
    <t>2025-05-02 06:23:00,20100,,,,19475,,,,,,,,</t>
  </si>
  <si>
    <t>2025-05-02 06:23:00,2539988935.55433,0,0,0,0,0,0,0</t>
  </si>
  <si>
    <t>2025-05-02 06:23:00,1259818369.65419,0,,0,,0,0,0</t>
  </si>
  <si>
    <t>2025-05-02 06:23:00,166148823.49369,739389.573839126,-1034.58333333334,-26,-19008.7068333334,-275.71,-0.0139498809294965,-4.65</t>
  </si>
  <si>
    <t>2025-05-02 06:23:00,35900062.8091667,0,0,0,0,0,0,0</t>
  </si>
  <si>
    <t>2025-05-02 06:24:00,575,,,,575,,,,,,,,</t>
  </si>
  <si>
    <t>2025-05-02 06:24:00,490,,,,470,,,,,,,,</t>
  </si>
  <si>
    <t>2025-05-02 06:24:00,5800,,5700,,5600,,5670,,,,,5700,5500</t>
  </si>
  <si>
    <t>2025-05-02 06:24:00,20100,,,,19475,,,,,,,,</t>
  </si>
  <si>
    <t>2025-05-02 06:24:00,2482477754.6029,0,0,0,0,0,0,0</t>
  </si>
  <si>
    <t>2025-05-02 06:24:00,1239866150.28782,0,,0,,0,0,0</t>
  </si>
  <si>
    <t>2025-05-02 06:24:00,167047655.870917,759983.844519384,-1135.45,-41,-17098.5095,-338.3,-0.0489639279274063,-7.38</t>
  </si>
  <si>
    <t>2025-05-02 06:24:00,35822852.581896,0,0,0,0,0,0,0</t>
  </si>
  <si>
    <t>2025-05-02 06:25:00,575,,,,575,,,,,,,,</t>
  </si>
  <si>
    <t>2025-05-02 06:25:00,490,,,,470,,,,,,,,</t>
  </si>
  <si>
    <t>2025-05-02 06:25:00,5800,,5700,,5600,,5670,,,,,5700,5500</t>
  </si>
  <si>
    <t>2025-05-02 06:25:00,20100,,,,19475,,,,,,,,</t>
  </si>
  <si>
    <t>2025-05-02 06:25:00,2568506454.32147,0,0,0,0,0,0,0</t>
  </si>
  <si>
    <t>2025-05-02 06:25:00,1259595793.50745,0,,0,,0,0,0</t>
  </si>
  <si>
    <t>2025-05-02 06:25:00,167838829.341933,813524.878127997,-841.905555555553,-26,-12632.2080555555,-323.97,-0.0187601844118326,-5.28</t>
  </si>
  <si>
    <t>2025-05-02 06:25:00,35880436.72231,0,0,0,0,0,0,0</t>
  </si>
  <si>
    <t>2025-05-02 06:26:00,575,,,,575,,,,,,,,</t>
  </si>
  <si>
    <t>2025-05-02 06:26:00,490,,,,470,,,,,,,,</t>
  </si>
  <si>
    <t>2025-05-02 06:26:00,5800,,5700,,5600,,5670,,,,,5700,5500</t>
  </si>
  <si>
    <t>2025-05-02 06:26:00,20100,,,,19475,,,,,,,,</t>
  </si>
  <si>
    <t>2025-05-02 06:26:00,2511360390.79494,0,0,0,0,0,0,0</t>
  </si>
  <si>
    <t>2025-05-02 06:26:00,1239529130.1059,0,,0,,0,0,0</t>
  </si>
  <si>
    <t>2025-05-02 06:26:00,166679739.730102,760333.373696238,-873.733333333333,-26,-11712.0129999999,-213.33,-0.0111972022628893,-3.46</t>
  </si>
  <si>
    <t>2025-05-02 06:26:00,35804136.9456191,0,0,0,0,0,0,0</t>
  </si>
  <si>
    <t>2025-05-02 06:27:00,575,,,,575,,,,,,,,</t>
  </si>
  <si>
    <t>2025-05-02 06:27:00,490,,,,470,,,,,,,,</t>
  </si>
  <si>
    <t>2025-05-02 06:27:00,5800,,5700,,5600,,5670,,,,,5700,5500</t>
  </si>
  <si>
    <t>2025-05-02 06:27:00,20100,,,,19475,,,,,,,,</t>
  </si>
  <si>
    <t>2025-05-02 06:27:00,2499241873.69773,0,0,0,0,0,0,0</t>
  </si>
  <si>
    <t>2025-05-02 06:27:00,1243988951.8592,0,,0,,0,0,0</t>
  </si>
  <si>
    <t>2025-05-02 06:27:00,167006188.556707,769985.35508899,-717.233333333336,-20,-6315.46500000003,-139.29,-0.0319235873730378,-3.53</t>
  </si>
  <si>
    <t>2025-05-02 06:27:00,35834402.765576,0,0,0,0,0,0,0</t>
  </si>
  <si>
    <t>2025-05-02 06:28:00,575,,,,575,,,,,,,,</t>
  </si>
  <si>
    <t>2025-05-02 06:28:00,490,,,,470,,,,,,,,</t>
  </si>
  <si>
    <t>2025-05-02 06:28:00,5800,,5700,,5600,,5670,,,,,5700,5500</t>
  </si>
  <si>
    <t>2025-05-02 06:28:00,20100,,,,19475,,,,,,,,</t>
  </si>
  <si>
    <t>2025-05-02 06:28:00,2441004437.03309,0,0,0,0,0,0,0</t>
  </si>
  <si>
    <t>2025-05-02 06:28:00,1211444867.61234,0,,0,,0,0,0</t>
  </si>
  <si>
    <t>2025-05-02 06:28:00,168280376.064739,788791.469770858,-1755.36666666666,-33,-46673.8884999995,-773.57,0.0512085520178972,-10.09</t>
  </si>
  <si>
    <t>2025-05-02 06:28:00,35758630.0658991,0,0,0,0,0,0,0</t>
  </si>
  <si>
    <t>2025-05-02 06:29:00,575,,,,575,,,,,,,,</t>
  </si>
  <si>
    <t>2025-05-02 06:29:00,490,,,,470,,,,,,,,</t>
  </si>
  <si>
    <t>2025-05-02 06:29:00,5800,,5700,,5600,,5670,,,,,5700,5500</t>
  </si>
  <si>
    <t>2025-05-02 06:29:00,20100,,,,19475,,,,,,,,</t>
  </si>
  <si>
    <t>2025-05-02 06:29:00,2458113813.83993,0,0,0,0,0,0,0</t>
  </si>
  <si>
    <t>2025-05-02 06:29:00,1236408889.03309,0,,0,,0,0,0</t>
  </si>
  <si>
    <t>2025-05-02 06:29:00,167578252.450368,756831.328777073,-950.350000000003,-17,-37420.4635000003,-398.26,0.0395075658867887,-4.98</t>
  </si>
  <si>
    <t>2025-05-02 06:29:00,35788741.379203,0,0,0,0,0,0,0</t>
  </si>
  <si>
    <t>2025-05-02 06:30:00,575,,,,575,,,,,,,,</t>
  </si>
  <si>
    <t>2025-05-02 06:30:00,490,,,,470,,,,,,,,</t>
  </si>
  <si>
    <t>2025-05-02 06:30:00,5800,,5700,,5600,,5670,,,,,5700,5500</t>
  </si>
  <si>
    <t>2025-05-02 06:30:00,20100,,,,19475,,,,,,,,</t>
  </si>
  <si>
    <t>2025-05-02 06:30:00,2401403871.28311,0,0,0,0,0,0,0</t>
  </si>
  <si>
    <t>2025-05-02 06:30:00,1210438673.31499,0,,0,,0,0,0</t>
  </si>
  <si>
    <t>2025-05-02 06:30:00,169056419.184899,792408.292403248,-2193.03333333334,-46,-54204.3936666667,-953.91,0.0141597645368141,-13.79</t>
  </si>
  <si>
    <t>2025-05-02 06:30:00,35703891.990041,0,0,0,0,0,0,0</t>
  </si>
  <si>
    <t>2025-05-02 06:31:00,575,,,,575,,,,,,,,</t>
  </si>
  <si>
    <t>2025-05-02 06:31:00,490,,,,470,,,,,,,,</t>
  </si>
  <si>
    <t>2025-05-02 06:31:00,5800,,5700,,5600,,5660,,,,,5700,5400</t>
  </si>
  <si>
    <t>2025-05-02 06:31:00,20100,,,,19475,,,,,,,,</t>
  </si>
  <si>
    <t>2025-05-02 06:31:00,2332948146.21364,0,0,0,0,0,0,0</t>
  </si>
  <si>
    <t>2025-05-02 06:31:00,1165500535.8077,0,,0,,0,0,0</t>
  </si>
  <si>
    <t>2025-05-02 06:31:00,170314972.071176,860060.636556617,-2390.11666666665,-47,-104471.597499999,-1451.52,0.10967857153323,-17.9</t>
  </si>
  <si>
    <t>2025-05-02 06:31:00,35503532.148559,0,0,0,0,0,0,0</t>
  </si>
  <si>
    <t>2025-05-02 06:32:00,575,,,,575,,,,,,,,</t>
  </si>
  <si>
    <t>2025-05-02 06:32:00,490,,,,470,,,,,,,,</t>
  </si>
  <si>
    <t>2025-05-02 06:32:00,5800,,5700,,5600,,5660,,,,,5700,5400</t>
  </si>
  <si>
    <t>2025-05-02 06:32:00,20100,,,,19475,,,,,,,,</t>
  </si>
  <si>
    <t>2025-05-02 06:32:00,2174591847.57744,0,0,0,0,0,0,0</t>
  </si>
  <si>
    <t>2025-05-02 06:32:00,1110236762.43842,0,,0,,0,0,0</t>
  </si>
  <si>
    <t>2025-05-02 06:32:00,173520328.970851,902687.553596885,-2637.8,-62,-40654.3419999999,-725.14,0.0235078104133559,-10.14</t>
  </si>
  <si>
    <t>2025-05-02 06:32:00,35278780.2674051,0,0,0,0,0,0,0</t>
  </si>
  <si>
    <t>2025-05-02 06:33:00,575,,,,575,,,,,,,,</t>
  </si>
  <si>
    <t>2025-05-02 06:33:00,490,,,,470,,,,,,,,</t>
  </si>
  <si>
    <t>2025-05-02 06:33:00,5800,,5700,,5600,,5660,,,,,5700,5400</t>
  </si>
  <si>
    <t>2025-05-02 06:33:00,20100,,,,19475,,,,,,,,</t>
  </si>
  <si>
    <t>2025-05-02 06:33:00,2261119926.21187,0,0,0,0,0,0,0</t>
  </si>
  <si>
    <t>2025-05-02 06:33:00,1123037608.66059,0,,0,,0,0,0</t>
  </si>
  <si>
    <t>2025-05-02 06:33:00,171660278.821453,876300.589678671,-2257,-57,-26606.961,-570.93,0.0188454409232919,-8.68</t>
  </si>
  <si>
    <t>2025-05-02 06:33:00,35368910.2225405,0,0,0,0,0,0,0</t>
  </si>
  <si>
    <t>2025-05-02 06:34:00,575,,,,575,,,,,,,,</t>
  </si>
  <si>
    <t>2025-05-02 06:34:00,490,,,,470,,,,,,,,</t>
  </si>
  <si>
    <t>2025-05-02 06:34:00,5800,,5700,,5600,,5660,,,,,5700,5400</t>
  </si>
  <si>
    <t>2025-05-02 06:34:00,20100,,,,19475,,,,,,,,</t>
  </si>
  <si>
    <t>2025-05-02 06:34:00,2219118811.41269,0,0,0,0,0,0,0</t>
  </si>
  <si>
    <t>2025-05-02 06:34:00,1115747444.73191,0,,0,,0,0,0</t>
  </si>
  <si>
    <t>2025-05-02 06:34:00,172510377.012367,873361.576534553,-694.633333333334,-16,-6138.79700000001,-124.9,-0.000658515088381397,-2.06</t>
  </si>
  <si>
    <t>2025-05-02 06:34:00,35290542.7457474,0,0,0,0,0,0,0</t>
  </si>
  <si>
    <t>2025-05-02 06:35:00,575,,,,575,,,,,,,,</t>
  </si>
  <si>
    <t>2025-05-02 06:35:00,490,,,,470,,,,,,,,</t>
  </si>
  <si>
    <t>2025-05-02 06:35:00,5800,,5700,,5600,,5660,,,,,5700,5400</t>
  </si>
  <si>
    <t>2025-05-02 06:35:00,20100,,,,19475,,,,,,,,</t>
  </si>
  <si>
    <t>2025-05-02 06:35:00,2159724745.60607,0,0,0,0,0,0,0</t>
  </si>
  <si>
    <t>2025-05-02 06:35:00,1094623844.89008,0,,0,,0,0,0</t>
  </si>
  <si>
    <t>2025-05-02 06:35:00,173765355.028893,893149.57186315,-956.566666666668,-41,-9979.44100000002,-244.49,-0.0275799426761551,-4.26</t>
  </si>
  <si>
    <t>2025-05-02 06:35:00,35175783.3325889,0,0,0,0,0,0,0</t>
  </si>
  <si>
    <t>2025-05-02 06:36:00,575,,,,575,,,,,,,,</t>
  </si>
  <si>
    <t>2025-05-02 06:36:00,490,,,,470,,,,,,,,</t>
  </si>
  <si>
    <t>2025-05-02 06:36:00,5800,,5700,,5600,,5660,,,,,5700,5400</t>
  </si>
  <si>
    <t>2025-05-02 06:36:00,20100,,,,19475,,,,,,,,</t>
  </si>
  <si>
    <t>2025-05-02 06:36:00,2179262937.64955,0,0,0,0,0,0,0</t>
  </si>
  <si>
    <t>2025-05-02 06:36:00,1096672827.45583,0,,0,,0,0,0</t>
  </si>
  <si>
    <t>2025-05-02 06:36:00,172899020.901847,882492.564601285,-918.18333333333,-32,-22088.8354999999,-386.55,0.00859143392570949,-5.3</t>
  </si>
  <si>
    <t>2025-05-02 06:36:00,35222861.2173011,0,0,0,0,0,0,0</t>
  </si>
  <si>
    <t>2025-05-02 06:37:00,575,,,,575,,,,,,,,</t>
  </si>
  <si>
    <t>2025-05-02 06:37:00,490,,,,470,,,,,,,,</t>
  </si>
  <si>
    <t>2025-05-02 06:37:00,5700,,5700,,5600,,5660,,,,,5700,5400</t>
  </si>
  <si>
    <t>2025-05-02 06:37:00,20100,,,,19475,,,,,,,,</t>
  </si>
  <si>
    <t>2025-05-02 06:37:00,2159359608.24045,0,0,0,0,0,0,0</t>
  </si>
  <si>
    <t>2025-05-02 06:37:00,1085225619.74122,0,,0,,0,0,0</t>
  </si>
  <si>
    <t>2025-05-02 06:37:00,173910002.495711,907648.402084112,-2670.13333333334,-62,-52745.8920000003,-872.99,-0.0591188921970902,-15.26</t>
  </si>
  <si>
    <t>2025-05-02 06:37:00,35155056.0057901,0,0,0,0,0,0,0</t>
  </si>
  <si>
    <t>2025-05-02 06:38:00,575,,,,575,,,,,,,,</t>
  </si>
  <si>
    <t>2025-05-02 06:38:00,490,,,,470,,,,,,,,</t>
  </si>
  <si>
    <t>2025-05-02 06:38:00,5800,,5700,,5600,,5660,,,,,5700,5400</t>
  </si>
  <si>
    <t>2025-05-02 06:38:00,20100,,,,19475,,,,,,,,</t>
  </si>
  <si>
    <t>2025-05-02 06:38:00,2213040456.10583,0,0,0,0,0,0,0</t>
  </si>
  <si>
    <t>2025-05-02 06:38:00,1116649124.61757,0,,0,,0,0,0</t>
  </si>
  <si>
    <t>2025-05-02 06:38:00,172043843.277141,918667.683553281,-1937.2230952381,-49,-31075.0388642857,-791.79,-0.0787425227926592,-14.66</t>
  </si>
  <si>
    <t>2025-05-02 06:38:00,35315010.4635601,0,0,0,0,0,0,0</t>
  </si>
  <si>
    <t>2025-05-02 06:39:00,575,,,,575,,,,,,,,</t>
  </si>
  <si>
    <t>2025-05-02 06:39:00,490,,,,470,,,,,,,,</t>
  </si>
  <si>
    <t>2025-05-02 06:39:00,5800,,5700,,5600,,5660,,,,,5700,5400</t>
  </si>
  <si>
    <t>2025-05-02 06:39:00,20100,,,,19475,,,,,,,,</t>
  </si>
  <si>
    <t>2025-05-02 06:39:00,2280609158.66743,0,0,0,0,0,0,0</t>
  </si>
  <si>
    <t>2025-05-02 06:39:00,1098257391.20148,0,,0,,0,0,0</t>
  </si>
  <si>
    <t>2025-05-02 06:39:00,170752095.346791,886676.434227893,-1583,-38,-30019.2360000002,-520.75,0.0598690189447339,-5.8</t>
  </si>
  <si>
    <t>2025-05-02 06:39:00,35407898.1869674,0,0,0,0,0,0,0</t>
  </si>
  <si>
    <t>2025-05-02 06:40:00,575,,,,575,,,,,,,,</t>
  </si>
  <si>
    <t>2025-05-02 06:40:00,490,,,,470,,,,,,,,</t>
  </si>
  <si>
    <t>2025-05-02 06:40:00,5800,,5700,,5600,,5660,,,,,5700,5400</t>
  </si>
  <si>
    <t>2025-05-02 06:40:00,20100,,,,19475,,,,,,,,</t>
  </si>
  <si>
    <t>2025-05-02 06:40:00,2254277087.78245,0,0,0,0,0,0,0</t>
  </si>
  <si>
    <t>2025-05-02 06:40:00,1120476525.75725,0,,0,,0,0,0</t>
  </si>
  <si>
    <t>2025-05-02 06:40:00,171696765.73989,977134.653551926,-228.3,-9,-966.319000000001,-23.18,-0.0025466325079634,-0.42</t>
  </si>
  <si>
    <t>2025-05-02 06:40:00,35373321.3091028,0,0,0,0,0,0,0</t>
  </si>
  <si>
    <t>2025-05-02 06:41:00,575,,,,575,,,,,,,,</t>
  </si>
  <si>
    <t>2025-05-02 06:41:00,490,,,,470,,,,,,,,</t>
  </si>
  <si>
    <t>2025-05-02 06:41:00,5800,,5700,,5600,,5660,,,,,5700,5400</t>
  </si>
  <si>
    <t>2025-05-02 06:41:00,20100,,,,19475,,,,,,,,</t>
  </si>
  <si>
    <t>2025-05-02 06:41:00,2259402905.69453,0,0,0,0,0,0,0</t>
  </si>
  <si>
    <t>2025-05-02 06:41:00,1142472553.42696,0,,0,,0,0,0</t>
  </si>
  <si>
    <t>2025-05-02 06:41:00,171668043.336752,977710.129489433,-93.0999999999999,-4,-792.837999999999,-26.28,0.00289695624401066,-0.29</t>
  </si>
  <si>
    <t>2025-05-02 06:41:00,35402382.1115457,0,0,0,0,0,0,0</t>
  </si>
  <si>
    <t>2025-05-02 06:42:00,575,,,,575,,,,,,,,</t>
  </si>
  <si>
    <t>2025-05-02 06:42:00,490,,,,470,,,,,,,,</t>
  </si>
  <si>
    <t>2025-05-02 06:42:00,5800,,5700,,5600,,5660,,,,,5700,5400</t>
  </si>
  <si>
    <t>2025-05-02 06:42:00,20100,,,,19475,,,,,,,,</t>
  </si>
  <si>
    <t>2025-05-02 06:42:00,2311865319.66699,0,0,0,0,0,0,0</t>
  </si>
  <si>
    <t>2025-05-02 06:42:00,1161630434.80668,0,,0,,0,0,0</t>
  </si>
  <si>
    <t>2025-05-02 06:42:00,170672603.516657,962336.983766332,-365.5,-11,-5133.51599999999,-91.59,-0.00127606515864471,-1.34</t>
  </si>
  <si>
    <t>2025-05-02 06:42:00,35466925.9860071,0,0,0,0,0,0,0</t>
  </si>
  <si>
    <t>2025-05-02 06:43:00,575,,,,575,,,,,,,,</t>
  </si>
  <si>
    <t>2025-05-02 06:43:00,490,,,,470,,,,,,,,</t>
  </si>
  <si>
    <t>2025-05-02 06:43:00,5800,,5700,,5600,,5660,,,,,5700,5400</t>
  </si>
  <si>
    <t>2025-05-02 06:43:00,20100,,,,19475,,,,,,,,</t>
  </si>
  <si>
    <t>2025-05-02 06:43:00,2340607102.9298,0,0,0,0,0,0,0</t>
  </si>
  <si>
    <t>2025-05-02 06:43:00,1163492071.65263,0,,0,,0,0,0</t>
  </si>
  <si>
    <t>2025-05-02 06:43:00,170864797.679427,973846.751447459,-424.433333333333,-13,-10619.094,-163.2,0.0129850627106799,-1.92</t>
  </si>
  <si>
    <t>2025-05-02 06:43:00,35496299.9078958,0,0,0,0,0,0,0</t>
  </si>
  <si>
    <t>2025-05-02 06:44:00,575,,,,575,,,,,,,,</t>
  </si>
  <si>
    <t>2025-05-02 06:44:00,490,,,,470,,,,,,,,</t>
  </si>
  <si>
    <t>2025-05-02 06:44:00,5800,,5700,,5600,,5660,,,,,5700,5400</t>
  </si>
  <si>
    <t>2025-05-02 06:44:00,20100,,,,19475,,,,,,,,</t>
  </si>
  <si>
    <t>2025-05-02 06:44:00,2356082423.93582,0,0,0,0,0,0,0</t>
  </si>
  <si>
    <t>2025-05-02 06:44:00,1188973614.99165,0,,0,,0,0,0</t>
  </si>
  <si>
    <t>2025-05-02 06:44:00,170084122.258443,1001795.85306867,-3648.33333333334,-104,-39559.409,-851.32,-0.192311562410682,-21.49</t>
  </si>
  <si>
    <t>2025-05-02 06:44:00,35584662.4698636,0,0,0,0,0,0,0</t>
  </si>
  <si>
    <t>2025-05-02 06:45:00,575,,,,575,,,,,,,,</t>
  </si>
  <si>
    <t>2025-05-02 06:45:00,490,,,,470,,,,,,,,</t>
  </si>
  <si>
    <t>2025-05-02 06:45:00,5800,,5700,,5600,,5660,,,,,5700,5400</t>
  </si>
  <si>
    <t>2025-05-02 06:45:00,20100,,,,19475,,,,,,,,</t>
  </si>
  <si>
    <t>2025-05-02 06:45:00,2272745229.86008,0,0,0,0,0,0,0</t>
  </si>
  <si>
    <t>2025-05-02 06:45:00,1152824784.73192,0,,0,,0,0,0</t>
  </si>
  <si>
    <t>2025-05-02 06:45:00,171978490.933131,1118105.37591905,-4082.38333333331,-227,-54644.6481666662,-1195.54,-0.363715229823453,-31.43</t>
  </si>
  <si>
    <t>2025-05-02 06:45:00,35453843.8151728,0,0,0,0,0,0,0</t>
  </si>
  <si>
    <t>2025-05-02 06:46:00,575,,,,575,,,,,,,,</t>
  </si>
  <si>
    <t>2025-05-02 06:46:00,490,,,,470,,,,,,,,</t>
  </si>
  <si>
    <t>2025-05-02 06:46:00,5800,,5700,,5600,,5660,,,,,5700,5400</t>
  </si>
  <si>
    <t>2025-05-02 06:46:00,20100,,,,19475,,,,,,,,</t>
  </si>
  <si>
    <t>2025-05-02 06:46:00,2252792260.52373,0,0,0,0,0,0,0</t>
  </si>
  <si>
    <t>2025-05-02 06:46:00,1096976376.79175,0,,0,,0,0,0</t>
  </si>
  <si>
    <t>2025-05-02 06:46:00,172304850.528498,1129407.5003352,-618.36666666667,-18,-12783.9400000001,-284.28,-0.0345680507711633,-5.18</t>
  </si>
  <si>
    <t>2025-05-02 06:46:00,35394886.2141512,0,0,0,0,0,0,0</t>
  </si>
  <si>
    <t>2025-05-02 06:47:00,575,,,,575,,,,,,,,</t>
  </si>
  <si>
    <t>2025-05-02 06:47:00,490,,,,470,,,,,,,,</t>
  </si>
  <si>
    <t>2025-05-02 06:47:00,5800,,5700,,5600,,5660,,,,,5700,5400</t>
  </si>
  <si>
    <t>2025-05-02 06:47:00,20100,,,,19475,,,,,,,,</t>
  </si>
  <si>
    <t>2025-05-02 06:47:00,2216056268.74882,0,0,0,0,0,0,0</t>
  </si>
  <si>
    <t>2025-05-02 06:47:00,1120260664.17996,0,,0,,0,0,0</t>
  </si>
  <si>
    <t>2025-05-02 06:47:00,173665139.785756,1155555.38567374,-249.633333333334,-15,-1512.05366666668,-49.18,-0.0337172896508355,-1.71</t>
  </si>
  <si>
    <t>2025-05-02 06:47:00,35306643.2406823,0,0,0,0,0,0,0</t>
  </si>
  <si>
    <t>2025-05-02 06:48:00,575,,,,575,,,,,,,,</t>
  </si>
  <si>
    <t>2025-05-02 06:48:00,490,,,,470,,,,,,,,</t>
  </si>
  <si>
    <t>2025-05-02 06:48:00,5800,,5700,,5600,,5660,,,,,5700,5400</t>
  </si>
  <si>
    <t>2025-05-02 06:48:00,20100,,,,19475,,,,,,,,</t>
  </si>
  <si>
    <t>2025-05-02 06:48:00,2261012936.68712,0,0,0,0,0,0,0</t>
  </si>
  <si>
    <t>2025-05-02 06:48:00,1143558787.78585,0,,0,,0,0,0</t>
  </si>
  <si>
    <t>2025-05-02 06:48:00,172821328.888724,1144306.89049946,-742.550000000002,-19,-11749.9285,-207.32,0.00940715944085807,-2.71</t>
  </si>
  <si>
    <t>2025-05-02 06:48:00,35376319.0083112,0,0,0,0,0,0,0</t>
  </si>
  <si>
    <t>2025-05-02 06:49:00,575,,,,575,,,,,,,,</t>
  </si>
  <si>
    <t>2025-05-02 06:49:00,490,,,,470,,,,,,,,</t>
  </si>
  <si>
    <t>2025-05-02 06:49:00,5800,,5700,,5600,,5660,,,,,5700,5400</t>
  </si>
  <si>
    <t>2025-05-02 06:49:00,20100,,,,19475,,,,,,,,</t>
  </si>
  <si>
    <t>2025-05-02 06:49:00,2257295322.77353,0,0,0,0,0,0,0</t>
  </si>
  <si>
    <t>2025-05-02 06:49:00,1141088842.30972,0,,0,,0,0,0</t>
  </si>
  <si>
    <t>2025-05-02 06:49:00,172256007.775056,1135841.41795203,-842.933333333329,-24,-37807.9786666662,-483.32,-0.0107575014183279,-7.46</t>
  </si>
  <si>
    <t>2025-05-02 06:49:00,35396044.97155,0,0,0,0,0,0,0</t>
  </si>
  <si>
    <t>2025-05-02 06:50:00,575,,,,575,,,,,,,,</t>
  </si>
  <si>
    <t>2025-05-02 06:50:00,490,,,,470,,,,,,,,</t>
  </si>
  <si>
    <t>2025-05-02 06:50:00,5800,,5700,,5600,,5660,,,,,5700,5400</t>
  </si>
  <si>
    <t>2025-05-02 06:50:00,20100,,,,19475,,,,,,,,</t>
  </si>
  <si>
    <t>2025-05-02 06:50:00,2267462101.87898,0,0,0,0,0,0,0</t>
  </si>
  <si>
    <t>2025-05-02 06:50:00,1147927976.8316,0,,0,,0,0,0</t>
  </si>
  <si>
    <t>2025-05-02 06:50:00,172077290.347871,1148571.14905613,-1136.53333333333,-54,-7065.9196666667,-187.65,-0.121005325289305,-6.4</t>
  </si>
  <si>
    <t>2025-05-02 06:50:00,35413882.776207,0,0,0,0,0,0,0</t>
  </si>
  <si>
    <t>2025-05-02 06:51:00,575,,,,575,,,,,,,,</t>
  </si>
  <si>
    <t>2025-05-02 06:51:00,490,,,,470,,,,,,,,</t>
  </si>
  <si>
    <t>2025-05-02 06:51:00,5800,,5700,,5600,,5660,,,,,5700,5400</t>
  </si>
  <si>
    <t>2025-05-02 06:51:00,20100,,,,19475,,,,,,,,</t>
  </si>
  <si>
    <t>2025-05-02 06:51:00,2335394233.63936,0,0,0,0,0,0,0</t>
  </si>
  <si>
    <t>2025-05-02 06:51:00,1182023180.98857,0,,0,,0,0,0</t>
  </si>
  <si>
    <t>2025-05-02 06:51:00,170902113.418329,1192714.22895538,-2278.78333333333,-22,-29975.8548333333,-771.22,-0.103035888129034,-18.92</t>
  </si>
  <si>
    <t>2025-05-02 06:51:00,35560831.2392652,0,0,0,0,0,0,0</t>
  </si>
  <si>
    <t>2025-05-02 06:52:00,575,,,,575,,,,,,,,</t>
  </si>
  <si>
    <t>2025-05-02 06:52:00,490,,,,470,,,,,,,,</t>
  </si>
  <si>
    <t>2025-05-02 06:52:00,5800,,5700,,5600,,5660,,,,,5700,5400</t>
  </si>
  <si>
    <t>2025-05-02 06:52:00,20100,,,,19475,,,,,,,,</t>
  </si>
  <si>
    <t>2025-05-02 06:52:00,2374065066.89576,0,0,0,0,0,0,0</t>
  </si>
  <si>
    <t>2025-05-02 06:52:00,1205629421.30242,0,,0,,0,0,0</t>
  </si>
  <si>
    <t>2025-05-02 06:52:00,169735048.8831,1186990.33476105,-456.600000000001,-13,-6981.57000000002,-132.3,-0.00338529635325712,-2.08</t>
  </si>
  <si>
    <t>2025-05-02 06:52:00,35616442.7502507,0,0,0,0,0,0,0</t>
  </si>
  <si>
    <t>2025-05-02 06:53:00,575,,,,575,,,,,,,,</t>
  </si>
  <si>
    <t>2025-05-02 06:53:00,490,,,,470,,,,,,,,</t>
  </si>
  <si>
    <t>2025-05-02 06:53:00,5800,,5700,,5600,,5660,,,,,5700,5400</t>
  </si>
  <si>
    <t>2025-05-02 06:53:00,20100,,,,19475,,,,,,,,</t>
  </si>
  <si>
    <t>2025-05-02 06:53:00,2316872188.87184,0,0,0,0,0,0,0</t>
  </si>
  <si>
    <t>2025-05-02 06:53:00,1178232705.54792,0,,0,,0,0,0</t>
  </si>
  <si>
    <t>2025-05-02 06:53:00,170660367.438257,1195127.05886789,-197.199999999999,-9,-1258.13499999999,-33.48,-0.0198629141597197,-1.11</t>
  </si>
  <si>
    <t>2025-05-02 06:53:00,35522829.0202702,0,0,0,0,0,0,0</t>
  </si>
  <si>
    <t>2025-05-02 06:54:00,575,,,,575,,,,,,,,</t>
  </si>
  <si>
    <t>2025-05-02 06:54:00,490,,,,470,,,,,,,,</t>
  </si>
  <si>
    <t>2025-05-02 06:54:00,5700,,5700,,5600,,5660,,,,,5700,5400</t>
  </si>
  <si>
    <t>2025-05-02 06:54:00,20100,,,,19475,,,,,,,,</t>
  </si>
  <si>
    <t>2025-05-02 06:54:00,2245781453.17307,0,0,0,0,0,0,0</t>
  </si>
  <si>
    <t>2025-05-02 06:54:00,1141908890.98271,0,,0,,0,0,0</t>
  </si>
  <si>
    <t>2025-05-02 06:54:00,173249793.926142,1256049.22650333,-420.2,-18,-2789.099,-85.51,-0.0332147373216515,-2.41</t>
  </si>
  <si>
    <t>2025-05-02 06:54:00,35361365.281717,0,0,0,0,0,0,0</t>
  </si>
  <si>
    <t>2025-05-02 06:55:00,575,,,,575,,,,,,,,</t>
  </si>
  <si>
    <t>2025-05-02 06:55:00,490,,,,470,,,,,,,,</t>
  </si>
  <si>
    <t>2025-05-02 06:55:00,5700,,5700,,5600,,5660,,,,,5700,5400</t>
  </si>
  <si>
    <t>2025-05-02 06:55:00,20100,,,,19475,,,,,,,,</t>
  </si>
  <si>
    <t>2025-05-02 06:55:00,2159185595.59819,0,0,0,0,0,0,0</t>
  </si>
  <si>
    <t>2025-05-02 06:55:00,1113909678.92483,0,,0,,0,0,0</t>
  </si>
  <si>
    <t>2025-05-02 06:55:00,174537105.657922,1236329.77426617,-682.566666666668,-19,-9328.80900000003,-183.23,-0.0217652544938552,-3.58</t>
  </si>
  <si>
    <t>2025-05-02 06:55:00,35221462.8991646,0,0,0,0,0,0,0</t>
  </si>
  <si>
    <t>2025-05-02 06:56:00,575,,,,575,,,,,,,,</t>
  </si>
  <si>
    <t>2025-05-02 06:56:00,490,,,,470,,,,,,,,</t>
  </si>
  <si>
    <t>2025-05-02 06:56:00,5700,,5700,,5600,,5660,,,,,5700,5400</t>
  </si>
  <si>
    <t>2025-05-02 06:56:00,20100,,,,19475,,,,,,,,</t>
  </si>
  <si>
    <t>2025-05-02 06:56:00,2250333899.57327,0,0,0,0,0,0,0</t>
  </si>
  <si>
    <t>2025-05-02 06:56:00,1151681287.00425,0,,0,,0,0,0</t>
  </si>
  <si>
    <t>2025-05-02 06:56:00,172460920.73854,1182034.64140022,-11709.0833333334,-291,-253789.6335,-4676.63,0.181146985722831,-66.97</t>
  </si>
  <si>
    <t>2025-05-02 06:56:00,35400169.5848727,0,0,0,0,0,0,0</t>
  </si>
  <si>
    <t>2025-05-02 06:57:00,575,,,,575,,,,,,,,</t>
  </si>
  <si>
    <t>2025-05-02 06:57:00,490,,,,470,,,,,,,,</t>
  </si>
  <si>
    <t>2025-05-02 06:57:00,5800,,5700,,5600,,5660,,,,,5700,5400</t>
  </si>
  <si>
    <t>2025-05-02 06:57:00,20100,,,,19475,,,,,,,,</t>
  </si>
  <si>
    <t>2025-05-02 06:57:00,2274329031.42982,0,0,0,0,0,0,0</t>
  </si>
  <si>
    <t>2025-05-02 06:57:00,1100610185.7925,0,,0,,0,0,0</t>
  </si>
  <si>
    <t>2025-05-02 06:57:00,171973912.546624,1118337.58348994,-656.368253968253,-21,-7466.4138095238,-236.41,0.0220000330251143,-2.82</t>
  </si>
  <si>
    <t>2025-05-02 06:57:00,35424764.7262551,0,0,0,0,0,0,0</t>
  </si>
  <si>
    <t>2025-05-02 06:58:00,575,,,,575,,,,,,,,</t>
  </si>
  <si>
    <t>2025-05-02 06:58:00,490,,,,470,,,,,,,,</t>
  </si>
  <si>
    <t>2025-05-02 06:58:00,5800,,5700,,5600,,5660,,,,,5700,5400</t>
  </si>
  <si>
    <t>2025-05-02 06:58:00,20100,,,,19475,,,,,,,,</t>
  </si>
  <si>
    <t>2025-05-02 06:58:00,2276031024.88448,0,0,0,0,0,0,0</t>
  </si>
  <si>
    <t>2025-05-02 06:58:00,1153646125.66204,0,,0,,0,0,0</t>
  </si>
  <si>
    <t>2025-05-02 06:58:00,172056297.230829,1191552.55139036,-559.25,-24,-7314.62783333335,-165.63,-0.0415078796665676,-3.71</t>
  </si>
  <si>
    <t>2025-05-02 06:58:00,35413491.9254778,0,0,0,0,0,0,0</t>
  </si>
  <si>
    <t>2025-05-02 06:59:00,575,,,,575,,,,,,,,</t>
  </si>
  <si>
    <t>2025-05-02 06:59:00,490,,,,470,,,,,,,,</t>
  </si>
  <si>
    <t>2025-05-02 06:59:00,5800,,5700,,5600,,5660,,,,,5700,5400</t>
  </si>
  <si>
    <t>2025-05-02 06:59:00,20100,,,,19475,,,,,,,,</t>
  </si>
  <si>
    <t>2025-05-02 06:59:00,2260013297.45218,0,0,0,0,0,0,0</t>
  </si>
  <si>
    <t>2025-05-02 06:59:00,1146526695.28341,0,,0,,0,0,0</t>
  </si>
  <si>
    <t>2025-05-02 06:59:00,172328496.697785,1182694.76619026,-499.800000000004,-10,-26447.3580000002,-365.07,0.0255438819404273,-4.5</t>
  </si>
  <si>
    <t>2025-05-02 06:59:00,35369831.1473354,0,0,0,0,0,0,0</t>
  </si>
  <si>
    <t>2025-05-02 07:01:00,575,,,,575,,,,,,,,</t>
  </si>
  <si>
    <t>2025-05-02 07:01:00,490,,,,470,,,,,,,,</t>
  </si>
  <si>
    <t>2025-05-02 07:01:00,5800,,5700,,5600,,5660,,,,,5700,5400</t>
  </si>
  <si>
    <t>2025-05-02 07:01:00,20100,,,,19475,,,,,,,,</t>
  </si>
  <si>
    <t>2025-05-02 07:01:00,2238791317.64003,0,0,0,0,0,0,0</t>
  </si>
  <si>
    <t>2025-05-02 07:01:00,1143878886.19255,0,,0,,0,0,0</t>
  </si>
  <si>
    <t>2025-05-02 07:01:00,173086463.397656,1220664.48907634,-866.233333333332,-34,-38772.9753333333,-1423.23,-0.0401883851448638,-15.96</t>
  </si>
  <si>
    <t>2025-05-02 07:01:00,35347167.9549548,0,0,0,0,0,0,0</t>
  </si>
  <si>
    <t>2025-05-02 07:02:00,575,,,,575,,,,,,,,</t>
  </si>
  <si>
    <t>2025-05-02 07:02:00,490,,,,470,,,,,,,,</t>
  </si>
  <si>
    <t>2025-05-02 07:02:00,5800,,5700,,5600,,5660,,,,,5700,5400</t>
  </si>
  <si>
    <t>2025-05-02 07:02:00,20100,,,,19475,,,,,,,,</t>
  </si>
  <si>
    <t>2025-05-02 07:02:00,2295865393.78061,0,0,0,0,0,0,0</t>
  </si>
  <si>
    <t>2025-05-02 07:02:00,1176800436.68372,0,,0,,0,0,0</t>
  </si>
  <si>
    <t>2025-05-02 07:02:00,171863661.334228,1196230.31078694,-464.2,-9,-4340,-76.53,0.00305210516322198,-1.1</t>
  </si>
  <si>
    <t>2025-05-02 07:02:00,35486346.1001116,0,0,0,0,0,0,0</t>
  </si>
  <si>
    <t>2025-05-02 07:03:00,575,,,,575,,,,,,,,</t>
  </si>
  <si>
    <t>2025-05-02 07:03:00,490,,,,470,,,,,,,,</t>
  </si>
  <si>
    <t>2025-05-02 07:03:00,5800,,5700,,5600,,5660,,,,,5700,5400</t>
  </si>
  <si>
    <t>2025-05-02 07:03:00,20100,,,,19475,,,,,,,,</t>
  </si>
  <si>
    <t>2025-05-02 07:03:00,2335855645.50042,0,0,0,0,0,0,0</t>
  </si>
  <si>
    <t>2025-05-02 07:03:00,1185888809.25923,0,,0,,0,0,0</t>
  </si>
  <si>
    <t>2025-05-02 07:03:00,171972378.750636,1209437.55440794,-636.250000000002,-20,-6635.85550000003,-147.8,-0.0307622755875716,-3.28</t>
  </si>
  <si>
    <t>2025-05-02 07:03:00,35531511.1370533,0,0,0,0,0,0,0</t>
  </si>
  <si>
    <t>2025-05-02 07:04:00,575,,,,575,,,,,,,,</t>
  </si>
  <si>
    <t>2025-05-02 07:04:00,490,,,,470,,,,,,,,</t>
  </si>
  <si>
    <t>2025-05-02 07:04:00,5800,,5700,,5600,,5660,,,,,5700,5400</t>
  </si>
  <si>
    <t>2025-05-02 07:04:00,20100,,,,19475,,,,,,,,</t>
  </si>
  <si>
    <t>2025-05-02 07:04:00,2319550683.72566,0,0,0,0,0,0,0</t>
  </si>
  <si>
    <t>2025-05-02 07:04:00,1169371170.90012,0,,0,,0,0,0</t>
  </si>
  <si>
    <t>2025-05-02 07:04:00,172155058.088923,1203111.489807,-1839.87500000001,-39,-38169.8657500001,-730.73,0.0883775945290111,-8.06</t>
  </si>
  <si>
    <t>2025-05-02 07:04:00,35476047.3438088,0,0,0,0,0,0,0</t>
  </si>
  <si>
    <t>2025-05-02 07:05:00,575,,,,575,,,,,,,,</t>
  </si>
  <si>
    <t>2025-05-02 07:05:00,490,,,,470,,,,,,,,</t>
  </si>
  <si>
    <t>2025-05-02 07:05:00,5800,,5700,,5600,,5660,,,,,5700,5400</t>
  </si>
  <si>
    <t>2025-05-02 07:05:00,20100,,,,19475,,,,,,,,</t>
  </si>
  <si>
    <t>2025-05-02 07:05:00,2300290138.10885,0,0,0,0,0,0,0</t>
  </si>
  <si>
    <t>2025-05-02 07:05:00,1176253843.74783,0,,0,,0,0,0</t>
  </si>
  <si>
    <t>2025-05-02 07:05:00,171416939.149648,1165037.44978744,-5373.04166666666,-147,-87417.1994166665,-1668.62,-0.109365691953794,-29.48</t>
  </si>
  <si>
    <t>2025-05-02 07:05:00,35486983.9663746,0,0,0,0,0,0,0</t>
  </si>
  <si>
    <t>2025-05-02 07:06:00,575,,,,575,,,,,,,,</t>
  </si>
  <si>
    <t>2025-05-02 07:06:00,490,,,,470,,,,,,,,</t>
  </si>
  <si>
    <t>2025-05-02 07:06:00,5800,,5700,,5600,,5660,,,,,5700,5400</t>
  </si>
  <si>
    <t>2025-05-02 07:06:00,20100,,,,19475,,,,,,,,</t>
  </si>
  <si>
    <t>2025-05-02 07:06:00,2350656315.89945,0,0,0,0,0,0,0</t>
  </si>
  <si>
    <t>2025-05-02 07:06:00,1200692899.05161,0,,0,,0,0,0</t>
  </si>
  <si>
    <t>2025-05-02 07:06:00,170808507.818468,1216529.07546373,-9000.29999999998,-248,-134575.837666666,-2846.76,-0.114179221099976,-47.28</t>
  </si>
  <si>
    <t>2025-05-02 07:06:00,35578278.3099379,0,0,0,0,0,0,0</t>
  </si>
  <si>
    <t>2025-05-02 07:07:00,575,,,,575,,,,,,,,</t>
  </si>
  <si>
    <t>2025-05-02 07:07:00,490,,,,470,,,,,,,,</t>
  </si>
  <si>
    <t>2025-05-02 07:07:00,5800,,5700,,5600,,5660,,,,,5700,5400</t>
  </si>
  <si>
    <t>2025-05-02 07:07:00,20100,,,,19475,,,,,,,,</t>
  </si>
  <si>
    <t>2025-05-02 07:07:00,2360854470.2567,0,0,0,0,0,0,0</t>
  </si>
  <si>
    <t>2025-05-02 07:07:00,1189491459.12591,0,,0,,0,0,0</t>
  </si>
  <si>
    <t>2025-05-02 07:07:00,171457409.930509,1212779.38605006,-557.849999999999,-12,-5935.27149999999,-100.26,0.00599155970284751,-1.29</t>
  </si>
  <si>
    <t>2025-05-02 07:07:00,35605665.131627,0,0,0,0,0,0,0</t>
  </si>
  <si>
    <t>2025-05-02 07:08:00,575,,,,575,,,,,,,,</t>
  </si>
  <si>
    <t>2025-05-02 07:08:00,490,,,,470,,,,,,,,</t>
  </si>
  <si>
    <t>2025-05-02 07:08:00,5800,,5700,,5600,,5660,,,,,5700,5400</t>
  </si>
  <si>
    <t>2025-05-02 07:08:00,20100,,,,19475,,,,,,,,</t>
  </si>
  <si>
    <t>2025-05-02 07:08:00,2391956163.90296,0,0,0,0,0,0,0</t>
  </si>
  <si>
    <t>2025-05-02 07:08:00,1204817633.56174,0,,0,,0,0,0</t>
  </si>
  <si>
    <t>2025-05-02 07:08:00,169552333.710633,1167347.59761064,-2145.19166666666,-42,-70095.1627499998,-1088.44,0.0912391458845139,-13.33</t>
  </si>
  <si>
    <t>2025-05-02 07:08:00,35666605.6378013,0,0,0,0,0,0,0</t>
  </si>
  <si>
    <t>2025-05-02 07:09:00,575,,,,575,,,,,,,,</t>
  </si>
  <si>
    <t>2025-05-02 07:09:00,490,,,,470,,,,,,,,</t>
  </si>
  <si>
    <t>2025-05-02 07:09:00,5800,,5700,,5600,,5660,,,,,5700,5400</t>
  </si>
  <si>
    <t>2025-05-02 07:09:00,20100,,,,19475,,,,,,,,</t>
  </si>
  <si>
    <t>2025-05-02 07:09:00,2477211802.07628,0,0,0,0,0,0,0</t>
  </si>
  <si>
    <t>2025-05-02 07:09:00,1249579551.99697,0,,0,,0,0,0</t>
  </si>
  <si>
    <t>2025-05-02 07:09:00,169723351.999215,1242850.13718875,-1614.21666666666,-51,-13123.8701666667,-247.62,-0.0930613302606881,-6.57</t>
  </si>
  <si>
    <t>2025-05-02 07:09:00,35783639.8566471,0,0,0,0,0,0,0</t>
  </si>
  <si>
    <t>2025-05-02 07:10:00,575,,,,575,,,,,,,,</t>
  </si>
  <si>
    <t>2025-05-02 07:10:00,490,,,,470,,,,,,,,</t>
  </si>
  <si>
    <t>2025-05-02 07:10:00,5800,,5700,,5600,,5660,,,,,5700,5400</t>
  </si>
  <si>
    <t>2025-05-02 07:10:00,20100,,,,19475,,,,,,,,</t>
  </si>
  <si>
    <t>2025-05-02 07:10:00,2494420857.76138,0,0,0,0,0,0,0</t>
  </si>
  <si>
    <t>2025-05-02 07:10:00,1254401824.09325,0,,0,,0,0,0</t>
  </si>
  <si>
    <t>2025-05-02 07:10:00,169769843.292051,1264863.24492023,-6176.83333333332,-238,-87973.6469999997,-1670.45,-0.0749769103319146,-22.19</t>
  </si>
  <si>
    <t>2025-05-02 07:10:00,35812512.2013693,0,0,0,0,0,0,0</t>
  </si>
  <si>
    <t>2025-05-02 07:11:00,575,,,,575,,,,,,,,</t>
  </si>
  <si>
    <t>2025-05-02 07:11:00,490,,,,470,,,,,,,,</t>
  </si>
  <si>
    <t>2025-05-02 07:11:00,5800,,5700,,5600,,5660,,,,,5700,5400</t>
  </si>
  <si>
    <t>2025-05-02 07:11:00,20100,,,,19475,,,,,,,,</t>
  </si>
  <si>
    <t>2025-05-02 07:11:00,2500091808.27991,0,0,0,0,0,0,0</t>
  </si>
  <si>
    <t>2025-05-02 07:11:00,1268849080.54099,0,,0,,0,0,0</t>
  </si>
  <si>
    <t>2025-05-02 07:11:00,169430753.147973,1275195.55654554,-7867.16666666667,-228,-107931.77,-2119.82,-0.106877186046962,-34.65</t>
  </si>
  <si>
    <t>2025-05-02 07:11:00,35858397.0407341,0,0,0,0,0,0,0</t>
  </si>
  <si>
    <t>2025-05-02 07:12:00,575,,,,575,,,,,,,,</t>
  </si>
  <si>
    <t>2025-05-02 07:12:00,490,,,,470,,,,,,,,</t>
  </si>
  <si>
    <t>2025-05-02 07:12:00,5800,,5700,,5600,,5660,,,,,5700,5400</t>
  </si>
  <si>
    <t>2025-05-02 07:12:00,20100,,,,19475,,,,,,,,</t>
  </si>
  <si>
    <t>2025-05-02 07:12:00,2476383160.01195,0,0,0,0,0,0,0</t>
  </si>
  <si>
    <t>2025-05-02 07:12:00,1263859131.33224,0,,0,,0,0,0</t>
  </si>
  <si>
    <t>2025-05-02 07:12:00,170021440.617209,1318569.34740656,-1403.43333333333,-28,-16318.2563333333,-310.1,0.00368798472612112,-4.96</t>
  </si>
  <si>
    <t>2025-05-02 07:12:00,35841710.0392989,0,0,0,0,0,0,0</t>
  </si>
  <si>
    <t>2025-05-02 07:13:00,575,,,,575,,,,,,,,</t>
  </si>
  <si>
    <t>2025-05-02 07:13:00,490,,,,470,,,,,,,,</t>
  </si>
  <si>
    <t>2025-05-02 07:13:00,5800,,5700,,5600,,5660,,,,,5700,5400</t>
  </si>
  <si>
    <t>2025-05-02 07:13:00,20100,,,,19475,,,,,,,,</t>
  </si>
  <si>
    <t>2025-05-02 07:13:00,2429993295.07735,0,0,0,0,0,0,0</t>
  </si>
  <si>
    <t>2025-05-02 07:13:00,1251294718.43428,0,,0,,0,0,0</t>
  </si>
  <si>
    <t>2025-05-02 07:13:00,170764075.976748,1312680.59759984,-1398.60833333333,-38,-25393.58375,-492.94,0.0146016429513965,-6.63</t>
  </si>
  <si>
    <t>2025-05-02 07:13:00,35778956.72842,0,0,0,0,0,0,0</t>
  </si>
  <si>
    <t>2025-05-02 07:14:00,575,,,,575,,,,,,,,</t>
  </si>
  <si>
    <t>2025-05-02 07:14:00,490,,,,470,,,,,,,,</t>
  </si>
  <si>
    <t>2025-05-02 07:14:00,5800,,5700,,5600,,5660,,,,,5700,5400</t>
  </si>
  <si>
    <t>2025-05-02 07:14:00,20100,,,,19475,,,,,,,,</t>
  </si>
  <si>
    <t>2025-05-02 07:14:00,2392160876.6766,0,0,0,0,0,0,0</t>
  </si>
  <si>
    <t>2025-05-02 07:14:00,1241707064.32641,0,,0,,0,0,0</t>
  </si>
  <si>
    <t>2025-05-02 07:14:00,169828845.281254,1265585.80640569,-2307.19791154792,-48,-83551.3250687966,-1369.95,0.0663619951008334,-17.65</t>
  </si>
  <si>
    <t>2025-05-02 07:14:00,35749218.5985738,0,0,0,0,0,0,0</t>
  </si>
  <si>
    <t>2025-05-02 07:15:00,575,,,,575,,,,,,,,</t>
  </si>
  <si>
    <t>2025-05-02 07:15:00,490,,,,470,,,,,,,,</t>
  </si>
  <si>
    <t>2025-05-02 07:15:00,5800,,5700,,5600,,5660,,,,,5700,5400</t>
  </si>
  <si>
    <t>2025-05-02 07:15:00,20100,,,,19475,,,,,,,,</t>
  </si>
  <si>
    <t>2025-05-02 07:15:00,2337914674.02431,0,0,0,0,0,0,0</t>
  </si>
  <si>
    <t>2025-05-02 07:15:00,1207747486.04271,0,,0,,0,0,0</t>
  </si>
  <si>
    <t>2025-05-02 07:15:00,171617366.376205,1276195.45010825,-930.766666666667,-17,-21117.2703333334,-269.67,0.015250155151413,-3.41</t>
  </si>
  <si>
    <t>2025-05-02 07:15:00,35615509.1481376,0,0,0,0,0,0,0</t>
  </si>
  <si>
    <t>2025-05-02 07:16:00,575,,,,575,,,,,,,,</t>
  </si>
  <si>
    <t>2025-05-02 07:16:00,490,,,,470,,,,,,,,</t>
  </si>
  <si>
    <t>2025-05-02 07:16:00,5800,,5700,,5600,,5660,,,,,5700,5400</t>
  </si>
  <si>
    <t>2025-05-02 07:16:00,20100,,,,19475,,,,,,,,</t>
  </si>
  <si>
    <t>2025-05-02 07:16:00,2342849337.42152,0,0,0,0,0,0,0</t>
  </si>
  <si>
    <t>2025-05-02 07:16:00,1221080255.02047,0,,0,,0,0,0</t>
  </si>
  <si>
    <t>2025-05-02 07:16:00,171349203.329528,1284711.20153007,-721.883333333334,-26,-8382.90583333334,-184.99,-0.0334269056738766,-3.9</t>
  </si>
  <si>
    <t>2025-05-02 07:16:00,35654606.1871847,0,0,0,0,0,0,0</t>
  </si>
  <si>
    <t>2025-05-02 07:17:00,575,,,,575,,,,,,,,</t>
  </si>
  <si>
    <t>2025-05-02 07:17:00,490,,,,470,,,,,,,,</t>
  </si>
  <si>
    <t>2025-05-02 07:17:00,5800,,5700,,5600,,5660,,,,,5700,5400</t>
  </si>
  <si>
    <t>2025-05-02 07:17:00,20100,,,,19475,,,,,,,,</t>
  </si>
  <si>
    <t>2025-05-02 07:17:00,2366544228.94598,0,0,0,0,0,0,0</t>
  </si>
  <si>
    <t>2025-05-02 07:17:00,1240641219.20209,0,,0,,0,0,0</t>
  </si>
  <si>
    <t>2025-05-02 07:17:00,169977105.637492,1276540.56735167,-171.35,-5,-2086.93449999999,-42.5,0.00480903774601427,-0.45</t>
  </si>
  <si>
    <t>2025-05-02 07:17:00,35743035.0070417,0,0,0,0,0,0,0</t>
  </si>
  <si>
    <t>2025-05-02 07:18:00,575,,,,575,,,,,,,,</t>
  </si>
  <si>
    <t>2025-05-02 07:18:00,490,,,,470,,,,,,,,</t>
  </si>
  <si>
    <t>2025-05-02 07:18:00,5800,,5700,,5600,,5660,,,,,5700,5400</t>
  </si>
  <si>
    <t>2025-05-02 07:18:00,20100,,,,19475,,,,,,,,</t>
  </si>
  <si>
    <t>2025-05-02 07:18:00,2389688967.19939,0,0,0,0,0,0,0</t>
  </si>
  <si>
    <t>2025-05-02 07:18:00,1230604010.55472,0,,0,,0,0,0</t>
  </si>
  <si>
    <t>2025-05-02 07:18:00,170272468.536737,1273308.90978343,-5399.45000000003,-113,-149018.156166668,-1957.29,-0.0662497624581219,-32.74</t>
  </si>
  <si>
    <t>2025-05-02 07:18:00,35702854.0951144,0,0,0,0,0,0,0</t>
  </si>
  <si>
    <t>2025-05-02 07:19:00,575,,,,575,,,,,,,,</t>
  </si>
  <si>
    <t>2025-05-02 07:19:00,490,,,,470,,,,,,,,</t>
  </si>
  <si>
    <t>2025-05-02 07:19:00,5800,,5700,,5600,,5660,,,,,5700,5400</t>
  </si>
  <si>
    <t>2025-05-02 07:19:00,20100,,,,19475,,,,,,,,</t>
  </si>
  <si>
    <t>2025-05-02 07:19:00,2389335938.23751,0,0,0,0,0,0,0</t>
  </si>
  <si>
    <t>2025-05-02 07:19:00,1220407651.53432,0,,0,,0,0,0</t>
  </si>
  <si>
    <t>2025-05-02 07:19:00,170438081.511576,1297490.18370061,-950.683333333333,-41,-12633.1151666667,-239.19,-0.036009562588674,-4.1</t>
  </si>
  <si>
    <t>2025-05-02 07:19:00,35682476.8889625,0,0,0,0,0,0,0</t>
  </si>
  <si>
    <t>2025-05-02 07:20:00,575,,,,575,,,,,,,,</t>
  </si>
  <si>
    <t>2025-05-02 07:20:00,490,,,,470,,,,,,,,</t>
  </si>
  <si>
    <t>2025-05-02 07:20:00,5800,,5700,,5600,,5660,,,,,5700,5400</t>
  </si>
  <si>
    <t>2025-05-02 07:20:00,20100,,,,19475,,,,,,,,</t>
  </si>
  <si>
    <t>2025-05-02 07:20:00,2380171646.54204,0,0,0,0,0,0,0</t>
  </si>
  <si>
    <t>2025-05-02 07:20:00,1205915485.84558,0,,0,,0,0,0</t>
  </si>
  <si>
    <t>2025-05-02 07:20:00,170509836.342584,1298986.35746208,-17418.2833333334,-299,-205800.374500001,-2908.17,0.314915635705857,-30.16</t>
  </si>
  <si>
    <t>2025-05-02 07:20:00,35613371.4006103,0,0,0,0,0,0,0</t>
  </si>
  <si>
    <t>2025-05-02 07:21:00,575,,,,575,,,,,,,,</t>
  </si>
  <si>
    <t>2025-05-02 07:21:00,490,,,,470,,,,,,,,</t>
  </si>
  <si>
    <t>2025-05-02 07:21:00,5800,,5700,,5600,,5660,,,,,5700,5400</t>
  </si>
  <si>
    <t>2025-05-02 07:21:00,20100,,,,19475,,,,,,,,</t>
  </si>
  <si>
    <t>2025-05-02 07:21:00,2388824509.51728,0,0,0,0,0,0,0</t>
  </si>
  <si>
    <t>2025-05-02 07:21:00,1199381262.94658,0,,0,,0,0,0</t>
  </si>
  <si>
    <t>2025-05-02 07:21:00,171159737.714171,1170639.46315625,-23351.4666666667,-401,-566849.054000001,-8558.39,0.953087397656823,-96.02</t>
  </si>
  <si>
    <t>2025-05-02 07:21:00,35659081.9538537,0,0,0,0,0,0,0</t>
  </si>
  <si>
    <t>2025-05-02 07:22:00,575,,,,575,,,,,,,,</t>
  </si>
  <si>
    <t>2025-05-02 07:22:00,490,,,,470,,,,,,,,</t>
  </si>
  <si>
    <t>2025-05-02 07:22:00,5800,,5700,,5600,,5660,,,,,5700,5400</t>
  </si>
  <si>
    <t>2025-05-02 07:22:00,20100,,,,19475,,,,,,,,</t>
  </si>
  <si>
    <t>2025-05-02 07:22:00,2450440790.89177,0,0,0,0,0,0,0</t>
  </si>
  <si>
    <t>2025-05-02 07:22:00,1234648391.33991,0,,0,,0,0,0</t>
  </si>
  <si>
    <t>2025-05-02 07:22:00,170433489.254496,1218393.43113415,-3915.19090909092,-97,-69593.0731818185,-852.51,-0.0518579015277804,-11.87</t>
  </si>
  <si>
    <t>2025-05-02 07:22:00,35731195.0571035,0,0,0,0,0,0,0</t>
  </si>
  <si>
    <t>2025-05-02 07:23:00,575,,,,575,,,,,,,,</t>
  </si>
  <si>
    <t>2025-05-02 07:23:00,490,,,,470,,,,,,,,</t>
  </si>
  <si>
    <t>2025-05-02 07:23:00,5800,,5700,,5600,,5660,,,,,5700,5400</t>
  </si>
  <si>
    <t>2025-05-02 07:23:00,20100,,,,19475,,,,,,,,</t>
  </si>
  <si>
    <t>2025-05-02 07:23:00,2461771965.68055,0,0,0,0,0,0,0</t>
  </si>
  <si>
    <t>2025-05-02 07:23:00,1244491609.50174,0,,0,,0,0,0</t>
  </si>
  <si>
    <t>2025-05-02 07:23:00,170567120.133874,1139864.07952151,-14057.5166666666,-282,-173867.422166666,-3137.66,0.34323341871957,-32.77</t>
  </si>
  <si>
    <t>2025-05-02 07:23:00,35757729.0058407,0,0,0,0,0,0,0</t>
  </si>
  <si>
    <t>2025-05-02 07:24:00,575,,,,575,,,,,,,,</t>
  </si>
  <si>
    <t>2025-05-02 07:24:00,490,,,,470,,,,,,,,</t>
  </si>
  <si>
    <t>2025-05-02 07:24:00,5800,,5700,,5600,,5660,,,,,5700,5400</t>
  </si>
  <si>
    <t>2025-05-02 07:24:00,20100,,,,19475,,,,,,,,</t>
  </si>
  <si>
    <t>2025-05-02 07:24:00,2524275209.5928,0,0,0,0,0,0,0</t>
  </si>
  <si>
    <t>2025-05-02 07:24:00,1264152985.23274,0,,0,,0,0,0</t>
  </si>
  <si>
    <t>2025-05-02 07:24:00,169700848.607863,1244012.45995728,-4115.28333333334,-322,-77521.8071666669,-1377.99,-0.470013765495072,-26.88</t>
  </si>
  <si>
    <t>2025-05-02 07:24:00,35861823.1603604,0,0,0,0,0,0,0</t>
  </si>
  <si>
    <t>2025-05-02 07:25:00,575,,,,575,,,,,,,,</t>
  </si>
  <si>
    <t>2025-05-02 07:25:00,490,,,,470,,,,,,,,</t>
  </si>
  <si>
    <t>2025-05-02 07:25:00,5800,,5700,,5600,,5660,,,,,5700,5400</t>
  </si>
  <si>
    <t>2025-05-02 07:25:00,20100,,,,19475,,,,,,,,</t>
  </si>
  <si>
    <t>2025-05-02 07:25:00,2553042450.09846,0,0,0,0,0,0,0</t>
  </si>
  <si>
    <t>2025-05-02 07:25:00,1271041484.48809,0,,0,,0,0,0</t>
  </si>
  <si>
    <t>2025-05-02 07:25:00,169400378.736016,1015363.95308827,-32894.9166666666,-516,-583117.813833334,-8139.4,0.931528446041686,-85.82</t>
  </si>
  <si>
    <t>2025-05-02 07:25:00,35870950.0225498,0,0,0,0,0,0,0</t>
  </si>
  <si>
    <t>2025-05-02 07:26:00,575,,,,575,,,,,,,,</t>
  </si>
  <si>
    <t>2025-05-02 07:26:00,490,,,,470,,,,,,,,</t>
  </si>
  <si>
    <t>2025-05-02 07:26:00,5800,,5700,,5600,,5660,,,,,5700,5400</t>
  </si>
  <si>
    <t>2025-05-02 07:26:00,20100,,,,19475,,,,,,,,</t>
  </si>
  <si>
    <t>2025-05-02 07:26:00,2529488475.68311,0,0,0,0,0,0,0</t>
  </si>
  <si>
    <t>2025-05-02 07:26:00,1270897820.99697,0,,0,,0,0,0</t>
  </si>
  <si>
    <t>2025-05-02 07:26:00,169561460.798991,1057246.27989109,-2825.23333333332,-70,-73777.3119999995,-1398.15,-0.0759505128481283,-22.37</t>
  </si>
  <si>
    <t>2025-05-02 07:26:00,35876744.9767419,0,0,0,0,0,0,0</t>
  </si>
  <si>
    <t>2025-05-02 07:27:00,575,,,,575,,,,,,,,</t>
  </si>
  <si>
    <t>2025-05-02 07:27:00,490,,,,470,,,,,,,,</t>
  </si>
  <si>
    <t>2025-05-02 07:27:00,5800,,5700,,5600,,5660,,,,,5700,5400</t>
  </si>
  <si>
    <t>2025-05-02 07:27:00,20100,,,,19475,,,,,,,,</t>
  </si>
  <si>
    <t>2025-05-02 07:27:00,2517440975.45581,0,0,0,0,0,0,0</t>
  </si>
  <si>
    <t>2025-05-02 07:27:00,1253681513.26526,0,,0,,0,0,0</t>
  </si>
  <si>
    <t>2025-05-02 07:27:00,169576346.275782,1081640.38081952,-3574.43333333333,-89,-53826.2699999998,-971.25,-0.0516311046709044,-15.4</t>
  </si>
  <si>
    <t>2025-05-02 07:27:00,35826729.0742755,0,0,0,0,0,0,0</t>
  </si>
  <si>
    <t>2025-05-02 07:28:00,575,,,,575,,,,,,,,</t>
  </si>
  <si>
    <t>2025-05-02 07:28:00,490,,,,470,,,,,,,,</t>
  </si>
  <si>
    <t>2025-05-02 07:28:00,5800,,5700,,5600,,5660,,,,,5700,5400</t>
  </si>
  <si>
    <t>2025-05-02 07:28:00,20100,,,,19475,,,,,,,,</t>
  </si>
  <si>
    <t>2025-05-02 07:28:00,2517194742.28351,0,0,0,0,0,0,0</t>
  </si>
  <si>
    <t>2025-05-02 07:28:00,1248451645.04546,0,,0,,0,0,0</t>
  </si>
  <si>
    <t>2025-05-02 07:28:00,169944262.922764,1077178.97395314,-1925.40952380952,-73,-37804.713047619,-989.48,0.012477002278131,-13.89</t>
  </si>
  <si>
    <t>2025-05-02 07:28:00,35828475.9873892,0,0,0,0,0,0,0</t>
  </si>
  <si>
    <t>2025-05-02 07:29:00,575,,,,575,,,,,,,,</t>
  </si>
  <si>
    <t>2025-05-02 07:29:00,490,,,,470,,,,,,,,</t>
  </si>
  <si>
    <t>2025-05-02 07:29:00,5800,,5700,,5600,,5660,,,,,5700,5400</t>
  </si>
  <si>
    <t>2025-05-02 07:29:00,20100,,,,19475,,,,,,,,</t>
  </si>
  <si>
    <t>2025-05-02 07:29:00,2533627424.10951,0,0,0,0,0,0,0</t>
  </si>
  <si>
    <t>2025-05-02 07:29:00,1238351088.55642,0,,0,,0,0,0</t>
  </si>
  <si>
    <t>2025-05-02 07:29:00,169469289.59199,1264015.15682806,-4199.55333333333,-259,-30411.6899666666,-1098.36,-0.549640764494854,-33.63</t>
  </si>
  <si>
    <t>2025-05-02 07:29:00,35820771.4182299,0,0,0,0,0,0,0</t>
  </si>
  <si>
    <t>2025-05-02 07:30:00,575,,,,575,,,,,,,,</t>
  </si>
  <si>
    <t>2025-05-02 07:30:00,490,,,,470,,,,,,,,</t>
  </si>
  <si>
    <t>2025-05-02 07:30:00,5800,,5700,,,5800,5670,,,,,5700,5400</t>
  </si>
  <si>
    <t>2025-05-02 07:30:00,20100,,,,19475,,,,,,,,</t>
  </si>
  <si>
    <t>2025-05-02 07:30:00,3207007074.82969,0,0,0,0,0,0,0</t>
  </si>
  <si>
    <t>2025-05-02 07:30:00,1649648650.12472,0,,0,,0,0,0</t>
  </si>
  <si>
    <t>2025-05-02 07:30:00,161967476.312349,2567584.38089329,-18616.6432621812,-750,-186700.480507779,-7868.14,0.335291282272629,-77.67</t>
  </si>
  <si>
    <t>2025-05-02 07:30:00,37313700.4971891,0,0,0,0,0,0,0</t>
  </si>
  <si>
    <t>2025-05-02 07:31:00,575,,,,575,,,,,,,,</t>
  </si>
  <si>
    <t>2025-05-02 07:31:00,485,,,,470,,,,,,,,</t>
  </si>
  <si>
    <t>2025-05-02 07:31:00,5800,,5700,,,5800,5670,,,,,5700,5400</t>
  </si>
  <si>
    <t>2025-05-02 07:31:00,20100,,,,19475,,,,,,,,</t>
  </si>
  <si>
    <t>2025-05-02 07:31:00,3453652062.81151,0,0,0,0,0,0,0</t>
  </si>
  <si>
    <t>2025-05-02 07:31:00,1759249572.91352,0,,0,,0,0,0</t>
  </si>
  <si>
    <t>2025-05-02 07:31:00,164613817.364177,3549605.47162346,-24093.4133880679,-409,-460213.6243052,-6538.87,0.257481873161905,-68.97</t>
  </si>
  <si>
    <t>2025-05-02 07:31:00,37618952.663745,0,0,0,0,0,0,0</t>
  </si>
  <si>
    <t>2025-05-02 07:32:00,575,,,,575,,,,,,,,</t>
  </si>
  <si>
    <t>2025-05-02 07:32:00,485,,,,470,,,,,,,,</t>
  </si>
  <si>
    <t>2025-05-02 07:32:00,5800,,5700,,,5800,5670,,,,,5700,5400</t>
  </si>
  <si>
    <t>2025-05-02 07:32:00,20100,,,,19475,,,,,,,,</t>
  </si>
  <si>
    <t>2025-05-02 07:32:00,3376006073.06206,0,0,0,0,0,0,0</t>
  </si>
  <si>
    <t>2025-05-02 07:32:00,1723194916.75055,0,,0,,0,0,0</t>
  </si>
  <si>
    <t>2025-05-02 07:32:00,165012107.294167,3497706.00897369,-29924.3644557823,-432,-736100.849617347,-8414.4,0.345558401966387,-105.16</t>
  </si>
  <si>
    <t>2025-05-02 07:32:00,37561200.1111053,0,0,0,0,0,0,0</t>
  </si>
  <si>
    <t>2025-05-02 07:33:00,575,,,,575,,,,,,,,</t>
  </si>
  <si>
    <t>2025-05-02 07:33:00,490,,,,470,,,,,,,,</t>
  </si>
  <si>
    <t>2025-05-02 07:33:00,5800,,5700,,,5800,5660,,,,,5700,5400</t>
  </si>
  <si>
    <t>2025-05-02 07:33:00,20100,,,,19475,,,,,,,,</t>
  </si>
  <si>
    <t>2025-05-02 07:33:00,3160510584.60229,0,0,0,0,0,0,0</t>
  </si>
  <si>
    <t>2025-05-02 07:33:00,1630639560.73663,0,,0,,0,0,0</t>
  </si>
  <si>
    <t>2025-05-02 07:33:00,168055340.821362,2779704.04857818,-24606.8112015504,-309,-507397.553015116,-6380.01,0.244568134530496,-69.72</t>
  </si>
  <si>
    <t>2025-05-02 07:33:00,37225659.515395,0,0,0,0,0,0,0</t>
  </si>
  <si>
    <t>2025-05-02 07:34:00,575,,,,575,,,,,,,,</t>
  </si>
  <si>
    <t>2025-05-02 07:34:00,490,,,,470,,,,,,,,</t>
  </si>
  <si>
    <t>2025-05-02 07:34:00,5800,,5700,,,5800,5660,,,,,5700,5400</t>
  </si>
  <si>
    <t>2025-05-02 07:34:00,20100,,,,19475,,,,,,,,</t>
  </si>
  <si>
    <t>2025-05-02 07:34:00,3257949382.11244,0,0,0,0,0,0,0</t>
  </si>
  <si>
    <t>2025-05-02 07:34:00,1651543147.48876,0,,0,,0,0,0</t>
  </si>
  <si>
    <t>2025-05-02 07:34:00,167797953.381568,3355191.12113331,-8852.30051419589,-155,-195020.099675708,-3806.49,-0.0976549952584256,-47.76</t>
  </si>
  <si>
    <t>2025-05-02 07:34:00,37326092.7042919,0,0,0,0,0,0,0</t>
  </si>
  <si>
    <t>2025-05-02 07:35:00,575,,,,575,,,,,,,,</t>
  </si>
  <si>
    <t>2025-05-02 07:35:00,485,,,,470,,,,,,,,</t>
  </si>
  <si>
    <t>2025-05-02 07:35:00,5800,,5700,,,5800,5660,,,,,5700,5400</t>
  </si>
  <si>
    <t>2025-05-02 07:35:00,20100,,,,19475,,,,,,,,</t>
  </si>
  <si>
    <t>2025-05-02 07:35:00,3354623888.51684,0,0,0,0,0,0,0</t>
  </si>
  <si>
    <t>2025-05-02 07:35:00,1744620200.88076,0,,0,,0,0,0</t>
  </si>
  <si>
    <t>2025-05-02 07:35:00,168196790.674296,3430976.33993383,-79049.1833333333,-995,-2301737.26995238,-28198.87,2.29299130891915,-271.01</t>
  </si>
  <si>
    <t>2025-05-02 07:35:00,37521626.9160813,0,0,0,0,0,0,0</t>
  </si>
  <si>
    <t>2025-05-02 07:36:00,575,,,,575,,,,,,,,</t>
  </si>
  <si>
    <t>2025-05-02 07:36:00,485,,,,470,,,,,,,,</t>
  </si>
  <si>
    <t>2025-05-02 07:36:00,5800,,5700,,,5800,5660,,,,,5700,5400</t>
  </si>
  <si>
    <t>2025-05-02 07:36:00,20100,,,,19475,,,,,,,,</t>
  </si>
  <si>
    <t>2025-05-02 07:36:00,3440333428.7062,0,0,0,0,0,0,0</t>
  </si>
  <si>
    <t>2025-05-02 07:36:00,1760066969.69521,0,,0,,0,0,0</t>
  </si>
  <si>
    <t>2025-05-02 07:36:00,168276219.440336,3774186.3582076,-33384.5357142857,-326,-530994.69997619,-4422.97,-0.0123542307107989,-37.98</t>
  </si>
  <si>
    <t>2025-05-02 07:36:00,37607977.8889573,0,0,0,0,0,0,0</t>
  </si>
  <si>
    <t>2025-05-02 07:37:00,565,,,,575,,,,,,,,</t>
  </si>
  <si>
    <t>2025-05-02 07:37:00,485,,,,470,,,,,,,,</t>
  </si>
  <si>
    <t>2025-05-02 07:37:00,5800,,5700,,,5800,5670,,,,,5700,5400</t>
  </si>
  <si>
    <t>2025-05-02 07:37:00,20100,,,,19475,,,,,,,,</t>
  </si>
  <si>
    <t>2025-05-02 07:37:00,3566462429.3348,0,0,0,0,0,0,0</t>
  </si>
  <si>
    <t>2025-05-02 07:37:00,1941929794.5608,0,,0,,0,0,0</t>
  </si>
  <si>
    <t>2025-05-02 07:37:00,167198371.499447,5201887.07135746,-22900.9467414158,-320,-505067.556792689,-4798.65,-0.393177584001342,-57.09</t>
  </si>
  <si>
    <t>2025-05-02 07:37:00,37947571.5051398,0,0,0,0,0,0,0</t>
  </si>
  <si>
    <t>2025-05-02 07:38:00,565,,,,575,,,,,,,,</t>
  </si>
  <si>
    <t>2025-05-02 07:38:00,485,,,,470,,,,,,,,</t>
  </si>
  <si>
    <t>2025-05-02 07:38:00,5800,,5700,,,5800,5660,,,,,5700,5400</t>
  </si>
  <si>
    <t>2025-05-02 07:38:00,20100,,,,19475,,,,,,,,</t>
  </si>
  <si>
    <t>2025-05-02 07:38:00,3469791719.70364,0,0,0,0,0,0,0</t>
  </si>
  <si>
    <t>2025-05-02 07:38:00,1902831727.50276,0,,0,,0,0,0</t>
  </si>
  <si>
    <t>2025-05-02 07:38:00,167772760.482787,5217810.3169637,-26758.1254761905,-318,-615662.614945238,-6310.72,-0.0867665052286305,-64.55</t>
  </si>
  <si>
    <t>2025-05-02 07:38:00,37908367.9988981,0,0,0,0,0,0,0</t>
  </si>
  <si>
    <t>2025-05-02 07:39:00,565,,,,575,,,,,,,,</t>
  </si>
  <si>
    <t>2025-05-02 07:39:00,485,,,,470,,,,,,,,</t>
  </si>
  <si>
    <t>2025-05-02 07:39:00,5800,,5700,,,5800,5670,,,,,5700,5400</t>
  </si>
  <si>
    <t>2025-05-02 07:39:00,20100,,,,19475,,,,,,,,</t>
  </si>
  <si>
    <t>2025-05-02 07:39:00,3526337984.49591,0,0,0,0,0,0,0</t>
  </si>
  <si>
    <t>2025-05-02 07:39:00,1906629658.14,0,,0,,0,0,0</t>
  </si>
  <si>
    <t>2025-05-02 07:39:00,167772141.242068,5264059.083304,-18399.8954022988,-236,-550979.569850575,-4637.33,-0.191282003974978,-54.81</t>
  </si>
  <si>
    <t>2025-05-02 07:39:00,37883141.3811797,0,0,0,0,0,0,0</t>
  </si>
  <si>
    <t>2025-05-02 07:40:00,575,,,,575,,,,,,,,</t>
  </si>
  <si>
    <t>2025-05-02 07:40:00,485,,,,470,,,,,,,,</t>
  </si>
  <si>
    <t>2025-05-02 07:40:00,5800,,5700,,,5800,5660,,,,,5700,5400</t>
  </si>
  <si>
    <t>2025-05-02 07:40:00,20100,,,,19475,,,,,,,,</t>
  </si>
  <si>
    <t>2025-05-02 07:40:00,3545860994.00133,0,0,0,0,0,0,0</t>
  </si>
  <si>
    <t>2025-05-02 07:40:00,1763297980.36331,0,,0,,0,0,0</t>
  </si>
  <si>
    <t>2025-05-02 07:40:00,168239637.907786,4155626.31653663,-33698.3038461538,-293,-1281046.70124359,-9548.06,0.602952626399435,-98.86</t>
  </si>
  <si>
    <t>2025-05-02 07:40:00,37601724.9266359,0,0,0,0,0,0,0</t>
  </si>
  <si>
    <t>2025-05-02 07:42:00,575,,,,575,,,,,,,,</t>
  </si>
  <si>
    <t>2025-05-02 07:42:00,485,,,,470,,,,,,,,</t>
  </si>
  <si>
    <t>2025-05-02 07:42:00,5800,,5700,,,5800,5660,,,,,5700,5400</t>
  </si>
  <si>
    <t>2025-05-02 07:42:00,20100,,,,19475,,,,,,,,</t>
  </si>
  <si>
    <t>2025-05-02 07:42:00,3572715351.86359,0,0,0,0,0,0,0</t>
  </si>
  <si>
    <t>2025-05-02 07:42:00,1781153050.45223,0,,0,,0,0,0</t>
  </si>
  <si>
    <t>2025-05-02 07:42:00,168206717.50021,4275209.18929801,-24577.2566666666,-276,-788046.155733332,-5943.44,0.0599306909792119,-81.75</t>
  </si>
  <si>
    <t>2025-05-02 07:42:00,37682950.8649334,0,0,0,0,0,0,0</t>
  </si>
  <si>
    <t>2025-05-02 07:43:00,575,,,,575,,,,,,,,</t>
  </si>
  <si>
    <t>2025-05-02 07:43:00,485,,,,470,,,,,,,,</t>
  </si>
  <si>
    <t>2025-05-02 07:43:00,5800,,5700,,,5800,5660,,,,,5700,5400</t>
  </si>
  <si>
    <t>2025-05-02 07:43:00,20100,,,,19475,,,,,,,,</t>
  </si>
  <si>
    <t>2025-05-02 07:43:00,3479290232.31436,0,0,0,0,0,0,0</t>
  </si>
  <si>
    <t>2025-05-02 07:43:00,1768282056.51649,0,,0,,0,0,0</t>
  </si>
  <si>
    <t>2025-05-02 07:43:00,168273168.366586,3729877.03092167,-74128.7333333333,-440,-2163251.272,-13033.24,1.00705862574037,-119.27</t>
  </si>
  <si>
    <t>2025-05-02 07:43:00,37641136.3548787,0,0,0,0,0,0,0</t>
  </si>
  <si>
    <t>2025-05-02 07:44:00,575,,,,575,,,,,,,,</t>
  </si>
  <si>
    <t>2025-05-02 07:44:00,485,,,,470,,,,,,,,</t>
  </si>
  <si>
    <t>2025-05-02 07:44:00,5800,,5700,,,5800,5660,,,,,5700,5400</t>
  </si>
  <si>
    <t>2025-05-02 07:44:00,20100,,,,19475,,,,,,,,</t>
  </si>
  <si>
    <t>2025-05-02 07:44:00,3518116919.5762,0,0,0,0,0,0,0</t>
  </si>
  <si>
    <t>2025-05-02 07:44:00,1787493186.85199,0,,0,,0,0,0</t>
  </si>
  <si>
    <t>2025-05-02 07:44:00,167706991.956495,3734248.46663963,-59332.1424242424,-360,-1609429.97890909,-8988.95,0.388191746713578,-83.89</t>
  </si>
  <si>
    <t>2025-05-02 07:44:00,37684293.3130456,0,0,0,0,0,0,0</t>
  </si>
  <si>
    <t>2025-05-02 07:45:00,565,,,,575,,,,,,,,</t>
  </si>
  <si>
    <t>2025-05-02 07:45:00,485,,,,470,,,,,,,,</t>
  </si>
  <si>
    <t>2025-05-02 07:45:00,5800,,5700,,,5800,5660,,,,,5700,5400</t>
  </si>
  <si>
    <t>2025-05-02 07:45:00,20100,,,,19475,,,,,,,,</t>
  </si>
  <si>
    <t>2025-05-02 07:45:00,3610331748.88604,0,0,0,0,0,0,0</t>
  </si>
  <si>
    <t>2025-05-02 07:45:00,1828282560.02768,0,,0,,0,0,0</t>
  </si>
  <si>
    <t>2025-05-02 07:45:00,167936523.633184,4066697.40425224,-61344.8637681158,-26,-2172503.14730434,-13936.48,1.8689371496472,-130.12</t>
  </si>
  <si>
    <t>2025-05-02 07:45:00,37763746.6219816,0,0,0,0,0,0,0</t>
  </si>
  <si>
    <t>2025-05-02 07:46:00,565,,,,575,,,,,,,,</t>
  </si>
  <si>
    <t>2025-05-02 07:46:00,485,,,,470,,,,,,,,</t>
  </si>
  <si>
    <t>2025-05-02 07:46:00,5800,,5700,,,5800,5660,,,,,5700,5400</t>
  </si>
  <si>
    <t>2025-05-02 07:46:00,20100,,,,19475,,,,,,,,</t>
  </si>
  <si>
    <t>2025-05-02 07:46:00,3615001416.3416,0,0,0,0,0,0,0</t>
  </si>
  <si>
    <t>2025-05-02 07:46:00,1848578240.42921,0,,0,,0,0,0</t>
  </si>
  <si>
    <t>2025-05-02 07:46:00,168087319.882068,3895144.99031481,-38418.19577245,-224,-1536253.91878801,-11943.36,1.15285198400417,-146.59</t>
  </si>
  <si>
    <t>2025-05-02 07:46:00,37788904.8706347,0,0,0,0,0,0,0</t>
  </si>
  <si>
    <t>2025-05-02 07:47:00,565,,,,575,,,,,,,,</t>
  </si>
  <si>
    <t>2025-05-02 07:47:00,485,,,,470,,,,,,,,</t>
  </si>
  <si>
    <t>2025-05-02 07:47:00,5800,,5700,,,5800,5670,,,,,5700,5400</t>
  </si>
  <si>
    <t>2025-05-02 07:47:00,20100,,,,19475,,,,,,,,</t>
  </si>
  <si>
    <t>2025-05-02 07:47:00,3452642856.54514,0,0,0,0,0,0,0</t>
  </si>
  <si>
    <t>2025-05-02 07:47:00,1885310160.61743,0,,0,,0,0,0</t>
  </si>
  <si>
    <t>2025-05-02 07:47:00,167122299.479069,4215254.63361296,-47598.1,-364,-1174991.82866667,-7855.33,-0.120482877938952,-92.37</t>
  </si>
  <si>
    <t>2025-05-02 07:47:00,37827058.2734033,0,0,0,0,0,0,0</t>
  </si>
  <si>
    <t>2025-05-02 07:48:00,565,,,,575,,,,,,,,</t>
  </si>
  <si>
    <t>2025-05-02 07:48:00,485,,,,470,,,,,,,,</t>
  </si>
  <si>
    <t>2025-05-02 07:48:00,5800,,5700,,5600,,5670,,,,,5700,5400</t>
  </si>
  <si>
    <t>2025-05-02 07:48:00,20100,,,,19475,,,,,,,,</t>
  </si>
  <si>
    <t>2025-05-02 07:48:00,3676008031.7708,0,0,0,0,0,0,0</t>
  </si>
  <si>
    <t>2025-05-02 07:48:00,2053797297.28716,0,,0,,0,0,0</t>
  </si>
  <si>
    <t>2025-05-02 07:48:00,166380979.714787,5358667.80274463,-47313.6579710143,-264,-1313064.28304347,-5366.58,-0.145452819711051,-56.24</t>
  </si>
  <si>
    <t>2025-05-02 07:48:00,38019229.0280025,0,0,0,0,0,0,0</t>
  </si>
  <si>
    <t>2025-05-02 07:49:00,565,,,,575,,,,,,,,</t>
  </si>
  <si>
    <t>2025-05-02 07:49:00,485,,,,470,,,,,,,,</t>
  </si>
  <si>
    <t>2025-05-02 07:49:00,5800,,5700,,5600,,5670,,,,,5700,5400</t>
  </si>
  <si>
    <t>2025-05-02 07:49:00,20100,,,,19475,,,,,,,,</t>
  </si>
  <si>
    <t>2025-05-02 07:49:00,3874811761.32075,0,0,0,0,0,0,0</t>
  </si>
  <si>
    <t>2025-05-02 07:49:00,2166637634.66947,0,,0,,0,0,0</t>
  </si>
  <si>
    <t>2025-05-02 07:49:00,165588605.7127,5934689.93629314,-63390.5340071876,-272,-1682785.30495866,-6702.66,0.105305803960615,-51.15</t>
  </si>
  <si>
    <t>2025-05-02 07:49:00,38094010.4781243,0,0,0,0,0,0,0</t>
  </si>
  <si>
    <t>2025-05-02 07:50:00,565,,,,575,,,,,,,,</t>
  </si>
  <si>
    <t>2025-05-02 07:50:00,485,,,,470,,,,,,,,</t>
  </si>
  <si>
    <t>2025-05-02 07:50:00,5800,,5700,,5600,,5670,,,,,5700,5400</t>
  </si>
  <si>
    <t>2025-05-02 07:50:00,20100,,,,19475,,,,,,,,</t>
  </si>
  <si>
    <t>2025-05-02 07:50:00,3745545908.88064,0,0,0,0,0,0,0</t>
  </si>
  <si>
    <t>2025-05-02 07:50:00,2161132976.47445,0,,0,,0,0,0</t>
  </si>
  <si>
    <t>2025-05-02 07:50:00,165889300.017962,5511668.04014814,-169009.858333334,-436,-3898548.87058334,-11806.17,0.658574765199771,-67.7</t>
  </si>
  <si>
    <t>2025-05-02 07:50:00,38062531.5547733,0,0,0,0,0,0,0</t>
  </si>
  <si>
    <t>2025-05-02 07:51:00,565,,,,575,,,,,,,,</t>
  </si>
  <si>
    <t>2025-05-02 07:51:00,485,,,,470,,,,,,,,</t>
  </si>
  <si>
    <t>2025-05-02 07:51:00,5800,,5700,,5600,,5670,,,,,5700,5400</t>
  </si>
  <si>
    <t>2025-05-02 07:51:00,20100,,,,19475,,,,,,,,</t>
  </si>
  <si>
    <t>2025-05-02 07:51:00,3502161082.26733,0,0,0,0,0,0,0</t>
  </si>
  <si>
    <t>2025-05-02 07:51:00,2219146924.37489,0,,0,,0,0,0</t>
  </si>
  <si>
    <t>2025-05-02 07:51:00,165119460.655749,6074548.03251581,-22786.825,-188,-611643.1035,-2767.27,-0.180517581542131,-29.97</t>
  </si>
  <si>
    <t>2025-05-02 07:51:00,38106591.1622918,0,0,0,0,0,0,0</t>
  </si>
  <si>
    <t>2025-05-02 07:52:00,565,,,,575,,,,,,,,</t>
  </si>
  <si>
    <t>2025-05-02 07:52:00,485,,,,470,,,,,,,,</t>
  </si>
  <si>
    <t>2025-05-02 07:52:00,5800,,5700,,5600,,5670,,,,,5700,5400</t>
  </si>
  <si>
    <t>2025-05-02 07:52:00,20100,,,,19475,,,,,,,,</t>
  </si>
  <si>
    <t>2025-05-02 07:52:00,3714347713.74094,0,0,0,0,0,0,0</t>
  </si>
  <si>
    <t>2025-05-02 07:52:00,2052990747.86766,0,,0,,0,0,0</t>
  </si>
  <si>
    <t>2025-05-02 07:52:00,165905364.514769,5398675.0956869,-32537.5494047619,-171,-991291.637160715,-4130.55,0.0497451004210985,-48.27</t>
  </si>
  <si>
    <t>2025-05-02 07:52:00,37992283.0238571,0,0,0,0,0,0,0</t>
  </si>
  <si>
    <t>2025-05-02 07:53:00,565,,,,575,,,,,,,,</t>
  </si>
  <si>
    <t>2025-05-02 07:53:00,485,,,,470,,,,,,,,</t>
  </si>
  <si>
    <t>2025-05-02 07:53:00,5800,,5700,,5600,,5670,,,,,5700,5400</t>
  </si>
  <si>
    <t>2025-05-02 07:53:00,20100,,,,19475,,,,,,,,</t>
  </si>
  <si>
    <t>2025-05-02 07:53:00,3885224002.15206,0,0,0,0,0,0,0</t>
  </si>
  <si>
    <t>2025-05-02 07:53:00,2133244189.36734,0,,0,,0,0,0</t>
  </si>
  <si>
    <t>2025-05-02 07:53:00,165282648.731457,5972542.88972257,-9838.74166666667,-278,-231465.35725,-1388.54,-0.643172925698246,-23.13</t>
  </si>
  <si>
    <t>2025-05-02 07:53:00,38047146.5849014,0,0,0,0,0,0,0</t>
  </si>
  <si>
    <t>2025-05-02 07:54:00,565,,,,575,,,,,,,,</t>
  </si>
  <si>
    <t>2025-05-02 07:54:00,485,,,,470,,,,,,,,</t>
  </si>
  <si>
    <t>2025-05-02 07:54:00,5800,,5700,,5600,,5670,,,,,5700,5400</t>
  </si>
  <si>
    <t>2025-05-02 07:54:00,20100,,,,19475,,,,,,,,</t>
  </si>
  <si>
    <t>2025-05-02 07:54:00,3766102221.06204,0,0,0,0,0,0,0</t>
  </si>
  <si>
    <t>2025-05-02 07:54:00,2300329011.04726,0,,0,,0,0,0</t>
  </si>
  <si>
    <t>2025-05-02 07:54:00,164508894.303269,6414040.25032863,-38234.9666666666,-256,-1161460.23183333,-6164.25,-0.0284307687272424,-57.79</t>
  </si>
  <si>
    <t>2025-05-02 07:54:00,38117648.1399349,0,0,0,0,0,0,0</t>
  </si>
  <si>
    <t>2025-05-02 07:55:00,565,,,,575,,,,,,,,</t>
  </si>
  <si>
    <t>2025-05-02 07:55:00,490,,,,470,,,,,,,,</t>
  </si>
  <si>
    <t>2025-05-02 07:55:00,5800,,5700,,5600,,5670,,,,,5700,5400</t>
  </si>
  <si>
    <t>2025-05-02 07:55:00,20100,,,,19475,,,,,,,,</t>
  </si>
  <si>
    <t>2025-05-02 07:55:00,4030982844.45838,0,0,0,0,0,0,0</t>
  </si>
  <si>
    <t>2025-05-02 07:55:00,2037864300.58581,0,,0,,0,0,0</t>
  </si>
  <si>
    <t>2025-05-02 07:55:00,161049479.032954,7548418.97070037,-131353.308333333,-723,-3851503.11333334,-12987.84,-0.322401762475442,-118.86</t>
  </si>
  <si>
    <t>2025-05-02 07:55:00,38257332.3976313,0,0,0,0,0,0,0</t>
  </si>
  <si>
    <t>2025-05-02 07:56:00,565,,,,575,,,,,,,,</t>
  </si>
  <si>
    <t>2025-05-02 07:56:00,490,,,,470,,,,,,,,</t>
  </si>
  <si>
    <t>2025-05-02 07:56:00,5800,,5700,,5600,,5670,,,,,5700,5400</t>
  </si>
  <si>
    <t>2025-05-02 07:56:00,20100,,,,19475,,,,,,,,</t>
  </si>
  <si>
    <t>2025-05-02 07:56:00,4058686705.44011,0,0,0,0,0,0,0</t>
  </si>
  <si>
    <t>2025-05-02 07:56:00,2042077493.69089,0,,0,,0,0,0</t>
  </si>
  <si>
    <t>2025-05-02 07:56:00,160958881.858063,7607575.73525906,-57918.2255952381,-300,-1687791.2926131,-7688.9,0.116578321668277,-68.26</t>
  </si>
  <si>
    <t>2025-05-02 07:56:00,38260534.1185945,0,0,0,0,0,0,0</t>
  </si>
  <si>
    <t>2025-05-02 07:57:00,565,,,,575,,,,,,,,</t>
  </si>
  <si>
    <t>2025-05-02 07:57:00,490,,,,470,,,,,,,,</t>
  </si>
  <si>
    <t>2025-05-02 07:57:00,5800,,5700,,5600,,5670,,,,,5700,5400</t>
  </si>
  <si>
    <t>2025-05-02 07:57:00,20100,,,,19475,,,,,,,,</t>
  </si>
  <si>
    <t>2025-05-02 07:57:00,4187222872.7621,0,0,0,0,0,0,0</t>
  </si>
  <si>
    <t>2025-05-02 07:57:00,2068452987.72379,0,,0,,0,0,0</t>
  </si>
  <si>
    <t>2025-05-02 07:57:00,160037313.928323,7732217.89504102,-108212.996757672,-426,-3010921.59373844,-9566.05,-0.101278362320626,-77.59</t>
  </si>
  <si>
    <t>2025-05-02 07:57:00,38263233.9752795,0,0,0,0,0,0,0</t>
  </si>
  <si>
    <t>2025-05-02 07:58:00,565,,,,575,,,,,,,,</t>
  </si>
  <si>
    <t>2025-05-02 07:58:00,490,,,,470,,,,,,,,</t>
  </si>
  <si>
    <t>2025-05-02 07:58:00,5800,,5700,,5600,,5670,,,,,5700,5500</t>
  </si>
  <si>
    <t>2025-05-02 07:58:00,20100,,,,19475,,,,,,,,</t>
  </si>
  <si>
    <t>2025-05-02 07:58:00,4957377405.11419,0,0,0,0,0,0,0</t>
  </si>
  <si>
    <t>2025-05-02 07:58:00,2511647709.41033,0,,0,,0,0,0</t>
  </si>
  <si>
    <t>2025-05-02 07:58:00,168111011.807739,8439494.0332778,182564.325851893,-9424,55884386.0326449,282051.44,-40.3779922776261,2753</t>
  </si>
  <si>
    <t>2025-05-02 07:58:00,47433261.3962634,0,0,0,0,0,0,0</t>
  </si>
  <si>
    <t>2025-05-02 07:59:00,565,,,,575,,,,,,,,</t>
  </si>
  <si>
    <t>2025-05-02 07:59:00,490,,,,470,,,,,,,,</t>
  </si>
  <si>
    <t>2025-05-02 07:59:00,5800,,5700,,5600,,5670,,,,,5700,5500</t>
  </si>
  <si>
    <t>2025-05-02 07:59:00,20100,,,,19475,,,,,,,,</t>
  </si>
  <si>
    <t>2025-05-02 07:59:00,4642912145.19191,0,0,0,0,0,0,0</t>
  </si>
  <si>
    <t>2025-05-02 07:59:00,2456421113.31188,0,,0,,0,0,0</t>
  </si>
  <si>
    <t>2025-05-02 07:59:00,169248945.740002,8288855.28102404,-42401.8969263381,-411,-1143753.26803127,-6288.14,-0.232115871272865,-71.51</t>
  </si>
  <si>
    <t>2025-05-02 07:59:00,47359023.5291031,0,0,0,0,0,0,0</t>
  </si>
  <si>
    <t>2025-05-02 08:00:00,565,,,,575,,,,,,,,</t>
  </si>
  <si>
    <t>2025-05-02 08:00:00,490,,,,470,,,,,,,,</t>
  </si>
  <si>
    <t>2025-05-02 08:00:00,5800,,5700,,5600,,5670,,,,,5700,5500</t>
  </si>
  <si>
    <t>2025-05-02 08:00:00,20100,,,,19475,,,,,,,,</t>
  </si>
  <si>
    <t>2025-05-02 08:00:00,4969014794.06077,0,0,0,0,0,0,0</t>
  </si>
  <si>
    <t>2025-05-02 08:00:00,2586085227.26975,0,,0,,0,0,0</t>
  </si>
  <si>
    <t>2025-05-02 08:00:00,168350315.743748,8805165.49007183,-48314.3826622173,-544,-1383301.81004928,-8731.39,-0.934071720704501,-155.62</t>
  </si>
  <si>
    <t>2025-05-02 08:00:00,47484777.9451663,0,0,0,0,0,0,0</t>
  </si>
  <si>
    <t>2025-05-02 08:01:00,565,,,,575,,,,,,,,</t>
  </si>
  <si>
    <t>2025-05-02 08:01:00,490,,,,470,,,,,,,,</t>
  </si>
  <si>
    <t>2025-05-02 08:01:00,5800,,5700,,5600,,5670,,,,,5700,5500</t>
  </si>
  <si>
    <t>2025-05-02 08:01:00,20100,,,,19475,,,,,,,,</t>
  </si>
  <si>
    <t>2025-05-02 08:01:00,5393156852.0097,0,0,0,0,0,0,0</t>
  </si>
  <si>
    <t>2025-05-02 08:01:00,2723376309.62315,0,,0,,0,0,0</t>
  </si>
  <si>
    <t>2025-05-02 08:01:00,165777949.535595,8529471.61770947,-228735.491666666,-668,-6470608.66974999,-19687.18,0.738966254514908,-158.49</t>
  </si>
  <si>
    <t>2025-05-02 08:01:00,47576746.3656418,0,0,0,0,0,0,0</t>
  </si>
  <si>
    <t>2025-05-02 08:02:00,565,,,,575,,,,,,,,</t>
  </si>
  <si>
    <t>2025-05-02 08:02:00,490,,,,470,,,,,,,,</t>
  </si>
  <si>
    <t>2025-05-02 08:02:00,5800,,5700,,5600,,5670,,,,,5700,5500</t>
  </si>
  <si>
    <t>2025-05-02 08:02:00,20100,,,,19475,,,,,,,,</t>
  </si>
  <si>
    <t>2025-05-02 08:02:00,4890335483.10242,0,0,0,0,0,0,0</t>
  </si>
  <si>
    <t>2025-05-02 08:02:00,2491775833.22748,0,,0,,0,0,0</t>
  </si>
  <si>
    <t>2025-05-02 08:02:00,169141587.796117,8211525.27161791,-40549.4666666667,-224,-2036152.33933334,-9290.36,0.522518938668365,-118.48</t>
  </si>
  <si>
    <t>2025-05-02 08:02:00,47375291.6413025,0,0,0,0,0,0,0</t>
  </si>
  <si>
    <t>2025-05-02 08:03:00,565,,,,575,,,,,,,,</t>
  </si>
  <si>
    <t>2025-05-02 08:03:00,490,,,,470,,,,,,,,</t>
  </si>
  <si>
    <t>2025-05-02 08:03:00,5800,,5700,,5600,,5670,,,,,5700,5500</t>
  </si>
  <si>
    <t>2025-05-02 08:03:00,20100,,,,19475,,,,,,,,</t>
  </si>
  <si>
    <t>2025-05-02 08:03:00,4981625189.58681,0,0,0,0,0,0,0</t>
  </si>
  <si>
    <t>2025-05-02 08:03:00,2637204857.35403,0,,0,,0,0,0</t>
  </si>
  <si>
    <t>2025-05-02 08:03:00,168589845.230388,8622316.04099717,-26097.7742424243,-178,-1254779.6164394,-9198.36,0.23524633424376,-90.45</t>
  </si>
  <si>
    <t>2025-05-02 08:03:00,47491087.3882219,0,0,0,0,0,0,0</t>
  </si>
  <si>
    <t>2025-05-02 08:04:00,565,,,,575,,,,,,,,</t>
  </si>
  <si>
    <t>2025-05-02 08:04:00,490,,,,470,,,,,,,,</t>
  </si>
  <si>
    <t>2025-05-02 08:04:00,5800,,5700,,5600,,5670,,,,,5700,5500</t>
  </si>
  <si>
    <t>2025-05-02 08:04:00,20100,,,,19475,,,,,,,,</t>
  </si>
  <si>
    <t>2025-05-02 08:04:00,4754175540.42924,0,0,0,0,0,0,0</t>
  </si>
  <si>
    <t>2025-05-02 08:04:00,2533296556.14183,0,,0,,0,0,0</t>
  </si>
  <si>
    <t>2025-05-02 08:04:00,168782146.291495,8485419.76729348,-12970.475,-147,-564461.532291665,-4130.77,-0.0949868615901647,-58.1</t>
  </si>
  <si>
    <t>2025-05-02 08:04:00,47441291.8610891,0,0,0,0,0,0,0</t>
  </si>
  <si>
    <t>2025-05-02 08:05:00,565,,,,575,,,,,,,,</t>
  </si>
  <si>
    <t>2025-05-02 08:05:00,490,,,,470,,,,,,,,</t>
  </si>
  <si>
    <t>2025-05-02 08:05:00,5800,,5700,,5600,,5670,,,,,5700,5500</t>
  </si>
  <si>
    <t>2025-05-02 08:05:00,20100,,,,19475,,,,,,,,</t>
  </si>
  <si>
    <t>2025-05-02 08:05:00,4711876694.8544,0,0,0,0,0,0,0</t>
  </si>
  <si>
    <t>2025-05-02 08:05:00,2537683957.9579,0,,0,,0,0,0</t>
  </si>
  <si>
    <t>2025-05-02 08:05:00,168964410.526577,8752103.30738727,-109076.544217687,-735,-4408839.56812923,-15409.5,-1.05114981643158,-207</t>
  </si>
  <si>
    <t>2025-05-02 08:05:00,47427225.8964136,0,0,0,0,0,0,0</t>
  </si>
  <si>
    <t>2025-05-02 08:06:00,565,,,,575,,,,,,,,</t>
  </si>
  <si>
    <t>2025-05-02 08:06:00,490,,,,470,,,,,,,,</t>
  </si>
  <si>
    <t>2025-05-02 08:06:00,5800,,5700,,5600,,5670,,,,,5700,5500</t>
  </si>
  <si>
    <t>2025-05-02 08:06:00,20100,,,,19475,,,,,,,,</t>
  </si>
  <si>
    <t>2025-05-02 08:06:00,5137487384.80283,0,0,0,0,0,0,0</t>
  </si>
  <si>
    <t>2025-05-02 08:06:00,2673178303.99897,0,,0,,0,0,0</t>
  </si>
  <si>
    <t>2025-05-02 08:06:00,166849017.23343,8716341.85971789,-32527.916621743,-209,-1764084.20398303,-6675.37,0.226272972255943,-90.89</t>
  </si>
  <si>
    <t>2025-05-02 08:06:00,47530043.060718,0,0,0,0,0,0,0</t>
  </si>
  <si>
    <t>2025-05-02 08:07:00,565,,,,575,,,,,,,,</t>
  </si>
  <si>
    <t>2025-05-02 08:07:00,490,,,,470,,,,,,,,</t>
  </si>
  <si>
    <t>2025-05-02 08:07:00,5800,,5700,,5600,,5670,,,,,5700,5500</t>
  </si>
  <si>
    <t>2025-05-02 08:07:00,20100,,,,19475,,,,,,,,</t>
  </si>
  <si>
    <t>2025-05-02 08:07:00,5020260277.75828,0,0,0,0,0,0,0</t>
  </si>
  <si>
    <t>2025-05-02 08:07:00,2654047688.53645,0,,0,,0,0,0</t>
  </si>
  <si>
    <t>2025-05-02 08:07:00,167889300.421712,9061456.87242636,-18130.5616152665,-335,-560815.960517075,-15396.29,-0.380419730415772,-163.66</t>
  </si>
  <si>
    <t>2025-05-02 08:07:00,47498951.2846455,0,0,0,0,0,0,0</t>
  </si>
  <si>
    <t>2025-05-02 08:08:00,565,,,,575,,,,,,,,</t>
  </si>
  <si>
    <t>2025-05-02 08:08:00,490,,,,470,,,,,,,,</t>
  </si>
  <si>
    <t>2025-05-02 08:08:00,5800,,5700,,5600,,5670,,,,,5700,5500</t>
  </si>
  <si>
    <t>2025-05-02 08:08:00,20100,,,,19475,,,,,,,,</t>
  </si>
  <si>
    <t>2025-05-02 08:08:00,5047025653.12659,0,0,0,0,0,0,0</t>
  </si>
  <si>
    <t>2025-05-02 08:08:00,2700526204.10344,0,,0,,0,0,0</t>
  </si>
  <si>
    <t>2025-05-02 08:08:00,167638996.316665,9030336.97491463,-12985.2522058824,-135,-701034.104639706,-4935.03,0.0795240289473504,-62.1</t>
  </si>
  <si>
    <t>2025-05-02 08:08:00,47513075.3394078,0,0,0,0,0,0,0</t>
  </si>
  <si>
    <t>2025-05-02 08:09:00,565,,,,575,,,,,,,,</t>
  </si>
  <si>
    <t>2025-05-02 08:09:00,490,,,,470,,,,,,,,</t>
  </si>
  <si>
    <t>2025-05-02 08:09:00,5800,,5700,,5600,,5670,,,,,5700,5500</t>
  </si>
  <si>
    <t>2025-05-02 08:09:00,20100,,,,19475,,,,,,,,</t>
  </si>
  <si>
    <t>2025-05-02 08:09:00,5166953673.72529,0,0,0,0,0,0,0</t>
  </si>
  <si>
    <t>2025-05-02 08:09:00,2689860900.96108,0,,0,,0,0,0</t>
  </si>
  <si>
    <t>2025-05-02 08:09:00,166319020.047471,8741101.51363251,-20110.651498485,-233,-759234.097199452,-6875.38,-0.113290543262484,-102.9</t>
  </si>
  <si>
    <t>2025-05-02 08:09:00,47523225.9896406,0,0,0,0,0,0,0</t>
  </si>
  <si>
    <t>2025-05-02 08:10:00,575,,,,565,,,,,,,,</t>
  </si>
  <si>
    <t>2025-05-02 08:10:00,490,,,,470,,,,,,,,</t>
  </si>
  <si>
    <t>2025-05-02 08:10:00,5800,,5700,,5600,,5670,,,,,5700,5500</t>
  </si>
  <si>
    <t>2025-05-02 08:10:00,20100,,,,19475,,,,,,,,</t>
  </si>
  <si>
    <t>2025-05-02 08:10:00,4759418645.76216,0,0,0,0,0,0,0</t>
  </si>
  <si>
    <t>2025-05-02 08:10:00,2669694370.13291,0,,0,,0,0,0</t>
  </si>
  <si>
    <t>2025-05-02 08:10:00,163704481.951117,9117110.56879852,-41652.0833333334,-282,-1476386.913,-7458.55,-0.0219721132697274,-85.31</t>
  </si>
  <si>
    <t>2025-05-02 08:10:00,47660957.9701994,0,0,0,0,0,0,0</t>
  </si>
  <si>
    <t>2025-05-02 08:11:00,575,,,,565,,,,,,,,</t>
  </si>
  <si>
    <t>2025-05-02 08:11:00,490,,,,470,,,,,,,,</t>
  </si>
  <si>
    <t>2025-05-02 08:11:00,5800,,5700,,5600,,5670,,,,,5700,5500</t>
  </si>
  <si>
    <t>2025-05-02 08:11:00,20100,,,,19475,,,,,,,,</t>
  </si>
  <si>
    <t>2025-05-02 08:11:00,4775151887.39072,0,0,0,0,0,0,0</t>
  </si>
  <si>
    <t>2025-05-02 08:11:00,2708202183.26085,0,,0,,0,0,0</t>
  </si>
  <si>
    <t>2025-05-02 08:11:00,163214647.171103,9178762.90921506,-46964.5128205128,-368,-2456299.49479487,-10429.95,0.114701340017659,-141.17</t>
  </si>
  <si>
    <t>2025-05-02 08:11:00,47664471.5929535,0,0,0,0,0,0,0</t>
  </si>
  <si>
    <t>2025-05-02 08:12:00,575,,,,565,,,,,,,,</t>
  </si>
  <si>
    <t>2025-05-02 08:12:00,490,,,,470,,,,,,,,</t>
  </si>
  <si>
    <t>2025-05-02 08:12:00,5800,,5700,,5600,,5675,,,,,5700,5500</t>
  </si>
  <si>
    <t>2025-05-02 08:12:00,20100,,,,19475,,,,,,,,</t>
  </si>
  <si>
    <t>2025-05-02 08:12:00,4758777513.95391,0,0,0,0,0,0,0</t>
  </si>
  <si>
    <t>2025-05-02 08:12:00,2719125440.73633,0,,0,,0,0,0</t>
  </si>
  <si>
    <t>2025-05-02 08:12:00,162346291.541286,8592735.88544646,-127212.233333334,-845,-8997570.81866674,-39265.34,2.0124083545096,-516.67</t>
  </si>
  <si>
    <t>2025-05-02 08:12:00,47658658.7239143,0,0,0,0,0,0,0</t>
  </si>
  <si>
    <t>2025-05-02 08:13:00,575,,,,565,,,,,,,,</t>
  </si>
  <si>
    <t>2025-05-02 08:13:00,490,,,,470,,,,,,,,</t>
  </si>
  <si>
    <t>2025-05-02 08:13:00,5800,,5700,,5600,,5675,,,,,5700,5500</t>
  </si>
  <si>
    <t>2025-05-02 08:13:00,20100,,,,19475,,,,,,,,</t>
  </si>
  <si>
    <t>2025-05-02 08:13:00,4828298741.81893,0,0,0,0,0,0,0</t>
  </si>
  <si>
    <t>2025-05-02 08:13:00,2747204428.53296,0,,0,,0,0,0</t>
  </si>
  <si>
    <t>2025-05-02 08:13:00,161248034.364153,8751516.54920384,-16740.064301552,-203,-874105.264579447,-3442.02,-0.25966252463663,-56.09</t>
  </si>
  <si>
    <t>2025-05-02 08:13:00,47676884.5812898,0,0,0,0,0,0,0</t>
  </si>
  <si>
    <t>2025-05-02 08:14:00,565,,,,565,,,,,,,,</t>
  </si>
  <si>
    <t>2025-05-02 08:14:00,490,,,,470,,,,,,,,</t>
  </si>
  <si>
    <t>2025-05-02 08:14:00,5800,,5700,,5600,,5675,,,,,5700,5500</t>
  </si>
  <si>
    <t>2025-05-02 08:14:00,20100,,,,19475,,,,,,,,</t>
  </si>
  <si>
    <t>2025-05-02 08:14:00,6034044287.06028,0,0,0,0,0,0,0</t>
  </si>
  <si>
    <t>2025-05-02 08:14:00,2697828324.86418,0,,0,,0,0,0</t>
  </si>
  <si>
    <t>2025-05-02 08:14:00,162900337.61096,8418363.8441233,-108979.75,-354,-4817085.71933333,-17910.74,0.74023650191403,-157.03</t>
  </si>
  <si>
    <t>2025-05-02 08:14:00,47621661.1491775,0,0,0,0,0,0,0</t>
  </si>
  <si>
    <t>2025-05-02 08:15:00,565,,,,575,,,,,,,,</t>
  </si>
  <si>
    <t>2025-05-02 08:15:00,490,,,,470,,,,,,,,</t>
  </si>
  <si>
    <t>2025-05-02 08:15:00,5800,,5700,,5600,,5675,,,,,5700,5500</t>
  </si>
  <si>
    <t>2025-05-02 08:15:00,20100,,,,19475,,,,,,,,</t>
  </si>
  <si>
    <t>2025-05-02 08:15:00,5530847599.01813,0,0,0,0,0,0,0</t>
  </si>
  <si>
    <t>2025-05-02 08:15:00,2662939781.65874,0,,0,,0,0,0</t>
  </si>
  <si>
    <t>2025-05-02 08:15:00,164217621.501816,8315888.79603816,-18790.4928244711,-307,-797384.261593767,-15107.45,-0.310215895952494,-151.65</t>
  </si>
  <si>
    <t>2025-05-02 08:15:00,47592707.2984972,0,0,0,0,0,0,0</t>
  </si>
  <si>
    <t>2025-05-02 08:16:00,565,,,,575,,,,,,,,</t>
  </si>
  <si>
    <t>2025-05-02 08:16:00,490,,,,470,,,,,,,,</t>
  </si>
  <si>
    <t>2025-05-02 08:16:00,5800,,5700,,5600,,5675,,,,,5700,5500</t>
  </si>
  <si>
    <t>2025-05-02 08:16:00,20100,,,,19475,,,,,,,,</t>
  </si>
  <si>
    <t>2025-05-02 08:16:00,5509550596.48629,0,0,0,0,0,0,0</t>
  </si>
  <si>
    <t>2025-05-02 08:16:00,2646888395.67527,0,,0,,0,0,0</t>
  </si>
  <si>
    <t>2025-05-02 08:16:00,163777351.808792,8253523.99013493,-22218.9890909091,-121,-1339658.41272121,-5316.47,0.278930853009549,-70.09</t>
  </si>
  <si>
    <t>2025-05-02 08:16:00,47586677.7303592,0,0,0,0,0,0,0</t>
  </si>
  <si>
    <t>2025-05-02 08:17:00,565,,,,575,,,,,,,,</t>
  </si>
  <si>
    <t>2025-05-02 08:17:00,490,,,,470,,,,,,,,</t>
  </si>
  <si>
    <t>2025-05-02 08:17:00,5800,,5700,,5600,,5675,,,,,5700,5500</t>
  </si>
  <si>
    <t>2025-05-02 08:17:00,20100,,,,19475,,,,,,,,</t>
  </si>
  <si>
    <t>2025-05-02 08:17:00,5273214167.08535,0,0,0,0,0,0,0</t>
  </si>
  <si>
    <t>2025-05-02 08:17:00,2744398432.60408,0,,0,,0,0,0</t>
  </si>
  <si>
    <t>2025-05-02 08:17:00,165301977.817901,8250809.83023218,-30277.0333333333,-168,-2060403.34733333,-9812.39,0.717271246271957,-123.3</t>
  </si>
  <si>
    <t>2025-05-02 08:17:00,47538282.8629996,0,0,0,0,0,0,0</t>
  </si>
  <si>
    <t>2025-05-02 08:18:00,565,,,,575,,,,,,,,</t>
  </si>
  <si>
    <t>2025-05-02 08:18:00,490,,,,470,,,,,,,,</t>
  </si>
  <si>
    <t>2025-05-02 08:18:00,5800,,5700,,5600,,5675,,,,,5700,5500</t>
  </si>
  <si>
    <t>2025-05-02 08:18:00,20100,,,,19475,,,,,,,,</t>
  </si>
  <si>
    <t>2025-05-02 08:18:00,5196204414.49952,0,0,0,0,0,0,0</t>
  </si>
  <si>
    <t>2025-05-02 08:18:00,2516550379.54683,0,,0,,0,0,0</t>
  </si>
  <si>
    <t>2025-05-02 08:18:00,165431204.744038,8288965.45700151,-12150.1342424243,-127,-415881.914427273,-2243.39,-0.157381478374803,-34.33</t>
  </si>
  <si>
    <t>2025-05-02 08:18:00,47536994.709151,0,0,0,0,0,0,0</t>
  </si>
  <si>
    <t>2025-05-02 08:19:00,565,,,,575,,,,,,,,</t>
  </si>
  <si>
    <t>2025-05-02 08:19:00,490,,,,470,,,,,,,,</t>
  </si>
  <si>
    <t>2025-05-02 08:19:00,5800,,5700,,5600,,5675,,,,,5700,5500</t>
  </si>
  <si>
    <t>2025-05-02 08:19:00,20100,,,,19475,,,,,,,,</t>
  </si>
  <si>
    <t>2025-05-02 08:19:00,4968671541.76116,0,0,0,0,0,0,0</t>
  </si>
  <si>
    <t>2025-05-02 08:19:00,2679380351.15081,0,,0,,0,0,0</t>
  </si>
  <si>
    <t>2025-05-02 08:19:00,166284902.160405,8179272.82105433,-10213.2615384615,-159,-457480.643948717,-1959.21,-0.295421671749706,-31.95</t>
  </si>
  <si>
    <t>2025-05-02 08:19:00,47471881.728164,0,0,0,0,0,0,0</t>
  </si>
  <si>
    <t>2025-05-02 08:20:00,565,,,,575,,,,,,,,</t>
  </si>
  <si>
    <t>2025-05-02 08:20:00,490,,,,470,,,,,,,,</t>
  </si>
  <si>
    <t>2025-05-02 08:20:00,5800,,5700,,5600,,5675,,,,,5700,5500</t>
  </si>
  <si>
    <t>2025-05-02 08:20:00,20100,,,,19475,,,,,,,,</t>
  </si>
  <si>
    <t>2025-05-02 08:20:00,5150704321.60273,0,0,0,0,0,0,0</t>
  </si>
  <si>
    <t>2025-05-02 08:20:00,2685426457.0073,0,,0,,0,0,0</t>
  </si>
  <si>
    <t>2025-05-02 08:20:00,165466456.864555,8338890.09755193,-9973.66666666666,-63,-380169.6695,-1542.98,0.00683820415603519,-23.57</t>
  </si>
  <si>
    <t>2025-05-02 08:20:00,47515070.3894854,0,0,0,0,0,0,0</t>
  </si>
  <si>
    <t>GEX-VOL</t>
  </si>
  <si>
    <t>2025-05-02 08:21:00,565,,,,575,,,,,,,,</t>
  </si>
  <si>
    <t>2025-05-02 08:21:00,490,,,,470,,,,,,,,</t>
  </si>
  <si>
    <t>2025-05-02 08:21:00,5800,,5700,,5600,,5675,,,,,5700,5500</t>
  </si>
  <si>
    <t>2025-05-02 08:21:00,20100,,,,19475,,,,,,,,</t>
  </si>
  <si>
    <t>2025-05-02 08:21:00,4968348317.97431,0,0,0,0,0,0,0</t>
  </si>
  <si>
    <t>2025-05-02 08:21:00,2617497580.73356,0,,0,,0,0,0</t>
  </si>
  <si>
    <t>2025-05-02 08:21:00,166619876.858571,8228093.78920361,-9301.33809523806,-59,-315542.777999999,-1055.35,-0.0917999816616752,-15.09</t>
  </si>
  <si>
    <t>2025-05-02 08:21:00,47460880.067415,0,0,0,0,0,0,0</t>
  </si>
  <si>
    <t>2025-05-02 08:22:00,565,,,,575,,,,,,,,</t>
  </si>
  <si>
    <t>2025-05-02 08:22:00,490,,,,470,,,,,,,,</t>
  </si>
  <si>
    <t>2025-05-02 08:22:00,5800,,5700,,5600,,5675,,,,,5700,5500</t>
  </si>
  <si>
    <t>2025-05-02 08:22:00,20100,,,,19475,,,,,,,,</t>
  </si>
  <si>
    <t>2025-05-02 08:22:00,5086735245.87285,0,0,0,0,0,0,0</t>
  </si>
  <si>
    <t>2025-05-02 08:22:00,2660457114.64593,0,,0,,0,0,0</t>
  </si>
  <si>
    <t>2025-05-02 08:22:00,165609898.114349,8296733.2509836,-4820.73333333333,-33,-205027.684,-979,0.0146051967001902,-12.23</t>
  </si>
  <si>
    <t>2025-05-02 08:22:00,47485379.300816,0,0,0,0,0,0,0</t>
  </si>
  <si>
    <t>2025-05-02 08:23:00,565,,,,575,,,,,,,,</t>
  </si>
  <si>
    <t>2025-05-02 08:23:00,490,,,,470,,,,,,,,</t>
  </si>
  <si>
    <t>2025-05-02 08:23:00,5800,,5700,,5600,,5675,,,,,5700,5500</t>
  </si>
  <si>
    <t>2025-05-02 08:23:00,20100,,,,19475,,,,,,,,</t>
  </si>
  <si>
    <t>2025-05-02 08:23:00,5059875401.31926,0,0,0,0,0,0,0</t>
  </si>
  <si>
    <t>2025-05-02 08:23:00,2592732443.79915,0,,0,,0,0,0</t>
  </si>
  <si>
    <t>2025-05-02 08:23:00,165697802.218452,8292486.36216423,-6876.26666666667,-48,-251125.0985,-1222.08,0.0140343720699579,-15.97</t>
  </si>
  <si>
    <t>2025-05-02 08:23:00,47444648.4244617,0,0,0,0,0,0,0</t>
  </si>
  <si>
    <t>2025-05-02 08:24:00,565,,,,575,,,,,,,,</t>
  </si>
  <si>
    <t>2025-05-02 08:24:00,490,,,,470,,,,,,,,</t>
  </si>
  <si>
    <t>2025-05-02 08:24:00,5800,,5700,,5600,,5675,,,,,5700,5500</t>
  </si>
  <si>
    <t>2025-05-02 08:24:00,20100,,,,19475,,,,,,,,</t>
  </si>
  <si>
    <t>2025-05-02 08:24:00,4968684568.11265,0,0,0,0,0,0,0</t>
  </si>
  <si>
    <t>2025-05-02 08:24:00,2561973466.48294,0,,0,,0,0,0</t>
  </si>
  <si>
    <t>2025-05-02 08:24:00,166193574.187646,8211590.10186681,-14845.6333333333,-109,-436903.186333333,-1791.03,-0.0931821335707201,-16.39</t>
  </si>
  <si>
    <t>2025-05-02 08:24:00,47401270.6970763,0,0,0,0,0,0,0</t>
  </si>
  <si>
    <t>2025-05-02 08:26:00,565,,,,575,,,,,,,,</t>
  </si>
  <si>
    <t>2025-05-02 08:26:00,490,,,,470,,,,,,,,</t>
  </si>
  <si>
    <t>2025-05-02 08:26:00,5800,,5700,,5600,,5675,,,,,5700,5500</t>
  </si>
  <si>
    <t>2025-05-02 08:26:00,20100,,,,19475,,,,,,,,</t>
  </si>
  <si>
    <t>2025-05-02 08:26:00,4688576519.24475,0,0,0,0,0,0,0</t>
  </si>
  <si>
    <t>2025-05-02 08:26:00,2514680594.72185,0,,0,,0,0,0</t>
  </si>
  <si>
    <t>2025-05-02 08:26:00,180742635.457245,8164247.803711,-787.309615384615,-10,-71451.6047307692,-863.64,0.072022329676352,-9.35</t>
  </si>
  <si>
    <t>2025-05-02 08:26:00,47341232.4330146,0,0,0,0,0,0,0</t>
  </si>
  <si>
    <t>2025-05-02 08:27:00,565,,,,575,,,,,,,,</t>
  </si>
  <si>
    <t>2025-05-02 08:27:00,490,,,,470,,,,,,,,</t>
  </si>
  <si>
    <t>2025-05-02 08:27:00,5800,,5700,,5600,,5675,,,,,5700,5500</t>
  </si>
  <si>
    <t>2025-05-02 08:27:00,20100,,,,19475,,,,,,,,</t>
  </si>
  <si>
    <t>2025-05-02 08:27:00,4909495010.02571,0,0,0,0,0,0,0</t>
  </si>
  <si>
    <t>2025-05-02 08:27:00,2480507976.46243,0,,0,,0,0,0</t>
  </si>
  <si>
    <t>2025-05-02 08:27:00,180323226.794909,7976248.44362447,0,0,0,0,0,0</t>
  </si>
  <si>
    <t>2025-05-02 08:27:00,47318105.7812807,0,0,0,0,0,0,0</t>
  </si>
  <si>
    <t>2025-05-02 08:28:00,565,,,,575,,,,,,,,</t>
  </si>
  <si>
    <t>2025-05-02 08:28:00,490,,,,470,,,,,,,,</t>
  </si>
  <si>
    <t>2025-05-02 08:28:00,5800,,5700,,5600,,5675,,,,,5700,5500</t>
  </si>
  <si>
    <t>2025-05-02 08:28:00,20100,,,,19475,,,,,,,,</t>
  </si>
  <si>
    <t>2025-05-02 08:28:00,4819858034.23444,0,0,0,0,0,0,0</t>
  </si>
  <si>
    <t>2025-05-02 08:28:00,2482921175.63337,0,,0,,0,0,0</t>
  </si>
  <si>
    <t>2025-05-02 08:28:00,180214952.732492,7925077.96572166,0,0,0,0,0,0</t>
  </si>
  <si>
    <t>2025-05-02 08:28:00,47311728.5103154,0,0,0,0,0,0,0</t>
  </si>
  <si>
    <t>2025-05-02 08:29:00,565,,,,575,,,,,,,,</t>
  </si>
  <si>
    <t>2025-05-02 08:29:00,490,,,,470,,,,,,,,</t>
  </si>
  <si>
    <t>2025-05-02 08:29:00,5800,,5700,,5600,,5675,,,,,5700,5500</t>
  </si>
  <si>
    <t>2025-05-02 08:29:00,20100,,,,19475,,,,,,,,</t>
  </si>
  <si>
    <t>2025-05-02 08:29:00,4596412208.41491,0,0,0,0,0,0,0</t>
  </si>
  <si>
    <t>2025-05-02 08:29:00,2462279244.24197,0,,0,,0,0,0</t>
  </si>
  <si>
    <t>2025-05-02 08:29:00,179533169.767413,7630169.02253348,0,0,0,0,0,0</t>
  </si>
  <si>
    <t>2025-05-02 08:29:00,47241976.3097918,0,0,0,0,0,0,0</t>
  </si>
  <si>
    <t>2025-05-02 08:30:00,575,,558,,575,,,,,,,558,560</t>
  </si>
  <si>
    <t>2025-05-02 08:30:00,490,,486,,470,,,,,,,495,480</t>
  </si>
  <si>
    <t>2025-05-02 08:30:00,5700,,5700,,5600,,5660,,,,,5700,5500</t>
  </si>
  <si>
    <t>2025-05-02 08:30:00,20100,,,,19475,,,,,,,,</t>
  </si>
  <si>
    <t>2025-05-02 08:30:00,2424768166.67019,18136449.1878776,-3266.01756821722,-1991,-10175.165617631,-9562.93,-58.0869589676401,-1171.14</t>
  </si>
  <si>
    <t>2025-05-02 08:30:00,1519018806.27068,698143.559167527,196.018036525595,172,1016.40385243254,443.53,8.02290150579657,74.04</t>
  </si>
  <si>
    <t>2025-05-02 08:30:00,230149564.459302,7474367.03222182,0,0,0,0,0,0</t>
  </si>
  <si>
    <t>2025-05-02 08:30:00,47174135.4801885,0,0,0,0,0,0,0</t>
  </si>
  <si>
    <t>2025-05-02 08:31:00,575,,565,,575,,564.166666666667,,565,,,570,550</t>
  </si>
  <si>
    <t>2025-05-02 08:31:00,490,,,484,470,,,,,,,490,480</t>
  </si>
  <si>
    <t>2025-05-02 08:31:00,5700,,5700,,5600,,5660,,,,,5700,5500</t>
  </si>
  <si>
    <t>2025-05-02 08:31:00,20100,,20000,,19475,,,,,,,20425,19300</t>
  </si>
  <si>
    <t>2025-05-02 08:31:00,2618798539.78762,146603963.192088,17318.4785666089,14234,67106.3695207089,49555.7399999999,-277.782141898063,7793.83</t>
  </si>
  <si>
    <t>2025-05-02 08:31:00,1567612546.81732,-4361535.29260636,-2483.26400993415,-1409,-676.051381227247,352.55,521.429170489532,43.2899999999999</t>
  </si>
  <si>
    <t>2025-05-02 08:31:00,239112977.570379,11924866.141696,1826.61729728605,1952,43931.9093949593,26510.9,3.50454633148855,537.34</t>
  </si>
  <si>
    <t>2025-05-02 08:31:00,47640895.4761764,6032.59771915083,27.2453607986217,-17,-349.48188111888,-419.1,-0.00229245182991185,-3.1</t>
  </si>
  <si>
    <t>2025-05-02 08:32:00,575,,565,,575,,564.166666666667,565,,,,570,550</t>
  </si>
  <si>
    <t>2025-05-02 08:32:00,490,,490,,470,,,487,,,,490,480</t>
  </si>
  <si>
    <t>2025-05-02 08:32:00,5700,,5700,,5600,,5635,,,,,5700,5500</t>
  </si>
  <si>
    <t>2025-05-02 08:32:00,20100,,20200,,19475,,,,,,,20200,20050</t>
  </si>
  <si>
    <t>2025-05-02 08:32:00,2717207961.7218,334870010.918171,43765.0804798274,16268,80100.7266644764,28964.38,107.391086676965,6720.92</t>
  </si>
  <si>
    <t>2025-05-02 08:32:00,1583471750.26166,56616506.2333593,-3073.8648899539,-4481,-5070.51371429777,-4505.98,-68.450210925069,-1272.7</t>
  </si>
  <si>
    <t>2025-05-02 08:32:00,240275889.659835,18235966.6352225,-1380.14357142843,49,-540335.968342836,-158955.63,-3.06527082261611,-665.29</t>
  </si>
  <si>
    <t>2025-05-02 08:32:00,47722568.3897553,9853.91110145375,-13.9706110927271,-27,-480.042278718112,-3009.36,1.82956035044334E-05,-6.13</t>
  </si>
  <si>
    <t>2025-05-02 08:33:00,575,,570,,575,,566.5,,,,,570,550</t>
  </si>
  <si>
    <t>2025-05-02 08:33:00,490,,490,,470,,,,,,,490,480</t>
  </si>
  <si>
    <t>2025-05-02 08:33:00,5700,,5700,,5600,,5635,,,,,5700,5500</t>
  </si>
  <si>
    <t>2025-05-02 08:33:00,20100,,20200,,19475,,,,,,,20200,19350</t>
  </si>
  <si>
    <t>2025-05-02 08:33:00,2788064674.20564,540311176.755444,21846.5339941103,19250,31669.8396915109,17311.07,606.577729832082,4904.35</t>
  </si>
  <si>
    <t>2025-05-02 08:33:00,1615921466.03825,131093454.883313,-18463.8392853634,-5923,-32237.6353342806,-11197.26,-368.591899333338,-2820.08</t>
  </si>
  <si>
    <t>2025-05-02 08:33:00,242231540.354517,23728313.8755997,2228.09896825396,-1339,256425.343149999,62487.85,-5.07284470350772,241.25</t>
  </si>
  <si>
    <t>2025-05-02 08:33:00,49423743.4659005,15783.5498491848,-47.9059947299078,-60,-1382.15185616256,-1395.35,0.0164288067903693,-9.18</t>
  </si>
  <si>
    <t>2025-05-02 08:34:00,575,,570,,575,,566.833333333333,,,,,570,550</t>
  </si>
  <si>
    <t>2025-05-02 08:34:00,490,,490,,470,,,487,,,,490,480</t>
  </si>
  <si>
    <t>2025-05-02 08:34:00,5700,,5700,,5600,,5635,,,,,5700,5500</t>
  </si>
  <si>
    <t>2025-05-02 08:34:00,20100,,20200,,19475,,,,,,,20200,19350</t>
  </si>
  <si>
    <t>2025-05-02 08:34:00,2708399876.74786,669637366.573423,6645.5351705312,-3677,10993.5717109557,-10239.44,46.3779089129189,-1783.52</t>
  </si>
  <si>
    <t>2025-05-02 08:34:00,1632095972.06863,144479674.995024,3429.20402097902,2479,5449.49781177157,3485.01,-121.786894736505,680.51</t>
  </si>
  <si>
    <t>2025-05-02 08:34:00,240795805.101588,24454021.9487108,-170.541666666663,-1253,72560.1637976188,8030.16,4.40857695523306,-21.4</t>
  </si>
  <si>
    <t>2025-05-02 08:34:00,48642345.4274111,62974.757024746,101.212549960782,253,4088.49485038158,5870.44,0.264129399344023,43.82</t>
  </si>
  <si>
    <t>2025-05-02 08:35:00,575,,570,,575,,566.833333333333,,565,565,,570,550</t>
  </si>
  <si>
    <t>2025-05-02 08:35:00,490,,490,,470,,,,,,,490,480</t>
  </si>
  <si>
    <t>2025-05-02 08:35:00,5700,,5700,,5600,,5635,,,,,5700,5500</t>
  </si>
  <si>
    <t>2025-05-02 08:35:00,20100,,20200,,19475,,,,,,,20200,19350</t>
  </si>
  <si>
    <t>2025-05-02 08:35:00,2619467501.18998,653613006.604634,20848.2252081251,1196,31289.6419307359,2242.76,-231.587087982589,323.58</t>
  </si>
  <si>
    <t>2025-05-02 08:35:00,1596076940.11898,151154230.674377,6458.02328818139,7124,5048.13166337344,4434.57,198.20079678934,1212.22</t>
  </si>
  <si>
    <t>2025-05-02 08:35:00,237785147.51316,23520286.0221086,2927.54630831642,2067,44975.1994494444,23351.42,5.7999709260091,446.67</t>
  </si>
  <si>
    <t>2025-05-02 08:35:00,46880167.4038007,65134.9764422256,45.5840130182855,68,1181.7816916641,1391.25,-0.0101466632185468,9.06</t>
  </si>
  <si>
    <t>2025-05-02 08:36:00,575,,570,,575,,566.833333333333,,565,,565,570,550</t>
  </si>
  <si>
    <t>2025-05-02 08:36:00,490,,490,,470,,,,,486,,490,480</t>
  </si>
  <si>
    <t>2025-05-02 08:36:00,5700,,5700,,5600,,5635,,5670,,,5700,5500</t>
  </si>
  <si>
    <t>2025-05-02 08:36:00,20100,,20200,,19475,,,,,,,20200,19350</t>
  </si>
  <si>
    <t>2025-05-02 08:36:00,2581163434.87894,615269945.918104,-8357.14578754583,-9081,-8997.47584981697,-12768.29,200.935196030024,-2987.14</t>
  </si>
  <si>
    <t>2025-05-02 08:36:00,1541806383.50548,118642279.697435,9193.09526746896,8686,22219.2854480219,17212.83,-182.558157725755,3784</t>
  </si>
  <si>
    <t>2025-05-02 08:36:00,236038691.304526,23756941.2659793,2695.34666666666,1878,83770.6776666663,19895.85,-5.79150103910086,159.45</t>
  </si>
  <si>
    <t>2025-05-02 08:36:00,46231889.2730371,65168.9930373606,93.4219436678466,105,2337.3617284278,1596.82,0.0136209060187649,11.56</t>
  </si>
  <si>
    <t>2025-05-02 08:37:00,575,,570,,575,,566.833333333333,,,,564,570,560</t>
  </si>
  <si>
    <t>2025-05-02 08:37:00,490,,490,,470,,,,,,,490,480</t>
  </si>
  <si>
    <t>2025-05-02 08:37:00,5700,,5700,,5600,,5635,,,,,5700,5500</t>
  </si>
  <si>
    <t>2025-05-02 08:37:00,20100,,20200,,19475,,,,,,,20200,19350</t>
  </si>
  <si>
    <t>2025-05-02 08:37:00,2492907049.31772,465677648.996236,-26753.0750205678,-14462,-55523.3282328606,-28191.05,619.573485570279,-5767.88</t>
  </si>
  <si>
    <t>2025-05-02 08:37:00,1479390735.08893,65389185.055382,-2205.6170435724,-1989,-4073.03701186718,2160.21,-141.26262939598,226.71</t>
  </si>
  <si>
    <t>2025-05-02 08:37:00,234695604.597304,21078287.4553843,-3731.85952380954,-3609,27656.864999999,-20443.99,-1.55522408282265,-624.71</t>
  </si>
  <si>
    <t>2025-05-02 08:37:00,44577075.7091284,92419.1239902925,84.4442520381014,-137,3145.42629405343,-255.7,-0.182150222573588,-10.25</t>
  </si>
  <si>
    <t>2025-05-02 08:38:00,575,,570,,575,,566.833333333333,,,,,570,560</t>
  </si>
  <si>
    <t>2025-05-02 08:38:00,490,,490,,470,,,,,,,490,480</t>
  </si>
  <si>
    <t>2025-05-02 08:38:00,5700,,5700,,5600,,5620,,,,,5700,5500</t>
  </si>
  <si>
    <t>2025-05-02 08:38:00,20100,,20200,,19475,,,,,,,20200,19350</t>
  </si>
  <si>
    <t>2025-05-02 08:38:00,2571013960.93844,494350462.965989,28.04385730013,1429,2645.82242878188,3804.72,280.707249436346,982.42</t>
  </si>
  <si>
    <t>2025-05-02 08:38:00,1497272302.30883,84151097.9594765,-6338.90422170422,-881,-39189.2150287491,-19549.88,536.416281735861,-2518.14</t>
  </si>
  <si>
    <t>2025-05-02 08:38:00,236980077.044652,24272656.3035524,721.656190476191,925,-7234.30372857156,6319.62,6.91415064326873,315.26</t>
  </si>
  <si>
    <t>2025-05-02 08:38:00,46109178.3754351,110487.229570481,-127.05215389186,-78,-5161.78252185298,-1922.1,0.0136114381408294,-10.94</t>
  </si>
  <si>
    <t>2025-05-02 08:39:00,575,,565,,575,,566.833333333333,565,,,,570,560</t>
  </si>
  <si>
    <t>2025-05-02 08:39:00,490,,490,,470,,,,,,,490,480</t>
  </si>
  <si>
    <t>2025-05-02 08:39:00,5700,,5700,,5600,,5620,,,,,5700,5500</t>
  </si>
  <si>
    <t>2025-05-02 08:39:00,20100,,20200,,19475,,,,,,,20200,19350</t>
  </si>
  <si>
    <t>2025-05-02 08:39:00,2660842605.32676,793242975.039761,14635.7439570236,4120,30662.3956039555,10323.06,220.856874295697,2676.4</t>
  </si>
  <si>
    <t>2025-05-02 08:39:00,1564692016.6908,199060929.345729,2189.42336802085,-453,5081.95671128038,-1050.35,-139.147815378204,-0.130000000000103</t>
  </si>
  <si>
    <t>2025-05-02 08:39:00,240259379.071634,32997595.6085237,-6310.83818181817,-1687,-489153.733266665,-77553.74,-5.01915356122088,-870.19</t>
  </si>
  <si>
    <t>2025-05-02 08:39:00,47828780.9133525,138401.086191026,-90.5376148984502,-96,-4382.25528988276,-2562.13,-0.0343440674428499,-15.94</t>
  </si>
  <si>
    <t>2025-05-02 08:40:00,575,,565,,575,,566.833333333333,,,,,570,560</t>
  </si>
  <si>
    <t>2025-05-02 08:40:00,490,,490,,470,,,,,,,490,480</t>
  </si>
  <si>
    <t>2025-05-02 08:40:00,5700,,5700,,5600,,5590,,,,,5700,5500</t>
  </si>
  <si>
    <t>2025-05-02 08:40:00,20100,,20200,,19475,,,,,,,20200,19350</t>
  </si>
  <si>
    <t>2025-05-02 08:40:00,2704091491.04574,962889656.298276,-16093.0456959705,-16635,-25707.6802051277,-24763.27,-143.717311001801,-6119.19</t>
  </si>
  <si>
    <t>2025-05-02 08:40:00,1652537095.61423,256480118.76365,2433.79246292924,-612,2002.92093806196,-4684.84,-62.955206780646,-860.6</t>
  </si>
  <si>
    <t>2025-05-02 08:40:00,240537672.607605,35290217.4642425,-3239.78602092351,-2996,-37792.8494725828,-32106.06,-4.77129238480886,-886.73</t>
  </si>
  <si>
    <t>2025-05-02 08:40:00,47465084.926084,150582.48101218,-73.0933060117035,22,-1745.9086013499,-1632.34,-0.0243055109397596,-9.49</t>
  </si>
  <si>
    <t>2025-05-02 08:41:00,575,,565,,575,,566.833333333333,565,,,,570,560</t>
  </si>
  <si>
    <t>2025-05-02 08:41:00,490,,490,,470,,,487,,,,490,480</t>
  </si>
  <si>
    <t>2025-05-02 08:41:00,5700,,5700,,5600,,5590,,,,,5700,5500</t>
  </si>
  <si>
    <t>2025-05-02 08:41:00,20100,,20200,,19475,,,,,,,20200,19350</t>
  </si>
  <si>
    <t>2025-05-02 08:41:00,2652858872.03365,963451060.830125,9247.73968253968,9315,18758.0111428571,16461.04,142.706748901696,3964.64</t>
  </si>
  <si>
    <t>2025-05-02 08:41:00,1643640642.08314,298443689.755778,3321.83870143266,1374,9662.2677311625,8431.77,38.5448360353685,1523.4</t>
  </si>
  <si>
    <t>2025-05-02 08:41:00,237646693.331811,36081026.7602037,2413.24880952381,570,79295.5974404759,33744.79,7.60558505766616,621.96</t>
  </si>
  <si>
    <t>2025-05-02 08:41:00,46390409.3895157,147810.975553735,118.034816992848,84,5730.20531881755,2056.15,0.0046359011414148,13.6</t>
  </si>
  <si>
    <t>2025-05-02 08:42:00,575,,565,,575,,566.833333333333,,,,,570,560</t>
  </si>
  <si>
    <t>2025-05-02 08:42:00,490,,490,,470,,,,486,,,490,480</t>
  </si>
  <si>
    <t>2025-05-02 08:42:00,5700,,5700,,5600,,5595,,,,,5700,5500</t>
  </si>
  <si>
    <t>2025-05-02 08:42:00,20100,,20200,,19475,,,,,,,20200,19350</t>
  </si>
  <si>
    <t>2025-05-02 08:42:00,2577156294.99235,816261527.094816,9746.25000000001,10390,24098.4983333334,18982.72,65.5624211810308,4469.88</t>
  </si>
  <si>
    <t>2025-05-02 08:42:00,1627251886.46779,277454138.984088,3231.22356282901,1568,6177.77925918349,2148.34,9.08365412902469,475.54</t>
  </si>
  <si>
    <t>2025-05-02 08:42:00,238126067.539031,34597133.5212748,1720.78654761905,118,24650.0374988097,1056.21,-1.50229450204601,-37.39</t>
  </si>
  <si>
    <t>2025-05-02 08:42:00,46325082.9412142,141911.344199959,122.32088977089,43,4463.60404541329,1778.66,-0.0225262783848499,12.22</t>
  </si>
  <si>
    <t>2025-05-02 08:43:00,575,,565,,575,,570.5,,,,,570,560</t>
  </si>
  <si>
    <t>2025-05-02 08:43:00,490,,490,,470,,487,,,,,490,480</t>
  </si>
  <si>
    <t>2025-05-02 08:43:00,5700,,5700,,5600,,5625,,,,,5700,5500</t>
  </si>
  <si>
    <t>2025-05-02 08:43:00,20100,,20200,,19475,,,,,,,20200,19350</t>
  </si>
  <si>
    <t>2025-05-02 08:43:00,2637959819.15289,990959190.513337,-20808.6156204907,-14433,-24985.1540072151,-18784.19,-91.6775976682274,-4728.64</t>
  </si>
  <si>
    <t>2025-05-02 08:43:00,1597201545.94391,345974612.968461,-1136.1096313364,736,-6360.96758402455,-2707.28,86.3820967076505,-63.3499999999998</t>
  </si>
  <si>
    <t>2025-05-02 08:43:00,239803833.39582,38983734.8458283,170.245238095235,-202,-15392.2296666667,2343.72,-3.97931096835569,38.6</t>
  </si>
  <si>
    <t>2025-05-02 08:43:00,47658851.872737,154522.189790359,-76.9095243334293,-79,-2597.47203079671,-1640.32,0.00985918769964461,-11.66</t>
  </si>
  <si>
    <t>2025-05-02 08:44:00,575,,565,,575,,570.5,,,,,570,560</t>
  </si>
  <si>
    <t>2025-05-02 08:44:00,490,,490,,470,,487,,,,,490,480</t>
  </si>
  <si>
    <t>2025-05-02 08:44:00,5700,,5700,,5600,,5625,,,,,5700,5500</t>
  </si>
  <si>
    <t>2025-05-02 08:44:00,20100,,20200,,19475,,19975,,,,,20200,19350</t>
  </si>
  <si>
    <t>2025-05-02 08:44:00,2652442398.46707,952601973.867591,-5245.63731268727,-3425,-5027.9801183815,-1921.85,-70.489593923341,-591.41</t>
  </si>
  <si>
    <t>2025-05-02 08:44:00,1634087663.3658,331899538.101046,-5382.84428703481,-3508,-7364.11373945022,-4291.02,-70.8643687621259,-1058.17</t>
  </si>
  <si>
    <t>2025-05-02 08:44:00,240164061.186471,41395846.3671779,-1326.15,-1339,-17302.6245,-16822.31,-4.12635398736433,-399.16</t>
  </si>
  <si>
    <t>2025-05-02 08:44:00,48177089.83575,157859.636495086,-24.9689539518452,-27,-773.433307000101,-861.74,-0.00928093832436729,-6.42</t>
  </si>
  <si>
    <t>2025-05-02 08:45:00,575,,565,,575,,570.5,,565,,,570,560</t>
  </si>
  <si>
    <t>2025-05-02 08:45:00,490,,490,,470,,487,487,,,,490,480</t>
  </si>
  <si>
    <t>2025-05-02 08:45:00,5700,,5700,,5600,,5625,,,,,5700,5500</t>
  </si>
  <si>
    <t>2025-05-02 08:45:00,20100,,20200,,19475,,19975,,,,,20200,19350</t>
  </si>
  <si>
    <t>2025-05-02 08:45:00,2704586777.1494,1060725376.2523,4333.17213342213,2752,10956.9975382951,1545.07,-509.969464117106,48.0499999999999</t>
  </si>
  <si>
    <t>2025-05-02 08:45:00,1665980195.14412,392193893.412701,2519.82814814814,1398,5992.85600317458,4355.78,-79.6285846670969,994.3</t>
  </si>
  <si>
    <t>2025-05-02 08:45:00,241634035.663051,45745922.528943,1258.80000000001,1215,12332.8280000001,1512.54,-8.00421122729123,181.08</t>
  </si>
  <si>
    <t>2025-05-02 08:45:00,47812824.2722686,174650.760089788,-30.3861760461761,-52,-626.512953823958,-1027.27,-0.00449806925132582,-6.15</t>
  </si>
  <si>
    <t>2025-05-02 08:46:00,575,,565,,575,,570.5,565,,,,570,560</t>
  </si>
  <si>
    <t>2025-05-02 08:46:00,490,,490,,470,,487,,,,,490,480</t>
  </si>
  <si>
    <t>2025-05-02 08:46:00,5700,,5700,,5600,,5625,,,,,5700,5500</t>
  </si>
  <si>
    <t>2025-05-02 08:46:00,20100,,20200,,19475,,19975,,,,,20200,19350</t>
  </si>
  <si>
    <t>2025-05-02 08:46:00,2634244824.16931,978743841.308787,7438.79603174603,10197,9610.60514682542,11916.05,150.009200584954,3418.63</t>
  </si>
  <si>
    <t>2025-05-02 08:46:00,1635627808.12172,403360576.061694,7041.90739960937,4377,12408.5239495852,6112.81,178.761711707055,1498.08</t>
  </si>
  <si>
    <t>2025-05-02 08:46:00,239961271.522869,44413953.1078431,-1162.04380952383,1492,-210189.127885716,-28147.33,-2.3869536199043,14.89</t>
  </si>
  <si>
    <t>2025-05-02 08:46:00,47555946.2559649,168558.197296428,55.3235707118872,65,2445.02718789391,2310.67,0.00253369695224573,11.27</t>
  </si>
  <si>
    <t>2025-05-02 08:47:00,575,,565,,575,,570.5,,,,564,570,560</t>
  </si>
  <si>
    <t>2025-05-02 08:47:00,490,,490,,470,,487,,,,,490,480</t>
  </si>
  <si>
    <t>2025-05-02 08:47:00,5700,,5700,,5600,,5625,,,,5650,5700,5500</t>
  </si>
  <si>
    <t>2025-05-02 08:47:00,20100,,20200,,19475,,19975,,,,,20200,19350</t>
  </si>
  <si>
    <t>2025-05-02 08:47:00,2496721859.11291,688868926.846024,,-12643,,-11858.3,-398.639507858171,-3522.99</t>
  </si>
  <si>
    <t>2025-05-02 08:47:00,1591791009.87671,261085319.705132,2268.00738261738,-417,9004.5867942058,3645.47,-175.155504888368,478.06</t>
  </si>
  <si>
    <t>2025-05-02 08:47:00,235472094.446685,37530465.2287449,1532.79999999999,261,177354.789499998,40332.68,2.83005647328227,20.91</t>
  </si>
  <si>
    <t>2025-05-02 08:47:00,45922236.2558892,124140.765464872,19.1646780868076,71,630.633695004342,1343.83,-0.0258198082257037,9.68</t>
  </si>
  <si>
    <t>2025-05-02 08:49:00,575,,565,,575,,570.5,,,,,570,560</t>
  </si>
  <si>
    <t>2025-05-02 08:49:00,490,,490,,470,,487,,,486,,490,480</t>
  </si>
  <si>
    <t>2025-05-02 08:49:00,5700,,5700,,5600,,5630,,,,,5700,5500</t>
  </si>
  <si>
    <t>2025-05-02 08:49:00,20100,,20200,,19475,,19975,,,,,20200,19350</t>
  </si>
  <si>
    <t>2025-05-02 08:49:00,2504786710.9384,551855525.23619,-14191.7107507559,-13762,-16985.3924111465,-11188.78,482.750967172402,-2636.25</t>
  </si>
  <si>
    <t>2025-05-02 08:49:00,1574250218.15078,222220295.815556,-6740.75922754244,-2761,-10426.3044761228,-3508.26,-177.854515289049,-582.07</t>
  </si>
  <si>
    <t>2025-05-02 08:49:00,236422741.817968,36675879.8873505,-1971.2357142857,-1019,-61250.0453095237,-12694.82,-9.65919274288719,-182.96</t>
  </si>
  <si>
    <t>2025-05-02 08:49:00,47271098.5759816,110000.276898184,-216.512520115683,-120,-10185.3839093947,-4094.49,0.0298966393532692,-24.67</t>
  </si>
  <si>
    <t>2025-05-02 08:50:00,575,,565,,575,,570.5,,,,,570,560</t>
  </si>
  <si>
    <t>2025-05-02 08:50:00,490,,490,,470,,487,,,,,490,480</t>
  </si>
  <si>
    <t>2025-05-02 08:50:00,5700,,5700,,5600,,5630,,,,,5700,5500</t>
  </si>
  <si>
    <t>2025-05-02 08:50:00,20100,,20200,,19475,,19975,,,,,20200,19350</t>
  </si>
  <si>
    <t>2025-05-02 08:50:00,2441361691.26517,353094267.283557,1841.92968566526,3140,35.1420274332067,3315.37,331.968382179919,1113.43</t>
  </si>
  <si>
    <t>2025-05-02 08:50:00,1570775253.9266,207927452.122217,699.199673756199,869,-355.150510383344,-32.8900000000003,-24.4975628878814,126.49</t>
  </si>
  <si>
    <t>2025-05-02 08:50:00,235075703.995463,34202187.8665842,2895.53307692307,693,11181.2735051281,3810.14,-6.49966999425436,135.03</t>
  </si>
  <si>
    <t>2025-05-02 08:50:00,46968700.9345063,99598.0712180048,-32.9533091418385,-47,-580.800429806468,-993.34,0.00763191839235168,-6.12</t>
  </si>
  <si>
    <t>2025-05-02 08:51:00,575,,565,,575,,570.5,,,564,,570,560</t>
  </si>
  <si>
    <t>2025-05-02 08:51:00,490,,490,,470,,487,,,,,490,480</t>
  </si>
  <si>
    <t>2025-05-02 08:51:00,5700,,5700,,5600,,5630,,,,,5700,5500</t>
  </si>
  <si>
    <t>2025-05-02 08:51:00,20100,,20200,,19475,,19975,,,,,20200,19350</t>
  </si>
  <si>
    <t>2025-05-02 08:51:00,2498795161.10587,716663440.09929,18889.5792693418,7754,34656.5124264209,9704.2,-683.332907258812,2115.69</t>
  </si>
  <si>
    <t>2025-05-02 08:51:00,1561189962.38309,392305942.193257,4942.01654697213,2054,3968.79246394061,748.08,-113.371676565116,319.47</t>
  </si>
  <si>
    <t>2025-05-02 08:51:00,236073028.799948,44199754.7018903,1888.71987179487,794,22598.8224423076,6890.04,-0.927961241614697,208.44</t>
  </si>
  <si>
    <t>2025-05-02 08:51:00,46788482.5147664,135277.399168256,-34.808318119079,15,-401.006181666037,-411.45,-0.0102305097489989,-2.73</t>
  </si>
  <si>
    <t>2025-05-02 08:52:00,575,,,,575,,570.5,,,563,,570,560</t>
  </si>
  <si>
    <t>2025-05-02 08:52:00,490,,490,,470,,487,,,,485,490,480</t>
  </si>
  <si>
    <t>2025-05-02 08:52:00,5700,,5700,,5600,,5630,,,5650,,5700,5500</t>
  </si>
  <si>
    <t>2025-05-02 08:52:00,20100,,20200,,19475,,19975,,,,,20200,19350</t>
  </si>
  <si>
    <t>2025-05-02 08:52:00,2337439912.57165,-41049242.8674441,-6541.11075174819,6147,-10030.5624823508,6852.31,-304.136724890012,1863.92</t>
  </si>
  <si>
    <t>2025-05-02 08:52:00,1489794769.42274,218002510.055395,-6911.8062973145,-7115,-11438.8334133939,-10179.34,-302.042293922649,-2694.54</t>
  </si>
  <si>
    <t>2025-05-02 08:52:00,232852958.753146,34485529.7220258,-3207.54194805194,-3351,-28866.7526303034,-7324.27,-7.07658272972184,-254.07</t>
  </si>
  <si>
    <t>2025-05-02 08:52:00,45392673.3254335,84062.7909489202,59.3624875124875,-12,2498.69511561771,312.96,-0.0109561676813085,0.65</t>
  </si>
  <si>
    <t>2025-05-02 08:53:00,575,,,,575,,570.5,563,,,,570,560</t>
  </si>
  <si>
    <t>2025-05-02 08:53:00,490,,490,,470,,487,,,,485,490,480</t>
  </si>
  <si>
    <t>2025-05-02 08:53:00,5700,,5700,,5600,,5625,,,,,5700,5500</t>
  </si>
  <si>
    <t>2025-05-02 08:53:00,20100,,20200,,19475,,19975,,,,,20200,19350</t>
  </si>
  <si>
    <t>2025-05-02 08:53:00,2321910435.30668,-503524444.725415,-27892.3633712692,-8456,-42064.8818812233,-16044.4,-403.740092612139,-2624.27</t>
  </si>
  <si>
    <t>2025-05-02 08:53:00,1478313018.66246,168938081.197557,-256.811621137485,982,-3122.26424660398,-2783.77,-105.999817016624,-414.7</t>
  </si>
  <si>
    <t>2025-05-02 08:53:00,234311337.920445,33711869.8460316,-3106.70142857143,-2655,-65728.7008333336,-32801.75,-7.90596603185681,-802.87</t>
  </si>
  <si>
    <t>2025-05-02 08:53:00,44567527.5362822,78498.8241317862,-19.199318514642,42,-290.010753213471,-5532.84,-0.0405156125780789,-11.99</t>
  </si>
  <si>
    <t>2025-05-02 08:54:00,575,,,,575,,570.5,,,,563,570,560</t>
  </si>
  <si>
    <t>2025-05-02 08:54:00,490,,490,,470,,487,,,,,490,480</t>
  </si>
  <si>
    <t>2025-05-02 08:54:00,5700,,5700,,5600,,5620,,,,,5700,5500</t>
  </si>
  <si>
    <t>2025-05-02 08:54:00,20100,,20200,,19475,,19975,,,,,20200,19350</t>
  </si>
  <si>
    <t>2025-05-02 08:54:00,2392884818.674,-450984702.083312,-3568.66268866274,4034,-6158.9377161578,5830.11,-117.698743746097,1418.89</t>
  </si>
  <si>
    <t>2025-05-02 08:54:00,1592085647.33228,235708739.294263,2239.66546075249,6446,2333.41182418517,7796.82,92.6634356521838,2205.45</t>
  </si>
  <si>
    <t>2025-05-02 08:54:00,235111034.085532,38514114.2975934,1473.15000000001,1126,13014.2931666667,-46923.88,1.98973215845631,-281.89</t>
  </si>
  <si>
    <t>2025-05-02 08:54:00,47352813.5055967,114382.190311787,2.5955156402737,-15,-356.950481409719,-718.54,-0.0135090422145085,-4.43</t>
  </si>
  <si>
    <t>2025-05-02 08:55:00,575,,,,575,,570.5,,,,,570,560</t>
  </si>
  <si>
    <t>2025-05-02 08:55:00,490,,490,,470,,487,,,,,490,480</t>
  </si>
  <si>
    <t>2025-05-02 08:55:00,5700,,5700,,5600,,5620,,,,,5700,5500</t>
  </si>
  <si>
    <t>2025-05-02 08:55:00,20100,,20200,,19475,,19975,,,,,20200,19400</t>
  </si>
  <si>
    <t>2025-05-02 08:55:00,2458392185.90662,-160799214.71811,4249.48571428564,1928,7975.64198412681,4239.68,381.510945555175,632.27</t>
  </si>
  <si>
    <t>2025-05-02 08:55:00,1602657997.95731,308855042.035488,2235.05060125061,2991,3967.38909475711,5320.03,33.9136453525622,1365.69</t>
  </si>
  <si>
    <t>2025-05-02 08:55:00,237058408.912573,43241144.6761014,4167.44309523811,4721,52605.9242071431,37357.32,4.63757499365959,968.27</t>
  </si>
  <si>
    <t>2025-05-02 08:55:00,48173304.2114343,135845.211137303,-15.0683027072805,57,-336.562571918458,-364.07,-0.0167457809877559,-1.89</t>
  </si>
  <si>
    <t>2025-05-02 08:56:00,575,,,,575,,570.5,,,,,570,560</t>
  </si>
  <si>
    <t>2025-05-02 08:56:00,490,,490,,470,,487,,,,,490,480</t>
  </si>
  <si>
    <t>2025-05-02 08:56:00,5700,,5700,,5600,,5620,,,,,5700,5500</t>
  </si>
  <si>
    <t>2025-05-02 08:56:00,20100,,20200,,19475,,19975,,,,,20200,19400</t>
  </si>
  <si>
    <t>2025-05-02 08:56:00,2535783632.76863,-15354352.4706001,-7126.03492063498,-2597,-12982.0952777779,-7685.15,25.613229850995,-1777.28</t>
  </si>
  <si>
    <t>2025-05-02 08:56:00,1616518936.50496,431562367.41467,-229.349606271342,-551,-1838.36284825962,-1767.36,26.1439151886185,-247.12</t>
  </si>
  <si>
    <t>2025-05-02 08:56:00,239894799.451999,49213117.0386433,-1286.82380952381,-729,-36469.3394523809,-14505.79,-6.67206583159203,-354.83</t>
  </si>
  <si>
    <t>2025-05-02 08:56:00,48363992.1776268,158414.810364509,-19.2532831825385,-15,-777.342493241392,-754.36,0.00722000443379917,-3.47</t>
  </si>
  <si>
    <t>2025-05-02 08:57:00,575,,,,575,,570.5,,,,,570,560</t>
  </si>
  <si>
    <t>2025-05-02 08:57:00,490,,490,,470,,487,,,,,490,480</t>
  </si>
  <si>
    <t>2025-05-02 08:57:00,5700,,5700,,5600,,5620,,,,,5700,5500</t>
  </si>
  <si>
    <t>2025-05-02 08:57:00,20100,,20200,,19475,,19975,,,,,20200,19400</t>
  </si>
  <si>
    <t>2025-05-02 08:57:00,2393859058.07724,-230475932.373986,-16795.0247807747,-6444,-19961.7348122709,-11156.77,485.849301759369,-2961.92</t>
  </si>
  <si>
    <t>2025-05-02 08:57:00,1587600088.04319,313259929.829902,3893.8608051223,1828,4401.13830471211,466.78,262.657003427556,206.77</t>
  </si>
  <si>
    <t>2025-05-02 08:57:00,232786447.923445,41812355.6423867,49.1255555555593,-223,7119.98040000007,-802.539999999998,-3.8947814160732,-90.8</t>
  </si>
  <si>
    <t>2025-05-02 08:57:00,45968430.8996379,112304.571051257,159.690194896387,143,7281.82688183083,4344.36,-0.0254251398311027,15.43</t>
  </si>
  <si>
    <t>2025-05-02 08:58:00,575,,,,575,,570.5,,,,563,570,560</t>
  </si>
  <si>
    <t>2025-05-02 08:58:00,490,,490,,470,,487,,,,,490,480</t>
  </si>
  <si>
    <t>2025-05-02 08:58:00,5700,,5700,,5600,,5620,,5650,,,5700,5500</t>
  </si>
  <si>
    <t>2025-05-02 08:58:00,20100,,20200,,19475,,19975,,,,,20200,19400</t>
  </si>
  <si>
    <t>2025-05-02 08:58:00,2399833186.11113,-234601110.631906,-21705.4405483404,-1440,-37299.0999163054,373.03,22.911161623805,361.62</t>
  </si>
  <si>
    <t>2025-05-02 08:58:00,1529198351.60575,373809802.247765,-4914.09397911985,-3781,-7827.05593828503,-5006.72,77.2335128103544,-1133.23</t>
  </si>
  <si>
    <t>2025-05-02 08:58:00,237525849.625757,50892767.7906862,-10021.0614285713,-4024,-269895.668866664,-75318.74,-5.18944933583827,-1429.54</t>
  </si>
  <si>
    <t>2025-05-02 08:58:00,48181446.6423577,127141.372046256,-0.43441697191698,-7,-447.334384157509,-475.59,0.00977754931388392,-3.35</t>
  </si>
  <si>
    <t>2025-05-02 08:59:00,575,,,,575,,570.5,,,,,570,560</t>
  </si>
  <si>
    <t>2025-05-02 08:59:00,490,,490,,470,,487,,,,,490,480</t>
  </si>
  <si>
    <t>2025-05-02 08:59:00,5700,,5700,,5600,,5620,,,,,5700,5500</t>
  </si>
  <si>
    <t>2025-05-02 08:59:00,20100,,20200,,19475,,19975,,,,,20200,19400</t>
  </si>
  <si>
    <t>2025-05-02 08:59:00,2383253572.08999,-346307092.227719,-15896.5976190478,-9355,-24608.2569047622,-13066.75,214.518622976336,-3242.46</t>
  </si>
  <si>
    <t>2025-05-02 08:59:00,1553936251.08977,297808302.934514,-2126.61479548687,-1324,-3934.81914965594,-2631.7,-8.33046174209737,-682.38</t>
  </si>
  <si>
    <t>2025-05-02 08:59:00,236260482.942063,48171265.5205865,158.575476190473,-353,7483.3627071428,2832.93,3.36448390659132,65.17</t>
  </si>
  <si>
    <t>2025-05-02 08:59:00,45702515.0868225,107997.561349971,11.3430158730159,10,359.306071428572,196.83,0.0128953521750175,1.49</t>
  </si>
  <si>
    <t>2025-05-02 09:00:00,575,,,,575,,570.5,,,,,570,560</t>
  </si>
  <si>
    <t>2025-05-02 09:00:00,490,,490,,470,,487,,,,,490,480</t>
  </si>
  <si>
    <t>2025-05-02 09:00:00,5700,,5700,,5600,,5620,,,,,5700,5500</t>
  </si>
  <si>
    <t>2025-05-02 09:00:00,20100,,20200,,19475,,19975,,,,,20200,19400</t>
  </si>
  <si>
    <t>2025-05-02 09:00:00,2460514767.83989,-402407500.150833,-57.352153032145,590,1509.69707733009,1643.39,-3.26673064661093,380.63</t>
  </si>
  <si>
    <t>2025-05-02 09:00:00,1618121254.36768,265548118.936655,-260.116533230869,410,14.7222682051819,269.21,86.5737035354699,31.3600000000001</t>
  </si>
  <si>
    <t>2025-05-02 09:00:00,236108983.913378,53230814.1445479,1208.4007936508,1083,6487.28132539691,2434.41,5.88724311944753,106.94</t>
  </si>
  <si>
    <t>2025-05-02 09:00:00,48866746.5917668,126125.781117561,0.158010348784346,4,-6.02492802182323,-138.41,-0.0068677360057208,-0.92</t>
  </si>
  <si>
    <t>2025-05-02 09:01:00,575,,,,575,,570.5,,,,,570,560</t>
  </si>
  <si>
    <t>2025-05-02 09:01:00,490,,490,,470,,487,,,,,490,480</t>
  </si>
  <si>
    <t>2025-05-02 09:01:00,5700,,5700,,5600,,5620,,,,,5700,5500</t>
  </si>
  <si>
    <t>2025-05-02 09:01:00,20100,,20200,,19475,,19975,,,,,20200,19400</t>
  </si>
  <si>
    <t>2025-05-02 09:01:00,2442865020.7104,-449179874.305871,-2575.96458946457,-364,-3320.42327299722,-599.89,-52.4692322516779,-118.02</t>
  </si>
  <si>
    <t>2025-05-02 09:01:00,1599223924.70053,317916497.195265,535.983441558441,690,151.260996753246,681.63,-11.7840703155544,178.83</t>
  </si>
  <si>
    <t>2025-05-02 09:01:00,236677636.640682,52646293.0963178,-380.77554112554,-250,-204.587339826815,215.16,-0.829373926275468,-12.83</t>
  </si>
  <si>
    <t>2025-05-02 09:01:00,47217985.4713598,121877.007509359,4.6055683684132,19,-68.8170479885055,99.8,0.000576201198511505,0.99</t>
  </si>
  <si>
    <t>2025-05-02 09:02:00,575,,566,,575,,570.5,,,,,570,560</t>
  </si>
  <si>
    <t>2025-05-02 09:02:00,490,,490,,470,,487,,,,,490,480</t>
  </si>
  <si>
    <t>2025-05-02 09:02:00,5700,,5700,,5600,,5620,,,,5650,5700,5500</t>
  </si>
  <si>
    <t>2025-05-02 09:02:00,20100,,20200,,19475,,19975,,,,,20200,19400</t>
  </si>
  <si>
    <t>2025-05-02 09:02:00,2547062631.88544,214471999.914815,1661.63542568541,2092,4694.79065151512,2215.62,250.105595794615,777.33</t>
  </si>
  <si>
    <t>2025-05-02 09:02:00,1613820180.8953,508235250.793972,2503.98867786933,3586,3824.46559963574,4779.9,51.4084355550587,1367.57</t>
  </si>
  <si>
    <t>2025-05-02 09:02:00,240810714.784752,62653155.150158,-2676.52619047618,-2363,-42830.8668333331,-25976.82,0.235543647441334,-689.43</t>
  </si>
  <si>
    <t>2025-05-02 09:02:00,49478268.2823718,174285.578048815,-9.00665736650393,-36,-373.111422924902,-1698.45,-0.0363370293421578,-12.25</t>
  </si>
  <si>
    <t>2025-05-02 09:03:00,575,,566,,575,,570.5,,565,,,570,560</t>
  </si>
  <si>
    <t>2025-05-02 09:03:00,490,,490,,470,,487,487,,,,490,480</t>
  </si>
  <si>
    <t>2025-05-02 09:03:00,5700,,5700,,5600,,5620,,,,,5700,5500</t>
  </si>
  <si>
    <t>2025-05-02 09:03:00,20100,,20200,,19475,,19975,,,,,20200,19400</t>
  </si>
  <si>
    <t>2025-05-02 09:03:00,2664209916.7436,728094319.496171,-55870.3765817728,-24588,-89292.5188763996,-31356.11,-180.303270657878,-8184.45</t>
  </si>
  <si>
    <t>2025-05-02 09:03:00,1690491127.69981,828056973.216324,-3673.37268051144,-2898,-3125.18558153699,-6247.14,84.8924535712048,-1442.22</t>
  </si>
  <si>
    <t>2025-05-02 09:03:00,243460876.824053,76886824.5641054,-5946.41189450321,-2842,-83884.7763266746,-28959.21,-4.48870531900192,-739.51</t>
  </si>
  <si>
    <t>2025-05-02 09:03:00,51037986.8834261,254204.778512922,-100.889173898184,-185,-4018.62596419615,-6260.24,-0.0630121374348282,-31.99</t>
  </si>
  <si>
    <t>2025-05-02 09:04:00,575,,566,,575,,570.5,,,,,570,560</t>
  </si>
  <si>
    <t>2025-05-02 09:04:00,490,,490,,470,,487,,,,,490,480</t>
  </si>
  <si>
    <t>2025-05-02 09:04:00,5700,,5700,,5600,,5620,,,,,5700,5500</t>
  </si>
  <si>
    <t>2025-05-02 09:04:00,20100,,20200,,19475,,19975,,,,,20200,19400</t>
  </si>
  <si>
    <t>2025-05-02 09:04:00,2693230552.0574,720166385.928449,5838.01583694079,1882,14897.0316435785,1737.28,-498.634179846851,75.6399999999999</t>
  </si>
  <si>
    <t>2025-05-02 09:04:00,1708265885.28412,828035806.206929,3849.24104082376,2886,13043.685219871,11036.14,229.750083088088,2312.61</t>
  </si>
  <si>
    <t>2025-05-02 09:04:00,242456530.344434,76113483.4967622,1817.16333333333,1394,16723.3483666667,3940.07,-2.1283844279096,119.9</t>
  </si>
  <si>
    <t>2025-05-02 09:04:00,49785855.9274303,270887.046438361,33.1810151537154,9,939.187246405623,-2539.93,-0.0393662433481337,-5.26</t>
  </si>
  <si>
    <t>2025-05-02 09:05:00,575,,565,,575,,570.5,,,,,565,560</t>
  </si>
  <si>
    <t>2025-05-02 09:05:00,490,,490,,470,,487,487,,,,490,480</t>
  </si>
  <si>
    <t>2025-05-02 09:05:00,5700,,5700,,5600,,5595,,,,,5700,5500</t>
  </si>
  <si>
    <t>2025-05-02 09:05:00,20100,,20200,,19475,,19975,,,,,20200,19400</t>
  </si>
  <si>
    <t>2025-05-02 09:05:00,2634858841.82987,604862395.380511,7193.11071428571,1635,10123.2430555555,-768.96,448.210420652721,484.78</t>
  </si>
  <si>
    <t>2025-05-02 09:05:00,1686705161.19365,808509805.034895,-315.988852813856,-163,-1624.77689393939,1583.6,-52.7756250323824,552.61</t>
  </si>
  <si>
    <t>2025-05-02 09:05:00,241194263.543816,72078600.6892616,-2436.36000000001,-3404,-31932.3236000003,-29258.77,-6.06191443341565,-882.4</t>
  </si>
  <si>
    <t>2025-05-02 09:05:00,49001813.2911386,259100.842032466,-18.3822031108128,-52,-546.939320765589,-925.57,-0.0211372754103924,-6.34</t>
  </si>
  <si>
    <t>2025-05-02 09:06:00,575,,565,,575,,570.5,,,,,565,560</t>
  </si>
  <si>
    <t>2025-05-02 09:06:00,490,,490,,470,,487,487,,,,490,480</t>
  </si>
  <si>
    <t>2025-05-02 09:06:00,5700,,5700,,5600,,5595,,,,,5700,5500</t>
  </si>
  <si>
    <t>2025-05-02 09:06:00,20100,,20200,,19475,,19975,,,,,20200,19400</t>
  </si>
  <si>
    <t>2025-05-02 09:06:00,2634929982.47263,643232182.315074,12654.5551587302,1239,14786.666670635,-244.31,239.947612484022,64.7400000000001</t>
  </si>
  <si>
    <t>2025-05-02 09:06:00,1711298398.23856,840301250.890175,6797.78265423212,4800,11762.1930467204,4989.48,109.373022470892,1321.96</t>
  </si>
  <si>
    <t>2025-05-02 09:06:00,241554092.335352,74972374.9913094,2198.30119047619,364,37568.9418928572,15479.11,0.648883626466779,325.97</t>
  </si>
  <si>
    <t>2025-05-02 09:06:00,48307636.00594,252000.355600979,56.8897868408395,27,2990.58082385003,1006.66,0.0250828326627149,7.17</t>
  </si>
  <si>
    <t>2025-05-02 09:07:00,575,,565,,575,,570.5,,565,,,565,560</t>
  </si>
  <si>
    <t>2025-05-02 09:07:00,490,,490,,470,,487,,487,,,490,480</t>
  </si>
  <si>
    <t>2025-05-02 09:07:00,5700,,5700,,5600,,5595,,,,,5700,5500</t>
  </si>
  <si>
    <t>2025-05-02 09:07:00,20100,,20200,,19475,,19975,,,,,20200,19400</t>
  </si>
  <si>
    <t>2025-05-02 09:07:00,2687897563.96023,972178123.20425,-5927.63419564314,-1963,-11361.4306033028,-9109.99,-548.529104922949,-2247.24</t>
  </si>
  <si>
    <t>2025-05-02 09:07:00,1705136268.45816,1012043574.02508,59.701162949441,-4662,184.057379087074,-8710.14,-240.968103622539,-2251.45</t>
  </si>
  <si>
    <t>2025-05-02 09:07:00,243263875.246897,81018899.252729,21.3374287992701,-273,8652.84001765775,-6769.46,-0.30669071316037,-211.73</t>
  </si>
  <si>
    <t>2025-05-02 09:07:00,50349466.491739,284220.823173763,28.6501179376179,30,933.605529706403,884.97,0.0341928127090567,6.79</t>
  </si>
  <si>
    <t>2025-05-02 09:08:00,575,,565,,575,,570.5,,565,,,565,560</t>
  </si>
  <si>
    <t>2025-05-02 09:08:00,490,,490,,470,,487,,487,,,490,480</t>
  </si>
  <si>
    <t>2025-05-02 09:08:00,5700,,5700,,5600,,5595,,,,,5700,5500</t>
  </si>
  <si>
    <t>2025-05-02 09:08:00,20100,,20200,,19475,,19975,,,,,20200,19400</t>
  </si>
  <si>
    <t>2025-05-02 09:08:00,2689199319.52416,967188930.343233,,-1601,,-293.34,-226.592893291936,-590.08</t>
  </si>
  <si>
    <t>2025-05-02 09:08:00,1736329088.36847,959211979.195494,-907.46188874378,-1053,-416.900281463346,-1835.2,27.6556923812471,-476.36</t>
  </si>
  <si>
    <t>2025-05-02 09:08:00,243676362.596864,81192699.2370023,95.5966666666693,-398,7426.9800666667,-1744.1,3.85650278001862,-95.49</t>
  </si>
  <si>
    <t>2025-05-02 09:08:00,49790997.2725936,277579.188271511,1.32870428691742,16,247.66486186549,479.6,-0.00162239821111057,3.53</t>
  </si>
  <si>
    <t>2025-05-02 09:09:00,575,,565,,575,,570.5,565,,,,565,560</t>
  </si>
  <si>
    <t>2025-05-02 09:09:00,490,,490,,470,,487,,,,,490,480</t>
  </si>
  <si>
    <t>2025-05-02 09:09:00,5700,,5700,,5600,,5590,,,,,5700,5500</t>
  </si>
  <si>
    <t>2025-05-02 09:09:00,20100,,20200,,19475,,19975,,,,,20000,19400</t>
  </si>
  <si>
    <t>2025-05-02 09:09:00,2722523137.35805,1331052283.8199,2329.4126984127,2417,4002.64833333333,3401.46,120.205591374101,993.68</t>
  </si>
  <si>
    <t>2025-05-02 09:09:00,1699291503.32791,1082456201.0016,1066.27962133651,1419,1904.40883082051,2001.61,19.3195269190692,517.32</t>
  </si>
  <si>
    <t>2025-05-02 09:09:00,246689951.555819,85426400.8500239,1111.20833333333,1068,14168.6635833333,9663.22,1.79531357261833,234.45</t>
  </si>
  <si>
    <t>2025-05-02 09:09:00,49873579.0123006,278227.440725906,-33.7865556665557,-30,-174.457867710068,46.04,0.0250411493122437,-0.16</t>
  </si>
  <si>
    <t>2025-05-02 09:10:00,575,,565,,575,,570.5,,565,,,565,560</t>
  </si>
  <si>
    <t>2025-05-02 09:10:00,490,,490,,470,,487,,,,,490,480</t>
  </si>
  <si>
    <t>2025-05-02 09:10:00,5700,,5700,,5600,,5590,,,,,5700,5500</t>
  </si>
  <si>
    <t>2025-05-02 09:10:00,20100,,20200,,19475,,19975,,,,,20000,19400</t>
  </si>
  <si>
    <t>2025-05-02 09:10:00,2731350229.89216,1420639344.20037,-10493.2898601399,-5377,-11073.2679778555,-7179.23,-241.197949988846,-2298.79</t>
  </si>
  <si>
    <t>2025-05-02 09:10:00,1690718885.33851,1146239448.30369,-2281.36733746733,-2379,-3039.65942508092,-3704.1,-31.7101719398495,-980.96</t>
  </si>
  <si>
    <t>2025-05-02 09:10:00,246307780.850713,88287670.8265307,-1392.72142857142,-1071,-7434.32352380949,-4014.81,-3.17656458059348,-186.23</t>
  </si>
  <si>
    <t>2025-05-02 09:10:00,50074988.8311323,288727.000675089,-8.30190772470368,-16,-610.66157726355,-126.34,0.0191521446941976,-1.08</t>
  </si>
  <si>
    <t>2025-05-02 09:11:00,575,,565,,575,,570.5,,565,,,565,560</t>
  </si>
  <si>
    <t>2025-05-02 09:11:00,490,,490,,470,,487,488,,,,490,480</t>
  </si>
  <si>
    <t>2025-05-02 09:11:00,5700,,5700,,5600,,5590,,,,,5700,5500</t>
  </si>
  <si>
    <t>2025-05-02 09:11:00,20100,,20200,,19475,,19975,,,,,20000,19400</t>
  </si>
  <si>
    <t>2025-05-02 09:11:00,2808458461.29909,1988854013.7227,706.340104340136,2102,1445.95945859702,3777.6,-359.454606840158,809.69</t>
  </si>
  <si>
    <t>2025-05-02 09:11:00,1792986031.26307,1359525811.04716,5603.80711076583,5393,12224.2788793701,4641.79,-73.575556518546,1843.92</t>
  </si>
  <si>
    <t>2025-05-02 09:11:00,246589510.105387,98975939.612652,2062.47500000001,1239,31116.3912500003,17613.88,-5.299015853363,470.98</t>
  </si>
  <si>
    <t>2025-05-02 09:11:00,52838757.0304716,329496.75579616,43.0233553983293,96,956.981363127869,1445.97,0.0156193690984462,11.61</t>
  </si>
  <si>
    <t>2025-05-02 09:12:00,575,,565,,575,,570.5,565,,,,565,560</t>
  </si>
  <si>
    <t>2025-05-02 09:12:00,490,,490,,470,,487,,,,,490,480</t>
  </si>
  <si>
    <t>2025-05-02 09:12:00,5700,,5700,,5600,,5590,,,,,5700,5500</t>
  </si>
  <si>
    <t>2025-05-02 09:12:00,20100,,20200,,19475,,19975,,,,,20000,19400</t>
  </si>
  <si>
    <t>2025-05-02 09:12:00,2781161433.2957,2058746105.98736,-2183.19668387169,-5317,-872.785759934527,-1899.43,-101.320708898698,-892.29</t>
  </si>
  <si>
    <t>2025-05-02 09:12:00,1689154048.0374,1392078153.2166,-20091.3059047235,-7575,-33272.8115104368,-11441.05,-373.062505752969,-3256.45</t>
  </si>
  <si>
    <t>2025-05-02 09:12:00,245935128.50472,95386268.3792722,-613.116666666665,-1102,12857.2061666667,-8359.62,1.31641334789031,-322.99</t>
  </si>
  <si>
    <t>2025-05-02 09:12:00,49885556.87041,287034.948985511,-20.4938515406163,10,-290.642382539685,412.24,0.00895782024368636,2.45</t>
  </si>
  <si>
    <t>2025-05-02 09:13:00,575,,565,,575,,570.5,,,,,565,560</t>
  </si>
  <si>
    <t>2025-05-02 09:13:00,490,,490,,470,,487,,,,,490,480</t>
  </si>
  <si>
    <t>2025-05-02 09:13:00,5700,,5700,,5600,,5590,,,,,5700,5500</t>
  </si>
  <si>
    <t>2025-05-02 09:13:00,20100,,20200,,19475,,19975,,,,,20000,19400</t>
  </si>
  <si>
    <t>2025-05-02 09:13:00,2773206302.76681,1780473734.34892,7368.48849206348,258,6073.49802777775,900.160000000001,421.638917409388,825.16</t>
  </si>
  <si>
    <t>2025-05-02 09:13:00,1778094374.2959,1374734789.72874,-17541.6536678931,-8708,-36912.4951888135,-26153.38,-423.984841062619,-3431.28</t>
  </si>
  <si>
    <t>2025-05-02 09:13:00,246304644.234737,91918883.8621303,-2804.88333333332,-1933,-42451.647333333,-12176.48,-1.12451295400296,-323.34</t>
  </si>
  <si>
    <t>2025-05-02 09:13:00,52522537.4875561,279735.231616505,-59.0188077692917,-49,-1656.59114493285,-1310.44,-0.012786251123414,-10.4</t>
  </si>
  <si>
    <t>2025-05-02 09:14:00,575,,565,,575,,563.5,,,,,565,560</t>
  </si>
  <si>
    <t>2025-05-02 09:14:00,490,,490,,470,,487,,488,,,490,480</t>
  </si>
  <si>
    <t>2025-05-02 09:14:00,5700,,5700,,5600,,5590,,,,,5700,5500</t>
  </si>
  <si>
    <t>2025-05-02 09:14:00,20100,,20200,,19475,,19975,,,,,20000,19400</t>
  </si>
  <si>
    <t>2025-05-02 09:14:00,2827184072.54976,2093045658.41921,-2040.21143578649,-1174,-2509.36103571442,-135.14,-134.506132390941,-175.16</t>
  </si>
  <si>
    <t>2025-05-02 09:14:00,1789295739.55368,1447434834.88619,2546.17188184754,687,2458.78787372111,66.01,-34.1733259893046,-37.5499999999999</t>
  </si>
  <si>
    <t>2025-05-02 09:14:00,248188045.009384,96833642.568468,1295.7619047619,865,17724.2638571428,11520.59,1.96587747381136,319.54</t>
  </si>
  <si>
    <t>2025-05-02 09:14:00,52476792.9910241,289311.235226312,1.93999497234792,8,77.526294117647,121.08,0.00525745857543914,1.27</t>
  </si>
  <si>
    <t>2025-05-02 09:15:00,575,,565,,575,,563.5,565,,,,565,560</t>
  </si>
  <si>
    <t>2025-05-02 09:15:00,490,,490,,470,,487,,488,,,490,480</t>
  </si>
  <si>
    <t>2025-05-02 09:15:00,5700,,5700,,5600,,5590,,,,,5700,5500</t>
  </si>
  <si>
    <t>2025-05-02 09:15:00,20100,,20200,,19475,,19975,,,,,20000,19400</t>
  </si>
  <si>
    <t>2025-05-02 09:15:00,2868274905.43895,2376325020.77091,3671.23968253978,3276,7361.20184126997,1617.47,-113.05773974819,426.52</t>
  </si>
  <si>
    <t>2025-05-02 09:15:00,1790368243.08453,1544370951.3238,-287.743743647657,-1133,382.798991812533,-1390.64,-192.577789232739,-466.81</t>
  </si>
  <si>
    <t>2025-05-02 09:15:00,249844214.489107,102924857.553494,679.562380952375,-30,10220.2789857142,617.920000000001,-1.98698838324126,34.71</t>
  </si>
  <si>
    <t>2025-05-02 09:15:00,52761658.5951501,311244.629975287,3.37596535238568,8,287.11334611182,366.44,0.0220683224911605,3.49</t>
  </si>
  <si>
    <t>2025-05-02 09:16:00,575,,565,,575,,563.5,,,,,565,560</t>
  </si>
  <si>
    <t>2025-05-02 09:16:00,490,,490,,470,,487,,488,,,490,480</t>
  </si>
  <si>
    <t>2025-05-02 09:16:00,5700,,5700,,5600,,5590,,,,,5700,5500</t>
  </si>
  <si>
    <t>2025-05-02 09:16:00,20100,,20200,,19475,,19975,,,,,20000,19400</t>
  </si>
  <si>
    <t>2025-05-02 09:16:00,2908749959.68525,2792421984.16554,5006.50858585859,4136,7016.57422655123,3766.96,570.274397487067,1282.68</t>
  </si>
  <si>
    <t>2025-05-02 09:16:00,1811139936.9817,1686668336.85884,-402.545805583306,-3939,-455.481590284716,-7234.18,-152.096353987463,-1996.14</t>
  </si>
  <si>
    <t>2025-05-02 09:16:00,250442989.163358,107684167.145031,-554.185054945059,-755,-14987.5575904764,-22914.19,-5.22432104809809,-524.81</t>
  </si>
  <si>
    <t>2025-05-02 09:16:00,53503055.6878255,332709.168854178,-5.30155723905724,-2,166.638002946128,269.59,0.0261428587301655,2.2</t>
  </si>
  <si>
    <t>2025-05-02 09:17:00,575,,566,,575,,563.5,,566,,,565,560</t>
  </si>
  <si>
    <t>2025-05-02 09:17:00,490,,490,,470,,487,488,,,,490,480</t>
  </si>
  <si>
    <t>2025-05-02 09:17:00,5700,,5700,,5600,,5590,,,,,5700,5500</t>
  </si>
  <si>
    <t>2025-05-02 09:17:00,20100,,20200,,19475,,19975,,,,,20000,19400</t>
  </si>
  <si>
    <t>2025-05-02 09:17:00,2990399672.51603,3776426980.80643,,-7985,,-23174.32,-1149.24520416347,-5618.39</t>
  </si>
  <si>
    <t>2025-05-02 09:17:00,1856851220.702,1958164607.39611,,-1570,,1853.51,-140.726626933396,-114.2</t>
  </si>
  <si>
    <t>2025-05-02 09:17:00,253177083.436322,122666697.88282,1440.34642857142,-69,17565.2568452381,3590.69,13.3601154223852,33.79</t>
  </si>
  <si>
    <t>2025-05-02 09:17:00,54350259.0736307,383455.262337956,-20.7908795624448,-32,-924.977744007186,-931.61,-0.00747084829277111,-7.78</t>
  </si>
  <si>
    <t>2025-05-02 09:18:00,575,,565,,575,,563.5,,566,,,565,560</t>
  </si>
  <si>
    <t>2025-05-02 09:18:00,490,,490,,470,,487,,488,,,490,480</t>
  </si>
  <si>
    <t>2025-05-02 09:18:00,5700,,5700,,5600,,5590,,,,,5700,5500</t>
  </si>
  <si>
    <t>2025-05-02 09:18:00,20100,,20200,,19475,,19975,,,,,20000,19400</t>
  </si>
  <si>
    <t>2025-05-02 09:18:00,2988075711.17649,3718606911.93457,4783.06944444449,5457,13949.3605674605,10729.31,364.620816521129,2554.15</t>
  </si>
  <si>
    <t>2025-05-02 09:18:00,1802172355.53917,2009386683.86635,2837.39068876626,-333,6854.7126546356,1769.37,-206.018437389253,-177.45</t>
  </si>
  <si>
    <t>2025-05-02 09:18:00,252131991.966979,120570550.591927,858.580000000006,788,33885.3675000004,20394.94,-1.73130588492335,179.83</t>
  </si>
  <si>
    <t>2025-05-02 09:18:00,53168625.7162516,382632.792102782,50.9604424497071,70,1292.92022845684,1773.91,0.0302312440063147,15.44</t>
  </si>
  <si>
    <t>2025-05-02 09:19:00,575,,566,,575,,563.5,,566,,,565,560</t>
  </si>
  <si>
    <t>2025-05-02 09:19:00,490,,490,,470,,487,,,,,490,480</t>
  </si>
  <si>
    <t>2025-05-02 09:19:00,5700,,5700,,5600,,5590,,,,,5700,5500</t>
  </si>
  <si>
    <t>2025-05-02 09:19:00,20100,,20200,,19475,,19975,,,,,20000,19400</t>
  </si>
  <si>
    <t>2025-05-02 09:19:00,2976250058.84543,3820557729.29525,-1900.63751803751,-1269,572.086582972601,-1177.27,185.067161221718,-416.5</t>
  </si>
  <si>
    <t>2025-05-02 09:19:00,1810483315.95465,1971846989.66795,-1420.5733016983,-1723,-1135.05298926074,-1977.12,-85.8704857970593,-614.41</t>
  </si>
  <si>
    <t>2025-05-02 09:19:00,251697644.703392,121639171.610881,-461.533333333341,-510,19858.8623999996,-424.59,-7.78054764266096,-207.92</t>
  </si>
  <si>
    <t>2025-05-02 09:19:00,52642460.279279,373422.177022848,12.5392107892108,15,777.625199800199,680.25,0.00750507190338881,5.34</t>
  </si>
  <si>
    <t>2025-05-02 09:20:00,575,,566,,575,,563.5,,,,565,565,560</t>
  </si>
  <si>
    <t>2025-05-02 09:20:00,490,,490,,470,,487.5,,,,,490,480</t>
  </si>
  <si>
    <t>2025-05-02 09:20:00,5700,,5700,,5600,,5590,,,,,5700,5500</t>
  </si>
  <si>
    <t>2025-05-02 09:20:00,20100,,20200,,19475,,19975,,,,,20000,19400</t>
  </si>
  <si>
    <t>2025-05-02 09:20:00,2716821645.95384,1982685782.71036,16307.2707958707,-436,43075.3106939726,6966.2,130.076798903356,1382.51</t>
  </si>
  <si>
    <t>2025-05-02 09:20:00,1736608265.60786,1329510620.58064,1155.61424463425,702,4350.40347520304,4406.13,0.634015034394708,497.72</t>
  </si>
  <si>
    <t>2025-05-02 09:20:00,245861566.151015,98443626.7984561,1321.68380952381,857,45535.6531380953,13664.09,-0.773445172773587,250.24</t>
  </si>
  <si>
    <t>2025-05-02 09:20:00,50120073.0877711,249271.623628465,124.150623792227,52,11648.8773725482,5328.21,-0.00214023166170249,19.59</t>
  </si>
  <si>
    <t>2025-05-02 09:21:00,575,,566,,575,,563.5,,565,,565,565,560</t>
  </si>
  <si>
    <t>2025-05-02 09:21:00,490,,490,,470,,487.5,,,487,,490,480</t>
  </si>
  <si>
    <t>2025-05-02 09:21:00,5700,,5700,,5600,,5590,,,,,5700,5500</t>
  </si>
  <si>
    <t>2025-05-02 09:21:00,20100,,20200,,19475,,19975,,,,,20000,19400</t>
  </si>
  <si>
    <t>2025-05-02 09:21:00,2784686411.96444,2697351723.38289,-75.2077922078618,5001,-3613.94272727289,2831.76,-109.426798313273,1059.71</t>
  </si>
  <si>
    <t>2025-05-02 09:21:00,1752796205.19796,1646631945.36598,4025.59891774891,5750,4937.85855844155,8397.52,-163.678165640439,2408.19</t>
  </si>
  <si>
    <t>2025-05-02 09:21:00,246589910.24216,104155945.461661,2116.45,2548,26229.8906666666,20457.98,1.25064921648189,643.09</t>
  </si>
  <si>
    <t>2025-05-02 09:21:00,50449018.910393,279294.360391294,-5.12881673881675,10,-51.4265548340552,176.36,0.00195900575306475,1.58</t>
  </si>
  <si>
    <t>2025-05-02 09:22:00,575,,566,,575,,563.5,,,,,565,560</t>
  </si>
  <si>
    <t>2025-05-02 09:22:00,490,,490,,470,,487.5,,,,,490,480</t>
  </si>
  <si>
    <t>2025-05-02 09:22:00,5700,,5700,,5600,,5590,,,,,5700,5500</t>
  </si>
  <si>
    <t>2025-05-02 09:22:00,20100,,20200,,19475,,19975,,,,,20000,19400</t>
  </si>
  <si>
    <t>2025-05-02 09:22:00,2857925171.96857,3147263367.60607,-2596.33452380956,-543,-7685.22585714298,-1741.08,-112.803537493694,-231.12</t>
  </si>
  <si>
    <t>2025-05-02 09:22:00,1708956262.23314,1743009550.04405,-4009.56045180873,-2405,-6210.82693055681,-3421.62,142.104575062641,-892.87</t>
  </si>
  <si>
    <t>2025-05-02 09:22:00,249462552.395255,107810267.977649,-2873.17666666665,-1678,-44694.9695999997,-16462.13,0.567616794128952,-431.78</t>
  </si>
  <si>
    <t>2025-05-02 09:22:00,52357177.8038263,300239.641220025,-8.14880952380953,-15,-283.092535714286,-350.34,-0.0123956043246655,-3.35</t>
  </si>
  <si>
    <t>2025-05-02 09:23:00,575,,566,,575,,563.5,,,,,565,560</t>
  </si>
  <si>
    <t>2025-05-02 09:23:00,490,,490,,470,,487.5,,487,,,490,480</t>
  </si>
  <si>
    <t>2025-05-02 09:23:00,5700,,5700,,5600,,5590,,,,,5700,5500</t>
  </si>
  <si>
    <t>2025-05-02 09:23:00,20100,,20200,,19475,,19975,,,,,20000,19400</t>
  </si>
  <si>
    <t>2025-05-02 09:23:00,2797229907.45916,2614583280.499,-3573.96642899584,-1081,-2278.80945518205,1223.15,-112.854154811967,209.8</t>
  </si>
  <si>
    <t>2025-05-02 09:23:00,1771578736.8858,1586720895.35947,-1274.26738347846,-446,-1644.08539305247,-1294.68,-144.095161533506,-358.98</t>
  </si>
  <si>
    <t>2025-05-02 09:23:00,248144087.897868,105191254.321617,822.521601068154,-601,11937.5137203646,-605.78,-1.11288147054866,-67</t>
  </si>
  <si>
    <t>2025-05-02 09:23:00,51335310.3338798,265347.149865806,3.01511904761905,-8,-34.6346000000004,-181.53,-0.0115065840218309,-1.62</t>
  </si>
  <si>
    <t>2025-05-02 09:24:00,575,,566,,575,,563.5,,,,,565,560</t>
  </si>
  <si>
    <t>2025-05-02 09:24:00,490,,490,,470,,487.5,,,,,490,480</t>
  </si>
  <si>
    <t>2025-05-02 09:24:00,5700,,5700,,5600,,5590,,,,,5700,5500</t>
  </si>
  <si>
    <t>2025-05-02 09:24:00,20100,,20200,,19475,,19975,,,,,20000,19400</t>
  </si>
  <si>
    <t>2025-05-02 09:24:00,2887477665.30941,3287800017.57396,-3068.68625541126,-854,-5852.68403318905,-1743.42,-260.275747496731,-163.03</t>
  </si>
  <si>
    <t>2025-05-02 09:24:00,1750664874.43848,1746980697.34316,-3586.65436965437,-591,-5008.38903322653,-787.4,125.542109805768,-154.01</t>
  </si>
  <si>
    <t>2025-05-02 09:24:00,249726820.493721,112464863.104131,-700.683333333341,-766,-3747.60133333352,-924.11,5.30954593766518,-52.79</t>
  </si>
  <si>
    <t>2025-05-02 09:24:00,53368389.4870106,304729.50894586,-32.9945177045177,-21,-1242.23517619048,-672.99,-0.00752215108429029,-5.51</t>
  </si>
  <si>
    <t>2025-05-02 09:25:00,575,,566,,575,,563.5,565,,,,565,560</t>
  </si>
  <si>
    <t>2025-05-02 09:25:00,490,,490,,470,,487.5,488,,,,490,480</t>
  </si>
  <si>
    <t>2025-05-02 09:25:00,5700,,5700,,5600,,5590,,,,,5700,5500</t>
  </si>
  <si>
    <t>2025-05-02 09:25:00,20100,,20200,,19475,,19975,,,,,20000,19400</t>
  </si>
  <si>
    <t>2025-05-02 09:25:00,2946595314.79657,3768927898.76148,3192.92619047619,4100,6297.50738095237,7105.52,145.635773000644,2009.37</t>
  </si>
  <si>
    <t>2025-05-02 09:25:00,1815453164.74148,1879949759.16193,2484.62874990507,1630,4342.5879851143,2691.57,80.695886701291,791.77</t>
  </si>
  <si>
    <t>2025-05-02 09:25:00,251441241.618201,120420280.187313,1133.44523809523,1321,10037.8449285713,9297.84,1.06929622041427,354.21</t>
  </si>
  <si>
    <t>2025-05-02 09:25:00,53371659.4371435,347190.613808122,-5.52753751624719,-31,483.391681466384,-568.72,-0.0170151577744318,-5.72</t>
  </si>
  <si>
    <t>2025-05-02 09:26:00,575,,566,,575,,563.5,566,,,,565,560</t>
  </si>
  <si>
    <t>2025-05-02 09:26:00,490,,490,,470,,487.5,488,,,,490,480</t>
  </si>
  <si>
    <t>2025-05-02 09:26:00,5700,,5700,,5600,,5590,,,,,5700,5500</t>
  </si>
  <si>
    <t>2025-05-02 09:26:00,20100,,20200,,19475,,19975,,,,,20000,19400</t>
  </si>
  <si>
    <t>2025-05-02 09:26:00,3025092733.84129,4233800590.40242,1953.54841269842,-4872,1979.1173373016,-10835.78,-312.255926630403,-2973.06</t>
  </si>
  <si>
    <t>2025-05-02 09:26:00,1858808435.00267,2125992273.42846,2447.16161616163,3231,6806.65872727274,5523.92,310.218978624992,1717.21</t>
  </si>
  <si>
    <t>2025-05-02 09:26:00,253274715.429926,134213595.038683,682.375000000004,-968,3167.05991666676,-12501.67,-12.4193687974141,-267.02</t>
  </si>
  <si>
    <t>2025-05-02 09:26:00,54743623.5643302,399744.583434868,-52.0470816220816,-49,-2778.45465195915,-1782.45,-0.0256995366417456,-15.23</t>
  </si>
  <si>
    <t>2025-05-02 09:27:00,575,,566,,575,,563.5,,566,,,565,560</t>
  </si>
  <si>
    <t>2025-05-02 09:27:00,490,,490,,470,,487.5,,,,,490,480</t>
  </si>
  <si>
    <t>2025-05-02 09:27:00,5700,,5700,,5600,,5590,,,,,5700,5500</t>
  </si>
  <si>
    <t>2025-05-02 09:27:00,20100,,20200,,19475,,19975,,,,,20000,19400</t>
  </si>
  <si>
    <t>2025-05-02 09:27:00,2972940925.93128,4628512648.38202,-11639.7196969697,-6716,-17116.5943434343,-12033.81,-314.776348338803,-3397.46</t>
  </si>
  <si>
    <t>2025-05-02 09:27:00,1782865884.46056,2280102787.20022,3646.13737373737,-307,4343.64733766233,-567.35,157.60423036844,-118.93</t>
  </si>
  <si>
    <t>2025-05-02 09:27:00,252515115.470702,139212538.503942,487.994871794877,64,5680.07139743604,-3502.79,-4.55647138272778,-77.36</t>
  </si>
  <si>
    <t>2025-05-02 09:27:00,52829840.8550045,408982.702462723,22.6061904761905,52,437.672933333334,641.76,0.00155929750790756,6.55</t>
  </si>
  <si>
    <t>2025-05-02 09:28:00,575,,566,,575,,563.5,,,,,565,560</t>
  </si>
  <si>
    <t>2025-05-02 09:28:00,490,,490,,470,,487.5,,,,,490,480</t>
  </si>
  <si>
    <t>2025-05-02 09:28:00,5700,,5700,,5600,,5590,,,,,5700,5500</t>
  </si>
  <si>
    <t>2025-05-02 09:28:00,20100,,20200,,19475,,19975,,,,,20000,19400</t>
  </si>
  <si>
    <t>2025-05-02 09:28:00,3019543626.27298,5685550483.57229,-12516.9225108225,-9373,-19600.4710010821,-11882.47,-71.3753458260411,-3639.97</t>
  </si>
  <si>
    <t>2025-05-02 09:28:00,1803234244.09601,2381741542.16974,-2070.28636799028,-1034,-2856.17517241388,-1276.42,-8.53995325199961,-386.93</t>
  </si>
  <si>
    <t>2025-05-02 09:28:00,252300209.992622,140949134.530889,-1445.30983436854,-1128,-27446.5579213252,-15522.39,-4.56742461739976,-302.52</t>
  </si>
  <si>
    <t>2025-05-02 09:28:00,53559320.7430599,449685.753729269,-2.41306656306657,-28,-412.368422170423,-525.46,-0.0131138202461474,-4.52</t>
  </si>
  <si>
    <t>2025-05-02 09:29:00,575,,566,,575,,563.5,,566,,,566,560</t>
  </si>
  <si>
    <t>2025-05-02 09:29:00,490,,490,,470,,487.5,,,,,490,480</t>
  </si>
  <si>
    <t>2025-05-02 09:29:00,5700,,5700,,5600,,5590,,,,,5700,5500</t>
  </si>
  <si>
    <t>2025-05-02 09:29:00,20100,,20200,,19475,,19975,,,,,20000,19400</t>
  </si>
  <si>
    <t>2025-05-02 09:29:00,3130741206.08622,5675394312.56412,1656.83492063491,-11320,-4548.53991269844,-33286,247.231074867391,-8091.38</t>
  </si>
  <si>
    <t>2025-05-02 09:29:00,1789919952.70442,2535559692.74271,-3717.92786065786,-5393,-2482.25332262367,-5554.38,-115.088434753735,-1957.82</t>
  </si>
  <si>
    <t>2025-05-02 09:29:00,255011813.054766,154731538.270897,-1056.33880952382,-3505,-29847.715530953,-61566.49,-19.2136166246802,-1512.78</t>
  </si>
  <si>
    <t>2025-05-02 09:29:00,53535240.2237529,475466.003681518,0.33335599169009,-10,102.743833253005,-154.21,0.0135669281777355,-1.21</t>
  </si>
  <si>
    <t>2025-05-02 09:30:00,575,,566,,575,,563.5,,,,,566,560</t>
  </si>
  <si>
    <t>2025-05-02 09:30:00,490,,490,,470,,487.5,,,,,490,480</t>
  </si>
  <si>
    <t>2025-05-02 09:30:00,5700,,5700,,5600,,5590,,,,,5700,5500</t>
  </si>
  <si>
    <t>2025-05-02 09:30:00,20100,,20200,,19475,,19975,,,,,20000,19400</t>
  </si>
  <si>
    <t>2025-05-02 09:30:00,3089854599.18673,5454955846.31611,-7561.38406593407,3339,-3782.64513186812,4845.74,908.228117418854,1829.78</t>
  </si>
  <si>
    <t>2025-05-02 09:30:00,1844452685.70128,2420774628.35901,-1141.73779944471,-1774,-525.0677256771,-2324.9,96.3651644529622,-710.55</t>
  </si>
  <si>
    <t>2025-05-02 09:30:00,254412263.111545,151855234.602515,-1395.74666666667,-1748,646.163066666826,-28517.09,-8.74527830074268,-701.87</t>
  </si>
  <si>
    <t>2025-05-02 09:30:00,53521553.7720474,442749.05972355,0.00288614163609086,11,662.729065766178,298.21,0.0177480489859073,2.51</t>
  </si>
  <si>
    <t>2025-05-02 09:31:00,575,,566,,575,,563.5,,,,,566,560</t>
  </si>
  <si>
    <t>2025-05-02 09:31:00,490,,490,,470,,487.5,488,,,488,490,480</t>
  </si>
  <si>
    <t>2025-05-02 09:31:00,5700,,5700,,5600,,5590,,,,,5700,5500</t>
  </si>
  <si>
    <t>2025-05-02 09:31:00,20100,,20200,,19475,,19975,,,,,20000,19400</t>
  </si>
  <si>
    <t>2025-05-02 09:31:00,2938985376.66185,4948520641.66234,2174.57597125098,-4681,7417.24780810859,-4630.29,-830.037017714459,-1915.67</t>
  </si>
  <si>
    <t>2025-05-02 09:31:00,1842964073.49689,2242897939.18038,515.234613776459,-2809,1468.91674873843,-2263.07,-234.623568523384,-910.61</t>
  </si>
  <si>
    <t>2025-05-02 09:31:00,251078455.28411,138652709.412581,1405.93448717949,820,71264.5494858978,22866.27,1.44813421289245,260.13</t>
  </si>
  <si>
    <t>2025-05-02 09:31:00,52707459.4611053,389558.96599174,40.4407419017764,6,1329.47940010449,216.59,-0.00167867464310485,0.960000000000001</t>
  </si>
  <si>
    <t>2025-05-02 09:32:00,575,,566,,575,,563.5,,566,,,566,560</t>
  </si>
  <si>
    <t>2025-05-02 09:32:00,490,,490,,470,,487.5,,,,,490,480</t>
  </si>
  <si>
    <t>2025-05-02 09:32:00,5700,,5700,,5600,,5590,,,,,5700,5500</t>
  </si>
  <si>
    <t>2025-05-02 09:32:00,20100,,20200,,19475,,19975,,,,,20000,19400</t>
  </si>
  <si>
    <t>2025-05-02 09:32:00,3019139915.9342,4967284581.02205,-11729.9002002667,-7383,-19096.8619603162,-14073.8,257.944843133954,-4016.8</t>
  </si>
  <si>
    <t>2025-05-02 09:32:00,1794140926.7242,2337005400.35808,-8962.04164307349,-7290,-12087.1254097301,-8957.37,-229.968213629674,-2400.31</t>
  </si>
  <si>
    <t>2025-05-02 09:32:00,252644337.770563,143977467.303719,-816.691666666666,-910,-50694.7602499989,-10852.49,-2.44865094886614,-219.98</t>
  </si>
  <si>
    <t>2025-05-02 09:32:00,54997550.3326779,410868.372402033,-45.9158358308358,-19,-1333.61849190809,-515.14,-0.00392186465740172,-4.51</t>
  </si>
  <si>
    <t>2025-05-02 09:33:00,575,,566,,575,,563.5,,,,,566,560</t>
  </si>
  <si>
    <t>2025-05-02 09:33:00,490,,490,,470,,487.5,,,,488,490,480</t>
  </si>
  <si>
    <t>2025-05-02 09:33:00,5700,,5700,,5600,,5590,,,,,5700,5500</t>
  </si>
  <si>
    <t>2025-05-02 09:33:00,20100,,20200,,19475,,19975,,,,,20000,19400</t>
  </si>
  <si>
    <t>2025-05-02 09:33:00,2896517090.12342,4870016069.70564,2410.31266233766,-17,7101.60387662338,1148.51,-173.205538595577,-58.7200000000001</t>
  </si>
  <si>
    <t>2025-05-02 09:33:00,1858557258.7918,2298409382.42409,918.588493962178,-1247,235.402246753245,-1309.23,17.225200049529,-562.44</t>
  </si>
  <si>
    <t>2025-05-02 09:33:00,251251390.46508,135669582.953249,1179.125,393,51281.7920833336,3289.09,6.15176344767528,42.96</t>
  </si>
  <si>
    <t>2025-05-02 09:33:00,52763758.9679268,377720.163031886,60.6094536918481,37,800.409870038412,745.2,0.026588412796734,6.09</t>
  </si>
  <si>
    <t>2025-05-02 09:34:00,575,,566,,575,,563.5,,,,,566,560</t>
  </si>
  <si>
    <t>2025-05-02 09:34:00,490,,490,,470,,487.5,,,,,490,480</t>
  </si>
  <si>
    <t>2025-05-02 09:34:00,5700,,5700,,5600,,5590,,,,,5700,5500</t>
  </si>
  <si>
    <t>2025-05-02 09:34:00,20100,,20200,,19475,,19975,,,,,20000,19400</t>
  </si>
  <si>
    <t>2025-05-02 09:34:00,2964124361.22507,5101683438.37264,11856.0441102757,6815,16768.6361537175,8707.2,-60.376894145555,2743.46</t>
  </si>
  <si>
    <t>2025-05-02 09:34:00,1777950772.29093,2400021214.95342,4523.18992684116,3156,3965.44126012768,1468.7,142.723243054273,1005.37</t>
  </si>
  <si>
    <t>2025-05-02 09:34:00,252557921.735031,141705450.915868,2146.825,1836,27653.3499166667,21492.89,1.22620161043576,655</t>
  </si>
  <si>
    <t>2025-05-02 09:34:00,54546563.845876,395832.074145673,-61.949634698116,-29,-1842.43707938362,-750.35,0.0260363259022427,-5.49</t>
  </si>
  <si>
    <t>2025-05-02 09:35:00,575,,566,,575,,563.5,,,,,566,560</t>
  </si>
  <si>
    <t>2025-05-02 09:35:00,490,,490,,470,,487.5,,,,,490,480</t>
  </si>
  <si>
    <t>2025-05-02 09:35:00,5700,,5700,,5600,,5590,,,,,5700,5500</t>
  </si>
  <si>
    <t>2025-05-02 09:35:00,20100,,20200,,19475,,19975,,,,,20000,19400</t>
  </si>
  <si>
    <t>2025-05-02 09:35:00,3012927422.89294,5161040829.64411,-2819.40238095233,-2107,-2595.34372222213,-2611.63,-93.5439815645476,-1016.37</t>
  </si>
  <si>
    <t>2025-05-02 09:35:00,1834652374.63498,2451302543.31604,-2493.96776556777,-4131,-3695.27591391941,-5611.34,-77.540731288263,-1822.77</t>
  </si>
  <si>
    <t>2025-05-02 09:35:00,253504546.314376,147032412.249772,-605.799999999995,-1155,-1086.20333333327,-6840.53,-0.0528319326070435,-287.95</t>
  </si>
  <si>
    <t>2025-05-02 09:35:00,53951012.6474652,428112.068647627,12.4557215007215,-5,1.06522647907667,-652.22,-0.0167099172952604,-4.97</t>
  </si>
  <si>
    <t>2025-05-02 09:36:00,575,,566,,575,,563.5,,,,,566,560</t>
  </si>
  <si>
    <t>2025-05-02 09:36:00,490,,490,,470,,487.5,,,,,490,480</t>
  </si>
  <si>
    <t>2025-05-02 09:36:00,5700,,5700,,5600,,5590,,,,,5700,5500</t>
  </si>
  <si>
    <t>2025-05-02 09:36:00,20100,,20200,,19475,,19975,,,,,20000,19400</t>
  </si>
  <si>
    <t>2025-05-02 09:36:00,2990865542.56098,4994902404.92001,-2266.92499999997,-3517,-3736.64682142851,-6501.32,-97.6318670507583,-1746.48</t>
  </si>
  <si>
    <t>2025-05-02 09:36:00,1812365982.39301,2503070486.66482,-1552.17353294853,-1461,-879.942610028859,-1644.67,-23.902710389628,-439.26</t>
  </si>
  <si>
    <t>2025-05-02 09:36:00,252340141.540733,146279013.348682,216.1,151,10957.5526,2252.84,1.18840009491672,70.13</t>
  </si>
  <si>
    <t>2025-05-02 09:36:00,54441903.0801201,418102.631830279,-21.6720238095238,-29,-70.943375,-415.9,0.00234127127250426,-2.39</t>
  </si>
  <si>
    <t>2025-05-02 09:37:00,575,,566,,575,,563.5,,,,,566,560</t>
  </si>
  <si>
    <t>2025-05-02 09:37:00,490,,490,,470,,487.5,,,,,490,480</t>
  </si>
  <si>
    <t>2025-05-02 09:37:00,5700,,5700,,5600,,5590,,,,,5700,5500</t>
  </si>
  <si>
    <t>2025-05-02 09:37:00,20100,,20200,,19475,,19975,,,,,20000,19400</t>
  </si>
  <si>
    <t>2025-05-02 09:37:00,2938260513.48601,5137727265.92288,3689.24126984126,3203,6051.98174603173,5193.2,-130.646258215752,1445.13</t>
  </si>
  <si>
    <t>2025-05-02 09:37:00,1811675451.57998,2455422618.76353,481.765270843079,391,1196.64293374572,816.17,-70.3923886392176,160.31</t>
  </si>
  <si>
    <t>2025-05-02 09:37:00,250953041.820831,141465037.289727,782.200000000005,67,18976.8700000001,8752.18,-1.36811488639961,199.6</t>
  </si>
  <si>
    <t>2025-05-02 09:37:00,52524633.7821651,412463.436224407,1.64325396825397,8,34.2214325396825,257.33,0.00683623209903927,2.57</t>
  </si>
  <si>
    <t>2025-05-02 09:38:00,575,,566,,575,,563.5,,,,,566,560</t>
  </si>
  <si>
    <t>2025-05-02 09:38:00,490,,490,,470,,487.5,,,,,490,480</t>
  </si>
  <si>
    <t>2025-05-02 09:38:00,5700,,5700,,5600,,5590,,,,,5700,5500</t>
  </si>
  <si>
    <t>2025-05-02 09:38:00,20100,,20200,,19475,,19975,,,,,20000,19400</t>
  </si>
  <si>
    <t>2025-05-02 09:38:00,2929147496.80071,4703180455.3464,-5959.76464565247,-5875,-6797.73436618129,-4071.27,-519.526258752685,-1199.76</t>
  </si>
  <si>
    <t>2025-05-02 09:38:00,1878568655.5988,2483497783.9012,-2875.7295508839,-2967,-1877.89408958433,-2009.72,-70.6750855192254,-747.29</t>
  </si>
  <si>
    <t>2025-05-02 09:38:00,251086252.949209,139423300.165614,-2052.275,-791,-17933.51325,-13910.96,-1.12195136281708,-452.29</t>
  </si>
  <si>
    <t>2025-05-02 09:38:00,52111244.9352049,403226.332703007,-4.31856378144943,-10,-165.910080781891,-117,0.0140035608076561,-0.63</t>
  </si>
  <si>
    <t>2025-05-02 09:39:00,575,,566,,575,,563.5,,,,,566,560</t>
  </si>
  <si>
    <t>2025-05-02 09:39:00,490,,490,,470,,487.5,,,,488,490,480</t>
  </si>
  <si>
    <t>2025-05-02 09:39:00,5700,,5700,,5600,,5590,,,,,5700,5500</t>
  </si>
  <si>
    <t>2025-05-02 09:39:00,20100,,20200,,19475,,19975,,,,,20000,19400</t>
  </si>
  <si>
    <t>2025-05-02 09:39:00,2992533604.15463,5780675724.77762,-4233.35952380952,-2930,-5357.09253174604,-3128.97,550.334715246931,-829.45</t>
  </si>
  <si>
    <t>2025-05-02 09:39:00,1771008050.40188,2741641858.14413,-9361.15525374902,-3889,-11691.4376397606,-4622.36,-52.6438921343849,-1414.31</t>
  </si>
  <si>
    <t>2025-05-02 09:39:00,253650982.051639,153578932.644293,-1506.69285714286,-1022,-33841.9339761905,-13936.54,3.03170924123462,-362.24</t>
  </si>
  <si>
    <t>2025-05-02 09:39:00,53020642.5389864,455794.527255754,-28.9446031746032,-20,-766.196149206351,-2937.83,0.0029785462432736,-6.78</t>
  </si>
  <si>
    <t>2025-05-02 09:40:00,575,,566,,575,,563.5,,566,,,566,560</t>
  </si>
  <si>
    <t>2025-05-02 09:40:00,490,,490,,470,,487.5,,,,,490,480</t>
  </si>
  <si>
    <t>2025-05-02 09:40:00,5700,,5700,,5600,,5590,,,,,5700,5500</t>
  </si>
  <si>
    <t>2025-05-02 09:40:00,20100,,20200,,19475,,19975,,,,,20000,19400</t>
  </si>
  <si>
    <t>2025-05-02 09:40:00,2990393110.60017,5671631655.75152,11324.3531385282,137,11683.4988658011,-2682.39,-233.72413504617,-826.62</t>
  </si>
  <si>
    <t>2025-05-02 09:40:00,1817784134.36879,2726053375.74941,2579.66944834035,-2531,5672.08368145997,-810.13,-328.189658220415,-634.47</t>
  </si>
  <si>
    <t>2025-05-02 09:40:00,251864033.929362,156085327.939844,1560.81666666668,307,49884.2143666661,28138.49,-3.14258733034503,192.73</t>
  </si>
  <si>
    <t>2025-05-02 09:40:00,54864059.4613943,459982.102448657,8.98885366601903,10,378.332832856121,657.75,-0.00693181570851162,4.91</t>
  </si>
  <si>
    <t>2025-05-02 09:41:00,575,,566,,575,,563.5,,,,,566,560</t>
  </si>
  <si>
    <t>2025-05-02 09:41:00,490,,490,,470,,487.5,,,,,490,480</t>
  </si>
  <si>
    <t>2025-05-02 09:41:00,5700,,5700,,5600,,5600,,,,,5700,5500</t>
  </si>
  <si>
    <t>2025-05-02 09:41:00,20100,,20200,,19475,,19975,,,,,20000,19400</t>
  </si>
  <si>
    <t>2025-05-02 09:41:00,2920024272.24497,4601201080.95046,8553.83492063492,1849,20512.0708253968,5849.5,-199.008406187693,1011.37</t>
  </si>
  <si>
    <t>2025-05-02 09:41:00,1840312302.34767,2336468265.36468,2153.78298553299,1220,3995.97490990492,2187.82,-325.13875620737,388.68</t>
  </si>
  <si>
    <t>2025-05-02 09:41:00,250854195.309383,142834232.995564,1551.04166666667,1852,18937.8379166667,11527.16,-1.18483019931932,378.46</t>
  </si>
  <si>
    <t>2025-05-02 09:41:00,51922786.4098777,384059.02821221,35.2486111111111,15,1373.41894444445,484.39,-0.00561271303311899,4.19</t>
  </si>
  <si>
    <t>2025-05-02 09:42:00,575,,566,,575,,563.5,565,,565,,566,560</t>
  </si>
  <si>
    <t>2025-05-02 09:42:00,490,,490,,470,,487.5,,,,,490,480</t>
  </si>
  <si>
    <t>2025-05-02 09:42:00,5700,,5700,,5600,,5600,,,,,5700,5500</t>
  </si>
  <si>
    <t>2025-05-02 09:42:00,20100,,20200,,19475,,19975,,,,,20000,19400</t>
  </si>
  <si>
    <t>2025-05-02 09:42:00,2807493285.29922,4810454198.66009,8670.49243067883,6763,17390.8493249787,9375.36,-400.313168042053,2531.02</t>
  </si>
  <si>
    <t>2025-05-02 09:42:00,1728748463.02378,2374216450.5399,1865.96881734007,1860,2107.12372895623,2922.54,-150.670089969654,836.38</t>
  </si>
  <si>
    <t>2025-05-02 09:42:00,247977302.387516,131341911.532536,-573.186860465114,-1148,-13716.4076197674,-5387.75,-12.2507136750702,-155.01</t>
  </si>
  <si>
    <t>2025-05-02 09:42:00,51971889.5914091,374855.243507335,13.1770168548204,-6,2045.77696058689,-1437.42,0.00307575202143931,-3.36</t>
  </si>
  <si>
    <t>2025-05-02 09:43:00,575,,566,,575,,563.5,,,,,566,560</t>
  </si>
  <si>
    <t>2025-05-02 09:43:00,490,,490,,470,,487.5,,,,,490,480</t>
  </si>
  <si>
    <t>2025-05-02 09:43:00,5700,,5700,,5600,,5600,,,,,5700,5500</t>
  </si>
  <si>
    <t>2025-05-02 09:43:00,20100,,20200,,19475,,19975,,,,,20000,19400</t>
  </si>
  <si>
    <t>2025-05-02 09:43:00,2866312332.7418,4515300061.44137,9806.16071428573,4062,15187.800654762,5285.93,393.980847349404,1495.94</t>
  </si>
  <si>
    <t>2025-05-02 09:43:00,1807010635.51244,2319464782.1821,-1371.55272949273,-2263,-239.457064202464,-1004.07,-156.886703946324,-472.12</t>
  </si>
  <si>
    <t>2025-05-02 09:43:00,250064822.103214,132186348.336382,1152.63333333333,1083,12645.0936666666,13112.69,2.39265700720619,425.67</t>
  </si>
  <si>
    <t>2025-05-02 09:43:00,51933547.3949956,373761.371841703,29.3385368858195,21,903.755025451601,647.75,0.0260044378931803,5.96</t>
  </si>
  <si>
    <t>2025-05-02 09:44:00,575,,566,,575,,563.5,,,,,566,560</t>
  </si>
  <si>
    <t>2025-05-02 09:44:00,490,,490,,470,,487.5,,,,,490,480</t>
  </si>
  <si>
    <t>2025-05-02 09:44:00,5700,,5700,,5600,,5590,,,,,5700,5500</t>
  </si>
  <si>
    <t>2025-05-02 09:44:00,20100,,20200,,19475,,19975,,,,,20000,19400</t>
  </si>
  <si>
    <t>2025-05-02 09:44:00,2904838608.74762,4552756613.76948,674.090476190462,-1677,2291.36585714283,-263.49,-232.422616416842,-203.33</t>
  </si>
  <si>
    <t>2025-05-02 09:44:00,1834680598.71612,2266330088.43649,-419.316817601304,-276,-1169.49927957739,-2317.38,-7.56306169446703,-296.6</t>
  </si>
  <si>
    <t>2025-05-02 09:44:00,251881225.645541,139930949.577885,379.816666666664,198,2045.75149999992,1831.58,-1.90127837028622,58.71</t>
  </si>
  <si>
    <t>2025-05-02 09:44:00,53428725.5891258,415357.561868467,-18.5943116034293,-20,-646.695012600799,-399.88,-0.0182562078508281,-4.02</t>
  </si>
  <si>
    <t>2025-05-02 09:45:00,575,,566,,575,,563.5,,,,,566,560</t>
  </si>
  <si>
    <t>2025-05-02 09:45:00,490,,490,,470,,487.5,,,,,490,480</t>
  </si>
  <si>
    <t>2025-05-02 09:45:00,5700,,5700,,5600,,5590,,,,,5700,5500</t>
  </si>
  <si>
    <t>2025-05-02 09:45:00,20100,,20200,,19475,,19975,,,,,20000,19400</t>
  </si>
  <si>
    <t>2025-05-02 09:45:00,2893128735.60772,4905062076.02569,-12442.6082509733,-8876,-15788.9299377058,-8278.64,-209.01161172019,-2593.05</t>
  </si>
  <si>
    <t>2025-05-02 09:45:00,1789123698.33581,2476585146.19183,-3781.76374751375,-1850,-4616.70035451035,-2429.65,-74.9992502038385,-762.59</t>
  </si>
  <si>
    <t>2025-05-02 09:45:00,249825145.302775,138702799.589654,-2360.73888888889,-1731,-27969.7052777778,-13651.9,-1.70371380612107,-398.52</t>
  </si>
  <si>
    <t>2025-05-02 09:45:00,53759345.7275904,404956.024062257,-1.73137254901961,-6,-53.9854509803923,-111.92,-0.00811604470051076,-1.24</t>
  </si>
  <si>
    <t>2025-05-02 09:46:00,575,,566,,575,,563.5,,,,,566,560</t>
  </si>
  <si>
    <t>2025-05-02 09:46:00,490,,490,,470,,487.5,,,,,490,480</t>
  </si>
  <si>
    <t>2025-05-02 09:46:00,5700,,5700,,5600,,5590,,,,,5700,5500</t>
  </si>
  <si>
    <t>2025-05-02 09:46:00,20100,,20200,,19475,,19975,,,,,20000,19400</t>
  </si>
  <si>
    <t>2025-05-02 09:46:00,2873660981.96722,5035220874.61847,-1475.40407223495,374,1629.36161584331,3763.11,11.2213369768785,777.03</t>
  </si>
  <si>
    <t>2025-05-02 09:46:00,1763757308.65541,2524071061.03501,176.577612144796,-293,803.476692445792,406.54,-16.7312786431755,-47.78</t>
  </si>
  <si>
    <t>2025-05-02 09:46:00,251106789.772894,140467213.520834,-377.983333333338,-725,-10600.8553809525,-10056.2,-0.523003894960131,-305.4</t>
  </si>
  <si>
    <t>2025-05-02 09:46:00,52684126.365391,415391.824919715,8.62952380952381,8,365.980685714286,198.69,0.000157395843317809,1.59</t>
  </si>
  <si>
    <t>2025-05-02 09:47:00,575,,566,,575,,563.5,,,,,566,560</t>
  </si>
  <si>
    <t>2025-05-02 09:47:00,490,,490,,470,,487.5,,,,,490,480</t>
  </si>
  <si>
    <t>2025-05-02 09:47:00,5700,,5700,,5600,,5590,,,,,5700,5500</t>
  </si>
  <si>
    <t>2025-05-02 09:47:00,20100,,20200,,19475,,19975,,,,,20000,19400</t>
  </si>
  <si>
    <t>2025-05-02 09:47:00,2937907043.51939,6003367005.81117,-3521.18354978355,-5338,-4819.02118434343,-9127.33,-41.66153381128,-2738.39</t>
  </si>
  <si>
    <t>2025-05-02 09:47:00,1760327583.27011,2711989202.04275,-3998.50535280699,-2407,-4971.5722240539,-2857.13,-35.5672591705204,-930.4</t>
  </si>
  <si>
    <t>2025-05-02 09:47:00,254324190.523927,154206253.278785,-477.26666666667,-834,-8803.81583333343,-6556.2,-2.99134715545648,-191.83</t>
  </si>
  <si>
    <t>2025-05-02 09:47:00,54120848.5114866,461435.724018196,-0.388293650793649,-3,-358.665974206349,-425.22,-0.0271222446809414,-3.78</t>
  </si>
  <si>
    <t>2025-05-02 09:48:00,575,,566,,575,,563.5,566,,,,566,560</t>
  </si>
  <si>
    <t>2025-05-02 09:48:00,490,,490,,470,,487.5,,,,,490,480</t>
  </si>
  <si>
    <t>2025-05-02 09:48:00,5700,,5700,,5600,,5590,,,,,5700,5500</t>
  </si>
  <si>
    <t>2025-05-02 09:48:00,20100,,20200,,19475,,19975,,,,,20000,19400</t>
  </si>
  <si>
    <t>2025-05-02 09:48:00,3018308972.06734,5718863759.63783,4492.08441558441,4098,6361.08394480519,5220.48,22.2137295404953,1872.52</t>
  </si>
  <si>
    <t>2025-05-02 09:48:00,1869131408.19435,2678805630.9365,1581.19794372294,1890,1995.62968939393,2141.57,115.703012849618,738.39</t>
  </si>
  <si>
    <t>2025-05-02 09:48:00,254388797.096139,157439773.283873,-37.5000000000008,-435,-892.405500000004,-7159.9,0.875272345951574,-229.02</t>
  </si>
  <si>
    <t>2025-05-02 09:48:00,54442975.191843,463211.132807351,2.67,-7,-1.84577142857147,-319.3,-0.00647814397529908,-2.81</t>
  </si>
  <si>
    <t>2025-05-02 09:49:00,575,,566,,575,,563.5,,,,,566,560</t>
  </si>
  <si>
    <t>2025-05-02 09:49:00,490,,490,,470,,487.5,,,,,490,480</t>
  </si>
  <si>
    <t>2025-05-02 09:49:00,5700,,5700,,5600,,5590,,,,,5700,5500</t>
  </si>
  <si>
    <t>2025-05-02 09:49:00,20100,,20200,,19475,,19975,,,,,20000,19400</t>
  </si>
  <si>
    <t>2025-05-02 09:49:00,2948382142.31168,5603147242.92488,-2262.34188034188,-2734,-3240.04683455434,-4613.76,-245.891704033408,-1422.98</t>
  </si>
  <si>
    <t>2025-05-02 09:49:00,1776307485.59815,2670749495.40634,-1540.39554865425,-1215,-2288.86693478261,-1983.63,-9.03964283845445,-575.15</t>
  </si>
  <si>
    <t>2025-05-02 09:49:00,252302066.059298,150739678.439067,-358.291666666666,-559,-4581.06458333333,-4955.96,0.586641895275973,-158.42</t>
  </si>
  <si>
    <t>2025-05-02 09:49:00,53597382.8332168,452703.487004305,-1.4718253968254,-5,-79.5992261904763,-179.36,-0.0100814759421558,-1.77</t>
  </si>
  <si>
    <t>2025-05-02 09:50:00,575,,566,,575,,563.5,,,,,566,560</t>
  </si>
  <si>
    <t>2025-05-02 09:50:00,490,,490,,470,,487.5,,,,,490,480</t>
  </si>
  <si>
    <t>2025-05-02 09:50:00,5700,,5700,,5600,,5590,,,,,5700,5500</t>
  </si>
  <si>
    <t>2025-05-02 09:50:00,20100,,20200,,19475,,19975,,,,,20000,19400</t>
  </si>
  <si>
    <t>2025-05-02 09:50:00,2937638663.49623,6318123387.08521,-7286.92929292929,-1762,-12911.1031313131,-3981.08,10.9394714349905,-982.77</t>
  </si>
  <si>
    <t>2025-05-02 09:50:00,1735019235.91108,2760104881.07256,-7032.38455988456,-4879,-6259.96625541125,-3779.08,-184.825058347578,-1443.67</t>
  </si>
  <si>
    <t>2025-05-02 09:50:00,253553977.368578,154385541.233943,-840.433333333335,-683,-10908.4303333334,-7978.92,2.38015470487804,-263.08</t>
  </si>
  <si>
    <t>2025-05-02 09:50:00,52957156.3419979,454266.853185595,17.7088201703185,19,1233.46933150532,1626.75,0.0138256537272241,3.88</t>
  </si>
  <si>
    <t>2025-05-02 09:51:00,575,,566,,575,,563.5,,,,,566,560</t>
  </si>
  <si>
    <t>2025-05-02 09:51:00,490,,490,,470,,487.5,,,,,490,480</t>
  </si>
  <si>
    <t>2025-05-02 09:51:00,5700,,5700,,5600,,5590,,,,,5700,5500</t>
  </si>
  <si>
    <t>2025-05-02 09:51:00,20100,,20200,,19475,,19975,,,,,20000,19400</t>
  </si>
  <si>
    <t>2025-05-02 09:51:00,2959093997.62659,5561201998.78135,1056.1123015873,928,1425.89236111112,331.36,-67.4725638537446,139.53</t>
  </si>
  <si>
    <t>2025-05-02 09:51:00,1785129496.58617,2739906277.93786,846.845959370744,-256,1104.93695522111,-414.11,-81.6284448573145,-209.18</t>
  </si>
  <si>
    <t>2025-05-02 09:51:00,251938216.935358,151657232.752245,-302.791666666671,-624,5636.78324999991,166.02,-1.75041032854107,-73.4</t>
  </si>
  <si>
    <t>2025-05-02 09:51:00,53354763.7191953,445945.918101872,8.70390247007894,8,589.862032276547,598.85,0.00925973387817788,3.15</t>
  </si>
  <si>
    <t>2025-05-02 09:52:00,575,,566,,575,,563.5,,,,,566,560</t>
  </si>
  <si>
    <t>2025-05-02 09:52:00,490,,490,,470,,487.5,,,,,490,480</t>
  </si>
  <si>
    <t>2025-05-02 09:52:00,5700,,5700,,5600,,5590,,,,,5700,5500</t>
  </si>
  <si>
    <t>2025-05-02 09:52:00,20100,,20200,,19475,,19975,,,,,20000,19400</t>
  </si>
  <si>
    <t>2025-05-02 09:52:00,2975316491.84808,5620649894.09891,-1323.26587301587,-135,-1106.42345238092,-2049.21,-214.763164020022,-561.96</t>
  </si>
  <si>
    <t>2025-05-02 09:52:00,1814243361.6911,2861091505.41413,-550.484858941379,-1035,-1789.20177133655,-2074.39,-47.0104686737461,-587.98</t>
  </si>
  <si>
    <t>2025-05-02 09:52:00,253676782.723523,154982259.019171,143.471904761903,23,1187.36913333333,-888.18,-0.898448922234324,-32.33</t>
  </si>
  <si>
    <t>2025-05-02 09:52:00,54907446.0110705,462416.791964084,-3.77500000000001,-7,-165.97975,-134.96,-0.00244699853202637,-1.36</t>
  </si>
  <si>
    <t>2025-05-02 09:53:00,575,,566,,575,,563.5,,,,,566,560</t>
  </si>
  <si>
    <t>2025-05-02 09:53:00,490,,490,,470,,487.5,,,,,490,480</t>
  </si>
  <si>
    <t>2025-05-02 09:53:00,5700,,5700,,5600,,5600,,,,,5700,5500</t>
  </si>
  <si>
    <t>2025-05-02 09:53:00,20100,,20200,,19475,,19975,,,,,20000,19400</t>
  </si>
  <si>
    <t>2025-05-02 09:53:00,2853252257.19727,4451738815.88799,,-2632,,-7530.64,-193.803430740636,-2435.02</t>
  </si>
  <si>
    <t>2025-05-02 09:53:00,1812063672.98378,2488692102.76369,-307.790840560406,-2254,698.576775142729,-64.5000000000001,-221.74102974194,-329.78</t>
  </si>
  <si>
    <t>2025-05-02 09:53:00,248053700.34381,134072271.930793,1651.27666666667,1563,18139.6273666667,5792.48,-3.99741276908523,175.72</t>
  </si>
  <si>
    <t>2025-05-02 09:53:00,53429698.34334,384069.406239741,33.1477056277056,19,914.951994805196,380.29,0.00750308338338316,3.58</t>
  </si>
  <si>
    <t>2025-05-02 09:54:00,575,,566,,575,,563.5,,,,,566,560</t>
  </si>
  <si>
    <t>2025-05-02 09:54:00,490,,490,,470,,487.5,,,,,490,480</t>
  </si>
  <si>
    <t>2025-05-02 09:54:00,5700,,5700,,5600,,5600,,,,,5700,5500</t>
  </si>
  <si>
    <t>2025-05-02 09:54:00,20100,,20200,,19475,,19975,,,,,20000,19400</t>
  </si>
  <si>
    <t>2025-05-02 09:54:00,2989545372.03048,5888278448.82466,-1126.18095238096,-4002,-4927.53288095241,-5626.44,-439.278221213679,-1751.8</t>
  </si>
  <si>
    <t>2025-05-02 09:54:00,1855552348.8925,2920998598.42034,802.17539794205,-1349,2086.55431901741,-504.58,-33.7610608102827,-446.41</t>
  </si>
  <si>
    <t>2025-05-02 09:54:00,253932550.333928,156655644.416394,607.078260869571,-704,-6678.24741304313,-9855.89,0.845246588544069,-306.51</t>
  </si>
  <si>
    <t>2025-05-02 09:54:00,53106630.1527613,487154.26410995,-55.9325426072708,-36,-863.519599043967,-493.82,-0.024889226101518,-4.58</t>
  </si>
  <si>
    <t>2025-05-02 09:55:00,575,,566,,575,,563.5,,,,,566,560</t>
  </si>
  <si>
    <t>2025-05-02 09:55:00,490,,490,,470,,487.5,,488,,,490,480</t>
  </si>
  <si>
    <t>2025-05-02 09:55:00,5700,,5700,,5600,,5600,,,,,5700,5500</t>
  </si>
  <si>
    <t>2025-05-02 09:55:00,20100,,20200,,19475,,20025,,,,,20000,19400</t>
  </si>
  <si>
    <t>2025-05-02 09:55:00,3004524575.70027,5564917648.32578,-5564.72222222222,-3064,-9689.33605555556,-4280.55,227.21410070633,-1048.16</t>
  </si>
  <si>
    <t>2025-05-02 09:55:00,1851975286.51288,2632700321.01152,-2166.09357243711,-2682,-2584.44927112909,-4056.74,-52.2653089622169,-1159.14</t>
  </si>
  <si>
    <t>2025-05-02 09:55:00,254243878.458145,158203043.936908,-746.916666666667,-657,-8256.29716666669,-7217.69,0.301249384683583,-206.62</t>
  </si>
  <si>
    <t>2025-05-02 09:55:00,55098654.5238065,478299.537419573,-12.0613095238095,-10,-263.163148809524,-168.38,-0.00142474412335857,-1.62</t>
  </si>
  <si>
    <t>2025-05-02 09:56:00,575,,566,,575,,563.5,,,,,566,560</t>
  </si>
  <si>
    <t>2025-05-02 09:56:00,490,,490,,470,,487.5,,,,,490,480</t>
  </si>
  <si>
    <t>2025-05-02 09:56:00,5700,,5700,,5600,,5600,,,,,5700,5500</t>
  </si>
  <si>
    <t>2025-05-02 09:56:00,20100,,20200,,19475,,19975,,,,,20000,19400</t>
  </si>
  <si>
    <t>2025-05-02 09:56:00,2978226124.93926,6345852235.36931,8022.88888888888,3290,11292.5537936508,2367.89,-38.3626185287432,743.56</t>
  </si>
  <si>
    <t>2025-05-02 09:56:00,1870873539.13226,3030132422.55891,2990.41034798535,1255,3760.02419963371,1517.45,-19.7515296250674,438.32</t>
  </si>
  <si>
    <t>2025-05-02 09:56:00,253845465.754366,162422102.019019,1381.06666666667,1129,50950.8156666674,30069.76,0.678292728496753,407.02</t>
  </si>
  <si>
    <t>2025-05-02 09:56:00,55490515.8050395,463451.424991804,29.5345345295904,99,679.028765233472,1083.54,-0.0716266322728139,10.51</t>
  </si>
  <si>
    <t>2025-05-02 09:57:00,575,,566,,575,,563.5,,,,,566,560</t>
  </si>
  <si>
    <t>2025-05-02 09:57:00,490,,490,,470,,487.5,,,,,490,480</t>
  </si>
  <si>
    <t>2025-05-02 09:57:00,5700,,5700,,5600,,5600,,,,,5700,5500</t>
  </si>
  <si>
    <t>2025-05-02 09:57:00,20100,,20200,,19475,,20025,,,,,20000,19400</t>
  </si>
  <si>
    <t>2025-05-02 09:57:00,2972316537.36691,5793282485.42069,-3241.56065323567,-1185,-4377.80711874239,-881.91,39.478854812773,-407.43</t>
  </si>
  <si>
    <t>2025-05-02 09:57:00,1845438374.8627,2858617048.89106,58.2898101898093,-807,51.6178488178468,-676.51,-52.1482624954291,-250.69</t>
  </si>
  <si>
    <t>2025-05-02 09:57:00,254019525.196327,160867814.530499,-309.621428571427,-979,1830.01245238094,-16000.12,-3.97145710519358,-457.85</t>
  </si>
  <si>
    <t>2025-05-02 09:57:00,53175416.0907323,440545.273405765,8.54080306947954,5,199.895712782316,20.58,0.0100059555369664,0.42</t>
  </si>
  <si>
    <t>2025-05-02 09:58:00,575,,566,,575,,563.5,,,,,566,560</t>
  </si>
  <si>
    <t>2025-05-02 09:58:00,490,,490,,470,,487.5,,,,,490,480</t>
  </si>
  <si>
    <t>2025-05-02 09:58:00,5700,,5700,,5600,,5600,,,,,5700,5500</t>
  </si>
  <si>
    <t>2025-05-02 09:58:00,20100,,20200,,19475,,20025,,,,,20000,19400</t>
  </si>
  <si>
    <t>2025-05-02 09:58:00,2944457317.94854,5859194476.78765,-996.533505866111,2591,-3187.15606728777,1826.29,345.162539462249,731.12</t>
  </si>
  <si>
    <t>2025-05-02 09:58:00,1850629162.0923,2892672518.15287,498.056637806641,181,49.3132467532543,-366.97,71.9530554868207,-33.44</t>
  </si>
  <si>
    <t>2025-05-02 09:58:00,252596616.720448,180379546.350089,315.316666666666,-2029,3725.48424999997,-64013.6,-14.4522584471067,-1454.73</t>
  </si>
  <si>
    <t>2025-05-02 09:58:00,53340752.5511296,432638.838024569,-0.203791208791201,0,50.2882443223444,-41.13,-0.00403221139492438,-0.48</t>
  </si>
  <si>
    <t>2025-05-02 09:59:00,575,,566,,575,,563.5,,,,,566,560</t>
  </si>
  <si>
    <t>2025-05-02 09:59:00,490,,490,,470,,487.5,,,,,490,480</t>
  </si>
  <si>
    <t>2025-05-02 09:59:00,5700,,5700,,5600,,5600,,,,,5700,5500</t>
  </si>
  <si>
    <t>2025-05-02 09:59:00,20100,,20200,,19475,,20025,,,,,20200,19400</t>
  </si>
  <si>
    <t>2025-05-02 09:59:00,3062803884.07265,6657489389.9072,1657.3053030303,3779,4983.64403354978,6164.2,136.523827739738,1933.1</t>
  </si>
  <si>
    <t>2025-05-02 09:59:00,1882780195.92619,3188433902.25316,826.381659464418,1908,314.2454759302,1244.77,108.164748110284,586.19</t>
  </si>
  <si>
    <t>2025-05-02 09:59:00,255238033.874369,196869609.808203,61.2583333333356,804,-15443.5327499997,526.6,-3.292758428851,141.11</t>
  </si>
  <si>
    <t>2025-05-02 09:59:00,55905998.7394531,515654.398775643,-95.5339244089245,-89,-1883.03460381286,-1263.18,-0.0797935881703319,-14.81</t>
  </si>
  <si>
    <t>2025-05-02 10:00:00,575,,566,,575,,563.5,,,,,566,560</t>
  </si>
  <si>
    <t>2025-05-02 10:00:00,490,,490,,470,,487.5,,,,,490,480</t>
  </si>
  <si>
    <t>2025-05-02 10:00:00,5700,,5700,,5600,,5600,,,,,5700,5500</t>
  </si>
  <si>
    <t>2025-05-02 10:00:00,20100,,20200,,19475,,20025,,,,,20200,19400</t>
  </si>
  <si>
    <t>2025-05-02 10:00:00,3085933567.23025,7207657778.00139,-8400.84887057386,-6200,-9066.81030769228,-5875.88,-154.31560838036,-2021.43</t>
  </si>
  <si>
    <t>2025-05-02 10:00:00,1871020139.792,3342232106.03896,-4998.46370116259,-4273,-2632.74849380696,-3493.07,-196.138947535203,-1432.34</t>
  </si>
  <si>
    <t>2025-05-02 10:00:00,256486740.320984,205478496.59188,-1320.57333333332,-476,-4858.05333333325,-885.439999999999,-1.5612000043961,-44.19</t>
  </si>
  <si>
    <t>2025-05-02 10:00:00,55707999.836543,537316.207417687,-2.48704481792717,20,272.949886554622,257.31,0.00573506413292953,2.77</t>
  </si>
  <si>
    <t>2025-05-02 10:01:00,575,,566,,575,,563.5,566,,,,566,560</t>
  </si>
  <si>
    <t>2025-05-02 10:01:00,490,,490,,470,,487.5,488,,488,,490,480</t>
  </si>
  <si>
    <t>2025-05-02 10:01:00,5700,,5700,,5600,,5600,,,,,5700,5500</t>
  </si>
  <si>
    <t>2025-05-02 10:01:00,20100,,20200,,19475,,20025,,,,,20200,19400</t>
  </si>
  <si>
    <t>2025-05-02 10:01:00,3117145383.1278,7390803047.9558,9130.81543631806,10649,11455.8553448394,11252.94,484.339701769126,3496.02</t>
  </si>
  <si>
    <t>2025-05-02 10:01:00,1908744645.99647,3604141653.31349,6676.8945245093,7101,9907.60515863653,9812.42,59.2968494142081,3221.06</t>
  </si>
  <si>
    <t>2025-05-02 10:01:00,257054368.207128,213255397.678175,1277.1,1556,14494.3145,13064.25,0.639020591952841,428.74</t>
  </si>
  <si>
    <t>2025-05-02 10:01:00,56453634.9720333,588874.637656621,18.9287984424539,18,399.47870706954,544,0.0477218204685813,4.9</t>
  </si>
  <si>
    <t>2025-05-02 10:02:00,575,,566,,575,,563.5,,,,,566,560</t>
  </si>
  <si>
    <t>2025-05-02 10:02:00,490,,490,,470,,487.5,,,,,490,480</t>
  </si>
  <si>
    <t>2025-05-02 10:02:00,5700,,5700,,5600,,5600,,,,,5700,5500</t>
  </si>
  <si>
    <t>2025-05-02 10:02:00,20100,,20200,,19475,,19975,,,,,20200,19400</t>
  </si>
  <si>
    <t>2025-05-02 10:02:00,3091874322.59374,7013380027.3094,5651.56113886114,1465,12448.524989011,5622.27,-262.356146008445,1539.78</t>
  </si>
  <si>
    <t>2025-05-02 10:02:00,1906817266.26423,3403229895.31121,2014.89223785224,472,3448.88115486135,1945.84,-30.6116124014103,408.49</t>
  </si>
  <si>
    <t>2025-05-02 10:02:00,252310966.952246,204294564.093768,1240.34166666667,669,18456.07945,5196.07,0.721281166361946,158.92</t>
  </si>
  <si>
    <t>2025-05-02 10:02:00,54165694.0583257,539439.07764906,117.068268895855,90,3178.8409837538,1307.33,-0.0166854382668387,12.38</t>
  </si>
  <si>
    <t>2025-05-02 10:03:00,575,,566,,575,,563.5,,,,,566,560</t>
  </si>
  <si>
    <t>2025-05-02 10:03:00,490,,490,,470,,487.5,,,,,490,480</t>
  </si>
  <si>
    <t>2025-05-02 10:03:00,5700,,5700,,5600,,5600,,,,,5700,5500</t>
  </si>
  <si>
    <t>2025-05-02 10:03:00,20100,,20200,,19475,,20025,,,,,20200,19400</t>
  </si>
  <si>
    <t>2025-05-02 10:03:00,3020726806.83783,7254957114.47351,-5700.78446886459,-5423,-9626.24255384644,-4436.76,331.382762559847,-1317.89</t>
  </si>
  <si>
    <t>2025-05-02 10:03:00,1795396450.40224,3609655229.64508,211.527480852481,-1173,-1770.67975599401,-1423.65,229.851708137752,-439.16</t>
  </si>
  <si>
    <t>2025-05-02 10:03:00,252943306.126869,196106862.278932,-1263.45833333333,-1152,-17015.03375,-7925.41,-0.783843415005766,-293.23</t>
  </si>
  <si>
    <t>2025-05-02 10:03:00,54005285.2483786,526338.713723278,-3.29573934837092,-7,-191.352092731829,-98.1,0.00576426435410728,-1.08</t>
  </si>
  <si>
    <t>2025-05-02 10:04:00,575,,566,,575,,563.5,,,,,566,560</t>
  </si>
  <si>
    <t>2025-05-02 10:04:00,490,,490,,470,,487.5,,,,,490,480</t>
  </si>
  <si>
    <t>2025-05-02 10:04:00,5700,,5700,,5600,,5600,,,,,5700,5500</t>
  </si>
  <si>
    <t>2025-05-02 10:04:00,20100,,20200,,19475,,20025,,,,,20200,19400</t>
  </si>
  <si>
    <t>2025-05-02 10:04:00,3010099365.93293,6692326492.69286,-1260.93793396147,229,-1143.71654808591,2547.34,-216.089396728359,609.95</t>
  </si>
  <si>
    <t>2025-05-02 10:04:00,1827815243.05671,3443971902.65176,-1946.55845265845,-2445,-1898.81139127539,-2680.94,-45.2909767957907,-958.16</t>
  </si>
  <si>
    <t>2025-05-02 10:04:00,255765390.744166,198400334.281341,79.0091666666666,-53,6651.74352500002,2221.95,-2.22244789787026,10.74</t>
  </si>
  <si>
    <t>2025-05-02 10:04:00,56740743.2982327,518500.838918874,6.92435897435897,4,156.379935897436,173.7,0.00045344632456439,1.78</t>
  </si>
  <si>
    <t>2025-05-02 10:05:00,575,,566,,575,,563.5,,,,,566,560</t>
  </si>
  <si>
    <t>2025-05-02 10:05:00,490,,490,,470,,487.5,,,,,490,480</t>
  </si>
  <si>
    <t>2025-05-02 10:05:00,5700,,5700,,5600,,5600,,,,,5700,5500</t>
  </si>
  <si>
    <t>2025-05-02 10:05:00,20100,,20200,,19475,,20025,,,,,20200,19400</t>
  </si>
  <si>
    <t>2025-05-02 10:05:00,3080019111.88774,7256736419.52621,-4010.22817460317,-2096,-4654.8675,-2961.29,-73.4346655291447,-1095.48</t>
  </si>
  <si>
    <t>2025-05-02 10:05:00,1854889261.39688,3303107584.66273,-2741.41666666668,-1385,-1940.72300000001,-963.67,-39.7322400596269,-361.32</t>
  </si>
  <si>
    <t>2025-05-02 10:05:00,255187880.543095,200112181.607719,31.3433333333329,130,-1805.20953333335,58.3800000000003,0.0030898100869384,24.23</t>
  </si>
  <si>
    <t>2025-05-02 10:05:00,55211452.4928671,513110.384900766,7.08795518207283,8,-101.60968627451,108.92,0.00469706887920505,1.31</t>
  </si>
  <si>
    <t>2025-05-02 10:06:00,575,,566,,575,,563.5,,,,,566,560</t>
  </si>
  <si>
    <t>2025-05-02 10:06:00,490,,490,,470,,487.5,,,488,,490,485</t>
  </si>
  <si>
    <t>2025-05-02 10:06:00,5700,,5700,,5600,,5600,,,,,5700,5500</t>
  </si>
  <si>
    <t>2025-05-02 10:06:00,20100,,20200,,19475,,20025,,,,,20200,19400</t>
  </si>
  <si>
    <t>2025-05-02 10:06:00,3060593165.52257,6933686410.50867,226.436904761905,2537,569.714404761903,2218.37,-111.545750362096,647.98</t>
  </si>
  <si>
    <t>2025-05-02 10:06:00,1888361749.20876,3684288895.91688,1286.77044807045,2606,2651.63156487957,4384.8,-8.33357706970289,1100.61</t>
  </si>
  <si>
    <t>2025-05-02 10:06:00,255419980.86853,206759807.51888,148.95,395,3938.54400000001,4505.99,-0.816830402835425,96.21</t>
  </si>
  <si>
    <t>2025-05-02 10:06:00,56029212.8662619,551446.727722443,-3.14476190476191,-7,18.2611142857142,-4.12,0.00223784300698266,-0.12</t>
  </si>
  <si>
    <t>2025-05-02 10:07:00,575,,566,,575,,563.5,,,,,566,560</t>
  </si>
  <si>
    <t>2025-05-02 10:07:00,490,,490,,470,,487.5,,,,,490,485</t>
  </si>
  <si>
    <t>2025-05-02 10:07:00,5700,,5700,,5600,,5600,,,,,5700,5500</t>
  </si>
  <si>
    <t>2025-05-02 10:07:00,20100,,20200,,19475,,20025,,,,,20200,19400</t>
  </si>
  <si>
    <t>2025-05-02 10:07:00,3058563142.23896,7706089139.97151,-2710.79642857143,-1781,-2615.972,-1172.62,-158.224650676341,-410.4</t>
  </si>
  <si>
    <t>2025-05-02 10:07:00,1810691144.7188,3873724272.00774,-6056.54997439835,-2633,-7526.451140809,-2956.35,-33.9227738304293,-1088.15</t>
  </si>
  <si>
    <t>2025-05-02 10:07:00,255861721.967314,218261272.828161,-326.200000000002,-433,-972.872000000025,-2049.61,0.231765573898901,-56.26</t>
  </si>
  <si>
    <t>2025-05-02 10:07:00,56144964.8439051,590481.326443001,-26.0253418803419,-14,-380.926973931624,-340.83,0.00649259907796867,-3.25</t>
  </si>
  <si>
    <t>2025-05-02 10:08:00,575,,566,,575,,563.5,,,,,566,560</t>
  </si>
  <si>
    <t>2025-05-02 10:08:00,490,,490,,470,,487.5,,,,,490,480</t>
  </si>
  <si>
    <t>2025-05-02 10:08:00,5700,,5700,,5600,,5590,,,,,5700,5500</t>
  </si>
  <si>
    <t>2025-05-02 10:08:00,20100,,20200,,19475,,20025,,,,,20200,19400</t>
  </si>
  <si>
    <t>2025-05-02 10:08:00,3006195284.24449,6276353290.63613,-3618.89603174604,-4632,1042.18063492064,-3175.29,-101.388024935923,-1465.77</t>
  </si>
  <si>
    <t>2025-05-02 10:08:00,1929682128.27489,3501849995.3518,906.42090725179,3958,2004.18219880174,1703.07,-74.2438390055194,543.47</t>
  </si>
  <si>
    <t>2025-05-02 10:08:00,253624410.331732,202205476.617822,633.601111111109,394,16250.1003,6656.89,0.0602845854403206,165.01</t>
  </si>
  <si>
    <t>2025-05-02 10:08:00,54754039.3925532,536180.76425994,24.1671377821263,12,1518.84971900525,1353.27,0.00604292916091706,4.83</t>
  </si>
  <si>
    <t>2025-05-02 10:09:00,575,,566,,575,,563.5,,,,,566,560</t>
  </si>
  <si>
    <t>2025-05-02 10:09:00,490,,490,,470,,487.5,,,,,490,480</t>
  </si>
  <si>
    <t>2025-05-02 10:09:00,5700,,5700,,5600,,5590,,,,,5700,5500</t>
  </si>
  <si>
    <t>2025-05-02 10:09:00,20100,,20200,,19475,,20025,,,,,20200,19400</t>
  </si>
  <si>
    <t>2025-05-02 10:09:00,3092240957.26921,7243291789.21426,-3202.4873015873,-3347,-1949.25184126984,-3002.11,-16.5684035179234,-922.62</t>
  </si>
  <si>
    <t>2025-05-02 10:09:00,1892025127.26632,3707793909.77764,-3544.01018518518,-2399,-4767.72154629629,-2797.52,49.1274748469582,-851.89</t>
  </si>
  <si>
    <t>2025-05-02 10:09:00,255963649.953363,212483867.315471,-47.9333333333334,-223,-2633.55166666667,-3314.18,0.64570986437288,-103.54</t>
  </si>
  <si>
    <t>2025-05-02 10:09:00,56375271.0584361,574692.801748848,-11.9698593073593,-9,-574.901580627705,-435.87,0.0115892865560333,-3.95</t>
  </si>
  <si>
    <t>2025-05-02 10:10:00,575,,566,,575,,563.5,,,,,566,560</t>
  </si>
  <si>
    <t>2025-05-02 10:10:00,490,,490,,470,,487.5,,,,488,490,480</t>
  </si>
  <si>
    <t>2025-05-02 10:10:00,5700,,5700,,5600,,5590,,,,,5700,5500</t>
  </si>
  <si>
    <t>2025-05-02 10:10:00,20100,,20200,,19475,,20025,,,,,20200,19400</t>
  </si>
  <si>
    <t>2025-05-02 10:10:00,3030840085.66045,6663340300.47026,-7975.22009379509,-6036,-9899.15002236653,-7463.91,-208.908984916765,-2613.21</t>
  </si>
  <si>
    <t>2025-05-02 10:10:00,1886020126.04245,3537115200.71527,-1150.49688958919,-2300,2899.87748984589,-314.02,3.17369743727072,-558.47</t>
  </si>
  <si>
    <t>2025-05-02 10:10:00,255124540.979897,200682250.002153,-1267.93333333334,-1249,-10764.1790000001,-10241.47,2.45101538167654,-350.08</t>
  </si>
  <si>
    <t>2025-05-02 10:10:00,55346646.4153746,519146.745498112,-15.8916666666667,-17,-323.893,-167.38,0.0177890860312107,-1.49</t>
  </si>
  <si>
    <t>2025-05-02 10:11:00,575,,566,,575,,563.5,,,,,566,560</t>
  </si>
  <si>
    <t>2025-05-02 10:11:00,490,,490,,470,,487.5,,,,,490,480</t>
  </si>
  <si>
    <t>2025-05-02 10:11:00,5700,,5700,,5600,,5590,,,,,5700,5500</t>
  </si>
  <si>
    <t>2025-05-02 10:11:00,20100,,20200,,19475,,20025,,,,,20200,19400</t>
  </si>
  <si>
    <t>2025-05-02 10:11:00,3036711914.87175,6707158923.49762,-3113.83529059593,-4006,-4923.61429243807,-5548.89,-34.4701104345625,-1716.21</t>
  </si>
  <si>
    <t>2025-05-02 10:11:00,1853696550.24706,3513676357.28,-715.939444444445,-1310,-995.511366666667,-1370.05,-27.6869607431226,-478.29</t>
  </si>
  <si>
    <t>2025-05-02 10:11:00,257504123.323171,200555565.649796,-724.8225,-434,-7695.269175,-2994.36,-1.47127107264582,-95.56</t>
  </si>
  <si>
    <t>2025-05-02 10:11:00,55458936.9489863,524546.72823665,-2.79684010899096,27,3966.17813238128,6122.6,0.0134013397053463,17.47</t>
  </si>
  <si>
    <t>2025-05-02 10:12:00,575,,566,,575,,563.5,,,,,566,560</t>
  </si>
  <si>
    <t>2025-05-02 10:12:00,490,,490,,470,,487.5,,,,,490,480</t>
  </si>
  <si>
    <t>2025-05-02 10:12:00,5700,,5700,,5600,,5595,,,,,5700,5500</t>
  </si>
  <si>
    <t>2025-05-02 10:12:00,20100,,20200,,19475,,20025,,,,,20200,19400</t>
  </si>
  <si>
    <t>2025-05-02 10:12:00,3055180745.22377,6710599504.85264,-12838.2777777778,-61,-19037.2372222222,-2100.58,-131.399616580239,-644.25</t>
  </si>
  <si>
    <t>2025-05-02 10:12:00,1821899720.00796,3482119640.25109,-4659.60844155844,-2109,-6188.54329870129,-2670.62,-103.554263104109,-881.74</t>
  </si>
  <si>
    <t>2025-05-02 10:12:00,256036732.911931,200410631.866771,-1760.98141025641,-867,-27617.3509679488,-10693.8,1.55601370862982,-277.96</t>
  </si>
  <si>
    <t>2025-05-02 10:12:00,56384079.2505305,542203.066731817,-2.48154761904762,-8,-86.5913154761905,-94.61,-0.00543832737792497,-1.11</t>
  </si>
  <si>
    <t>2025-05-02 10:13:00,575,,566,,575,,563.5,,,,,566,560</t>
  </si>
  <si>
    <t>2025-05-02 10:13:00,490,,490,,470,,487.5,,,,,490,480</t>
  </si>
  <si>
    <t>2025-05-02 10:13:00,5700,,5700,,5600,,5590,,,,,5700,5500</t>
  </si>
  <si>
    <t>2025-05-02 10:13:00,20100,,20200,,19475,,20025,,,,,20200,19400</t>
  </si>
  <si>
    <t>2025-05-02 10:13:00,3053978772.27981,6775582999.42464,-5863.56168831169,-3722,-7144.68418181817,-6797.51,-60.5838920511813,-2206.46</t>
  </si>
  <si>
    <t>2025-05-02 10:13:00,1872736758.53287,3687899032.61205,-105.216666666671,-40,-482.820000000005,-409.94,4.72832042415167,-69.18</t>
  </si>
  <si>
    <t>2025-05-02 10:13:00,257141263.068073,203808688.679661,-619.049999999999,-212,-4469.87299999998,-2799.62,-2.24666602470422,-127.77</t>
  </si>
  <si>
    <t>2025-05-02 10:13:00,55038358.2627313,564302.390174523,0.371428571428571,10,-2.64074999999998,244.37,-0.0123007697635726,2.1</t>
  </si>
  <si>
    <t>2025-05-02 10:14:00,575,,566,,575,,563.5,,,,,566,560</t>
  </si>
  <si>
    <t>2025-05-02 10:14:00,490,,490,,470,,487.5,,,,,490,480</t>
  </si>
  <si>
    <t>2025-05-02 10:14:00,5700,,5700,,5600,,5590,,,,,5700,5500</t>
  </si>
  <si>
    <t>2025-05-02 10:14:00,20100,,20200,,19475,,20025,,,,,20200,19400</t>
  </si>
  <si>
    <t>2025-05-02 10:14:00,3066150269.68567,7208912065.72231,-1680.00476190476,3696,-1473.48977777777,4274.65,-124.294668360374,1608.6</t>
  </si>
  <si>
    <t>2025-05-02 10:14:00,1878059385.3119,3789383227.77279,-1096.73758016177,-1664,-1125.04559944894,-2160.86,63.799463980408,-540.96</t>
  </si>
  <si>
    <t>2025-05-02 10:14:00,258545994.455589,210585093.105109,-801.400000000005,-934,-21142.5305833335,-7610.06,-1.53624160940574,-206.13</t>
  </si>
  <si>
    <t>2025-05-02 10:14:00,56121198.1320444,574106.81473577,-43.1285714285714,-13,-488.517047619048,-327.73,-0.0161841435621961,-3.89</t>
  </si>
  <si>
    <t>2025-05-02 10:15:00,575,,566,,575,,563.5,,,,,566,560</t>
  </si>
  <si>
    <t>2025-05-02 10:15:00,490,,490,,470,,487.5,,,,,490,480</t>
  </si>
  <si>
    <t>2025-05-02 10:15:00,5700,,5700,,5600,,5590,,,,,5700,5500</t>
  </si>
  <si>
    <t>2025-05-02 10:15:00,20100,,20200,,19475,,20025,,,,,20200,19400</t>
  </si>
  <si>
    <t>2025-05-02 10:15:00,3079221576.55467,7297381455.75762,-532.786507936507,-2607,77.8444365079393,-482,-133.313468119607,-332.76</t>
  </si>
  <si>
    <t>2025-05-02 10:15:00,1861651743.674,3875482690.5787,-883.00059295749,-1325,-899.774585568328,-1652.05,16.2340825472451,-563.24</t>
  </si>
  <si>
    <t>2025-05-02 10:15:00,258457084.772058,211873890.484505,262.275,-22,5066.61308333333,2874.28,-1.71402817140296,84.69</t>
  </si>
  <si>
    <t>2025-05-02 10:15:00,55517544.176762,588764.936433071,-0.227124183006532,3,-32.3946895424836,55.6,0.00174356057175864,0.66</t>
  </si>
  <si>
    <t>2025-05-02 10:16:00,575,,566,,575,,563.5,,,,,566,560</t>
  </si>
  <si>
    <t>2025-05-02 10:16:00,490,,490,,470,,487.5,,,,,490,485</t>
  </si>
  <si>
    <t>2025-05-02 10:16:00,5700,,5700,,5600,,5590,,,,,5700,5500</t>
  </si>
  <si>
    <t>2025-05-02 10:16:00,20100,,20200,,19475,,20025,,,,,20200,19400</t>
  </si>
  <si>
    <t>2025-05-02 10:16:00,3141359346.99566,7772554587.60109,-2923.02182539683,-2240,-2332.55448412698,-2112.89,204.696187132913,-749.59</t>
  </si>
  <si>
    <t>2025-05-02 10:16:00,1890191645.4433,4191496940.37248,-5962.52913165265,-4821,-9193.53591061879,-5820.8,59.8220253772971,-1942.28</t>
  </si>
  <si>
    <t>2025-05-02 10:16:00,259153750.176768,225217592.983329,-652.578333333329,-1287,-9274.35881666662,-9964.8,-2.11226673159072,-347.5</t>
  </si>
  <si>
    <t>2025-05-02 10:16:00,57029489.7021595,656825.659579505,-74.276299986206,-44,-1171.78112418788,-910.8,0.022712193727487,-8.74</t>
  </si>
  <si>
    <t>2025-05-02 10:17:00,575,,566,,575,,563.5,,,,,566,560</t>
  </si>
  <si>
    <t>2025-05-02 10:17:00,490,,490,,470,,487.5,,,,,490,485</t>
  </si>
  <si>
    <t>2025-05-02 10:17:00,5700,,5700,,5600,,5595,,,,,5700,5600</t>
  </si>
  <si>
    <t>2025-05-02 10:17:00,20100,,20200,,19475,,20025,,,,,20200,19400</t>
  </si>
  <si>
    <t>2025-05-02 10:17:00,3197913624.77175,8268160963.26698,2378.19444444444,4852,1589.01742063492,1595.18,-116.161433818357,888.81</t>
  </si>
  <si>
    <t>2025-05-02 10:17:00,1935625428.58183,4284348783.17769,2409.28928742035,3085,3310.00061571281,2832.35,429.808499430874,1203.49</t>
  </si>
  <si>
    <t>2025-05-02 10:17:00,261471167.559449,235015785.419147,-271.606666666667,-262,-7342.59586666665,-11517.19,-1.6069162749323,-332.06</t>
  </si>
  <si>
    <t>2025-05-02 10:17:00,56646476.371032,675416.730196058,-32.1794913419912,-26,3.00599458874654,13.71,0.0393363884628814,-0.24</t>
  </si>
  <si>
    <t>2025-05-02 10:18:00,575,,566,,575,,563.5,,,,,566,560</t>
  </si>
  <si>
    <t>2025-05-02 10:18:00,490,,490,,470,,487.5,489,,,,490,485</t>
  </si>
  <si>
    <t>2025-05-02 10:18:00,5700,,5700,,5600,,5590,,,,,5700,5600</t>
  </si>
  <si>
    <t>2025-05-02 10:18:00,20100,,20200,,19475,,20025,,,,,20200,19400</t>
  </si>
  <si>
    <t>2025-05-02 10:18:00,3157380792.92388,8106080318.143,-1745.01507936505,-3537,1045.99298412704,-994.829999999999,-290.599633019894,-702.88</t>
  </si>
  <si>
    <t>2025-05-02 10:18:00,1941913837.74414,4377272173.92704,1886.45671949379,2955,1168.89514395183,2327.34,-2.58065669207514,973.4</t>
  </si>
  <si>
    <t>2025-05-02 10:18:00,259570972.221264,238622247.833751,981.650000000002,676,11317.0615,7828.31,-0.799011682718132,270.76</t>
  </si>
  <si>
    <t>2025-05-02 10:18:00,56372488.2639218,687842.392749504,2.55212287712287,1,279.46318073593,126.26,0.00938689618868156,1.07</t>
  </si>
  <si>
    <t>2025-05-02 10:19:00,575,,566,,575,,563.5,,,,,566,560</t>
  </si>
  <si>
    <t>2025-05-02 10:19:00,490,,490,,470,,487.5,489,,,,490,485</t>
  </si>
  <si>
    <t>2025-05-02 10:19:00,5700,,5700,,5600,,5590,,,,,5700,5600</t>
  </si>
  <si>
    <t>2025-05-02 10:19:00,20100,,20200,,19475,,20025,,,,,20200,19400</t>
  </si>
  <si>
    <t>2025-05-02 10:19:00,3086002655.24659,7478449970.35203,-156.823989898998,7133,377.568022727225,6305.95,-226.668978733872,1653.86</t>
  </si>
  <si>
    <t>2025-05-02 10:19:00,1938791724.94952,4172910679.66702,282.212950523299,304,659.711483123523,499.18,-37.52131019879,178.84</t>
  </si>
  <si>
    <t>2025-05-02 10:19:00,255673424.68166,216734961.884701,99.6666666666668,95,7518.048,3130.62,3.32352708156681,51.45</t>
  </si>
  <si>
    <t>2025-05-02 10:19:00,55852221.5537298,602666.454528805,16.1678571428571,20,384.142226190477,247.61,0.00851262874255306,2.89</t>
  </si>
  <si>
    <t>2025-05-02 10:20:00,575,,566,,575,,563.5,,,,,566,560</t>
  </si>
  <si>
    <t>2025-05-02 10:20:00,490,,490,,470,,487.5,,,,,490,485</t>
  </si>
  <si>
    <t>2025-05-02 10:20:00,5700,,5700,,5600,,5590,,,,,5700,5600</t>
  </si>
  <si>
    <t>2025-05-02 10:20:00,20100,,20200,,19475,,20025,,,,,20200,19400</t>
  </si>
  <si>
    <t>2025-05-02 10:20:00,3056750176.04559,7619181363.46328,2875.425,2770,1037.71771428571,-4955.14,-4.20253710168866,-1196.55</t>
  </si>
  <si>
    <t>2025-05-02 10:20:00,1898697989.19703,4135609089.65027,1529.24761904762,692,2428.6930952381,650.83,-219.313748782075,186.13</t>
  </si>
  <si>
    <t>2025-05-02 10:20:00,257678412.012208,214482546.587566,-881.483333333322,-683,-10187.6869999998,-4637.04,-0.0398947848596687,-201.9</t>
  </si>
  <si>
    <t>2025-05-02 10:20:00,55485289.2025231,575053.726263143,2.77074314574315,9,290.609920634921,326.75,-0.000996555210298514,3.13</t>
  </si>
  <si>
    <t>2025-05-02 10:21:00,575,,566,,575,,563.5,566,,,,566,560</t>
  </si>
  <si>
    <t>2025-05-02 10:21:00,490,,490,,470,,487.5,,,,,490,485</t>
  </si>
  <si>
    <t>2025-05-02 10:21:00,5700,,5700,,5600,,5595,,,,,5700,5600</t>
  </si>
  <si>
    <t>2025-05-02 10:21:00,20100,,20200,,19475,,20025,,,,,20200,19400</t>
  </si>
  <si>
    <t>2025-05-02 10:21:00,3076990877.64398,6897250049.55886,3512.82828282828,5821,4693.89029292929,7745.38,103.826132773311,2675.32</t>
  </si>
  <si>
    <t>2025-05-02 10:21:00,1966459901.86182,3915857519.62771,1945.44814814815,1912,2281.853,2684.59,116.127729121902,1002.73</t>
  </si>
  <si>
    <t>2025-05-02 10:21:00,259929970.682277,210739210.946382,1169.38999999999,1181,9421.34259999994,8236.64,3.23374875225554,309.39</t>
  </si>
  <si>
    <t>2025-05-02 10:21:00,58719535.8078353,570379.839599253,9.71813725490196,-24,-111.586689775911,-146.04,0.00369791753275771,-1.07</t>
  </si>
  <si>
    <t>2025-05-02 10:22:00,575,,566,,575,,563.5,,,565,,566,560</t>
  </si>
  <si>
    <t>2025-05-02 10:22:00,490,,490,,470,,487.5,,,488,,490,485</t>
  </si>
  <si>
    <t>2025-05-02 10:22:00,5700,,5700,,5600,,5595,,,,,5700,5600</t>
  </si>
  <si>
    <t>2025-05-02 10:22:00,20100,,20200,,19475,,20025,,,,,20200,19400</t>
  </si>
  <si>
    <t>2025-05-02 10:22:00,3000200817.98342,6258791573.72389,24196.8156565657,21367,32471.4180555556,25040.82,-281.979386963575,8352.79</t>
  </si>
  <si>
    <t>2025-05-02 10:22:00,1923409059.56598,3664818647.75111,5719.64840913237,3756,7079.06331443541,3704.87,-136.953199777759,1413.5</t>
  </si>
  <si>
    <t>2025-05-02 10:22:00,257037195.244539,190703696.290089,2514.20166666667,2003,31124.3748833333,14558.52,3.58903945595749,515.63</t>
  </si>
  <si>
    <t>2025-05-02 10:22:00,54954611.4872862,475246.527989454,-7.52610946679476,-39,1902.88787545036,2145.69,-0.00905018270041419,6.78</t>
  </si>
  <si>
    <t>2025-05-02 10:23:00,575,,566,,575,,563.5,,,,,566,560</t>
  </si>
  <si>
    <t>2025-05-02 10:23:00,490,,490,,470,,487.5,,,488,,490,485</t>
  </si>
  <si>
    <t>2025-05-02 10:23:00,5700,,5700,,5600,,5595,,,,,5700,5600</t>
  </si>
  <si>
    <t>2025-05-02 10:23:00,20100,,20200,,19475,,20050,,,,,20200,19400</t>
  </si>
  <si>
    <t>2025-05-02 10:23:00,2966692688.84786,6171006486.59361,-14424.7917748917,-7089,-24407.5108831167,-10007.85,141.034664984609,-3118.08</t>
  </si>
  <si>
    <t>2025-05-02 10:23:00,1845607751.38384,3750308589.69192,-833.877422003277,158,-282.132635467968,535.52,-6.24546286036178,151.84</t>
  </si>
  <si>
    <t>2025-05-02 10:23:00,256351768.501265,186856998.215499,-131.630000000002,-348,23320.6386999999,4686.73,-0.507491489710338,-8.96</t>
  </si>
  <si>
    <t>2025-05-02 10:23:00,55692188.1997143,483698.577032471,19.2690476190476,18,494.706190476189,610.45,-0.00646798130778656,6.05</t>
  </si>
  <si>
    <t>2025-05-02 10:24:00,575,,566,,575,,563.5,,,,565,566,560</t>
  </si>
  <si>
    <t>2025-05-02 10:24:00,490,,490,,470,,487.5,,,,,490,485</t>
  </si>
  <si>
    <t>2025-05-02 10:24:00,5700,,5700,,5600,,5595,,,,,5700,5600</t>
  </si>
  <si>
    <t>2025-05-02 10:24:00,20100,,20200,,19475,,20050,,,,,20200,19400</t>
  </si>
  <si>
    <t>2025-05-02 10:24:00,3011880232.25336,5729276113.93243,-3255.14722222222,-89,-4087.51348015873,-1261.5,196.532520273403,-371.34</t>
  </si>
  <si>
    <t>2025-05-02 10:24:00,1933931949.3019,3687946312.87221,-965.426326451325,-778,-1572.29267177267,-1257.84,-55.9349748651388,-387.76</t>
  </si>
  <si>
    <t>2025-05-02 10:24:00,258924743.696618,193830450.39451,229.875,205,866.085083333373,-297.559999999999,-9.15213878288965,-2.07</t>
  </si>
  <si>
    <t>2025-05-02 10:24:00,57796859.5756154,515152.278778687,-11.4222810400234,-35,-473.624078492551,-719.75,-0.0298452333774914,-7.06</t>
  </si>
  <si>
    <t>2025-05-02 10:25:00,575,,566,,575,,563.5,,,,,566,560</t>
  </si>
  <si>
    <t>2025-05-02 10:25:00,490,,490,,470,,487.5,,,,,490,485</t>
  </si>
  <si>
    <t>2025-05-02 10:25:00,5700,,5700,,5600,,5595,,,,,5700,5600</t>
  </si>
  <si>
    <t>2025-05-02 10:25:00,20100,,20200,,19475,,20050,,,,,20200,19400</t>
  </si>
  <si>
    <t>2025-05-02 10:25:00,2957675372.82356,5274011684.08428,544.319480519482,-1473,1785.49214285715,-655.58,-122.018365010685,-290.19</t>
  </si>
  <si>
    <t>2025-05-02 10:25:00,1919709836.50494,3497193156.26063,-74.3734006734013,346,300.941373737373,843,118.143906094923,208.63</t>
  </si>
  <si>
    <t>2025-05-02 10:25:00,257331530.680875,185467869.099346,208.691666666667,497,3130.28675,3494.89,2.48104181710883,103.13</t>
  </si>
  <si>
    <t>2025-05-02 10:25:00,56476356.0160071,475759.071836164,3.21095238095238,5,24.8710857142857,30.86,0.000389768480023106,0.41</t>
  </si>
  <si>
    <t>2025-05-02 10:26:00,575,,566,,575,,563.5,,,565,,566,560</t>
  </si>
  <si>
    <t>2025-05-02 10:26:00,490,,490,,470,,487.5,,,,488,490,485</t>
  </si>
  <si>
    <t>2025-05-02 10:26:00,5700,,5700,,5600,,5595,,,,,5700,5600</t>
  </si>
  <si>
    <t>2025-05-02 10:26:00,20100,,20200,,19475,,20025,,,,,20200,19400</t>
  </si>
  <si>
    <t>2025-05-02 10:26:00,2857391409.84055,5628556425.95079,-20816.5002164502,-11729,-14979.2679588744,-317.78,-976.169992105619,-961.189999999999</t>
  </si>
  <si>
    <t>2025-05-02 10:26:00,1803676469.87663,3399212166.43681,-3839.43827287655,-2448,-6987.3490148082,-4769.79,-100.860655731114,-1255.28</t>
  </si>
  <si>
    <t>2025-05-02 10:26:00,255334761.737661,174965949.404157,600.139177489171,-1388,1315.52765151515,-12970.46,-7.89835313331765,-358.35</t>
  </si>
  <si>
    <t>2025-05-02 10:26:00,54489424.8383335,432884.575182059,3.68717162535609,4,353.855764738178,199.03,0.00860895688296584,0.77</t>
  </si>
  <si>
    <t>2025-05-02 10:27:00,575,,566,,575,,563.5,,565,,565,566,560</t>
  </si>
  <si>
    <t>2025-05-02 10:27:00,490,,490,,470,,487.5,,,,,490,485</t>
  </si>
  <si>
    <t>2025-05-02 10:27:00,5700,,5700,,5600,,5595,,,,,5700,5600</t>
  </si>
  <si>
    <t>2025-05-02 10:27:00,20100,,20200,,19475,,20050,,,,,20200,19400</t>
  </si>
  <si>
    <t>2025-05-02 10:27:00,2883984867.11855,4800942644.44054,-724.010294344275,6166,-4143.76963525687,980.88,175.59072546976,561.35</t>
  </si>
  <si>
    <t>2025-05-02 10:27:00,1854153887.85815,3521074509.77114,-312.283775483776,-194,-227.693083768084,-131.11,189.858899221876,46.16</t>
  </si>
  <si>
    <t>2025-05-02 10:27:00,256513861.394298,168475769.555552,536.298888888886,2446,1987.76687777773,7312.14,-1.78451385785525,285.86</t>
  </si>
  <si>
    <t>2025-05-02 10:27:00,54728931.746379,429360.151355041,-24.9184781884782,-25,-1039.99086113886,-923.66,0.0397329485677269,-8.09</t>
  </si>
  <si>
    <t>2025-05-02 10:28:00,575,,566,,575,,563.5,,,,,566,560</t>
  </si>
  <si>
    <t>2025-05-02 10:28:00,490,,490,,470,,487.5,,,,,490,485</t>
  </si>
  <si>
    <t>2025-05-02 10:28:00,5700,,5700,,5600,,5595,,,,,5700,5600</t>
  </si>
  <si>
    <t>2025-05-02 10:28:00,20100,,20200,,19475,,20050,,,,,20200,19400</t>
  </si>
  <si>
    <t>2025-05-02 10:28:00,2888334997.7601,4178996550.20985,-860.071428571429,1230,-1221.24738095238,5367.52,-355.273612436073,1598.69</t>
  </si>
  <si>
    <t>2025-05-02 10:28:00,1864662321.40463,3503928557.09516,960.499270353302,806,-371.296283794163,-622.37,157.211514781379,-157.82</t>
  </si>
  <si>
    <t>2025-05-02 10:28:00,256801182.792604,166768497.119417,464.033333333329,546,5849.79433333327,2606.29,-0.149299032278745,12.53</t>
  </si>
  <si>
    <t>2025-05-02 10:28:00,54382451.1910633,442294.103200022,1.39047619047619,2,97.2660476190475,157.29,0.0116996597032647,1.7</t>
  </si>
  <si>
    <t>2025-05-02 10:29:00,575,,566,,575,,563.5,,,565,,566,560</t>
  </si>
  <si>
    <t>2025-05-02 10:29:00,490,,490,,470,,487.5,,,,,490,485</t>
  </si>
  <si>
    <t>2025-05-02 10:29:00,5700,,5700,,5600,,5595,,,,,5700,5600</t>
  </si>
  <si>
    <t>2025-05-02 10:29:00,20100,,20200,,19475,,20050,,,,,20200,19400</t>
  </si>
  <si>
    <t>2025-05-02 10:29:00,2905414589.68432,4551243649.58396,-9979.73788156288,-7060,-11330.2761169109,-3994.24,179.955163718757,-1336.54</t>
  </si>
  <si>
    <t>2025-05-02 10:29:00,1876599019.8141,3381849523.09483,-584.72081280788,-1143,-359.36796059113,-1053.74,-56.2219148089646,-465.9</t>
  </si>
  <si>
    <t>2025-05-02 10:29:00,256388130.491098,163069851.703924,-915.675,-1257,-11122.03975,-11399.57,4.57709203247198,-401.83</t>
  </si>
  <si>
    <t>2025-05-02 10:29:00,55244431.866988,429902.212300744,-42.0456132756133,-16,-1009.10278730159,-544.9,-0.0227984903706184,-6.7</t>
  </si>
  <si>
    <t>2025-05-02 10:31:00,575,,566,,575,,563.5,,,,,566,560</t>
  </si>
  <si>
    <t>2025-05-02 10:31:00,490,,490,,470,,487.5,,,,,490,485</t>
  </si>
  <si>
    <t>2025-05-02 10:31:00,5700,,5700,,5600,,5595,,,,,5700,5600</t>
  </si>
  <si>
    <t>2025-05-02 10:31:00,20100,,20200,,19475,,20050,,,,,20200,19400</t>
  </si>
  <si>
    <t>2025-05-02 10:31:00,2878685362.07817,4902622245.16968,-19472.9952380952,-10444,-25651.8945714286,-12889.66,-182.51878395204,-4293.83</t>
  </si>
  <si>
    <t>2025-05-02 10:31:00,1796822057.2751,3451149934.82435,-8469.55945717962,-4260,-8922.53400758859,-4536.88,138.996297437249,-1429.28</t>
  </si>
  <si>
    <t>2025-05-02 10:31:00,256147858.913939,168054715.240656,-2227.62000000001,-1166,-22243.6093000001,-4888.55,6.64412774362285,-116.94</t>
  </si>
  <si>
    <t>2025-05-02 10:31:00,55999744.4838682,421121.922677868,-20.3155783799534,-14,-725.520213243007,-531.72,0.00857944436723691,-5.08</t>
  </si>
  <si>
    <t>2025-05-02 10:32:00,575,,566,,575,,563.5,,,,,566,560</t>
  </si>
  <si>
    <t>2025-05-02 10:32:00,490,,490,,470,,487.5,,488,,,490,485</t>
  </si>
  <si>
    <t>2025-05-02 10:32:00,5700,,5700,,5600,,5595,5670,,,,5700,5600</t>
  </si>
  <si>
    <t>2025-05-02 10:32:00,20100,,20200,,19475,,20050,,,,,20200,19400</t>
  </si>
  <si>
    <t>2025-05-02 10:32:00,3033482045.83138,6386414671.94001,5348.23620794416,7600,6476.83187688929,5931.19,597.567520804903,2286.11</t>
  </si>
  <si>
    <t>2025-05-02 10:32:00,1870329786.63982,4043462468.49852,-1253.96507936508,-1273,-1225.5430952381,-2435.11,-118.49208183066,-587.12</t>
  </si>
  <si>
    <t>2025-05-02 10:32:00,261224471.948784,210015558.401532,851.266666666665,797,-13587.8460000001,8594.05,-5.87010863892102,296.92</t>
  </si>
  <si>
    <t>2025-05-02 10:32:00,56092195.638093,551441.713524413,-45.4075423812758,-33,-1552.10760106423,-882.25,-0.0354528457838514,-8.54</t>
  </si>
  <si>
    <t>2025-05-02 10:33:00,575,,566,,575,,563.5,,,,565,566,560</t>
  </si>
  <si>
    <t>2025-05-02 10:33:00,490,,490,,470,,487.5,,,,,490,480</t>
  </si>
  <si>
    <t>2025-05-02 10:33:00,5700,,5700,,5600,,5595,,,,,5700,5600</t>
  </si>
  <si>
    <t>2025-05-02 10:33:00,20100,,20200,,19475,,20050,,,,,20200,19400</t>
  </si>
  <si>
    <t>2025-05-02 10:33:00,3025004680.17544,6006084918.7765,2869.575,2223,809.08058333333,-907.38,8.485384673416,-99.1499999999998</t>
  </si>
  <si>
    <t>2025-05-02 10:33:00,1907797784.82345,3797718465.16662,1097.3683982684,1718,1203.40300000001,1206.92,7.02476080506879,446.96</t>
  </si>
  <si>
    <t>2025-05-02 10:33:00,259308711.124429,202266366.738211,982.441666666666,1148,19119.7434166666,14916.79,1.22560557739632,464.09</t>
  </si>
  <si>
    <t>2025-05-02 10:33:00,55193836.1696375,493933.742703428,-83.7843650793651,10,418.56401031746,573.05,-0.00368102945219582,5.57</t>
  </si>
  <si>
    <t>2025-05-02 10:34:00,575,,566,,575,,563.5,,,,,566,560</t>
  </si>
  <si>
    <t>2025-05-02 10:34:00,490,,490,,470,,487.5,,,,,490,480</t>
  </si>
  <si>
    <t>2025-05-02 10:34:00,5700,,5700,,5600,,5595,,,,,5700,5600</t>
  </si>
  <si>
    <t>2025-05-02 10:34:00,20100,,20200,,19475,,20050,,,,,20200,19400</t>
  </si>
  <si>
    <t>2025-05-02 10:34:00,3007736881.37004,7682498481.28228,11237.0563325563,2417,10123.2976398602,1656.28,76.4361870776101,812.43</t>
  </si>
  <si>
    <t>2025-05-02 10:34:00,1852058581.09754,4169830022.10127,-537.534161490691,-273,-329.63163561077,-290.04,8.85227057372071,-63.85</t>
  </si>
  <si>
    <t>2025-05-02 10:34:00,260433319.281143,216287775.06976,-1143.56333333333,-1049,-13875.4798666667,-6450.38,1.05238988235722,-215.09</t>
  </si>
  <si>
    <t>2025-05-02 10:34:00,55995610.9473799,535047.803258457,-6.20384790528233,-8,-137.045006960708,-180.42,-0.00644564029411923,-2</t>
  </si>
  <si>
    <t>2025-05-02 10:35:00,575,,566,,575,,563.5,,,,,566,560</t>
  </si>
  <si>
    <t>2025-05-02 10:35:00,490,,490,,470,,487.5,,,,,490,480</t>
  </si>
  <si>
    <t>2025-05-02 10:35:00,5700,,5700,,5600,,5595,,,,,5700,5600</t>
  </si>
  <si>
    <t>2025-05-02 10:35:00,20100,,20200,,19475,,20050,,,,,20200,19400</t>
  </si>
  <si>
    <t>2025-05-02 10:35:00,3033695078.84423,5382446113.34152,4485.2023809524,-1275,5863.95636904763,-2094.45,-157.38617854002,-887.69</t>
  </si>
  <si>
    <t>2025-05-02 10:35:00,1922599886.21208,3869622772.6395,579.379261224092,80,563.216722320467,115.37,-54.5961864443902,0.78999999999999</t>
  </si>
  <si>
    <t>2025-05-02 10:35:00,259303827.324585,199226248.719931,1612.3,848,14190.9911666667,5911.92,-3.40555509595441,195.58</t>
  </si>
  <si>
    <t>2025-05-02 10:35:00,56550167.9944315,490956.02515173,3.49079365079365,7,106.419453968254,172.3,-0.00430550330901179,1.59</t>
  </si>
  <si>
    <t>2025-05-02 10:36:00,575,,566,,575,,563.5,,,,,566,560</t>
  </si>
  <si>
    <t>2025-05-02 10:36:00,490,,490,,470,,487.5,,,,,490,480</t>
  </si>
  <si>
    <t>2025-05-02 10:36:00,5700,,5700,,5600,,5595,,,,,5700,5600</t>
  </si>
  <si>
    <t>2025-05-02 10:36:00,20100,,20200,,19475,,20050,,,,,20200,19400</t>
  </si>
  <si>
    <t>2025-05-02 10:36:00,3041601500.18067,5751686236.10308,2606.41984126985,-356,3577.46892207793,25.06,323.994401155258,42</t>
  </si>
  <si>
    <t>2025-05-02 10:36:00,1943939278.12483,3827564040.31546,1353.32857142857,-79,1173.961,6.49999999999996,3.93824683677808,-20.63</t>
  </si>
  <si>
    <t>2025-05-02 10:36:00,257805740.499379,205081429.232942,833.523721015825,933,5120.72433014352,4985.67,0.997435670172401,200.55</t>
  </si>
  <si>
    <t>2025-05-02 10:36:00,56159026.1362141,510602.526629426,6.38977272727273,4,189.659113636364,129.03,0.00340243244129267,1.26</t>
  </si>
  <si>
    <t>2025-05-02 10:37:00,575,,566,,575,,563.5,565,,,,566,560</t>
  </si>
  <si>
    <t>2025-05-02 10:37:00,490,,490,,470,,487.5,,,,,490,480</t>
  </si>
  <si>
    <t>2025-05-02 10:37:00,5700,,5700,,5600,,5595,,,,,5700,5600</t>
  </si>
  <si>
    <t>2025-05-02 10:37:00,20100,,20200,,19475,,20050,,,,,20200,19400</t>
  </si>
  <si>
    <t>2025-05-02 10:37:00,3087823452.88973,6956461994.77306,2420.77623573744,4011,3307.03840317249,4565.68,244.039468177401,1609.06</t>
  </si>
  <si>
    <t>2025-05-02 10:37:00,1960721451.50011,4146509327.71853,611.347207846864,569,424.623127380262,-24.5,61.7611243254357,112.04</t>
  </si>
  <si>
    <t>2025-05-02 10:37:00,261543097.485397,221453451.725086,-417.437619047618,-341,-5640.93686666666,-9181.36,-0.479219822215597,-261.45</t>
  </si>
  <si>
    <t>2025-05-02 10:37:00,58656218.5875272,558347.273797033,-0.383333333333332,-4,-5.90999999999993,-77.7,-0.00314095799010135,-0.95</t>
  </si>
  <si>
    <t>2025-05-02 10:38:00,575,,566,,575,,563.5,,,,,566,560</t>
  </si>
  <si>
    <t>2025-05-02 10:38:00,490,,490,,470,,487.5,,,,,490,480</t>
  </si>
  <si>
    <t>2025-05-02 10:38:00,5700,,5700,,5600,,5595,,,,,5700,5600</t>
  </si>
  <si>
    <t>2025-05-02 10:38:00,20100,,20200,,19475,,20050,,,,,20200,19400</t>
  </si>
  <si>
    <t>2025-05-02 10:38:00,3039267860.76148,6948622187.14207,-386.635714285713,-1331,-13.8981031745985,-54.0100000000003,-246.98600233832,-377.85</t>
  </si>
  <si>
    <t>2025-05-02 10:38:00,1914109155.20791,4200803585.24997,-28.3204886704869,-401,101.84205651106,-84.0399999999999,-12.257626897587,-75.6</t>
  </si>
  <si>
    <t>2025-05-02 10:38:00,258566482.566298,221504843.768014,-57.2583333333318,-576,6417.7744166667,-460.4,0.248556619865511,-105.38</t>
  </si>
  <si>
    <t>2025-05-02 10:38:00,55941301.106329,542732.999240908,-0.433333333333336,-4,2.09866666666665,-25,-0.00451836313257937,-0.42</t>
  </si>
  <si>
    <t>2025-05-02 10:39:00,575,,566,,575,,563.5,566,,,,566,560</t>
  </si>
  <si>
    <t>2025-05-02 10:39:00,490,,490,,470,,487.5,,,,,490,480</t>
  </si>
  <si>
    <t>2025-05-02 10:39:00,5700,,5700,,5600,,5595,,,,,5700,5600</t>
  </si>
  <si>
    <t>2025-05-02 10:39:00,20100,,20200,,19475,,20050,,,,,20200,19400</t>
  </si>
  <si>
    <t>2025-05-02 10:39:00,3188790319.33029,7768499016.34426,4246.48524531025,5861,3280.36984559885,2323.12,287.714067101232,1163.85</t>
  </si>
  <si>
    <t>2025-05-02 10:39:00,1978429024.95517,4355352979.55449,153.338401253919,44,1234.37065778475,994.46,85.9040794618388,446.7</t>
  </si>
  <si>
    <t>2025-05-02 10:39:00,263997844.199038,239327234.740281,277.896666666668,746,948.159599999912,1853.57,4.07024445255331,57.49</t>
  </si>
  <si>
    <t>2025-05-02 10:39:00,59664001.136177,604350.237784888,-29.7049603174603,-37,-330.224795634921,-512.58,-0.0119255419181303,-5.59</t>
  </si>
  <si>
    <t>2025-05-02 10:40:00,575,,566,,575,,563.5,,566,,,566,560</t>
  </si>
  <si>
    <t>2025-05-02 10:40:00,490,,490,,470,,487.5,,,,,490,480</t>
  </si>
  <si>
    <t>2025-05-02 10:40:00,5700,,5700,,5600,,5615,,,,,5700,5600</t>
  </si>
  <si>
    <t>2025-05-02 10:40:00,20100,,20200,,19475,,20050,,,,,20200,19400</t>
  </si>
  <si>
    <t>2025-05-02 10:40:00,3119222442.79737,8688764747.86594,-9705.05389610389,-9355,-11610.0598538961,-10202.36,-262.756214218715,-4032.27</t>
  </si>
  <si>
    <t>2025-05-02 10:40:00,1908937723.783,4485850258.08729,-2322.52993443754,-2533,-2143.16567977915,-2418.5,-11.5261478691435,-1000.93</t>
  </si>
  <si>
    <t>2025-05-02 10:40:00,264210640.81271,244004964.498204,-1468.81666666667,-1366,-10132.0266666666,-8583.24,-1.52094930771521,-443.98</t>
  </si>
  <si>
    <t>2025-05-02 10:40:00,59759311.7546298,607995.881011962,1.59730969760166,-3,202.344643587069,-257.35,-0.0141825951994517,-2.42</t>
  </si>
  <si>
    <t>2025-05-02 10:41:00,575,,566,,575,,563.5,,566,,,566,560</t>
  </si>
  <si>
    <t>2025-05-02 10:41:00,490,,490,,470,,487.5,,,,,490,480</t>
  </si>
  <si>
    <t>2025-05-02 10:41:00,5700,,5700,,5600,,5595,,,,,5700,5600</t>
  </si>
  <si>
    <t>2025-05-02 10:41:00,20100,,20200,,19475,,20050,,,,,20200,19400</t>
  </si>
  <si>
    <t>2025-05-02 10:41:00,3197909131.85978,8004204982.4566,4677.09285714286,3658,5500.62357142857,1999.02,-132.947568265024,644.28</t>
  </si>
  <si>
    <t>2025-05-02 10:41:00,1986807808.81032,4321757358.89786,1070.52649659333,1945,1202.60193679895,1608,68.5298995252589,651.57</t>
  </si>
  <si>
    <t>2025-05-02 10:41:00,261789629.94047,247265137.126084,686.261666666667,987,9201.69368333334,8049.8,0.969380156642599,233.54</t>
  </si>
  <si>
    <t>2025-05-02 10:41:00,59020398.9577597,611708.125177342,3.81500000000001,11,52.6057666666667,85.4,0.0125821327601761,1.26</t>
  </si>
  <si>
    <t>2025-05-02 10:42:00,575,,566,,575,,563.5,,566,,,566,560</t>
  </si>
  <si>
    <t>2025-05-02 10:42:00,490,,490,,470,,487.5,,489,,,490,480</t>
  </si>
  <si>
    <t>2025-05-02 10:42:00,5700,,5700,,5600,,5595,,,,,5700,5600</t>
  </si>
  <si>
    <t>2025-05-02 10:42:00,20100,,20200,,19475,,20050,,,,,20200,19400</t>
  </si>
  <si>
    <t>2025-05-02 10:42:00,3194071604.67873,8624781823.36729,-2681.33888888889,-3981,-4470.83769047619,-8121.9,-191.27905546121,-2759.96</t>
  </si>
  <si>
    <t>2025-05-02 10:42:00,1917069386.81889,4733488601.9206,-1145.18247009695,490,-1073.85967369259,-335.02,-128.846345171673,-54.0700000000001</t>
  </si>
  <si>
    <t>2025-05-02 10:42:00,261993306.931076,256054759.57065,-123.896666666667,-66,3854.09733333331,2918.78,5.00473972236678,19.58</t>
  </si>
  <si>
    <t>2025-05-02 10:42:00,58270127.491779,691043.909020371,4.58722690894573,-44,1549.04052043855,-1868.22,-0.0621660273929695,-19.46</t>
  </si>
  <si>
    <t>2025-05-02 10:43:00,575,,566,,575,,563.5,,,,,566,560</t>
  </si>
  <si>
    <t>2025-05-02 10:43:00,490,,490,,470,,487.5,,489,,,490,480</t>
  </si>
  <si>
    <t>2025-05-02 10:43:00,5700,,5700,,5600,,5615,,,,,5700,5600</t>
  </si>
  <si>
    <t>2025-05-02 10:43:00,20100,,20200,,19475,,20050,,,,,20200,19400</t>
  </si>
  <si>
    <t>2025-05-02 10:43:00,3223322500.47911,8782928399.24422,-3217.59166666667,-3792,-3486.47216666667,-4699.59,47.290354361702,-1615.69</t>
  </si>
  <si>
    <t>2025-05-02 10:43:00,1948253988.31284,4701478337.84562,-897.962265512266,-2180,-449.052819624819,-2536.89,-135.572244800876,-963.1</t>
  </si>
  <si>
    <t>2025-05-02 10:43:00,265170861.807388,253722297.737828,107.175000000001,-91,-1611.83575000003,-2365.37,1.45114672348004,-4.58000000000001</t>
  </si>
  <si>
    <t>2025-05-02 10:43:00,58244739.961714,699266.575586215,-8.40269940787183,-25,-142.978923807036,-366.13,-0.00661933148274415,-4.89</t>
  </si>
  <si>
    <t>2025-05-02 10:44:00,575,,566,,575,,563.5,,,,,566,560</t>
  </si>
  <si>
    <t>2025-05-02 10:44:00,490,,490,,470,,487.5,,,,,490,485</t>
  </si>
  <si>
    <t>2025-05-02 10:44:00,5700,,5700,,5600,,5595,,,,,5700,5600</t>
  </si>
  <si>
    <t>2025-05-02 10:44:00,20100,,20200,,19475,,20050,,,,,20200,19400</t>
  </si>
  <si>
    <t>2025-05-02 10:44:00,3220761220.42562,8488046114.86758,1651.9367965368,4005,2144.59600432901,2799.96,222.285948664344,1099.94</t>
  </si>
  <si>
    <t>2025-05-02 10:44:00,1996869766.50166,4611761738.50262,-135.956770179336,950,-81.7532407997676,-291.76,-64.5213265675522,-102.49</t>
  </si>
  <si>
    <t>2025-05-02 10:44:00,264604898.461903,258447818.573776,278.779999999996,268,-2857.95360000005,-2420.78,0.183799372011685,-2.46999999999999</t>
  </si>
  <si>
    <t>2025-05-02 10:44:00,58640404.5893432,719575.468870935,-4.14851348504003,-10,-61.6232901812052,-286.31,-0.0181727088137966,-3.27</t>
  </si>
  <si>
    <t>2025-05-02 10:45:00,575,,566,,575,,563.5,,,,,566,560</t>
  </si>
  <si>
    <t>2025-05-02 10:45:00,490,,490,,470,,487.5,,,,,490,485</t>
  </si>
  <si>
    <t>2025-05-02 10:45:00,5700,,5700,,5600,,5615,,,,,5700,5600</t>
  </si>
  <si>
    <t>2025-05-02 10:45:00,20100,,20200,,19475,,20050,,,,,20200,19400</t>
  </si>
  <si>
    <t>2025-05-02 10:45:00,3251892905.54211,9236694328.12302,-219.909523809524,-342,598.12519047619,-255.44,-77.7387907167523,-198.11</t>
  </si>
  <si>
    <t>2025-05-02 10:45:00,2005010045.30875,4736286422.501,1252.81015037594,1510,1554.48193609023,1442.97,105.069705930569,590.22</t>
  </si>
  <si>
    <t>2025-05-02 10:45:00,266005733.780992,260593910.036748,-168.191666666667,-89,-1181.04191666665,-3789.81,0.244388624049872,-123.36</t>
  </si>
  <si>
    <t>2025-05-02 10:45:00,58859084.8741227,717018.818565287,-8.17205627705628,23,21.5971320346321,492.82,-0.0129426707333017,5.34</t>
  </si>
  <si>
    <t>2025-05-02 10:46:00,575,,566,,575,,563.5,,,,,566,560</t>
  </si>
  <si>
    <t>2025-05-02 10:46:00,490,,490,,470,,487.5,489,,,,490,485</t>
  </si>
  <si>
    <t>2025-05-02 10:46:00,5700,,5700,,5600,,5595,,,,,5700,5600</t>
  </si>
  <si>
    <t>2025-05-02 10:46:00,20100,,20200,,19475,,20050,,,,,20200,19400</t>
  </si>
  <si>
    <t>2025-05-02 10:46:00,3257685818.27423,9138725040.74282,3528.13304473303,4246,4546.55163672437,2382.89,-267.321052636321,973.51</t>
  </si>
  <si>
    <t>2025-05-02 10:46:00,2020630501.56264,4816630393.43029,1750.08768578606,1369,1882.85943011515,181.35,-199.395960879948,78.96</t>
  </si>
  <si>
    <t>2025-05-02 10:46:00,265968218.391515,267514105.561184,1707.375,1762,13443.3424166667,10165.91,1.86571963375281,447.88</t>
  </si>
  <si>
    <t>2025-05-02 10:46:00,59796201.774811,748250.761729219,4.93811355200427,-7,153.845273426661,-317.76,-0.00736009388720139,-3.1</t>
  </si>
  <si>
    <t>2025-05-02 10:47:00,575,,566,,575,,563.5,,,,,566,560</t>
  </si>
  <si>
    <t>2025-05-02 10:47:00,490,,490,,470,,487.5,,,,,490,485</t>
  </si>
  <si>
    <t>2025-05-02 10:47:00,5700,,5700,,5600,,5595,,,,,5700,5600</t>
  </si>
  <si>
    <t>2025-05-02 10:47:00,20100,,20200,,19475,,20050,,,,,20200,19400</t>
  </si>
  <si>
    <t>2025-05-02 10:47:00,3235819912.18285,9236414474.89359,-1159.20714285714,-2167,1903.15332142861,-768.15,193.711662188359,-935.45</t>
  </si>
  <si>
    <t>2025-05-02 10:47:00,1984806386.48708,4861820582.85292,-1753.99488400488,-1919,-1725.38744542125,-2229.96,64.8684261315449,-860.86</t>
  </si>
  <si>
    <t>2025-05-02 10:47:00,264991661.61129,265760170.518883,304.416666666667,561,1643.47583333335,2080.11,1.9438886477355,79.6</t>
  </si>
  <si>
    <t>2025-05-02 10:47:00,57495340.7123573,753598.979675781,-5.93900432900435,-6,-46.304881818182,-95.6,-0.0110771107517421,-1.4</t>
  </si>
  <si>
    <t>2025-05-02 10:48:00,575,,566,,575,,563.5,566,,,,566,560</t>
  </si>
  <si>
    <t>2025-05-02 10:48:00,490,,490,,470,,487.5,,,,,490,485</t>
  </si>
  <si>
    <t>2025-05-02 10:48:00,5700,,5700,,5600,,5615,,,,,5700,5600</t>
  </si>
  <si>
    <t>2025-05-02 10:48:00,20100,,20200,,19475,,20050,,,,,20200,19400</t>
  </si>
  <si>
    <t>2025-05-02 10:48:00,3270184700.75975,9488508163.27375,-334.79181096681,-957,528.009950216451,-934.75,87.5740554726354,-271.56</t>
  </si>
  <si>
    <t>2025-05-02 10:48:00,1916218466.59504,4969892166.41628,16.201000690138,-807,4451.23795893722,3898.28,148.39368878474,397.42</t>
  </si>
  <si>
    <t>2025-05-02 10:48:00,265223886.690351,268225249.669557,-21.0166666666653,272,-3420.11016666665,-1961.68,9.28886331433507,-14.16</t>
  </si>
  <si>
    <t>2025-05-02 10:48:00,58350078.6344401,782782.523736725,-11.8621428571429,-10,-258.765500000001,-442.07,0.0195714541509708,-4.12</t>
  </si>
  <si>
    <t>2025-05-02 10:49:00,575,,566,,575,,563.5,,,,,566,560</t>
  </si>
  <si>
    <t>2025-05-02 10:49:00,490,,490,,470,,487.5,489,,,,490,485</t>
  </si>
  <si>
    <t>2025-05-02 10:49:00,5700,,5700,,5600,,5615,,,,,5700,5600</t>
  </si>
  <si>
    <t>2025-05-02 10:49:00,20100,,20200,,19475,,20050,,,,,20200,19400</t>
  </si>
  <si>
    <t>2025-05-02 10:49:00,3255795200.55093,9687382841.01566,-600.399999999991,-2541,-9.83349999998261,-3271.21,358.206618185445,-1212.95</t>
  </si>
  <si>
    <t>2025-05-02 10:49:00,1976706436.00875,5040620597.90271,-497.948822751319,-23,-150.692209656083,-467.23,2.79343642862379,-287.88</t>
  </si>
  <si>
    <t>2025-05-02 10:49:00,265380128.143546,278315932.482521,168.326666666664,-438,6906.7763,-3080.61,-3.33510561761593,-217.07</t>
  </si>
  <si>
    <t>2025-05-02 10:49:00,58098229.3607373,789982.084231277,4.94137955182072,-6,100.099929341737,17.33,-0.0249322083399909,-0.39</t>
  </si>
  <si>
    <t>2025-05-02 10:50:00,575,,566,,575,,563.5,,,,,566,560</t>
  </si>
  <si>
    <t>2025-05-02 10:50:00,490,,490,,470,,487.5,,,,,490,485</t>
  </si>
  <si>
    <t>2025-05-02 10:50:00,5700,,5700,,5600,,5615,,,,,5700,5600</t>
  </si>
  <si>
    <t>2025-05-02 10:50:00,20100,,20200,,19475,,20050,,,,,20200,19400</t>
  </si>
  <si>
    <t>2025-05-02 10:50:00,3163843085.27186,11508653733.7236,3550.93333333328,2508,6854.6131904761,3567.75,-107.91231617689,1563.25</t>
  </si>
  <si>
    <t>2025-05-02 10:50:00,1883874056.23939,5423938166.72345,729.275139167867,781,2132.98929294667,1522.06,133.884184451744,458.55</t>
  </si>
  <si>
    <t>2025-05-02 10:50:00,262680786.394569,287544563.685704,9.43666666666914,-406,-214.412899999972,-4199.21,2.16532910646215,-185.23</t>
  </si>
  <si>
    <t>2025-05-02 10:50:00,55706123.5816688,803635.078975714,21.552886002886,24,125.988000721501,82.32,0.027602737727032,1.58</t>
  </si>
  <si>
    <t>2025-05-02 10:51:00,575,,566,,575,,563.5,,,,,566,560</t>
  </si>
  <si>
    <t>2025-05-02 10:51:00,490,,490,,470,,487.5,,,,,490,485</t>
  </si>
  <si>
    <t>2025-05-02 10:51:00,5700,,5700,,5600,,5615,,,,,5700,5600</t>
  </si>
  <si>
    <t>2025-05-02 10:51:00,20100,,20200,,19475,,20050,,,,,20200,19400</t>
  </si>
  <si>
    <t>2025-05-02 10:51:00,3213349093.57614,8477112319.86654,-1027.72041847042,-3059,-499.673149350645,-2480.51,528.999408003574,-888.88</t>
  </si>
  <si>
    <t>2025-05-02 10:51:00,2004070678.66194,4700264936.79792,-4596.88560257001,-4583,-5359.96214821077,-2598.88,127.231186473242,-1315.78</t>
  </si>
  <si>
    <t>2025-05-02 10:51:00,262525189.980887,266627782.922029,2989.21166666666,842,307750.090049999,61543.47,5.5402001049185,575.1</t>
  </si>
  <si>
    <t>2025-05-02 10:51:00,57245613.2908435,746220.694587253,20.4681901247266,9,2144.31729301692,2227.4,0.0175220406422202,6.4</t>
  </si>
  <si>
    <t>2025-05-02 10:52:00,575,,566,,575,,563.5,,,,,566,560</t>
  </si>
  <si>
    <t>2025-05-02 10:52:00,490,,490,,470,,487.5,,,488,,490,485</t>
  </si>
  <si>
    <t>2025-05-02 10:52:00,5700,,5700,,5600,,5615,,,5670,,5700,5600</t>
  </si>
  <si>
    <t>2025-05-02 10:52:00,20100,,20200,,19475,,20050,,,,,20200,19400</t>
  </si>
  <si>
    <t>2025-05-02 10:52:00,3174142098.9019,8424926781.75465,-11447.5542207792,-9619,-9097.62818290044,-8625.88,953.180311379307,-3587.1</t>
  </si>
  <si>
    <t>2025-05-02 10:52:00,2013338510.38876,4485406703.38843,-1890.11993173011,-1139,-2548.38771815323,-2440.4,135.847450168285,-640.91</t>
  </si>
  <si>
    <t>2025-05-02 10:52:00,264657165.734636,245946355.697211,-1590.87083333333,-1027,-7868.55995833332,-3187.08,-9.10444177303199,-177.68</t>
  </si>
  <si>
    <t>2025-05-02 10:52:00,57870810.7742821,644896.948960525,17.1202894491129,11,1176.70894976657,890.13,-0.0106794841674002,9.36</t>
  </si>
  <si>
    <t>2025-05-02 10:53:00,575,,566,,575,,563.5,,,,,566,560</t>
  </si>
  <si>
    <t>2025-05-02 10:53:00,490,,490,,470,,487.5,,,,,490,485</t>
  </si>
  <si>
    <t>2025-05-02 10:53:00,5700,,5700,,5600,,5615,,,,,5700,5600</t>
  </si>
  <si>
    <t>2025-05-02 10:53:00,20100,,20200,,19475,,20050,,,,,20200,19400</t>
  </si>
  <si>
    <t>2025-05-02 10:53:00,3270841502.48116,9394511914.93138,2335.52051282051,6160,4396.07627014652,8014.05,152.765043033686,3060.8</t>
  </si>
  <si>
    <t>2025-05-02 10:53:00,1995678770.61438,4634369013.76261,2443.82738095238,1457,2952.52418650794,1441.89,-37.9679395871124,598.51</t>
  </si>
  <si>
    <t>2025-05-02 10:53:00,265169867.695888,269635281.315722,590.464909034844,572,1644.13881205675,-1419.67,0.369384924057064,74.55</t>
  </si>
  <si>
    <t>2025-05-02 10:53:00,59686553.1789715,726158.985767786,-34.8037698412698,-13,-810.600255952382,-239.68,0.0101937708740181,-2.11</t>
  </si>
  <si>
    <t>2025-05-02 10:55:00,575,,566,,575,,563.5,,,,,566,560</t>
  </si>
  <si>
    <t>2025-05-02 10:55:00,490,,490,,470,,487.5,,,,,490,485</t>
  </si>
  <si>
    <t>2025-05-02 10:55:00,5700,,5700,,5600,,5615,,,,,5700,5600</t>
  </si>
  <si>
    <t>2025-05-02 10:55:00,20100,,20200,,19475,,20050,,,,,20200,19400</t>
  </si>
  <si>
    <t>2025-05-02 10:55:00,3217566763.3418,8679043273.89322,-1355.23809523808,-1582,7672.60682539687,2065.42,56.7301651092629,-355.87</t>
  </si>
  <si>
    <t>2025-05-02 10:55:00,1995679298.01388,4456959148.04227,-1027.28529411765,-516,-642.496969696972,-137.92,-93.1838749201971,-83.5000000000001</t>
  </si>
  <si>
    <t>2025-05-02 10:55:00,264022529.741138,262923106.440703,-815.116666666668,-598,-3585.09266666669,-1519.04,-0.482585838216591,-139.74</t>
  </si>
  <si>
    <t>2025-05-02 10:55:00,57056791.6891495,662089.059653403,7.22857142857143,13,287.145285714286,702.08,-0.0242637187945843,6.74</t>
  </si>
  <si>
    <t>2025-05-02 10:56:00,575,,566,,575,,563.5,,,,,566,560</t>
  </si>
  <si>
    <t>2025-05-02 10:56:00,490,,490,,470,,487.5,,,,,490,485</t>
  </si>
  <si>
    <t>2025-05-02 10:56:00,5700,,5700,,5600,,5615,,,,,5700,5600</t>
  </si>
  <si>
    <t>2025-05-02 10:56:00,20100,,20200,,19475,,20050,,,,,20200,19400</t>
  </si>
  <si>
    <t>2025-05-02 10:56:00,3276840671.46385,9685306739.60854,807.950613275614,1572,3411.03148304473,2797.19,381.830352339115,1116.32</t>
  </si>
  <si>
    <t>2025-05-02 10:56:00,1992536961.50454,4701548010.04691,224.989285714287,1002,635.417154761906,578.13,20.0477551244237,291.71</t>
  </si>
  <si>
    <t>2025-05-02 10:56:00,266504395.851639,279419778.33138,495.81,1017,5855.8345,7482.42,-0.753360930071641,267.34</t>
  </si>
  <si>
    <t>2025-05-02 10:56:00,59364514.5644953,718821.327078933,-3.72380952380952,-9,84.8747142857143,-13,0.0124614039185584,-0.15</t>
  </si>
  <si>
    <t>2025-05-02 10:57:00,575,,566,,575,,563.5,,,,,566,560</t>
  </si>
  <si>
    <t>2025-05-02 10:57:00,490,,490,,470,,487.5,,,,,490,485</t>
  </si>
  <si>
    <t>2025-05-02 10:57:00,5700,,5700,,5600,,5615,,,,,5700,5600</t>
  </si>
  <si>
    <t>2025-05-02 10:57:00,20100,,20200,,19475,,20050,,,,,20200,19400</t>
  </si>
  <si>
    <t>2025-05-02 10:57:00,3289315774.06445,10115952305.3539,1242.21372287133,-62,644.880651015645,-1761.38,515.609326045572,-419.78</t>
  </si>
  <si>
    <t>2025-05-02 10:57:00,1996270865.35264,4907712918.78878,663.263227513228,598,605.696084656086,337.14,233.064766972721,217.75</t>
  </si>
  <si>
    <t>2025-05-02 10:57:00,266893657.829329,288061168.067681,852.133333333334,1733,4558.56733333333,6984.18,0.585620203382698,335.44</t>
  </si>
  <si>
    <t>2025-05-02 10:57:00,60591979.6343151,765539.709526317,-9.11258278145696,-13,-339.531788079471,-578.15,-0.0118650271433989,-5.08</t>
  </si>
  <si>
    <t>2025-05-02 10:58:00,575,,566,,575,,563.5,,,,,566,560</t>
  </si>
  <si>
    <t>2025-05-02 10:58:00,490,,490,,470,,487.5,,,,,490,485</t>
  </si>
  <si>
    <t>2025-05-02 10:58:00,5700,,5700,,5600,,5615,,,,,5700,5600</t>
  </si>
  <si>
    <t>2025-05-02 10:58:00,20100,,20200,,19475,,20050,,,,,20200,19400</t>
  </si>
  <si>
    <t>2025-05-02 10:58:00,3277440003.30276,10208141861.048,353.261111111111,378,415.104904761904,-291.19,51.9614792173914,-2.20999999999999</t>
  </si>
  <si>
    <t>2025-05-02 10:58:00,1976387788.40803,4966635099.7189,2442.61587301587,2871,6860.78266666666,6577.58,125.235015662402,1684.8</t>
  </si>
  <si>
    <t>2025-05-02 10:58:00,264752041.157846,287535018.238242,129.366666666666,41,-399.919666666669,-202.25,-3.01491964737323,-20.9</t>
  </si>
  <si>
    <t>2025-05-02 10:58:00,58575623.9367291,790501.948737669,-0.204761904761905,-4,-36.0837619047618,-158.71,-0.00705839655113459,-1.76</t>
  </si>
  <si>
    <t>2025-05-02 10:59:00,575,,566,,575,,563.5,,,,,566,560</t>
  </si>
  <si>
    <t>2025-05-02 10:59:00,490,,490,,490,,487.5,,,,,490,485</t>
  </si>
  <si>
    <t>2025-05-02 10:59:00,5700,,5700,,5600,,5615,,,,,5700,5600</t>
  </si>
  <si>
    <t>2025-05-02 10:59:00,20100,,20200,,19475,,20050,,,,,20200,19400</t>
  </si>
  <si>
    <t>2025-05-02 10:59:00,3335554712.26262,10711357117.3394,3716.07142857144,4822,3426.51273809527,2540.87,56.59332995423,1403.63</t>
  </si>
  <si>
    <t>2025-05-02 10:59:00,1984482124.59886,5215861869.94092,1186.99279391034,2281,2604.04399136562,1251.53,-368.755160819837,652.38</t>
  </si>
  <si>
    <t>2025-05-02 10:59:00,266366677.661039,306286078.183939,-29.3642857142857,-77,-1710.5536428571,-3882.29,-2.50767477497119,-41.29</t>
  </si>
  <si>
    <t>2025-05-02 10:59:00,60453515.5173045,854488.812072436,-59.896750308515,-60,-1010.4814937298,-780.04,0.0139483457479483,-8.77</t>
  </si>
  <si>
    <t>2025-05-02 11:00:00,575,,566,,575,,563.5,,,,,566,560</t>
  </si>
  <si>
    <t>2025-05-02 11:00:00,490,,490,,490,,487.5,,,,,490,485</t>
  </si>
  <si>
    <t>2025-05-02 11:00:00,5700,,5700,,5600,,5615,,,,,5700,5600</t>
  </si>
  <si>
    <t>2025-05-02 11:00:00,20100,,20200,,19475,,20050,,,,,20200,19400</t>
  </si>
  <si>
    <t>2025-05-02 11:00:00,3287644541.92967,10642245706.4316,4835.00595238095,7945,6463.59940476192,1507.73,-185.946980497528,1795.21</t>
  </si>
  <si>
    <t>2025-05-02 11:00:00,1984091322.79401,5201566169.08688,2157.88743506752,3114,3280.67211920835,4121.13,120.398097492359,1308.66</t>
  </si>
  <si>
    <t>2025-05-02 11:00:00,265417955.705805,299853656.243451,1062.98333333334,360,15126.5506666667,5662.37,5.06494840559427,159.94</t>
  </si>
  <si>
    <t>2025-05-02 11:00:00,58071618.1189204,805146.831975728,0.118008478123972,-18,16931.9710866179,12322.55,0.0227890939509731,23.6</t>
  </si>
  <si>
    <t>2025-05-02 11:01:00,570,,566,,575,,564,,,,,566,560</t>
  </si>
  <si>
    <t>2025-05-02 11:01:00,490,,490,,490,,487.5,490,,,,490,485</t>
  </si>
  <si>
    <t>2025-05-02 11:01:00,5700,,5700,,5650,,5595,,5700,,,5700,5600</t>
  </si>
  <si>
    <t>2025-05-02 11:01:00,20100,,20200,,19475,,20050,,,,,20200,19400</t>
  </si>
  <si>
    <t>2025-05-02 11:01:00,3359030230.3789,15643964140.2338,5116.57878862651,2910,16615.7786323815,11867.06,-854.300295814255,2915.22</t>
  </si>
  <si>
    <t>2025-05-02 11:01:00,2008175733.28505,7439920054.47057,1425.84387317298,-2869,9829.38235489487,-1533.28,217.769224798767,-800.61</t>
  </si>
  <si>
    <t>2025-05-02 11:01:00,273812959.051426,482349522.225611,402.680002400188,-88,5922.19255783946,1548.96,-2.87290634305418,19.78</t>
  </si>
  <si>
    <t>2025-05-02 11:01:00,57059507.9868367,1159014.90665756,-62.8603556518026,-66,-2067.95178874978,-1430.65,-0.0307582756780172,-17.03</t>
  </si>
  <si>
    <t>2025-05-02 11:02:00,575,,566,,575,,563.5,567,,,,566,560</t>
  </si>
  <si>
    <t>2025-05-02 11:02:00,490,,490,,490,,487.5,,490,,,490,485</t>
  </si>
  <si>
    <t>2025-05-02 11:02:00,5700,,5700,,5650,,5595,,,,,5700,5600</t>
  </si>
  <si>
    <t>2025-05-02 11:02:00,20100,,20200,,19475,,20050,,,,,20200,19400</t>
  </si>
  <si>
    <t>2025-05-02 11:02:00,3366650915.47006,13758043134.676,16669.8426240426,10600,29760.3224358973,28647.81,1861.1417724484,10282.91</t>
  </si>
  <si>
    <t>2025-05-02 11:02:00,1914032966.37184,5962072558.72007,-1750.35851744417,-7143,1758.66239776702,-10776.3,-16.6964877902819,-3222.95</t>
  </si>
  <si>
    <t>2025-05-02 11:02:00,260164346.924823,359772992.996347,4874.42705627705,-28,45446.4600069264,8013.82,23.9797675860016,297.31</t>
  </si>
  <si>
    <t>2025-05-02 11:02:00,57895690.0235565,945174.176179795,579.233413864534,21,5132.11967823534,-240.73,-0.00397186339163553,0.87</t>
  </si>
  <si>
    <t>2025-05-02 11:03:00,575,,567,,575,,563.5,,,,,566,560</t>
  </si>
  <si>
    <t>2025-05-02 11:03:00,490,,490,,490,,487.5,,490,,,490,485</t>
  </si>
  <si>
    <t>2025-05-02 11:03:00,5700,,5700,,5650,,5615,,5700,,,5700,5600</t>
  </si>
  <si>
    <t>2025-05-02 11:03:00,20100,,20200,,19475,,20050,,,,,20200,19400</t>
  </si>
  <si>
    <t>2025-05-02 11:03:00,3358397718.79237,13586695181.7888,17869.1526813881,15788,30710.2630591903,24590.97,2518.41338568515,8865.71</t>
  </si>
  <si>
    <t>2025-05-02 11:03:00,1955980042.83486,5458914465.99598,1068.26373285269,-9883,-476.517064367568,-17438.35,-824.33453418588,-5237.92</t>
  </si>
  <si>
    <t>2025-05-02 11:03:00,263819623.038156,366488891.901455,3623.31131805818,-1547,971.475773822925,-25545.74,-7.57166670208173,-529.28</t>
  </si>
  <si>
    <t>2025-05-02 11:03:00,58126513.3821624,1069473.97320951,-76.9468607788947,-85,-726.696198137958,-534.31,-0.0401722025381733,-5.93</t>
  </si>
  <si>
    <t>2025-05-02 11:04:00,575,,566,,575,,563.5,,,,,566,560</t>
  </si>
  <si>
    <t>2025-05-02 11:04:00,490,,490,,490,,487.5,,490,490,,490,485</t>
  </si>
  <si>
    <t>2025-05-02 11:04:00,5700,,5700,,5650,,5595,,5700,5700,,5700,5600</t>
  </si>
  <si>
    <t>2025-05-02 11:04:00,20100,,20200,,19475,,20050,,,,,20200,19400</t>
  </si>
  <si>
    <t>2025-05-02 11:04:00,3416301653.17021,13677354706.0419,-7151.52341482047,-7095,-9868.32787326396,-11028.36,-57.8569381550964,-3201.93</t>
  </si>
  <si>
    <t>2025-05-02 11:04:00,1948908119.6439,5605284531.93386,1957.96886376715,-932,2841.67874192667,-1095.32,-364.799594201796,-314.81</t>
  </si>
  <si>
    <t>2025-05-02 11:04:00,262572484.632753,371422106.678159,375.133809523805,-1436,3484.21429682531,-9628.85,-21.9141590973101,-487.65</t>
  </si>
  <si>
    <t>2025-05-02 11:04:00,57295217.56085,1054889.46384731,28.1499625788805,-49,58.7633683018882,-886.43,-0.0830140545766132,-8.96</t>
  </si>
  <si>
    <t>2025-05-02 11:05:00,575,,567,,575,,563.5,,,,,566,560</t>
  </si>
  <si>
    <t>2025-05-02 11:05:00,490,,490,,490,,487.5,,490,490,,490,485</t>
  </si>
  <si>
    <t>2025-05-02 11:05:00,5700,,5700,,5650,,5595,,5700,,,5700,5600</t>
  </si>
  <si>
    <t>2025-05-02 11:05:00,20100,,20200,,19475,,20050,,,,,20200,19400</t>
  </si>
  <si>
    <t>2025-05-02 11:05:00,3542706223.22667,14215204722.0378,28678.3605847601,18520,38785.1814539145,23294.95,1323.1371969254,7920.49</t>
  </si>
  <si>
    <t>2025-05-02 11:05:00,2052595196.59572,5404106926.20154,36.7908674658616,1437,150.687717957957,-489.64,-106.621501168026,79.35</t>
  </si>
  <si>
    <t>2025-05-02 11:05:00,263691883.437448,390885940.652888,-839.734523809514,-2163,-42721.7346666664,-31480.16,-31.4469637274618,-900.97</t>
  </si>
  <si>
    <t>2025-05-02 11:05:00,56932978.5155517,1115709.29466703,-22.2125210192426,-63,-1093.11201478458,-2304.65,-0.0661227006606733,-21.85</t>
  </si>
  <si>
    <t>2025-05-02 11:06:00,575,,567,,575,,563.5,,568,,,566,560</t>
  </si>
  <si>
    <t>2025-05-02 11:06:00,490,,490,,490,,487.5,,,,,490,485</t>
  </si>
  <si>
    <t>2025-05-02 11:06:00,5700,,5700,,5650,,5595,,5700,,,5700,5600</t>
  </si>
  <si>
    <t>2025-05-02 11:06:00,20100,,20200,,19475,,20050,,,,,20200,19400</t>
  </si>
  <si>
    <t>2025-05-02 11:06:00,3427059778.30713,15233611464.4721,-130.812130101838,-10059,4040.74536919465,-13754.38,-274.648084656672,-3680.06</t>
  </si>
  <si>
    <t>2025-05-02 11:06:00,1969163082.57013,5657789772.94034,-4033.14401933253,-2612,883.643782957157,-1581.3,412.099313546664,-425.72</t>
  </si>
  <si>
    <t>2025-05-02 11:06:00,256332081.665447,405747394.888412,-756.308373015873,-2801,-1534.98930436508,-17822.65,-16.3641283355614,-725.66</t>
  </si>
  <si>
    <t>2025-05-02 11:06:00,55518863.8595123,1180472.34917449,-2.59833566760037,-17,17.9709725490197,-267.07,0.00406118074744738,-2.91</t>
  </si>
  <si>
    <t>2025-05-02 11:07:00,575,,567,,575,,563.5,,568,,,567,560</t>
  </si>
  <si>
    <t>2025-05-02 11:07:00,490,,490,,490,,487.5,,490,,490,490,485</t>
  </si>
  <si>
    <t>2025-05-02 11:07:00,5700,,5700,,5600,,5595,5700,,,,5700,5600</t>
  </si>
  <si>
    <t>2025-05-02 11:07:00,20100,,20200,,19475,,20050,,,,,20200,19400</t>
  </si>
  <si>
    <t>2025-05-02 11:07:00,3536434122.13206,14461583229.1223,6732.95615218115,807,4235.16946020637,-9236.53,-107.466226237181,-17.1399999999998</t>
  </si>
  <si>
    <t>2025-05-02 11:07:00,2046802418.67109,5427565991.24921,-1631.57392462565,-2847,-1324.40549485256,-3821.25,60.5806117207448,-1204.08</t>
  </si>
  <si>
    <t>2025-05-02 11:07:00,259814143.777367,387201782.00552,-1528.27749999999,271,2411.31593690498,6491.48,-2.46655669994552,21.66</t>
  </si>
  <si>
    <t>2025-05-02 11:07:00,57697358.6491163,1096211.36977674,8.00126297850756,2,364.817768729894,239.37,-0.0458751208144283,2.37</t>
  </si>
  <si>
    <t>2025-05-02 11:08:00,575,,567,,575,,563.5,,,,,570,560</t>
  </si>
  <si>
    <t>2025-05-02 11:08:00,490,,490,,490,,487.5,490,,,490,490,485</t>
  </si>
  <si>
    <t>2025-05-02 11:08:00,5700,,5700,,5650,,5595,,,,,5700,5600</t>
  </si>
  <si>
    <t>2025-05-02 11:08:00,20100,,20200,,19475,,20050,,,,,20200,19400</t>
  </si>
  <si>
    <t>2025-05-02 11:08:00,3489235720.97492,13663685455.5741,-4672.58394021749,-3815,0.204986823209296,-492.42,-417.671423629836,-882.62</t>
  </si>
  <si>
    <t>2025-05-02 11:08:00,2055401002.7414,5448849581.70308,4045.42140493915,4122,4263.88587563512,3495.66,66.9473143881061,1396.15</t>
  </si>
  <si>
    <t>2025-05-02 11:08:00,263368415.632543,382405420.397329,939.464523809528,1233,-4551.86328809511,3143.82,6.89438808080581,207.08</t>
  </si>
  <si>
    <t>2025-05-02 11:08:00,55178549.2504311,1045962.25230214,-44.3642582417583,-18,-1075.07925367133,-614.07,0.0323483849137741,-5.38</t>
  </si>
  <si>
    <t>2025-05-02 11:09:00,575,,567,,575,,563.5,,,,,570,560</t>
  </si>
  <si>
    <t>2025-05-02 11:09:00,490,,490,,490,,487.5,,490,,,490,485</t>
  </si>
  <si>
    <t>2025-05-02 11:09:00,5700,,5700,,5650,,5595,,,,,5700,5600</t>
  </si>
  <si>
    <t>2025-05-02 11:09:00,20100,,20200,,19475,,20050,,,,,20200,19400</t>
  </si>
  <si>
    <t>2025-05-02 11:09:00,3320725076.29088,15325642061.7246,10369.5711038961,1267,16606.1377954546,2133.93,-140.889624186684,630.91</t>
  </si>
  <si>
    <t>2025-05-02 11:09:00,1948324038.05535,5702620870.22075,-461.692789249237,-1005,-1166.98389778969,-1299.8,-153.339445107773,-823.76</t>
  </si>
  <si>
    <t>2025-05-02 11:09:00,263993034.308989,380846255.807412,3579.58047619048,-440,204432.809138095,51961.23,15.8823371016017,777.14</t>
  </si>
  <si>
    <t>2025-05-02 11:09:00,55932771.6580463,991121.117641706,41.6643594566353,43,603.039806987113,520.82,0.0356417951732276,6.49</t>
  </si>
  <si>
    <t>2025-05-02 11:10:00,575,,567,,575,,563.5,,,567,,570,560</t>
  </si>
  <si>
    <t>2025-05-02 11:10:00,490,,490,,490,,487.5,,490,,,490,485</t>
  </si>
  <si>
    <t>2025-05-02 11:10:00,5700,,5700,,5650,,5595,,,,,5700,5600</t>
  </si>
  <si>
    <t>2025-05-02 11:10:00,20100,,20200,,19475,,20050,,,,,20200,19400</t>
  </si>
  <si>
    <t>2025-05-02 11:10:00,3374295062.79427,15665436815.498,1380.922238,5776,2236.80852330294,5768.15,-350.100762119512,1940.88</t>
  </si>
  <si>
    <t>2025-05-02 11:10:00,1972225204.42653,5724426411.37164,2366.30016207964,1400,1502.00545487261,1317.36,-171.736991765198,281.61</t>
  </si>
  <si>
    <t>2025-05-02 11:10:00,266711262.083809,386755080.475442,1181.96785714286,1109,22048.5056428572,11552.91,-11.8735548596833,304.39</t>
  </si>
  <si>
    <t>2025-05-02 11:10:00,56318541.6949935,992585.075355962,39.7300702708597,35,820.004807327663,590.76,0.0250826893972179,6.76</t>
  </si>
  <si>
    <t>2025-05-02 11:11:00,575,,567,,575,,563.5,,,,,570,560</t>
  </si>
  <si>
    <t>2025-05-02 11:11:00,490,,490,,490,,487.5,490,,,490,490,485</t>
  </si>
  <si>
    <t>2025-05-02 11:11:00,5700,,5700,,5650,,5595,,,,,5700,5600</t>
  </si>
  <si>
    <t>2025-05-02 11:11:00,20100,,20200,,19475,,20050,,,,,20200,19400</t>
  </si>
  <si>
    <t>2025-05-02 11:11:00,3504946936.63372,15955980924.1058,-1384.15714285712,3509,865.355670995711,-3124.9,524.337902117376,-1072.04</t>
  </si>
  <si>
    <t>2025-05-02 11:11:00,2002243557.71826,5781321728.9345,-1599.17893267558,-1121,-2573.22863777618,-2581.17,244.710569104635,-703.29</t>
  </si>
  <si>
    <t>2025-05-02 11:11:00,265613800.061754,405219984.375606,728.232142857145,721,-12875.4453928567,-6264.75,4.25794802177811,117.85</t>
  </si>
  <si>
    <t>2025-05-02 11:11:00,57777029.066707,1102770.47920748,-42.1903174603174,-17,-1215.13639285714,-316.17,-0.00395711776674143,-3.55</t>
  </si>
  <si>
    <t>2025-05-02 11:12:00,570,,567,,575,,563.5,568,,,,570,560</t>
  </si>
  <si>
    <t>2025-05-02 11:12:00,490,,490,,490,,487.5,,,,490,490,485</t>
  </si>
  <si>
    <t>2025-05-02 11:12:00,5700,,5700,,5650,,5595,5700,,,,5700,5600</t>
  </si>
  <si>
    <t>2025-05-02 11:12:00,20100,,20200,,19475,,20050,,,,,20200,19400</t>
  </si>
  <si>
    <t>2025-05-02 11:12:00,3554637302.89706,16417282673.6408,-447.09794372294,-5322,549.737256493517,-4263.25,26.3850926502629,-1346.73</t>
  </si>
  <si>
    <t>2025-05-02 11:12:00,1993320908.71428,5981134494.61183,-4563.55671550671,-2642,-5185.32267460317,-4145.87,379.932042202403,-1219.78</t>
  </si>
  <si>
    <t>2025-05-02 11:12:00,266593654.785194,426099834.95807,276.721428571431,804,1137.80857142861,2547.22,0.954795701647106,161.07</t>
  </si>
  <si>
    <t>2025-05-02 11:12:00,58600176.5606279,1160157.53826001,-0.996358543417349,-13,-35.6025957049488,-402.8,-0.0160952271360556,-4.23</t>
  </si>
  <si>
    <t>2025-05-02 11:13:00,570,,567,,575,,563.5,,568,,,570,560</t>
  </si>
  <si>
    <t>2025-05-02 11:13:00,490,,490,,490,,487.5,,,,490,490,485</t>
  </si>
  <si>
    <t>2025-05-02 11:13:00,5700,,5700,,5650,,5595,,5700,,,5700,5600</t>
  </si>
  <si>
    <t>2025-05-02 11:13:00,20100,,20200,,19475,,20050,,,,,20200,19400</t>
  </si>
  <si>
    <t>2025-05-02 11:13:00,3473518684.25611,16660438886.0565,742.966037296044,-463,3894.89357389276,196.68,-314.813061498984,-246.35</t>
  </si>
  <si>
    <t>2025-05-02 11:13:00,2018236489.45906,5824124654.61827,-1665.61910774411,-2689,-2069.61268602694,-3946.29,-157.624903296395,-1406.72</t>
  </si>
  <si>
    <t>2025-05-02 11:13:00,265216112.997154,427665177.305454,-2210.38421658986,-1994,-15986.0352926267,-11805.44,-7.97220038825455,-519.39</t>
  </si>
  <si>
    <t>2025-05-02 11:13:00,59022236.4067358,1170003.12410766,-26.6776445776446,-24,-308.788800366299,-296.95,0.00556699518204106,-2.55</t>
  </si>
  <si>
    <t>2025-05-02 11:14:00,575,,567,,575,,563.5,,,,,570,560</t>
  </si>
  <si>
    <t>2025-05-02 11:14:00,490,,490,,490,,487.5,,,490,,490,485</t>
  </si>
  <si>
    <t>2025-05-02 11:14:00,5700,,5700,,5650,,5615,,5700,,,5700,5600</t>
  </si>
  <si>
    <t>2025-05-02 11:14:00,20100,,20200,,19475,,20050,,,,,20200,19400</t>
  </si>
  <si>
    <t>2025-05-02 11:14:00,3533789642.70823,16457947124.9958,-320.4634920635,-2370,2280.48378174601,-3846.77,152.159830026796,-906.49</t>
  </si>
  <si>
    <t>2025-05-02 11:14:00,2026896014.64485,5932417780.27331,128.207229437231,324,487.205352380956,289.8,-60.4584027269758,114.15</t>
  </si>
  <si>
    <t>2025-05-02 11:14:00,261500572.591209,436110704.572961,-245.983333333334,-1487,-2105.05100000001,-13102.28,-6.23846163095766,-521.2</t>
  </si>
  <si>
    <t>2025-05-02 11:14:00,56098368.7957937,1199518.07787867,2.61577480490523,0,52.2076384615383,-75.97,-0.0237813957543219,-1.02</t>
  </si>
  <si>
    <t>2025-05-02 11:15:00,570,,567,,575,,563.5,,,,,570,560</t>
  </si>
  <si>
    <t>2025-05-02 11:15:00,490,,490,,490,,487.5,,,490,,490,485</t>
  </si>
  <si>
    <t>2025-05-02 11:15:00,5700,,5700,,5650,,5615,,,,,5700,5600</t>
  </si>
  <si>
    <t>2025-05-02 11:15:00,20100,,20200,,19475,,20050,,,,,20200,19400</t>
  </si>
  <si>
    <t>2025-05-02 11:15:00,3517792377.08595,16880819621.5275,-4163.22014652015,-7201,-497.675347985346,-2056.48,-0.503659505911883,-976.2</t>
  </si>
  <si>
    <t>2025-05-02 11:15:00,1973668247.15799,5980934775.26481,266.287388430256,651,2455.42102685874,2052.98,-73.7196948897423,634.74</t>
  </si>
  <si>
    <t>2025-05-02 11:15:00,261894195.376841,438377968.541437,-392.729047619048,-875,-4104.91748571433,-8642.27,-5.28200358834447,-317.37</t>
  </si>
  <si>
    <t>2025-05-02 11:15:00,56170950.8412698,1191538.37126332,-2.8768513747893,11,399.057681106048,489.55,-0.018450454851135,3.22</t>
  </si>
  <si>
    <t>2025-05-02 11:32:00,570,,567,,575,,563.5,,,,,570,560</t>
  </si>
  <si>
    <t>2025-05-02 11:32:00,490,,490,,490,,487.5,490,,,,490,485</t>
  </si>
  <si>
    <t>2025-05-02 11:32:00,5700,,5700,,5650,,5620,,,,,5700,5600</t>
  </si>
  <si>
    <t>2025-05-02 11:32:00,20100,,20200,,19475,,20050,,,,,20200,19400</t>
  </si>
  <si>
    <t>2025-05-02 11:32:00,3431754296.36411,17683830501.6425,-11637.5952380952,-4151,-10466.3244682539,-3897.96,132.498328909334,-1509.02</t>
  </si>
  <si>
    <t>2025-05-02 11:32:00,1923868167.93313,6448040043.32525,-3259.51225496843,-919,-3718.15963368648,-381.23,98.9115246498444,-284.52</t>
  </si>
  <si>
    <t>2025-05-02 11:32:00,264449073.671388,442645583.893524,-1167.76071428572,-1101,-10017.5378928572,-7018.24,-2.22142817959987,-297.83</t>
  </si>
  <si>
    <t>2025-05-02 11:32:00,59003061.5943291,1181460.16226749,24.4448412698413,4,80.3191190476189,22.47,8.37990481189377E-05,0.28</t>
  </si>
  <si>
    <t>2025-05-02 11:33:00,570,,567,,575,,563.5,,,,,570,560</t>
  </si>
  <si>
    <t>2025-05-02 11:33:00,490,,490,,490,,487.5,,,,,490,485</t>
  </si>
  <si>
    <t>2025-05-02 11:33:00,5700,,5700,,5650,,5620,,,,,5700,5600</t>
  </si>
  <si>
    <t>2025-05-02 11:33:00,20100,,20200,,19475,,20050,,,,,20200,19400</t>
  </si>
  <si>
    <t>2025-05-02 11:33:00,3522055641.24939,16945040523.5142,-1689.15396825397,-1275,-1706.18971428572,-1617.04,-8.33252439086223,-577.93</t>
  </si>
  <si>
    <t>2025-05-02 11:33:00,1947848358.12582,5922944491.47911,-1465.47449445695,-862,-1728.69752432308,-1504.37,-18.5644580579451,-404.22</t>
  </si>
  <si>
    <t>2025-05-02 11:33:00,266181431.231206,429626309.077568,-526.327142857144,-491,-9767.94073333334,-6983.07,-1.06225654382449,-246.48</t>
  </si>
  <si>
    <t>2025-05-02 11:33:00,61246051.6609912,1177020.53658252,2.52777777777778,-9,-123.997666666667,-81.82,-0.00520116437702142,-0.98</t>
  </si>
  <si>
    <t>2025-05-02 11:34:00,575,,567,,575,,563.5,,,,,570,560</t>
  </si>
  <si>
    <t>2025-05-02 11:34:00,490,,490,,490,,487.5,,,,,490,485</t>
  </si>
  <si>
    <t>2025-05-02 11:34:00,5700,,5700,,5650,,5620,,,,,5700,5600</t>
  </si>
  <si>
    <t>2025-05-02 11:34:00,20100,,20200,,19475,,20050,,,,,20200,19400</t>
  </si>
  <si>
    <t>2025-05-02 11:34:00,3569605099.93814,15969028261.6036,-522.085714285714,-522,726.600190476192,371.62,67.8547700636603,188.81</t>
  </si>
  <si>
    <t>2025-05-02 11:34:00,2071515689.73287,5869538128.78829,291.787672098017,-240,269.90136731085,-158.16,-63.3665154787103,-96.25</t>
  </si>
  <si>
    <t>2025-05-02 11:34:00,266141880.744213,433740950.36276,224.783333333334,247,2290.28050000001,1085.53,-0.494704505115053,49.33</t>
  </si>
  <si>
    <t>2025-05-02 11:34:00,59971722.5957717,1175919.46826175,27.3327513227514,17,522.097736772489,1024.19,0.00890525661970325,9.54</t>
  </si>
  <si>
    <t>2025-05-02 11:35:00,575,,567,,575,,563.5,,,,,570,560</t>
  </si>
  <si>
    <t>2025-05-02 11:35:00,490,,490,,490,,487.5,,,,,490,485</t>
  </si>
  <si>
    <t>2025-05-02 11:35:00,5700,,5700,,5650,,5620,,,,,5700,5600</t>
  </si>
  <si>
    <t>2025-05-02 11:35:00,20100,,20200,,19475,,20050,,,,,20200,19400</t>
  </si>
  <si>
    <t>2025-05-02 11:35:00,3463101517.4257,16731735111.0884,-1207.73025030526,-1138,-1232.55141788769,-583.1,-69.2197261916839,-367.64</t>
  </si>
  <si>
    <t>2025-05-02 11:35:00,1957994646.07661,6153420479.51752,-750.952879970271,-652,-576.838726867335,-909.49,6.74889077220934,-296.81</t>
  </si>
  <si>
    <t>2025-05-02 11:35:00,264242737.056738,433525246.050154,-527.819523809523,-427,-6846.9472952381,-5256.81,-4.85473986740514,-185.8</t>
  </si>
  <si>
    <t>2025-05-02 11:35:00,59267614.7411572,1188054.11659273,1.235,2,5.60300000000018,41.9,0.0122689998523015,0.59</t>
  </si>
  <si>
    <t>2025-05-02 11:36:00,570,,567,,575,,563.5,,,,,570,560</t>
  </si>
  <si>
    <t>2025-05-02 11:36:00,490,,490,,490,,487.5,,490,,,490,485</t>
  </si>
  <si>
    <t>2025-05-02 11:36:00,5700,,5700,,5650,,5620,,,,,5700,5600</t>
  </si>
  <si>
    <t>2025-05-02 11:36:00,20100,,20200,,19475,,20050,,,,,20200,19400</t>
  </si>
  <si>
    <t>2025-05-02 11:36:00,3550534737.03517,16942425628.1061,267.326293151293,720,-562.490388888888,-885.6,66.1152531105219,-46.67</t>
  </si>
  <si>
    <t>2025-05-02 11:36:00,2024629449.74253,6267855654.85308,-606.040757808499,-1745,-418.363277254106,-2687.63,-135.500385500361,-1017.15</t>
  </si>
  <si>
    <t>2025-05-02 11:36:00,267387640.586042,442827922.978965,-196.286666666668,-176,-3896.86673333335,-3433.09,0.0458077194005393,-77.82</t>
  </si>
  <si>
    <t>2025-05-02 11:36:00,61026398.8141684,1263438.42523845,0.342946269416855,-6,96.3581073338425,-470.35,-0.00995182405258012,-3.7</t>
  </si>
  <si>
    <t>2025-05-02 11:37:00,570,,567,,575,,563.5,,568,,,570,560</t>
  </si>
  <si>
    <t>2025-05-02 11:37:00,490,,490,,490,,487.5,,,,,490,485</t>
  </si>
  <si>
    <t>2025-05-02 11:37:00,5700,,5700,,5650,,5620,,,,,5700,5600</t>
  </si>
  <si>
    <t>2025-05-02 11:37:00,20100,,20200,,19475,,20050,,,,,20200,19400</t>
  </si>
  <si>
    <t>2025-05-02 11:37:00,3636907905.43578,17331320839.7973,,3120,,9.20999999999951,-492.757327648063,115.64</t>
  </si>
  <si>
    <t>2025-05-02 11:37:00,2036175123.82548,6440613405.08734,1035.39433621933,1116,984.52820238095,-1341.89,-90.4352680738663,-89.7199999999999</t>
  </si>
  <si>
    <t>2025-05-02 11:37:00,267483975.799206,461733109.147025,-857.244782608694,-249,-13378.0150123188,-7051.17,9.49726879401706,-54.12</t>
  </si>
  <si>
    <t>2025-05-02 11:37:00,61385597.5354002,1324884.64189231,-59.7306475387358,-62,-413.168940145638,-938.42,0.0360832791658272,-9.49</t>
  </si>
  <si>
    <t>2025-05-02 11:39:00,570,,567,,575,,563.5,568,,,,570,560</t>
  </si>
  <si>
    <t>2025-05-02 11:39:00,490,,490,,490,,487.5,491,,,,490,485</t>
  </si>
  <si>
    <t>2025-05-02 11:39:00,5700,,5700,,5650,,5620,5700,,,,5700,5600</t>
  </si>
  <si>
    <t>2025-05-02 11:39:00,20100,,20200,,19475,,20050,,,,,20200,19400</t>
  </si>
  <si>
    <t>2025-05-02 11:39:00,3620890466.8631,17925887473.5525,4571.80793194673,7597,5552.21717314359,6177.68,174.176118046356,2735.82</t>
  </si>
  <si>
    <t>2025-05-02 11:39:00,2004865866.46301,6505438542.03355,2804.17097763348,3766,2796.5927238456,2816.69,253.989494434372,1281.83</t>
  </si>
  <si>
    <t>2025-05-02 11:39:00,267938010.509012,479416068.099332,723.158333333335,1115,1844.39425000012,2155.41,14.4798224591896,219.22</t>
  </si>
  <si>
    <t>2025-05-02 11:39:00,58694717.0059451,1348346.67375293,-9.36775335775337,-13,-57.6140173382178,-217.12,-0.00816654247416782,-2.76</t>
  </si>
  <si>
    <t>2025-05-02 11:40:00,570,,567,,575,,563.5,,,,,570,560</t>
  </si>
  <si>
    <t>2025-05-02 11:40:00,490,,490,,490,,487.5,491,,,,490,485</t>
  </si>
  <si>
    <t>2025-05-02 11:40:00,5700,,5700,,5650,,5620,5700,,,5700,5700,5600</t>
  </si>
  <si>
    <t>2025-05-02 11:40:00,20100,,20200,,19475,,20050,,,,,20200,19400</t>
  </si>
  <si>
    <t>2025-05-02 11:40:00,3556433355.90189,18220720060.7082,326.952976190474,708,1423.41581349207,47.7400000000001,-182.612093112219,-222.13</t>
  </si>
  <si>
    <t>2025-05-02 11:40:00,2065191145.26257,6622669596.34983,655.144444444442,565,2233.9031111111,897.48,77.8851098726771,463.22</t>
  </si>
  <si>
    <t>2025-05-02 11:40:00,262525085.523689,479598006.625135,807.116666666669,750,12920.3526666667,6856.31,14.0173952248774,261.77</t>
  </si>
  <si>
    <t>2025-05-02 11:40:00,57994212.7847939,1348952.46465883,5.72388888888889,23,185.033927777778,309.42,-0.000260743421770656,3.61</t>
  </si>
  <si>
    <t>2025-05-02 11:41:00,570,,567,,575,,563.5,,,,,570,560</t>
  </si>
  <si>
    <t>2025-05-02 11:41:00,490,,490,,490,,487.5,,,,,490,485</t>
  </si>
  <si>
    <t>2025-05-02 11:41:00,5700,,5700,,5650,,5615,,,,,5700,5600</t>
  </si>
  <si>
    <t>2025-05-02 11:41:00,20100,,20200,,19475,,20050,,,,,20200,19400</t>
  </si>
  <si>
    <t>2025-05-02 11:41:00,3390284524.7873,18366604639.3008,-3695.95884487245,455,-2725.11305741645,1721.18,437.590775574011,533.07</t>
  </si>
  <si>
    <t>2025-05-02 11:41:00,1977088076.86218,6921754094.97593,2742.55518115942,1767,3206.50113731884,1098.3,110.759146203102,441.51</t>
  </si>
  <si>
    <t>2025-05-02 11:41:00,258637684.991394,470505462.144084,-323.711904761911,-270,22781.2386190476,9999.66,4.90324865136962,21.0100000000001</t>
  </si>
  <si>
    <t>2025-05-02 11:41:00,56199910.4254393,1276156.87363863,-4.5836086428192,151,299.739794353308,731.03,-0.0852654612523978,8.86</t>
  </si>
  <si>
    <t>2025-05-02 11:42:00,570,,567,,575,,563.5,,,,,570,560</t>
  </si>
  <si>
    <t>2025-05-02 11:42:00,490,,490,,490,,487.5,,,,,490,485</t>
  </si>
  <si>
    <t>2025-05-02 11:42:00,5700,,5700,,5650,,5620,,,,,5700,5600</t>
  </si>
  <si>
    <t>2025-05-02 11:42:00,20100,,20200,,19475,,20050,,,,,20200,19400</t>
  </si>
  <si>
    <t>2025-05-02 11:42:00,3570128006.33863,17600658890.7476,-2109.28443420379,-2272,-2155.91995135689,-2337.27,-92.895881218981,-921.91</t>
  </si>
  <si>
    <t>2025-05-02 11:42:00,2038884435.76718,6584945597.3436,-2947.56374947634,-1894,-2442.94851406229,-1497.24,-154.024871528361,-802.48</t>
  </si>
  <si>
    <t>2025-05-02 11:42:00,260124912.861341,464114311.050365,-1098.09761904762,-854,1699.41738095249,-707.34,-1.54869650047777,-219.25</t>
  </si>
  <si>
    <t>2025-05-02 11:42:00,60039063.09044,1292944.27475891,8.71547619047621,1,542.699714285715,274.3,0.0120648662701549,3.15</t>
  </si>
  <si>
    <t>2025-05-02 11:43:00,570,,568,,575,,563.5,,,,,570,560</t>
  </si>
  <si>
    <t>2025-05-02 11:43:00,490,,490,,490,,487.5,,,,,490,485</t>
  </si>
  <si>
    <t>2025-05-02 11:43:00,5700,,5700,,5650,,5620,,,,,5700,5600</t>
  </si>
  <si>
    <t>2025-05-02 11:43:00,20100,,20200,,19475,,20050,,,,,20200,19400</t>
  </si>
  <si>
    <t>2025-05-02 11:43:00,3651979442.80989,18258266417.4599,-1230.71746031746,-1354,-66.0877222222238,-638.33,-138.522391933816,-260.25</t>
  </si>
  <si>
    <t>2025-05-02 11:43:00,2061044925.093,6605122083.36415,-59.5564881728186,1144,382.264594113175,-709.76,-66.8113582474619,159.23</t>
  </si>
  <si>
    <t>2025-05-02 11:43:00,268184367.050859,480192291.705202,48.3400000000008,-31,5077.82523333332,-981.85,3.59037015365264,22.02</t>
  </si>
  <si>
    <t>2025-05-02 11:43:00,59684025.187435,1313388.27640138,-24.9392857142857,23,-225.529690476191,213.68,-0.0596262444340874,3.33</t>
  </si>
  <si>
    <t>2025-05-02 11:44:00,570,,568,,575,,563.5,,,,,570,560</t>
  </si>
  <si>
    <t>2025-05-02 11:44:00,490,,490,,490,,487.5,,,,,490,485</t>
  </si>
  <si>
    <t>2025-05-02 11:44:00,5700,,5700,,5650,,5620,,,,,5700,5600</t>
  </si>
  <si>
    <t>2025-05-02 11:44:00,20100,,20200,,19475,,20050,,,,,20200,19400</t>
  </si>
  <si>
    <t>2025-05-02 11:44:00,3720459456.56009,18089498771.9422,1638.2003968254,2027,2590.51717857143,1415.24,-6.33666708822602,427.94</t>
  </si>
  <si>
    <t>2025-05-02 11:44:00,2092757153.85562,6452671760.81048,32.4508618359627,1055,216.571535093862,291.44,-15.6624829792528,191.26</t>
  </si>
  <si>
    <t>2025-05-02 11:44:00,265107826.389601,495768705.020589,433.835000000001,959,6946.64405000003,9171.02,-3.80851605668803,360.3</t>
  </si>
  <si>
    <t>2025-05-02 11:44:00,58601822.8191937,1374993.82344713,-11.0936225095883,-2,-133.930647094095,84.54,-0.0125442120515527,0.44</t>
  </si>
  <si>
    <t>2025-05-02 11:45:00,570,,568,,575,,563.5,,,,,570,560</t>
  </si>
  <si>
    <t>2025-05-02 11:45:00,490,,490,,490,,487.5,,,,,490,485</t>
  </si>
  <si>
    <t>2025-05-02 11:45:00,5700,,5700,,5650,,5620,,,,,5700,5600</t>
  </si>
  <si>
    <t>2025-05-02 11:45:00,20100,,20200,,19475,,20050,,,,,20200,19400</t>
  </si>
  <si>
    <t>2025-05-02 11:45:00,3703799646.7242,17546375513.0158,201.044708994709,-838,889.463661375661,-25.95,44.2915827238775,-66.0800000000001</t>
  </si>
  <si>
    <t>2025-05-02 11:45:00,2098669404.5011,6319415983.02398,677.57438697318,907,1334.65504501916,1039.56,102.990239188759,494.15</t>
  </si>
  <si>
    <t>2025-05-02 11:45:00,265520985.649549,490786291.822159,-364.549999999999,-60,-2875.17516666666,-3261.13,-4.01010123972363,-161.52</t>
  </si>
  <si>
    <t>2025-05-02 11:45:00,58509999.7513633,1348660.02080263,-2.46887009189641,-12,-55.1476375313284,-158.54,-0.00711988791435322,-2.31</t>
  </si>
  <si>
    <t>2025-05-02 11:46:00,570,,568,,575,,563.5,,,,,570,560</t>
  </si>
  <si>
    <t>2025-05-02 11:46:00,490,,490,,490,,487.5,,,,,490,485</t>
  </si>
  <si>
    <t>2025-05-02 11:46:00,5700,,5700,,5650,,5620,,,,,5700,5600</t>
  </si>
  <si>
    <t>2025-05-02 11:46:00,20100,,20200,,19475,,20050,,,,,20200,19400</t>
  </si>
  <si>
    <t>2025-05-02 11:46:00,3660907173.72188,18599728073.0968,6903.42222222222,4414,6705.51866666667,3371.72,126.481894098592,1507.22</t>
  </si>
  <si>
    <t>2025-05-02 11:46:00,2023268947.43764,6675289195.57628,-475.48778152813,130,538.338787339843,588.59,-42.4428259485599,266.46</t>
  </si>
  <si>
    <t>2025-05-02 11:46:00,266596654.958449,498410421.695589,3143.61666666667,2397,4636.7325,4869.76,11.0425055765466,295.01</t>
  </si>
  <si>
    <t>2025-05-02 11:46:00,60538507.6538858,1358304.03342298,-2.29423076923077,-4,-36.1431858974359,-22.68,-0.00346088571596342,-0.33</t>
  </si>
  <si>
    <t>2025-05-02 11:47:00,570,,568,,575,,563.5,,,,,570,560</t>
  </si>
  <si>
    <t>2025-05-02 11:47:00,490,,490,,490,,487.5,,,,,490,485</t>
  </si>
  <si>
    <t>2025-05-02 11:47:00,5700,,5700,,5650,,5620,,,,,5700,5600</t>
  </si>
  <si>
    <t>2025-05-02 11:47:00,20100,,20200,,19475,,20050,,,,,20200,19400</t>
  </si>
  <si>
    <t>2025-05-02 11:47:00,3696467976.13756,18146277015.5263,-1497.17023809524,-3310,-1724.97222619047,-2696.27,-61.8655951083581,-1144.78</t>
  </si>
  <si>
    <t>2025-05-02 11:47:00,2072057172.25407,6501607121.40893,-618.909501609501,-809,-820.928716783216,-1227.21,-72.6299208121691,-446.32</t>
  </si>
  <si>
    <t>2025-05-02 11:47:00,268544343.800862,501142224.612374,-143.890000000001,-464,-3413.53220000002,-4476.69,0.341478403933435,-180.83</t>
  </si>
  <si>
    <t>2025-05-02 11:47:00,60155684.4293254,1357133.6796489,-0.230919080919081,-7,-43.0858481518482,-136.86,-0.0138443033744743,-1.79</t>
  </si>
  <si>
    <t>2025-05-02 11:48:00,570,,568,,575,,563.5,,,,,570,560</t>
  </si>
  <si>
    <t>2025-05-02 11:48:00,490,,490,,490,,487.5,,,,,490,485</t>
  </si>
  <si>
    <t>2025-05-02 11:48:00,5700,,5700,,5650,,5620,,,,,5700,5600</t>
  </si>
  <si>
    <t>2025-05-02 11:48:00,20100,,20200,,19475,,20050,,,,,20200,19400</t>
  </si>
  <si>
    <t>2025-05-02 11:48:00,3640487924.25085,18536264107.5981,263.657142857143,710,692.77980952381,1042.52,-28.1163653894662,348.09</t>
  </si>
  <si>
    <t>2025-05-02 11:48:00,2092786183.57231,6570064896.28694,-882.705558087137,-330,-527.457619060276,-268.01,5.52291911377914,-159.73</t>
  </si>
  <si>
    <t>2025-05-02 11:48:00,268774296.175697,490155776.339751,220.933333333333,239,1125.96133333333,878.4,1.55973174130186,32.15</t>
  </si>
  <si>
    <t>2025-05-02 11:48:00,61681840.4280883,1330815.98240322,20.3782142857143,16,66.8909214285714,63.29,0.0182648822417397,0.92</t>
  </si>
  <si>
    <t>2025-05-02 11:49:00,570,,568,,575,,563.5,,,,,570,560</t>
  </si>
  <si>
    <t>2025-05-02 11:49:00,490,,490,,490,,487.5,,,,,490,485</t>
  </si>
  <si>
    <t>2025-05-02 11:49:00,5700,,5700,,5650,,5620,,,,,5700,5600</t>
  </si>
  <si>
    <t>2025-05-02 11:49:00,20100,,20200,,19475,,20050,,,,,20200,19400</t>
  </si>
  <si>
    <t>2025-05-02 11:49:00,3573434909.29189,18743951645.2147,730.587301587302,607,470.041111111111,459.85,44.6458326168039,201.95</t>
  </si>
  <si>
    <t>2025-05-02 11:49:00,2075368513.74565,6657461547.4339,-298.20548624632,66,-147.21401640055,55.51,-61.7488817314786,19.32</t>
  </si>
  <si>
    <t>2025-05-02 11:49:00,268826273.980743,487982317.474236,167.113333333333,455,3486.70450000001,3656.93,0.793803730465147,120.33</t>
  </si>
  <si>
    <t>2025-05-02 11:49:00,60888877.0019916,1333828.68252601,0.214285714285714,1,-7.9,7,0.00169549588253397,0.12</t>
  </si>
  <si>
    <t>2025-05-02 11:50:00,570,,568,,575,,563.5,,,,,570,560</t>
  </si>
  <si>
    <t>2025-05-02 11:50:00,490,,490,,490,,487.5,,490,,,490,485</t>
  </si>
  <si>
    <t>2025-05-02 11:50:00,5700,,5700,,5650,,5620,,,,,5700,5600</t>
  </si>
  <si>
    <t>2025-05-02 11:50:00,20100,,20200,,19475,,20050,,,,,20200,19400</t>
  </si>
  <si>
    <t>2025-05-02 11:50:00,3616368038.91357,15571863796.6265,2072.70115162616,-1086,2647.63622064048,-467.1,-45.7147725624422,-63.63</t>
  </si>
  <si>
    <t>2025-05-02 11:50:00,2084337421.11712,6033381841.65766,-1525.19938632462,-951,-1936.53011786363,-2161.64,-158.854671447766,-694.36</t>
  </si>
  <si>
    <t>2025-05-02 11:50:00,267027920.622272,462065294.66271,-103.623333333334,-423,2274.2845333333,-2742.52,-3.29738906744413,-203.28</t>
  </si>
  <si>
    <t>2025-05-02 11:50:00,61509546.7249276,1270629.8068428,2.02761904761905,-6,46.3033428571431,-81.72,0.00522726814429082,-0.71</t>
  </si>
  <si>
    <t>2025-05-02 11:51:00,570,,568,,575,,563.5,,,,,570,560</t>
  </si>
  <si>
    <t>2025-05-02 11:51:00,490,,490,,490,,487.5,,,,,490,485</t>
  </si>
  <si>
    <t>2025-05-02 11:51:00,5700,,5700,,5650,,5620,,,,,5700,5600</t>
  </si>
  <si>
    <t>2025-05-02 11:51:00,20100,,20200,,19475,,20050,,,,,20200,19400</t>
  </si>
  <si>
    <t>2025-05-02 11:51:00,3594278758.60992,15851699690.6612,3004.71428571429,5406,5761.97434523809,7197.86,-300.262504432685,2213.19</t>
  </si>
  <si>
    <t>2025-05-02 11:51:00,2096843566.62146,6311187387.66907,1832.15775157154,2809,2305.84581289081,3093.76,-18.6129327350244,1122.89</t>
  </si>
  <si>
    <t>2025-05-02 11:51:00,267199311.324195,454594420.256345,673.966666666664,787,6853.10349999998,6154.15,0.130315157909821,225.76</t>
  </si>
  <si>
    <t>2025-05-02 11:51:00,61897260.1129277,1221968.79927623,5.54648962148962,18,120.379722832723,355.49,-0.0251432665695407,4.17</t>
  </si>
  <si>
    <t>2025-05-02 11:52:00,570,,568,,575,,563.5,,,,,570,560</t>
  </si>
  <si>
    <t>2025-05-02 11:52:00,490,,490,,490,,487.5,,,,,490,485</t>
  </si>
  <si>
    <t>2025-05-02 11:52:00,5700,,5700,,5650,,5620,,,,,5700,5600</t>
  </si>
  <si>
    <t>2025-05-02 11:52:00,20100,,20200,,19475,,20050,,,,,20200,19400</t>
  </si>
  <si>
    <t>2025-05-02 11:52:00,3500380792.05651,18465030897.0778,-6382.3269119769,-2908,-5499.55054473304,-2803.46,-349.115719249198,-1214.22</t>
  </si>
  <si>
    <t>2025-05-02 11:52:00,1958597680.71243,6887903493.79487,-1295.73467643468,-1311,-1057.20442124542,-1356.33,40.7755893206159,-533.96</t>
  </si>
  <si>
    <t>2025-05-02 11:52:00,266589601.407209,475615825.619135,-880.541904761907,-1061,-10881.7706809524,-11411.85,-4.29984107272709,-449.38</t>
  </si>
  <si>
    <t>2025-05-02 11:52:00,60886225.7026805,1278123.73760863,-2.86753246753247,-4,-99.3955844155843,-178.8,0.00596235076025982,-1.98</t>
  </si>
  <si>
    <t>2025-05-02 11:53:00,570,,568,,575,,563.5,,,,,570,560</t>
  </si>
  <si>
    <t>2025-05-02 11:53:00,490,,490,,490,,487.5,,,,,490,485</t>
  </si>
  <si>
    <t>2025-05-02 11:53:00,5700,,5700,,5650,,5620,,,,,5700,5600</t>
  </si>
  <si>
    <t>2025-05-02 11:53:00,20100,,20200,,19475,,20050,,,,,20200,19400</t>
  </si>
  <si>
    <t>2025-05-02 11:53:00,3639361808.56263,17977409864.1144,2286.44841269841,4047,2402.44327380951,4170.49,-106.907970471426,1786.93</t>
  </si>
  <si>
    <t>2025-05-02 11:53:00,2093945380.6958,6525790155.49235,1277.37443609022,2569,1909.21354887218,2682,-10.12410584253,985.73</t>
  </si>
  <si>
    <t>2025-05-02 11:53:00,268610271.168919,477570267.081715,514.649999999999,198,3566.44,4076.4,1.03087661646911,191.91</t>
  </si>
  <si>
    <t>2025-05-02 11:53:00,61821730.0446131,1307178.99486228,-0.971428571428568,7,0.385190476190623,51.98,0.00658127361270487,0.38</t>
  </si>
  <si>
    <t>2025-05-02 11:54:00,570,,568,,575,,563.5,,,,,570,560</t>
  </si>
  <si>
    <t>2025-05-02 11:54:00,490,,490,,490,,487.5,,,,,490,485</t>
  </si>
  <si>
    <t>2025-05-02 11:54:00,5700,,5700,,5650,,5620,,,,,5700,5600</t>
  </si>
  <si>
    <t>2025-05-02 11:54:00,20100,,20200,,19475,,20050,,,,,20200,19400</t>
  </si>
  <si>
    <t>2025-05-02 11:54:00,3612651317.89798,17756893561.3823,-4052.12896825397,626,-3105.70535714286,-307.38,7.22942916227131,-338.02</t>
  </si>
  <si>
    <t>2025-05-02 11:54:00,2039038594.01261,6620766879.91395,-677.386891078266,741,-443.543554187187,199.25,-85.2685878310433,10.08</t>
  </si>
  <si>
    <t>2025-05-02 11:54:00,268169534.618234,479219820.653728,-832.440476190476,-566,-5986.40983333335,-5049.56,-1.1252424740332,-233.08</t>
  </si>
  <si>
    <t>2025-05-02 11:54:00,60575990.1981693,1304535.47313861,-2.9781746031746,-12,60.1191865079365,13.14,0.0196733940873548,0.37</t>
  </si>
  <si>
    <t>2025-05-02 11:55:00,570,,568,,575,,563.5,,,,,570,560</t>
  </si>
  <si>
    <t>2025-05-02 11:55:00,490,,490,,490,,487.5,,,,,490,485</t>
  </si>
  <si>
    <t>2025-05-02 11:55:00,5700,,5700,,5650,,5620,,,,,5700,5600</t>
  </si>
  <si>
    <t>2025-05-02 11:55:00,20100,,20200,,19475,,20050,,,,,20200,19400</t>
  </si>
  <si>
    <t>2025-05-02 11:55:00,3387348861.66667,19199722854.6923,329.089502164505,262,-600.761859307352,-862.78,176.076230139058,-402.06</t>
  </si>
  <si>
    <t>2025-05-02 11:55:00,1998758851.95537,6963275305.93574,423.732803187152,393,1174.68041928603,1085.91,75.7591706607466,216.1</t>
  </si>
  <si>
    <t>2025-05-02 11:55:00,259333945.916441,489558636.769159,512.299999999999,793,6115.11233333332,7371.87,1.39020445788265,261.79</t>
  </si>
  <si>
    <t>2025-05-02 11:55:00,57494498.5386362,1301934.63071831,12.1452380952381,10,304.850166666666,229.59,0.0112353141096681,2.75</t>
  </si>
  <si>
    <t>2025-05-02 11:56:00,570,,568,,575,,563.5,,,,,570,560</t>
  </si>
  <si>
    <t>2025-05-02 11:56:00,490,,490,,490,,487.5,,,,,490,485</t>
  </si>
  <si>
    <t>2025-05-02 11:56:00,5700,,5700,,5650,,5620,,,,,5700,5600</t>
  </si>
  <si>
    <t>2025-05-02 11:56:00,20100,,20200,,19475,,20050,,,,,20200,19400</t>
  </si>
  <si>
    <t>2025-05-02 11:56:00,3527666058.00423,18597741408.9497,-3516.39523809524,-700,-5718.10333333333,-2757.1,187.827113369077,-1172.96</t>
  </si>
  <si>
    <t>2025-05-02 11:56:00,1939608517.86007,6697408850.1118,-778.514393939393,-915,-635.201545454544,-671.62,14.6456998833312,-309.01</t>
  </si>
  <si>
    <t>2025-05-02 11:56:00,269087262.168166,478792454.181096,-533.933333333331,-517,-3950.70033333331,-3750.76,-1.61899394351361,-177.3</t>
  </si>
  <si>
    <t>2025-05-02 11:56:00,60700913.6888822,1270596.33367524,-1.15780053280053,-6,63.7032779720279,10.15,-0.00740294049192082,-0.1</t>
  </si>
  <si>
    <t>2025-05-02 11:57:00,570,,568,,575,,563.5,,,,,570,560</t>
  </si>
  <si>
    <t>2025-05-02 11:57:00,490,,490,,490,,487.5,,,,,490,485</t>
  </si>
  <si>
    <t>2025-05-02 11:57:00,5700,,5700,,5650,,5620,,,,,5700,5600</t>
  </si>
  <si>
    <t>2025-05-02 11:57:00,20100,,20200,,19475,,20050,,,,,20200,19400</t>
  </si>
  <si>
    <t>2025-05-02 11:57:00,3629478151.68744,17727175924.5476,1198.08333333333,1347,1899.1075,1444.57,65.4518813722104,430.89</t>
  </si>
  <si>
    <t>2025-05-02 11:57:00,2083069627.77689,6527605643.89021,-941.323074528957,-1564,-339.996080466374,-834.19,185.192244167343,-477.65</t>
  </si>
  <si>
    <t>2025-05-02 11:57:00,269613584.884664,479520041.441262,446.079999999998,419,10365.6395333332,6841.23,3.36235087894466,148.49</t>
  </si>
  <si>
    <t>2025-05-02 11:57:00,61747546.5076513,1279273.32913648,0.404761904761904,0,3.21547619047618,1.15,0.00254331880025244,0.03</t>
  </si>
  <si>
    <t>2025-05-02 11:58:00,570,,568,,575,,563.5,,,,,570,560</t>
  </si>
  <si>
    <t>2025-05-02 11:58:00,490,,490,,490,,487.5,,,,,490,485</t>
  </si>
  <si>
    <t>2025-05-02 11:58:00,5700,,5700,,5650,,5620,,,,,5700,5600</t>
  </si>
  <si>
    <t>2025-05-02 11:58:00,20100,,20200,,19475,,20050,,,,,20200,19400</t>
  </si>
  <si>
    <t>2025-05-02 11:58:00,3640496341.78902,18139168996.845,359.286363636363,-683,540.978424242424,39.68,48.6962892442794,-18.59</t>
  </si>
  <si>
    <t>2025-05-02 11:58:00,2087860365.19834,6627743438.75147,207.502431296447,306,341.411815363136,-98.38,36.8688087969612,81.98</t>
  </si>
  <si>
    <t>2025-05-02 11:58:00,269784124.197656,481594466.108249,127.3,595,-8.00950000000087,1554.82,-0.167691398147505,104.38</t>
  </si>
  <si>
    <t>2025-05-02 11:58:00,61404699.7229985,1274362.21063955,0.269237012987013,0,118.218920454545,124,0.007795757311833,1.04</t>
  </si>
  <si>
    <t>2025-05-02 11:59:00,570,,568,,575,,563.5,,,,,570,560</t>
  </si>
  <si>
    <t>2025-05-02 11:59:00,490,,490,,490,,487.5,,,,,490,485</t>
  </si>
  <si>
    <t>2025-05-02 11:59:00,5700,,5700,,5650,,5620,,,,,5700,5600</t>
  </si>
  <si>
    <t>2025-05-02 11:59:00,20100,,20200,,19475,,20050,,,,,20200,19400</t>
  </si>
  <si>
    <t>2025-05-02 11:59:00,3577350755.74128,17603633711.9735,-2803.30396825397,-2961,-1677.75279365079,-1913.66,-142.507582311966,-890.07</t>
  </si>
  <si>
    <t>2025-05-02 11:59:00,2102545077.95924,6407798315.19859,-84.4000022114107,549,54.756201304732,629.25,-125.976344682009,241.59</t>
  </si>
  <si>
    <t>2025-05-02 11:59:00,266037225.592308,481149210.582994,251.107142857144,232,2270.79567619049,965.85,0.0440402552106326,33.57</t>
  </si>
  <si>
    <t>2025-05-02 11:59:00,59457827.030567,1242938.36513265,10.7444444444444,9,246.646944444444,189.05,0.0152338465686399,2.15</t>
  </si>
  <si>
    <t>2025-05-02 12:00:00,570,,568,,575,,563.5,,,,,570,560</t>
  </si>
  <si>
    <t>2025-05-02 12:00:00,490,,490,,490,,487.5,,,490,,490,485</t>
  </si>
  <si>
    <t>2025-05-02 12:00:00,5700,,5700,,5650,,5620,,,,,5700,5600</t>
  </si>
  <si>
    <t>2025-05-02 12:00:00,20100,,20200,,19475,,20050,,,,,20200,19400</t>
  </si>
  <si>
    <t>2025-05-02 12:00:00,3667572125.93692,18106702294.366,85.9734126984113,2576,287.701503968249,3536.45,-135.504615936013,1430.21</t>
  </si>
  <si>
    <t>2025-05-02 12:00:00,2089201669.37112,6589240318.55715,1256.18924963925,3033,1723.14561760462,3514.77,40.9178818732941,1542.63</t>
  </si>
  <si>
    <t>2025-05-02 12:00:00,270443935.638225,488975481.68383,22.0149999999983,413,439.475716666668,5257.04,-8.52704154154659,145.91</t>
  </si>
  <si>
    <t>2025-05-02 12:00:00,62180919.7451342,1268211.62240089,-7.87229437229437,-8,-102.572551948052,-79.34,0.00638295762486219,-1.09</t>
  </si>
  <si>
    <t>2025-05-02 12:01:00,570,,568,,575,,563.5,,,,,570,560</t>
  </si>
  <si>
    <t>2025-05-02 12:01:00,490,,490,,490,,487.5,,,,,490,485</t>
  </si>
  <si>
    <t>2025-05-02 12:01:00,5700,,5700,,5650,,5620,,,,,5700,5600</t>
  </si>
  <si>
    <t>2025-05-02 12:01:00,20100,,20200,,19475,,20050,,,,,20200,19400</t>
  </si>
  <si>
    <t>2025-05-02 12:01:00,3475665832.11518,18590264191.1671,3867.91515151515,2930,6559.4583939394,5166.38,131.256658943092,1967.03</t>
  </si>
  <si>
    <t>2025-05-02 12:01:00,2029211953.79103,6804045310.34658,,6039,,4947.8,-341.789830843199,2216.1</t>
  </si>
  <si>
    <t>2025-05-02 12:01:00,261653646.204247,483070307.219346,3822.11666666666,-416,22187.5828333333,12094.4,-4.75817499789007,467.36</t>
  </si>
  <si>
    <t>2025-05-02 12:01:00,58450169.456363,1210273.77689623,22.0438750722961,15,495.705076807403,421.58,0.0172195042436741,5.11</t>
  </si>
  <si>
    <t>2025-05-02 12:03:00,570,,568,,575,,563.5,,,,,570,560</t>
  </si>
  <si>
    <t>2025-05-02 12:03:00,490,,490,,490,,487.5,,,,,490,485</t>
  </si>
  <si>
    <t>2025-05-02 12:03:00,5700,,5700,,5650,,5620,5700,,,,5700,5600</t>
  </si>
  <si>
    <t>2025-05-02 12:03:00,20100,,20200,,19475,,20050,,,,,20200,19800</t>
  </si>
  <si>
    <t>2025-05-02 12:03:00,3630635308.42025,18562345036.9982,-4183.44444444444,-1611,-3317.97,-1653.16,267.426520894621,-914.99</t>
  </si>
  <si>
    <t>2025-05-02 12:03:00,2102621434.52797,6675341530.85545,-985.572265416521,-1698,-1433.26367074275,-1728.81,-196.478483340973,-605.68</t>
  </si>
  <si>
    <t>2025-05-02 12:03:00,270695166.397453,495981776.337473,291.024999999998,7,1826.06966666664,461.149999999999,12.0300131374899,77.3800000000001</t>
  </si>
  <si>
    <t>2025-05-02 12:03:00,61877913.7824511,1447795.62863606,-17.0008441558438,-499,-91.9136740259726,-2491.73,-0.786989780444163,-50.04</t>
  </si>
  <si>
    <t>2025-05-02 12:04:00,570,,568,,575,,563.5,,,,,570,560</t>
  </si>
  <si>
    <t>2025-05-02 12:04:00,490,,490,,490,,487.5,,,,,490,485</t>
  </si>
  <si>
    <t>2025-05-02 12:04:00,5700,,5700,,5650,,5620,,,,,5700,5600</t>
  </si>
  <si>
    <t>2025-05-02 12:04:00,20100,,20200,,19475,,20050,,,,,20200,19800</t>
  </si>
  <si>
    <t>2025-05-02 12:04:00,3637492435.33243,19050631709.2541,-1370.61785714286,-4045,-150.012833333335,-1841.43,162.293139533019,-806.94</t>
  </si>
  <si>
    <t>2025-05-02 12:04:00,2075085993.58648,6847648306.65631,-471.81748062221,-921,174.637803189609,-813.64,56.471142318657,-365.45</t>
  </si>
  <si>
    <t>2025-05-02 12:04:00,271282468.581734,509012829.658202,134.878333333333,769,3651.73075,4274.83,2.518203153815,167.56</t>
  </si>
  <si>
    <t>2025-05-02 12:04:00,61170994.7978279,1531402.38719722,-4.49237468671679,11,27.2134904135339,133.24,0.00291313409660648,1.69</t>
  </si>
  <si>
    <t>2025-05-02 12:05:00,570,,568,,575,,563.5,,,,,570,560</t>
  </si>
  <si>
    <t>2025-05-02 12:05:00,490,,490,,490,,487.5,,,,,490,485</t>
  </si>
  <si>
    <t>2025-05-02 12:05:00,5700,,5700,,5650,,5620,,,,,5700,5600</t>
  </si>
  <si>
    <t>2025-05-02 12:05:00,20100,,20200,,19475,,20050,,,,,20200,19400</t>
  </si>
  <si>
    <t>2025-05-02 12:05:00,3658202853.00804,17764219702.8868,-1475.12083333333,-2135,2.70833333333169,623.58,105.609044522582,-17.3600000000001</t>
  </si>
  <si>
    <t>2025-05-02 12:05:00,2125880202.4283,6597309123.86355,1362.26419015767,593,1681.29912589584,760.33,-21.7956547185064,240.49</t>
  </si>
  <si>
    <t>2025-05-02 12:05:00,269575508.346551,496660495.616375,618.749999999999,-121,41619.9091666667,10323.58,-3.87504804991782,64.51</t>
  </si>
  <si>
    <t>2025-05-02 12:05:00,61764040.1284607,1449760.63550616,12.4628807378807,18,380.593527777777,337.02,-0.00787519516618067,3.76</t>
  </si>
  <si>
    <t>2025-05-02 12:06:00,570,,568,,575,,563.5,,,,,570,560</t>
  </si>
  <si>
    <t>2025-05-02 12:06:00,490,,490,,490,,487.5,,,,,490,485</t>
  </si>
  <si>
    <t>2025-05-02 12:06:00,5700,,5700,,5650,,5620,,,,,5700,5600</t>
  </si>
  <si>
    <t>2025-05-02 12:06:00,20100,,20200,,19475,,20050,,,,,20200,19400</t>
  </si>
  <si>
    <t>2025-05-02 12:06:00,3616663427.50448,16812323854.1516,1046.92658730159,2309,2495.93089285714,3813.22,-502.799281721338,1142.17</t>
  </si>
  <si>
    <t>2025-05-02 12:06:00,2120456179.47008,6440984569.29209,293.910149469406,511,1188.93778604764,1717.23,-24.9519994550457,661.16</t>
  </si>
  <si>
    <t>2025-05-02 12:06:00,268301376.238816,475413321.690693,1660.09666666667,439,121608.292366667,16302.22,0.0900744540849173,197.04</t>
  </si>
  <si>
    <t>2025-05-02 12:06:00,62506173.3290187,1379301.96478045,13.4792063492064,25,366.412884126984,375.45,0.00552549058112775,4.87</t>
  </si>
  <si>
    <t>2025-05-02 12:07:00,570,,568,,575,,563.5,,,567,,570,560</t>
  </si>
  <si>
    <t>2025-05-02 12:07:00,490,,490,,490,,487.5,,,,,490,485</t>
  </si>
  <si>
    <t>2025-05-02 12:07:00,5700,,5700,,5650,,5620,,,,,5700,5600</t>
  </si>
  <si>
    <t>2025-05-02 12:07:00,20100,,20200,,19475,,20050,,,,,20200,19800</t>
  </si>
  <si>
    <t>2025-05-02 12:07:00,3575313017.37252,16819638517.3989,3859.45992063492,2709,5891.95555952381,5439.95,-486.145829725881,2369.09</t>
  </si>
  <si>
    <t>2025-05-02 12:07:00,2095897132.4582,6242824295.79138,-520.147625915843,-1788,-704.920077277049,-2563.16,-28.0399906366693,-832.86</t>
  </si>
  <si>
    <t>2025-05-02 12:07:00,269595801.678659,467327505.870013,1064.59333333333,1651,12206.4346333332,15717.21,6.74358163911341,575.87</t>
  </si>
  <si>
    <t>2025-05-02 12:07:00,62587485.9989942,1315423.68875005,-3.49642857142857,-6,-169.306238095238,-172.38,0.00235911455125226,-2.08</t>
  </si>
  <si>
    <t>2025-05-02 12:08:00,570,,568,,575,,563.5,,,,,570,560</t>
  </si>
  <si>
    <t>2025-05-02 12:08:00,490,,490,,490,,487.5,,,490,,490,485</t>
  </si>
  <si>
    <t>2025-05-02 12:08:00,5700,,5700,,5650,,5620,,,,,5700,5600</t>
  </si>
  <si>
    <t>2025-05-02 12:08:00,20100,,20200,,19475,,20050,,,,,20200,19800</t>
  </si>
  <si>
    <t>2025-05-02 12:08:00,3588339880.83792,16142168961.1569,-575.716422466422,162,2086.40261660562,3990.05,-461.266829397977,1321.85</t>
  </si>
  <si>
    <t>2025-05-02 12:08:00,2103184415.65626,6098413562.41288,1585.62165646614,2623,1190.49570955367,2308.76,48.9526346109147,1069.61</t>
  </si>
  <si>
    <t>2025-05-02 12:08:00,270489873.547703,463599407.463457,1084.45,918,14348.3163333333,7677.97,-0.189376346239229,321.5</t>
  </si>
  <si>
    <t>2025-05-02 12:08:00,62300581.687364,1285460.21859815,7.62625626007979,8,230.854914077752,273.33,-0.000494431857797868,3.04</t>
  </si>
  <si>
    <t>2025-05-02 12:09:00,575,,568,,575,,563.5,,,,567,570,560</t>
  </si>
  <si>
    <t>2025-05-02 12:09:00,490,,490,,490,,487.5,,,,,490,485</t>
  </si>
  <si>
    <t>2025-05-02 12:09:00,5700,,5700,,5650,,5620,,,,,5700,5600</t>
  </si>
  <si>
    <t>2025-05-02 12:09:00,20100,,20200,,19475,,20050,,,,,20200,19800</t>
  </si>
  <si>
    <t>2025-05-02 12:09:00,3552250530.3466,16196590452.8114,-2484.53083028083,-2882,-2865.04922222222,-3535.09,375.214042059524,-1504.11</t>
  </si>
  <si>
    <t>2025-05-02 12:09:00,2085149513.61162,6243713408.70826,-898.719027296271,-3023,-315.666376108308,-1187.33,-510.034859534066,-707.12</t>
  </si>
  <si>
    <t>2025-05-02 12:09:00,269169196.191515,454820336.276084,-299.708333333332,-258,-1858.92308333333,-5275.98,3.60737839462668,-176.28</t>
  </si>
  <si>
    <t>2025-05-02 12:09:00,60521994.5644384,1258216.87813699,1.62634920634921,9,17.7417841269842,81.13,0.00680867080430002,1.09</t>
  </si>
  <si>
    <t>2025-05-02 12:10:00,575,,568,,575,,563.5,,,567,,570,560</t>
  </si>
  <si>
    <t>2025-05-02 12:10:00,490,,490,,490,,487.5,,,,,490,485</t>
  </si>
  <si>
    <t>2025-05-02 12:10:00,5700,,5700,,5650,,5620,,,,,5700,5600</t>
  </si>
  <si>
    <t>2025-05-02 12:10:00,20100,,20200,,19475,,20050,,,,,20200,19800</t>
  </si>
  <si>
    <t>2025-05-02 12:10:00,3489361018.94798,16336103792.4935,693.390476190476,849,1824.44826190476,3567.2,84.6234492242545,1222.53</t>
  </si>
  <si>
    <t>2025-05-02 12:10:00,2023760858.79758,6430432195.2179,2099.58706108706,2285,2797.71256902357,2489.48,167.998801834029,684.69</t>
  </si>
  <si>
    <t>2025-05-02 12:10:00,265724310.730658,455815172.962291,26.623333333333,287,4.87139999997897,2915.81,-3.23753164679751,97.13</t>
  </si>
  <si>
    <t>2025-05-02 12:10:00,57609026.0323931,1244981.52682352,14.9146296296296,-30,48.2976629629631,7.44,-0.00164988525387841,0.39</t>
  </si>
  <si>
    <t>2025-05-02 12:11:00,575,,568,,575,,563.5,,,,,570,560</t>
  </si>
  <si>
    <t>2025-05-02 12:11:00,490,,490,,490,,488.5,,,,,490,485</t>
  </si>
  <si>
    <t>2025-05-02 12:11:00,5700,,5700,,5650,,5620,,,,,5700,5600</t>
  </si>
  <si>
    <t>2025-05-02 12:11:00,20100,,20200,,19475,,20050,,,,,20200,19800</t>
  </si>
  <si>
    <t>2025-05-02 12:11:00,3558766565.52137,15114646126.9298,-10177.6151515152,-6385,-9825.81641991343,-5777.59,432.722814111522,-2424.51</t>
  </si>
  <si>
    <t>2025-05-02 12:11:00,2077283042.22325,5750794797.72037,-776.681209712936,-1162,-646.997108313109,-1078.45,-181.300610956512,-270.35</t>
  </si>
  <si>
    <t>2025-05-02 12:11:00,270765621.666322,442435230.343086,-650.055555555557,-652,-6689.46777777778,-3923.03,-2.01153500592874,-202.98</t>
  </si>
  <si>
    <t>2025-05-02 12:11:00,62451233.0232394,1235040.04287471,1.56666666666666,-2,41.8676249999998,-55.22,0.00046542108746597,-0.74</t>
  </si>
  <si>
    <t>2025-05-02 12:12:00,575,,568,,575,,563.5,,,,,570,560</t>
  </si>
  <si>
    <t>2025-05-02 12:12:00,490,,490,,490,,487.5,,,,489,490,485</t>
  </si>
  <si>
    <t>2025-05-02 12:12:00,5700,,5700,,5650,,5620,,,,,5700,5600</t>
  </si>
  <si>
    <t>2025-05-02 12:12:00,20100,,20200,,19475,,20050,,,,,20200,19800</t>
  </si>
  <si>
    <t>2025-05-02 12:12:00,3321848696.88465,17957342230.371,-13908.755545843,-5024,-13448.8612792346,-5482.52,144.291613513173,-2550.31</t>
  </si>
  <si>
    <t>2025-05-02 12:12:00,1924680382.4797,7049521668.87136,-6202.2129723371,-3827,-7868.93690841695,-5202.89,508.536139614323,-1879.37</t>
  </si>
  <si>
    <t>2025-05-02 12:12:00,267431480.663973,445893418.55442,-5094.84999999998,-3400,-65389.9919999997,-27459.79,0.0603207482090059,-1080.26</t>
  </si>
  <si>
    <t>2025-05-02 12:12:00,58162259.8643849,1238891.01042527,-2.35525793650794,-15,-129.910264880952,-206.26,0.0263388378203168,-2.24</t>
  </si>
  <si>
    <t>2025-05-02 12:13:00,575,,568,,575,,563.5,,,,567,570,560</t>
  </si>
  <si>
    <t>2025-05-02 12:13:00,490,,490,,490,,487.5,,,,,490,485</t>
  </si>
  <si>
    <t>2025-05-02 12:13:00,5700,,5700,,5650,,5620,,,,,5700,5600</t>
  </si>
  <si>
    <t>2025-05-02 12:13:00,20100,,20200,,19475,,20050,,,,,20200,19800</t>
  </si>
  <si>
    <t>2025-05-02 12:13:00,3508076208.0356,15489128911.3416,-5973.8854978355,-5310,-4538.46667965368,-4144.54,457.759554209184,-2040.63</t>
  </si>
  <si>
    <t>2025-05-02 12:13:00,2059052156.09587,6076096174.68229,5.29782106782121,802,12.5019303992302,265.33,188.264972344793,80.3800000000001</t>
  </si>
  <si>
    <t>2025-05-02 12:13:00,269732341.261121,442792825.401971,-700.754444444445,-359,-5076.03375555557,-3377.76,-5.79861403364721,-208.79</t>
  </si>
  <si>
    <t>2025-05-02 12:13:00,59869961.0034321,1195901.54999399,-0.0757142857142864,2,100.31573968254,118.37,0.00768560498835166,1.34</t>
  </si>
  <si>
    <t>2025-05-02 12:14:00,575,,568,,575,,563.5,,,,,570,560</t>
  </si>
  <si>
    <t>2025-05-02 12:14:00,490,,490,,490,,487.5,,,,,490,485</t>
  </si>
  <si>
    <t>2025-05-02 12:14:00,5700,,5700,,5650,,5620,,,,,5700,5600</t>
  </si>
  <si>
    <t>2025-05-02 12:14:00,20100,,20200,,19475,,20050,,,,,20200,19800</t>
  </si>
  <si>
    <t>2025-05-02 12:14:00,3509907458.484,15243563632.053,1587.19787302751,916,807.590721442537,1483.21,231.582148070438,539.19</t>
  </si>
  <si>
    <t>2025-05-02 12:14:00,2077730568.33309,5954669900.73229,280.758677248677,1386,210.068972486773,776.21,-38.6046628181581,449.14</t>
  </si>
  <si>
    <t>2025-05-02 12:14:00,268469652.670727,433027957.59821,-226.476515151518,134,-2917.0461287879,-284.09,-2.37027344774136,15.52</t>
  </si>
  <si>
    <t>2025-05-02 12:14:00,61765371.2697131,1181440.15287343,8.67082572982574,27,490.593018735709,761.99,0.00962928095239617,7.99</t>
  </si>
  <si>
    <t>2025-05-02 12:15:00,575,,568,,575,,563.5,,,,,570,560</t>
  </si>
  <si>
    <t>2025-05-02 12:15:00,490,,490,,490,,487.5,,,,,490,485</t>
  </si>
  <si>
    <t>2025-05-02 12:15:00,5700,,5700,,5650,,5620,,,,,5700,5600</t>
  </si>
  <si>
    <t>2025-05-02 12:15:00,20100,,20200,,19475,,20050,,,,,20200,19800</t>
  </si>
  <si>
    <t>2025-05-02 12:15:00,3551923759.84766,16304676613.6241,-323.350793650794,-51,-1433.17377777778,-1161.82,-0.894686784826238,-266.25</t>
  </si>
  <si>
    <t>2025-05-02 12:15:00,2061748750.68123,6362610476.51271,-945.875602802215,-718,-616.259197539914,-453.8,72.2078088302111,-197.43</t>
  </si>
  <si>
    <t>2025-05-02 12:15:00,270818462.972204,455096488.051931,56.1199999999972,-34,1121.16833333331,2699.22,-2.33752588302411,52.12</t>
  </si>
  <si>
    <t>2025-05-02 12:15:00,63498044.1967005,1276905.20082679,21.7961577060932,-57,11548.370185233,-32626.48,-0.0047479346476302,-57.04</t>
  </si>
  <si>
    <t>2025-05-02 12:16:00,575,,568,,575,,563.5,,,,,570,560</t>
  </si>
  <si>
    <t>2025-05-02 12:16:00,490,,490,,490,,488.5,,,,489,490,485</t>
  </si>
  <si>
    <t>2025-05-02 12:16:00,5700,,5700,,5650,,5620,,,,,5700,5600</t>
  </si>
  <si>
    <t>2025-05-02 12:16:00,20100,,20200,,19475,,20050,,,,,20200,19800</t>
  </si>
  <si>
    <t>2025-05-02 12:16:00,3497563554.02089,14101488067.2471,3578.81407203907,3465,4429.36682326007,3923.35,-352.337196644388,1499.69</t>
  </si>
  <si>
    <t>2025-05-02 12:16:00,2087021021.50782,5739791835.53446,-528.686111111112,-813,-812.627416666668,-1235.39,64.0038036436991,-627.64</t>
  </si>
  <si>
    <t>2025-05-02 12:16:00,268922119.701032,418711252.431279,1437.31999999999,1803,30910.3472999996,28772.9899999999,-4.33120453043726,868.63</t>
  </si>
  <si>
    <t>2025-05-02 12:16:00,62569337.3830611,1116641.44803196,17.7509334625323,9,604.396118184755,336.21,0.0178658426750827,3.35</t>
  </si>
  <si>
    <t>2025-05-02 12:17:00,575,,568,,575,,563.5,,,,,570,560</t>
  </si>
  <si>
    <t>2025-05-02 12:17:00,490,,490,,490,,488.5,,,,489,490,485</t>
  </si>
  <si>
    <t>2025-05-02 12:17:00,5700,,5700,,5650,,5620,,,,,5700,5600</t>
  </si>
  <si>
    <t>2025-05-02 12:17:00,20100,,20200,,19475,,20050,,,,,20200,19800</t>
  </si>
  <si>
    <t>2025-05-02 12:17:00,3448165207.62635,13844374604.7844,-7167.41349206349,-4484,-3858.87987301587,-1010.33,331.54760083133,-624.53</t>
  </si>
  <si>
    <t>2025-05-02 12:17:00,2073209975.08411,5600192232.59508,21.8011614081777,-103,-428.77406990498,-1014.54,319.713190916069,-15.5899999999999</t>
  </si>
  <si>
    <t>2025-05-02 12:17:00,269197502.300991,405522205.706947,-875.903333333334,-651,-2249.55856666669,1061.26,-0.708004589402554,-50.26</t>
  </si>
  <si>
    <t>2025-05-02 12:17:00,62389097.2752516,1103131.64444506,5.80029761904763,6,66.7999315476194,205.38,0.0151370957222134,2.94</t>
  </si>
  <si>
    <t>2025-05-02 12:18:00,575,,568,,575,,563.5,,,,,570,560</t>
  </si>
  <si>
    <t>2025-05-02 12:18:00,490,,490,,490,,488.5,,,,489,490,485</t>
  </si>
  <si>
    <t>2025-05-02 12:18:00,5700,,5700,,5650,,5620,,,,,5700,5600</t>
  </si>
  <si>
    <t>2025-05-02 12:18:00,20100,,20200,,19475,,20050,,,,,20200,19800</t>
  </si>
  <si>
    <t>2025-05-02 12:18:00,3472042522.76293,14112928935.174,-1238.69523809524,-1676,-603.205809523808,-1496.12,-64.0310758262105,-727.89</t>
  </si>
  <si>
    <t>2025-05-02 12:18:00,2003582766.39246,5593285771.56838,-2164.59074440052,-3263,-2354.15695761967,-3318.07,95.4401139870206,-1579.47</t>
  </si>
  <si>
    <t>2025-05-02 12:18:00,269233510.646213,401413130.215634,-628.509999999998,-669,5782.30170000003,-1917.43,-2.59127864872324,-259.47</t>
  </si>
  <si>
    <t>2025-05-02 12:18:00,62070389.5230634,1087217.13128158,15.3044016290727,9,700.305159304512,343.69,0.0277784079035889,3.77</t>
  </si>
  <si>
    <t>2025-05-02 12:19:00,575,,568,,575,,563.5,,,,,570,560</t>
  </si>
  <si>
    <t>2025-05-02 12:19:00,490,,490,,490,,488.5,,,,,490,485</t>
  </si>
  <si>
    <t>2025-05-02 12:19:00,5700,,5700,,5650,,5620,,,,,5700,5600</t>
  </si>
  <si>
    <t>2025-05-02 12:19:00,20100,,20200,,19475,,20050,,,,,20200,19800</t>
  </si>
  <si>
    <t>2025-05-02 12:19:00,3536111499.13205,14879827028.902,2057.59686147186,3256,1718.42187229437,1665.8,-53.265231697209,940.89</t>
  </si>
  <si>
    <t>2025-05-02 12:19:00,2075174012.14186,5877205375.66796,87.1461412151064,290,-57.6920853858787,280.19,-65.6477369621777,113.01</t>
  </si>
  <si>
    <t>2025-05-02 12:19:00,271135953.088506,426109546.951794,364.663333333333,544,924.958200000002,2676.8,-3.05436852115281,104.84</t>
  </si>
  <si>
    <t>2025-05-02 12:19:00,61736175.0070307,1173273.64720382,-6.2040650406504,-9,-292.922971544715,-344.97,0.00951159599576951,-3.42</t>
  </si>
  <si>
    <t>2025-05-02 12:20:00,575,,568,,575,,563.5,,,,,570,560</t>
  </si>
  <si>
    <t>2025-05-02 12:20:00,490,,490,,490,,488.5,,,,,490,485</t>
  </si>
  <si>
    <t>2025-05-02 12:20:00,5700,,5700,,5650,,5620,,,,,5700,5600</t>
  </si>
  <si>
    <t>2025-05-02 12:20:00,20100,,20200,,19475,,20050,,,,,20200,19800</t>
  </si>
  <si>
    <t>2025-05-02 12:20:00,3582004889.52373,16552638390.0989,1725.92857142855,2389,2829.08726190474,3254,301.844989444451,1344.77</t>
  </si>
  <si>
    <t>2025-05-02 12:20:00,2101678680.32184,6249991178.27842,433.370000000001,640,512.876400000001,559.28,-46.5981997967351,238.83</t>
  </si>
  <si>
    <t>2025-05-02 12:20:00,272847412.341571,447094379.388791,-392.299999999999,-500,-1248.69766666666,-2000.75,-4.46851027530555,-128.32</t>
  </si>
  <si>
    <t>2025-05-02 12:20:00,63625167.5925871,1247051.54949892,-65.9280303030303,-62,-403.831838744589,-60.73,0.0242863430028005,-0.47</t>
  </si>
  <si>
    <t>2025-05-02 12:21:00,570,,568,,575,,563.5,,567,,,570,560</t>
  </si>
  <si>
    <t>2025-05-02 12:21:00,490,,490,,490,,488.5,490,,,,490,485</t>
  </si>
  <si>
    <t>2025-05-02 12:21:00,5700,,5700,,5650,,5620,,5690,,5680,5700,5600</t>
  </si>
  <si>
    <t>2025-05-02 12:21:00,20100,,20200,,19475,,20050,,,,,20200,19800</t>
  </si>
  <si>
    <t>2025-05-02 12:21:00,3670756018.99759,17677639907.1814,-2017.48611111111,-2558,1133.36043650794,-1219.21,-168.045562803817,-881.96</t>
  </si>
  <si>
    <t>2025-05-02 12:21:00,2050736975.06064,6804944378.56244,2005.29641366991,377,1798.446762861,-1734.12,-87.9935787113987,-324.83</t>
  </si>
  <si>
    <t>2025-05-02 12:21:00,273210951.022101,481481655.332639,-213.183333333337,-111,-6084.69150000004,-13739.12,-4.08772428001225,-368.54</t>
  </si>
  <si>
    <t>2025-05-02 12:21:00,64182889.5425274,1415875.59315946,-21.287094017094,-23,-573.236478632479,-531.08,-0.020700462775089,-7.35</t>
  </si>
  <si>
    <t>2025-05-02 12:22:00,570,,568,,575,,563.5,,,,,570,560</t>
  </si>
  <si>
    <t>2025-05-02 12:22:00,490,,490,,490,,488.5,,,,,490,485</t>
  </si>
  <si>
    <t>2025-05-02 12:22:00,5700,,5700,,5650,,5620,,,,,5700,5600</t>
  </si>
  <si>
    <t>2025-05-02 12:22:00,20100,,20200,,19475,,20050,,,,,20200,19800</t>
  </si>
  <si>
    <t>2025-05-02 12:22:00,3672110980.46503,17723952609.5806,0,0,0,0,0,0</t>
  </si>
  <si>
    <t>2025-05-02 12:22:00,2052004224.45693,6822746685.37688,0,0,0,0,0,0</t>
  </si>
  <si>
    <t>2025-05-02 12:22:00,273277534.287256,482157689.550977,0,0,0,0,0,0</t>
  </si>
  <si>
    <t>2025-05-02 12:22:00,64233437.0005833,1418223.9896208,0,0,0,0,0,0</t>
  </si>
  <si>
    <t>2025-05-02 12:23:00,575,,568,,575,,563.5,,,,,570,560</t>
  </si>
  <si>
    <t>2025-05-02 12:23:00,490,,490,,490,,487.5,,,,,490,485</t>
  </si>
  <si>
    <t>2025-05-02 12:23:00,5700,,5700,,5650,,5620,,,,,5700,5600</t>
  </si>
  <si>
    <t>2025-05-02 12:23:00,20100,,20200,,19475,,20050,,,,,20200,19800</t>
  </si>
  <si>
    <t>2025-05-02 12:23:00,3545063328.22189,16221616110.3142,-242.137351626868,-1908,3364.28230358888,1325.76,78.629763479952,412.18</t>
  </si>
  <si>
    <t>2025-05-02 12:23:00,2026950848.27831,6806875650.48719,2920.61177248677,3055,2690.84799074074,1639.88,325.130514047139,969.39</t>
  </si>
  <si>
    <t>2025-05-02 12:23:00,271185590.916268,450618259.533575,-432.700000000008,-911,-3526.53950000007,-5588.7,12.9076528268398,-237.74</t>
  </si>
  <si>
    <t>2025-05-02 12:23:00,58937306.5157881,1305984.70620647,114.235586080586,0,2269.33107802198,72.1299999999999,0.0382063575147318,-0.38</t>
  </si>
  <si>
    <t>2025-05-02 12:24:00,575,,568,,575,,563.5,,,,,570,560</t>
  </si>
  <si>
    <t>2025-05-02 12:24:00,490,,490,,490,,487.5,,,,489,490,485</t>
  </si>
  <si>
    <t>2025-05-02 12:24:00,5700,,5700,,5650,,5620,,,5680,,5700,5600</t>
  </si>
  <si>
    <t>2025-05-02 12:24:00,20100,,20200,,19475,,20050,,,,,20200,19800</t>
  </si>
  <si>
    <t>2025-05-02 12:24:00,3534960898.60787,14925817641.7603,5778.92658730159,1982,5665.61543650793,3259.29,117.052126957994,1674.22</t>
  </si>
  <si>
    <t>2025-05-02 12:24:00,2076444287.77491,6485846684.12779,5440.37992562992,4055,2996.44773670774,2017.49,642.45052061859,1126.85</t>
  </si>
  <si>
    <t>2025-05-02 12:24:00,268576074.649262,431063093.879221,1377.15555555555,1259,10665.8155555555,7220.99,-0.567627133246307,421.72</t>
  </si>
  <si>
    <t>2025-05-02 12:24:00,58974096.2972945,1191679.42505309,-30.3630158730159,-54,-243.807798412699,-153.21,0.0898191837580533,-0.97</t>
  </si>
  <si>
    <t>2025-05-02 12:25:00,575,,568,,575,,563.5,,,,,570,560</t>
  </si>
  <si>
    <t>2025-05-02 12:25:00,490,,490,,490,,488.5,,,,,490,485</t>
  </si>
  <si>
    <t>2025-05-02 12:25:00,5700,,5700,,5650,,5620,,,,,5700,5600</t>
  </si>
  <si>
    <t>2025-05-02 12:25:00,20100,,20200,,19475,,20050,,,,,20200,19800</t>
  </si>
  <si>
    <t>2025-05-02 12:25:00,3529310658.01882,13994689741.9757,-544.216666666662,-413,-633.491333333329,-497.58,108.538978347814,-32.03</t>
  </si>
  <si>
    <t>2025-05-02 12:25:00,2086271384.78947,5931046492.77258,-48.373903784388,-2433,-635.345213238374,-2002.49,11.4846106457455,-901.56</t>
  </si>
  <si>
    <t>2025-05-02 12:25:00,271225559.633658,422498498.777177,-191.325000000001,332,-5894.09925000003,-725.41,-1.32028190973171,46.09</t>
  </si>
  <si>
    <t>2025-05-02 12:25:00,62004097.009787,1200514.88778696,-16.1255413469736,-25,-458.126659931799,-740.05,0.0160879159610066,-9.12</t>
  </si>
  <si>
    <t>2025-05-02 12:26:00,575,,568,,575,,564,,,,,570,560</t>
  </si>
  <si>
    <t>2025-05-02 12:26:00,490,,490,,490,,488.5,,,,,490,485</t>
  </si>
  <si>
    <t>2025-05-02 12:26:00,5700,,5700,,5650,,5620,,,,,5700,5600</t>
  </si>
  <si>
    <t>2025-05-02 12:26:00,20100,,20200,,19475,,20050,,,,,20200,19800</t>
  </si>
  <si>
    <t>2025-05-02 12:26:00,3424014784.56379,10553186924.1217,-2679.00595238095,-2988,-1064.27954365079,-1693.41,177.354103281067,-1039.72</t>
  </si>
  <si>
    <t>2025-05-02 12:26:00,2074512613.8451,5129151937.43509,378.759462759463,-551,500.198388278388,95.9899999999999,32.7641701815694,-8.83999999999997</t>
  </si>
  <si>
    <t>2025-05-02 12:26:00,268095999.371951,374401168.749202,648.396666666667,436,3399.62893333333,-578.95,5.8691578910896,11.06</t>
  </si>
  <si>
    <t>2025-05-02 12:26:00,63071019.4051091,1049484.89632827,7.40714285714283,19,119.727809523809,491.55,-0.0314061435984558,6.18</t>
  </si>
  <si>
    <t>2025-05-02 12:27:00,575,,568,,575,,563.5,,,,,570,560</t>
  </si>
  <si>
    <t>2025-05-02 12:27:00,490,,490,,490,,487.5,,,489,,490,485</t>
  </si>
  <si>
    <t>2025-05-02 12:27:00,5700,,5700,,5650,,5620,,,,,5700,5600</t>
  </si>
  <si>
    <t>2025-05-02 12:27:00,20100,,20200,,19475,,20050,,,,,20200,19800</t>
  </si>
  <si>
    <t>2025-05-02 12:27:00,3545682612.30644,15819534555.8398,-1103.33058608059,2687,-637.337350427349,-1922.24,-898.272024510424,-789.99</t>
  </si>
  <si>
    <t>2025-05-02 12:27:00,2023962637.08212,6881704762.29502,128.712765317325,821,-2143.4150934537,-607.55,13.6374645012179,121.9</t>
  </si>
  <si>
    <t>2025-05-02 12:27:00,271977239.373977,437736851.348923,-110.800000000008,-474,-21139.9453333334,-7893.68,-5.80529454633909,-277.52</t>
  </si>
  <si>
    <t>2025-05-02 12:27:00,61039217.8628234,1257012.21222902,-4.38608932461873,-4,-456.522877661064,-234.06,0.0140904377057152,-2.3</t>
  </si>
  <si>
    <t>2025-05-02 12:28:00,575,,568,,575,,563.5,,,,,570,560</t>
  </si>
  <si>
    <t>2025-05-02 12:28:00,490,,490,,490,,488.5,,,,,490,485</t>
  </si>
  <si>
    <t>2025-05-02 12:28:00,5700,,5700,,5650,,5620,,,,,5700,5600</t>
  </si>
  <si>
    <t>2025-05-02 12:28:00,20100,,20200,,19475,,20050,,,,,20200,19800</t>
  </si>
  <si>
    <t>2025-05-02 12:28:00,3534695326.71684,15496456766.2338,-8068.73543956045,-1686,-9624.67480738706,-4689.21,-123.908051097539,-2086.07</t>
  </si>
  <si>
    <t>2025-05-02 12:28:00,1931845958.69477,6644718193.13432,-3188.23967015272,-2459,-2331.32141007946,-1808.54,-121.578289201048,-1050.2</t>
  </si>
  <si>
    <t>2025-05-02 12:28:00,270586815.546603,437552013.571348,-1119.16870629371,-1668,-10408.8785716783,-12190.55,0.128986140748505,-570.91</t>
  </si>
  <si>
    <t>2025-05-02 12:28:00,59526138.8402796,1202187.9061268,5.55628936423053,0,90.284711849588,68.38,-0.00713444680955585,0.9</t>
  </si>
  <si>
    <t>2025-05-02 12:29:00,575,,568,,575,,563.5,,,,,570,560</t>
  </si>
  <si>
    <t>2025-05-02 12:29:00,490,,490,,490,,488.5,,,,,490,485</t>
  </si>
  <si>
    <t>2025-05-02 12:29:00,5700,,5700,,5650,,5620,,,,,5700,5600</t>
  </si>
  <si>
    <t>2025-05-02 12:29:00,20100,,20200,,19475,,20050,,,,,20200,19800</t>
  </si>
  <si>
    <t>2025-05-02 12:29:00,3588136784.98971,16618753376.0923,861.642857142856,-1865,446.525515873014,1424.6,-369.042543949513,684.66</t>
  </si>
  <si>
    <t>2025-05-02 12:29:00,2125663755.03807,6763736711.8854,-653.921476671477,-1319,-582.565941558441,-1360.01,21.9482777256894,-693.75</t>
  </si>
  <si>
    <t>2025-05-02 12:29:00,271784555.464103,464655513.292904,884.864444444445,871,11656.8027,10254.55,-0.38723970954876,381.08</t>
  </si>
  <si>
    <t>2025-05-02 12:29:00,59500370.9095612,1315607.36153283,2.91547619047619,3,149.846178571429,164.61,-0.00596599502477719,2.1</t>
  </si>
  <si>
    <t>2025-05-02 12:30:00,575,,568,,575,,563.5,,,,,570,560</t>
  </si>
  <si>
    <t>2025-05-02 12:30:00,490,,490,,490,,488.5,,,,,490,485</t>
  </si>
  <si>
    <t>2025-05-02 12:30:00,5700,,5700,,5650,,5620,,,,,5700,5600</t>
  </si>
  <si>
    <t>2025-05-02 12:30:00,20100,,20200,,19475,,20050,,,,,20200,19800</t>
  </si>
  <si>
    <t>2025-05-02 12:30:00,3627390538.33584,16574093601.1246,-1159.98412698413,-405,-716.867142857143,165.22,41.3320183191753,-23.99</t>
  </si>
  <si>
    <t>2025-05-02 12:30:00,2129122236.08023,6812018034.40024,1028.54459779351,567,409.768488533206,101.01,45.7873827259326,85.88</t>
  </si>
  <si>
    <t>2025-05-02 12:30:00,273686789.110935,459916768.642288,83.4400000000008,-1,-2650.93279999998,-2642.45,7.86426908637742,-42.7</t>
  </si>
  <si>
    <t>2025-05-02 12:30:00,59743292.4467928,1318600.98450752,2.40182957393484,-2,73.1354308270674,-176.61,0.0198822733197391,-0.78</t>
  </si>
  <si>
    <t>2025-05-02 12:31:00,575,,568,,575,,563.5,,,,,570,560</t>
  </si>
  <si>
    <t>2025-05-02 12:31:00,490,,490,,490,,488.5,,,,489,490,485</t>
  </si>
  <si>
    <t>2025-05-02 12:31:00,5700,,5700,,5650,,5620,,,,,5700,5600</t>
  </si>
  <si>
    <t>2025-05-02 12:31:00,20100,,20200,,19475,,20050,,,,,20200,19800</t>
  </si>
  <si>
    <t>2025-05-02 12:31:00,3497945326.48902,15587490410.4938,-36.5575396825428,-1611,266.864940476186,-1348.61,-223.392245800442,-985.14</t>
  </si>
  <si>
    <t>2025-05-02 12:31:00,2108507825.60106,6560245243.88398,-959.588758272381,-2811,-539.138372082901,-1445.88,41.9480737716929,-934.12</t>
  </si>
  <si>
    <t>2025-05-02 12:31:00,270234278.099798,433643963.631496,88.483333333333,18,5988.19033333329,1510.61,-2.56693725999156,-55.33</t>
  </si>
  <si>
    <t>2025-05-02 12:31:00,59041741.9030575,1188941.92838994,13.0493460764588,-3,163.006286217304,-64.77,-0.0348543676741108,-2.03</t>
  </si>
  <si>
    <t>2025-05-02 12:32:00,575,,568,,575,,563.5,,,,,570,560</t>
  </si>
  <si>
    <t>2025-05-02 12:32:00,490,,490,,490,,488.5,,,,,490,485</t>
  </si>
  <si>
    <t>2025-05-02 12:32:00,5700,,5700,,5650,,5620,,,,,5700,5600</t>
  </si>
  <si>
    <t>2025-05-02 12:32:00,20100,,20200,,19475,,20050,,,,,20200,19800</t>
  </si>
  <si>
    <t>2025-05-02 12:32:00,3552915730.91749,15773281557.4489,1699.44656084656,1698,1785.29102777778,1333.54,178.049755837199,758.41</t>
  </si>
  <si>
    <t>2025-05-02 12:32:00,2134717147.15535,6715882643.89572,-23.2707516339867,808,130.628496732027,683.27,-21.1298946970618,307.03</t>
  </si>
  <si>
    <t>2025-05-02 12:32:00,272675343.925151,434583311.955234,-449.166666666667,-600,-1483.955,-1068.27,2.17607937220597,-72.14</t>
  </si>
  <si>
    <t>2025-05-02 12:32:00,59525858.2069528,1260542.56267353,-6.74523809523809,-4,-10.9393095238095,10.5,0.00162804263809802,0.2</t>
  </si>
  <si>
    <t>2025-05-02 12:33:00,575,,568,,575,,563.5,,,,,570,560</t>
  </si>
  <si>
    <t>2025-05-02 12:33:00,490,,490,,490,,488.5,,,,,490,485</t>
  </si>
  <si>
    <t>2025-05-02 12:33:00,5700,,5700,,5650,,5620,,,,,5700,5600</t>
  </si>
  <si>
    <t>2025-05-02 12:33:00,20100,,20200,,19475,,20050,,,,,20200,19800</t>
  </si>
  <si>
    <t>2025-05-02 12:33:00,3562025418.06219,15537990377.0228,1857.44642857143,943,1806.2725,1717.01,-179.132611643916,680.36</t>
  </si>
  <si>
    <t>2025-05-02 12:33:00,2125294800.66536,6438290848.85797,691.447916666667,-258,648.879717261905,443.02,-111.212786196971,146.31</t>
  </si>
  <si>
    <t>2025-05-02 12:33:00,272292810.362775,441370977.965008,203.7,-55,2300.07533333333,1218.16,-2.25611143957925,34.74</t>
  </si>
  <si>
    <t>2025-05-02 12:33:00,59133026.0605373,1184999.93303706,2.88484383000513,7,65.2892969790067,77.6,-0.00681008502921376,1.17</t>
  </si>
  <si>
    <t>2025-05-02 12:34:00,575,,568,,575,,563.5,,,,,570,560</t>
  </si>
  <si>
    <t>2025-05-02 12:34:00,490,,490,,490,,488.5,,,489,,490,485</t>
  </si>
  <si>
    <t>2025-05-02 12:34:00,5700,,5700,,5650,,5620,,,,,5700,5600</t>
  </si>
  <si>
    <t>2025-05-02 12:34:00,20100,,20200,,19475,,20050,,,,,20200,19800</t>
  </si>
  <si>
    <t>2025-05-02 12:34:00,3563577019.56057,15734569243.3063,-425.353174603175,3275,-211.790182539685,1486.07,24.4439626248571,722.17</t>
  </si>
  <si>
    <t>2025-05-02 12:34:00,2122335854.36952,6430876714.92008,4326.80504680505,4141,1873.63797008547,2872.58,-35.8423916027876,1548.12</t>
  </si>
  <si>
    <t>2025-05-02 12:34:00,272582068.517359,445237633.723281,-92.8499999999999,-4,-754.044000000005,-163.93,-3.68175404344934,22.09</t>
  </si>
  <si>
    <t>2025-05-02 12:34:00,60686987.4277484,1198137.74134273,-21.5894813519813,-13,-428.722118298368,-153.15,-0.00333439201017189,-2.19</t>
  </si>
  <si>
    <t>2025-05-02 12:35:00,575,,568,,575,,563.5,,,567,,570,560</t>
  </si>
  <si>
    <t>2025-05-02 12:35:00,490,,490,,490,,488.5,,,,,490,485</t>
  </si>
  <si>
    <t>2025-05-02 12:35:00,5700,,5700,,5650,,5620,,,,,5700,5600</t>
  </si>
  <si>
    <t>2025-05-02 12:35:00,20100,,20200,,19475,,20050,,,,,20200,19800</t>
  </si>
  <si>
    <t>2025-05-02 12:35:00,3588555115.72968,16327168162.6398,-2114.04761904762,-669,-3575.76029761905,-1469.53,-267.308681858205,-370.34</t>
  </si>
  <si>
    <t>2025-05-02 12:35:00,2031629376.30381,6840626973.74138,-1091.23492063492,1078,-849.827031746032,-780.84,8.41012292665862,-303.13</t>
  </si>
  <si>
    <t>2025-05-02 12:35:00,273088281.691941,448638034.385559,-616.799999999999,-545,-11390.924,-2434.44,-5.59258178042384,-105.34</t>
  </si>
  <si>
    <t>2025-05-02 12:35:00,62830853.0570631,1247643.8516328,-8.07718360071301,-7,-250.3438057041,-176.1,0.0124497006408899,-2.3</t>
  </si>
  <si>
    <t>2025-05-02 12:36:00,575,,568,,575,,563.5,,,,,570,560</t>
  </si>
  <si>
    <t>2025-05-02 12:36:00,490,,490,,490,,488.5,,,,489,490,485</t>
  </si>
  <si>
    <t>2025-05-02 12:36:00,5700,,5700,,5650,,5620,,,,,5700,5600</t>
  </si>
  <si>
    <t>2025-05-02 12:36:00,20100,,20200,,19475,,20050,,,,,20200,19800</t>
  </si>
  <si>
    <t>2025-05-02 12:36:00,3532274423.55458,17100811472.1554,-2516.34523809523,-2537,-2290.51285714285,-2380.22,106.666499704587,-1130.78</t>
  </si>
  <si>
    <t>2025-05-02 12:36:00,2036541248.15992,6781977645.95031,-2764.36701173223,-1320,-2719.82568599034,-1290.96,245.856188639042,-616.24</t>
  </si>
  <si>
    <t>2025-05-02 12:36:00,273608764.776021,452889646.941698,-611.691666666667,-685,-3726.94708333333,-3666.5,-2.19377877992707,-182.98</t>
  </si>
  <si>
    <t>2025-05-02 12:36:00,63420614.0816571,1216265.16531491,-6.94047619047619,-7,-62.7150476190476,-58.42,-0.00768552865724439,-1.03</t>
  </si>
  <si>
    <t>2025-05-02 12:37:00,570,,568,,575,,563.5,,,,,570,560</t>
  </si>
  <si>
    <t>2025-05-02 12:37:00,490,,490,,490,,488.5,,,,489,490,485</t>
  </si>
  <si>
    <t>2025-05-02 12:37:00,5700,,5700,,5650,,5620,,,,,5700,5600</t>
  </si>
  <si>
    <t>2025-05-02 12:37:00,20100,,20200,,19475,,20050,,,,,20200,19800</t>
  </si>
  <si>
    <t>2025-05-02 12:37:00,3663124784.65231,17299191533.5302,2958.54617604618,5148,344.432875180376,1048.34,-539.665000076591,809.48</t>
  </si>
  <si>
    <t>2025-05-02 12:37:00,2132648678.18987,6964984844.93915,1686.87832988268,1694,1047.26334023464,781.03,467.188406653508,529</t>
  </si>
  <si>
    <t>2025-05-02 12:37:00,274413497.091537,473782284.720055,-30.3666666666671,484,4090.22566666666,5083.44,-4.06393781597291,221.43</t>
  </si>
  <si>
    <t>2025-05-02 12:37:00,63117969.8992826,1320392.95700666,-0.538492063492067,1,-53.2903333333334,-7.3,-0.018164949594428,-0.34</t>
  </si>
  <si>
    <t>2025-05-02 12:38:00,570,,568,,575,,563.5,,,,,570,560</t>
  </si>
  <si>
    <t>2025-05-02 12:38:00,490,,490,,490,,488.5,,,,,490,485</t>
  </si>
  <si>
    <t>2025-05-02 12:38:00,5700,,5700,,5650,,5620,,,,,5700,5600</t>
  </si>
  <si>
    <t>2025-05-02 12:38:00,20100,,20200,,19475,,20050,,,,,20200,19800</t>
  </si>
  <si>
    <t>2025-05-02 12:38:00,3644372544.41305,17121834840.1029,-2661.28571428571,-4047,-2926.49553571428,-4452.87,115.132279852412,-2090.44</t>
  </si>
  <si>
    <t>2025-05-02 12:38:00,2041610327.11975,7104119839.25439,46.0598624270913,858,-293.724772535746,189.9,14.4295414881457,185.63</t>
  </si>
  <si>
    <t>2025-05-02 12:38:00,275239671.867753,480575496.083774,-1995.74666666668,-685,-127918.346200001,-47808.53,-0.948973448659986,-693.42</t>
  </si>
  <si>
    <t>2025-05-02 12:38:00,64010521.456645,1336165.02148728,2.43344827586207,0,-69.1655137931035,-241.51,0.0175371533756216,-2.34</t>
  </si>
  <si>
    <t>2025-05-02 12:40:00,570,,568,,575,,563.5,,,,,570,560</t>
  </si>
  <si>
    <t>2025-05-02 12:40:00,490,,490,,490,,488.5,,,,,490,485</t>
  </si>
  <si>
    <t>2025-05-02 12:40:00,5700,,5700,,5650,,5620,,,,,5700,5600</t>
  </si>
  <si>
    <t>2025-05-02 12:40:00,20100,,20200,,19475,,20050,,,,,20200,19800</t>
  </si>
  <si>
    <t>2025-05-02 12:40:00,3656071404.39273,18511029004.6683,2084.93809523809,2520,164.238571428568,-76.77,592.418753982976,198.18</t>
  </si>
  <si>
    <t>2025-05-02 12:40:00,2111224049.68222,7594932200.74006,-1418.19622807018,-2795,-1522.30230877193,-2399.42,-435.660777269038,-1334.39</t>
  </si>
  <si>
    <t>2025-05-02 12:40:00,275621359.908649,499085187.917528,415.899999999998,427,3808.00099999999,4769.39,-3.11843715104101,220.34</t>
  </si>
  <si>
    <t>2025-05-02 12:40:00,60348282.9446148,1427698.3728826,57.0799539170507,29,-108.128847926267,-263.62,0.0422195245529274,-2.09</t>
  </si>
  <si>
    <t>2025-05-02 12:41:00,575,,568,,575,,563.5,,,,,570,560</t>
  </si>
  <si>
    <t>2025-05-02 12:41:00,490,,490,,490,,488.5,,,,,490,485</t>
  </si>
  <si>
    <t>2025-05-02 12:41:00,5700,,5700,,5650,,5620,,,,,5700,5600</t>
  </si>
  <si>
    <t>2025-05-02 12:41:00,20100,,20200,,19475,,20050,,,,,20200,19800</t>
  </si>
  <si>
    <t>2025-05-02 12:41:00,3620895620.91762,17153153063.341,-2520.375,-3177,-2007.35303571428,-2578.79,234.538393076098,-1336.42</t>
  </si>
  <si>
    <t>2025-05-02 12:41:00,2068306485.49271,6989103424.06911,-2957.16571428571,-3286,-3204.11598095238,-2746.82,72.6687866650715,-1398.3</t>
  </si>
  <si>
    <t>2025-05-02 12:41:00,276316096.468063,469408289.376362,-693.904166666664,-488,23646.9962916668,10795.68,2.0330005623106,-108.84</t>
  </si>
  <si>
    <t>2025-05-02 12:41:00,63238448.8852149,1268113.22832395,2.62285714285714,-10,335.159457142857,147.25,0.0263395071940105,-2.09</t>
  </si>
  <si>
    <t>2025-05-02 12:42:00,570,,568,,575,,563.5,,,,,570,560</t>
  </si>
  <si>
    <t>2025-05-02 12:42:00,490,,490,,490,,488.5,,,,,490,485</t>
  </si>
  <si>
    <t>2025-05-02 12:42:00,5700,,5700,,5650,,5620,,,,,5700,5600</t>
  </si>
  <si>
    <t>2025-05-02 12:42:00,20100,,20200,,19475,,20050,,,,,20200,19800</t>
  </si>
  <si>
    <t>2025-05-02 12:42:00,3683058631.8024,18219659777.7393,-253.744047619048,-877,813.951309523808,-139.48,-373.323522802442,-10.1700000000001</t>
  </si>
  <si>
    <t>2025-05-02 12:42:00,2155846900.38046,7274145209.26182,1492.71296992481,1558,925.110385338346,1194.49,161.760710974564,629.07</t>
  </si>
  <si>
    <t>2025-05-02 12:42:00,274155260.268878,468905980.873805,123.993333333334,-24,-2182.66840833327,-7378.23,-2.03499343286276,-38.57</t>
  </si>
  <si>
    <t>2025-05-02 12:42:00,63825670.7382668,1332478.49945779,-5.18357142857143,-10,-73.8478428571429,-68.03,-0.00186483054942466,-1.2</t>
  </si>
  <si>
    <t>2025-05-02 12:52:00,570,,568,,575,,563.5,,,,,570,560</t>
  </si>
  <si>
    <t>2025-05-02 12:52:00,490,,490,,490,,488.5,,,,,490,485</t>
  </si>
  <si>
    <t>2025-05-02 12:52:00,5700,,5700,,5650,,5620,,5690,,,5700,5600</t>
  </si>
  <si>
    <t>2025-05-02 12:52:00,20100,,20200,,19475,,20050,,,,,20200,19800</t>
  </si>
  <si>
    <t>2025-05-02 12:52:00,3518870358.12262,21387876142.7861,-3340.98214285714,-3458,-3275.37297619047,-2484.17,418.858544005354,-1586.08</t>
  </si>
  <si>
    <t>2025-05-02 12:52:00,2099431090.18522,8779588626.57717,-322.915750643693,-2500,228.818477421269,-1598.62,-401.933249402674,-1095.15</t>
  </si>
  <si>
    <t>2025-05-02 12:52:00,279354028.93883,514571871.766156,-3863.61238095239,-4423,-28501.6435142855,-21417.98,-28.167777127835,-1852.2</t>
  </si>
  <si>
    <t>2025-05-02 12:52:00,62725680.2850345,1352336.67903718,211.981428571429,146,2589.87653452381,1344.39,-0.103913407513958,24.03</t>
  </si>
  <si>
    <t>2025-05-02 12:53:00,570,,568,,575,,563.5,,,,,570,560</t>
  </si>
  <si>
    <t>2025-05-02 12:53:00,490,,490,,490,,488.5,,,,,490,485</t>
  </si>
  <si>
    <t>2025-05-02 12:53:00,5700,,5700,,5650,,5620,,,,,5700,5600</t>
  </si>
  <si>
    <t>2025-05-02 12:53:00,20100,,20200,,19475,,20050,,,,,20200,19800</t>
  </si>
  <si>
    <t>2025-05-02 12:53:00,3682305070.49343,20509852405.3397,90.5450216450223,169,-630.11578787878,-1271.65,38.9705296622128,-286.28</t>
  </si>
  <si>
    <t>2025-05-02 12:53:00,2105749793.32168,8638018514.81803,-915.165004625004,-714,527.235024975027,-265.41,1.36762373661489,-101.59</t>
  </si>
  <si>
    <t>2025-05-02 12:53:00,278681053.329213,522322673.834494,59.0966666666668,-17,338.363733333334,-1152.05,1.92798423661357,-52.19</t>
  </si>
  <si>
    <t>2025-05-02 12:53:00,67527530.9636554,1437121.93660257,7.02730158730158,0,79.8561714285712,73.09,0.0181926059200979,1.28</t>
  </si>
  <si>
    <t>2025-05-02 12:54:00,570,,568,,575,,563.5,,,,,570,560</t>
  </si>
  <si>
    <t>2025-05-02 12:54:00,490,,490,,490,,488.5,,,,,490,485</t>
  </si>
  <si>
    <t>2025-05-02 12:54:00,5700,,5700,,5650,,5620,,,,,5700,5600</t>
  </si>
  <si>
    <t>2025-05-02 12:54:00,20100,,20200,,19475,,20050,,,,,20200,19800</t>
  </si>
  <si>
    <t>2025-05-02 12:54:00,3765662124.36065,22287718412.3797,3354.12777777778,4197,1192.11416666667,2185.76,-68.8317628084486,1168.55</t>
  </si>
  <si>
    <t>2025-05-02 12:54:00,2197093530.33023,8875190846.55896,1244.11770026804,926,692.874109097185,502.99,38.4278964864654,443.69</t>
  </si>
  <si>
    <t>2025-05-02 12:54:00,282180286.834688,583749995.76716,503.483333333334,351,6496.78633333336,4909.28,-3.48322364577469,175.85</t>
  </si>
  <si>
    <t>2025-05-02 12:54:00,67374927.4654558,1570067.21718418,3.25978835978836,6,32.5038624338624,57.55,0.018734531534609,1.15</t>
  </si>
  <si>
    <t>2025-05-02 12:55:00,570,,568,,575,,564,,,,,570,560</t>
  </si>
  <si>
    <t>2025-05-02 12:55:00,490,,490,,490,,488.5,,,,,490,485</t>
  </si>
  <si>
    <t>2025-05-02 12:55:00,5700,,5700,,5650,,5620,,,,,5700,5600</t>
  </si>
  <si>
    <t>2025-05-02 12:55:00,20100,,20200,,19475,,20050,,,,,20200,19800</t>
  </si>
  <si>
    <t>2025-05-02 12:55:00,3848256446.96874,20286124408.3817,1945.28174603175,1852,324.182619047619,451.84,299.882102045171,144.99</t>
  </si>
  <si>
    <t>2025-05-02 12:55:00,2162086029.26089,8613473386.65891,-936.829725829726,-205,-1000.43323232323,-718.54,10.5522544689088,-353.85</t>
  </si>
  <si>
    <t>2025-05-02 12:55:00,281992596.861174,564604117.74831,5.49999999999928,263,-308.240000000008,166.55,-1.14363636083442,37.88</t>
  </si>
  <si>
    <t>2025-05-02 12:55:00,65486234.5669521,1561523.41768441,4.70714285714286,2,54.3508571428572,-33.2,0.00437726483293187,-0.26</t>
  </si>
  <si>
    <t>2025-05-02 12:56:00,570,,568,,575,,563.5,,,,,570,560</t>
  </si>
  <si>
    <t>2025-05-02 12:56:00,490,,490,,490,,488.5,,,,,490,485</t>
  </si>
  <si>
    <t>2025-05-02 12:56:00,5700,,5700,,5650,,5620,,,,,5700,5600</t>
  </si>
  <si>
    <t>2025-05-02 12:56:00,20100,,20200,,19475,,20050,,,,,20200,19800</t>
  </si>
  <si>
    <t>2025-05-02 12:56:00,3631368713.82954,22507460185.536,-4337.13611111111,-3306,-4661.27758333333,-3135.85,29.56221718515,-1551.78</t>
  </si>
  <si>
    <t>2025-05-02 12:56:00,2068047429.56701,9196292196.2652,-1241.56355606759,-1479,-961.416207757297,-422.8,-82.6906151545914,-545.15</t>
  </si>
  <si>
    <t>2025-05-02 12:56:00,281812648.257121,550631121.85397,-956.443333333331,-698,-1889.0189,-2165.9,5.6700327245147,-167.15</t>
  </si>
  <si>
    <t>2025-05-02 12:56:00,66207189.091847,1500734.38985098,11.4210434173669,-4,291.05106442577,155.55,-0.000208891245304035,2.03</t>
  </si>
  <si>
    <t>2025-05-02 12:57:00,570,,568,,575,,563.5,,,,,570,560</t>
  </si>
  <si>
    <t>2025-05-02 12:57:00,490,,490,,490,,488.5,,,,,490,485</t>
  </si>
  <si>
    <t>2025-05-02 12:57:00,5700,,5700,,5650,,5620,,,,,5700,5600</t>
  </si>
  <si>
    <t>2025-05-02 12:57:00,20100,,20200,,19475,,20050,,,,,20200,19800</t>
  </si>
  <si>
    <t>2025-05-02 12:57:00,3727972716.07582,22109824486.7249,-4293.46507936508,-1115,-3587.47194444444,-1023.94,53.8356202900457,-542.25</t>
  </si>
  <si>
    <t>2025-05-02 12:57:00,2071620661.80335,8996697816.98579,-679.690503060158,-860,-311.886199134199,-404.02,-25.7556594098446,-262.06</t>
  </si>
  <si>
    <t>2025-05-02 12:57:00,282394755.599428,563090494.746289,-427.349743589743,-730,-6824.00633846153,-7809.82,-0.293017710485108,-245.15</t>
  </si>
  <si>
    <t>2025-05-02 12:57:00,67326805.269513,1558753.78522692,-2.15892857142857,-4,-39.1344642857142,-39.7,0.000854717421899168,-0.71</t>
  </si>
  <si>
    <t>2025-05-02 12:58:00,570,,568,,575,,564,,,,,570,560</t>
  </si>
  <si>
    <t>2025-05-02 12:58:00,490,,490,,490,,488.5,,,,,490,485</t>
  </si>
  <si>
    <t>2025-05-02 12:58:00,5700,,5700,,5650,,5620,,,,,5700,5600</t>
  </si>
  <si>
    <t>2025-05-02 12:58:00,20100,,20200,,19475,,20050,,,,,20200,19800</t>
  </si>
  <si>
    <t>2025-05-02 12:58:00,3855935338.75377,20943650678.9611,-457.96204278813,-301,-289.241959972395,-656.89,-2.3038243164874,-237.36</t>
  </si>
  <si>
    <t>2025-05-02 12:58:00,2177975365.0687,8811729575.37824,-66.3245210727969,-58,-94.380551724138,-242.46,-34.9092330393392,-139.71</t>
  </si>
  <si>
    <t>2025-05-02 12:58:00,282290664.473622,560338527.734512,-124,-130,-810.182000000001,-1661.11,-1.00736687800529,-107.53</t>
  </si>
  <si>
    <t>2025-05-02 12:58:00,68567670.027987,1562365.98409889,-0.25,0,-28.8696666666667,-4.33,0.00913313504040684,-0.02</t>
  </si>
  <si>
    <t>2025-05-02 12:59:00,570,,568,,575,,563.5,,,,,570,560</t>
  </si>
  <si>
    <t>2025-05-02 12:59:00,490,,490,,490,,488.5,,,,,490,485</t>
  </si>
  <si>
    <t>2025-05-02 12:59:00,5700,,5700,,5650,,5620,,,,,5700,5600</t>
  </si>
  <si>
    <t>2025-05-02 12:59:00,20100,,20200,,19475,,20050,,,,,20200,19800</t>
  </si>
  <si>
    <t>2025-05-02 12:59:00,3706549681.22465,22511508767.7017,455.594372294372,493,833.569359307359,620.53,-14.9111506009283,137.43</t>
  </si>
  <si>
    <t>2025-05-02 12:59:00,2136395987.29569,9196126191.99955,2212.5463980464,1942,1361.75528937729,1016.25,87.8338452152326,615.9</t>
  </si>
  <si>
    <t>2025-05-02 12:59:00,282907223.744086,568477867.657673,197.258333333333,257,2308.05925,2288.07,-3.86271087814783,108.26</t>
  </si>
  <si>
    <t>2025-05-02 12:59:00,67397478.8468444,1559647.90177295,1.11666666666667,8,21.1013333333333,52.45,0.000804572536852938,0.99</t>
  </si>
  <si>
    <t>2025-05-02 13:00:00,570,,568,,575,,564,,,,,570,560</t>
  </si>
  <si>
    <t>2025-05-02 13:00:00,490,,490,,490,,488.5,,,,,490,485</t>
  </si>
  <si>
    <t>2025-05-02 13:00:00,5700,,5700,,5650,,5620,,,,,5700,5600</t>
  </si>
  <si>
    <t>2025-05-02 13:00:00,20100,,20200,,19475,,20050,,,,,20200,19800</t>
  </si>
  <si>
    <t>2025-05-02 13:00:00,3849646089.28892,19831109418.6022,-565.768315018315,99,-186.231181318682,-68.22,36.1048879617989,5.95999999999999</t>
  </si>
  <si>
    <t>2025-05-02 13:00:00,2107911602.36278,9086310735.85048,1128.32945215704,1693,729.269419316315,1203.08,-40.6797050909223,722.53</t>
  </si>
  <si>
    <t>2025-05-02 13:00:00,282914985.513295,561546795.265515,110.185000000001,-148,-87.8799499999968,-56.6,-2.58554304864569,-24.77</t>
  </si>
  <si>
    <t>2025-05-02 13:00:00,66153571.629189,1581634.2589049,-2.07666666666666,-3,-21.9723,-18,0.00510555502661438,-0.33</t>
  </si>
  <si>
    <t>2025-05-02 13:01:00,570,,568,,575,,563.5,,,,,570,560</t>
  </si>
  <si>
    <t>2025-05-02 13:01:00,490,,490,,490,,488.5,,,,,490,485</t>
  </si>
  <si>
    <t>2025-05-02 13:01:00,5700,,5700,,5650,,5620,5700,,,,5700,5600</t>
  </si>
  <si>
    <t>2025-05-02 13:01:00,20100,,20200,,19475,,20050,,,,,20200,19800</t>
  </si>
  <si>
    <t>2025-05-02 13:01:00,3645955252.72277,25223366380.8942,1158.27763347764,2908,-1442.34253102452,-5005.49,298.004686657415,-613.85</t>
  </si>
  <si>
    <t>2025-05-02 13:01:00,2135464882.37436,10216221491.3495,-1213.96565474793,-2543,953.490557824502,-584.3,-27.3910136966037,-392.22</t>
  </si>
  <si>
    <t>2025-05-02 13:01:00,284535787.004081,618227964.065465,620.310000000002,1729,-1350.79396666665,2927.85,7.7892401241135,378.43</t>
  </si>
  <si>
    <t>2025-05-02 13:01:00,68602755.5576274,1833259.73532902,-1.16648393283678,-4,46.2648307082261,-28.4,0.0214497059583428,1.34</t>
  </si>
  <si>
    <t>2025-05-02 13:02:00,570,,568,,575,,563.5,,567,,,570,560</t>
  </si>
  <si>
    <t>2025-05-02 13:02:00,490,,490,,490,,488.5,,490,,,490,485</t>
  </si>
  <si>
    <t>2025-05-02 13:02:00,5700,,5700,,5650,,5620,,,,,5700,5600</t>
  </si>
  <si>
    <t>2025-05-02 13:02:00,20100,,20200,,19475,,20050,,,,,20200,19800</t>
  </si>
  <si>
    <t>2025-05-02 13:02:00,3645442410.71667,26308902584.0477,-1480.40963203463,-3888,363.504152236651,-2828.61,-306.809037050801,-1916.18</t>
  </si>
  <si>
    <t>2025-05-02 13:02:00,2175840090.13323,10764704324.3146,2993.12019468738,-880,2410.69341410922,-94.6300000000001,-33.0952649732947,-573.53</t>
  </si>
  <si>
    <t>2025-05-02 13:02:00,284127924.099352,632927845.314372,1271.36666666667,1256,18700.8632666666,9766.11,-1.93428484272996,353.85</t>
  </si>
  <si>
    <t>2025-05-02 13:02:00,65833762.1354022,1828549.58164052,9.04720580417174,11,191.579317268215,301.41,0.0151170010201101,4.71</t>
  </si>
  <si>
    <t>2025-05-02 13:03:00,570,,568,,575,,563.5,,,,,570,560</t>
  </si>
  <si>
    <t>2025-05-02 13:03:00,490,,490,,490,,488.5,,,,,490,485</t>
  </si>
  <si>
    <t>2025-05-02 13:03:00,5700,,5700,,5650,,5620,5700,,,,5700,5600</t>
  </si>
  <si>
    <t>2025-05-02 13:03:00,20100,,20200,,19475,,20050,,,,,20200,19800</t>
  </si>
  <si>
    <t>2025-05-02 13:03:00,3841802772.56017,24850569785.2571,-691.422041847042,-1817,-340.475943362197,-2030.51,-88.3500006192277,-1092.83</t>
  </si>
  <si>
    <t>2025-05-02 13:03:00,2150143817.2545,10384289492.8562,1466.25091395533,1919,1432.9203721899,1726.14,361.851965629086,840.27</t>
  </si>
  <si>
    <t>2025-05-02 13:03:00,284460670.870773,608632004.744162,302.933333333334,-180,858.712166666716,-7818.6,-2.18046264444518,-155.69</t>
  </si>
  <si>
    <t>2025-05-02 13:03:00,69369481.0220939,1801043.59124847,0.881403318903311,3,65.8173544372293,56.01,0.010303057743862,0.98</t>
  </si>
  <si>
    <t>2025-05-02 13:04:00,570,,568,,575,,563.5,,,,,570,560</t>
  </si>
  <si>
    <t>2025-05-02 13:04:00,490,,490,,490,,488.5,,490,,,490,485</t>
  </si>
  <si>
    <t>2025-05-02 13:04:00,5700,,5700,,5650,,5620,,,,,5700,5600</t>
  </si>
  <si>
    <t>2025-05-02 13:04:00,20100,,20200,,19475,,20050,,,,,20200,19800</t>
  </si>
  <si>
    <t>2025-05-02 13:04:00,3843225219.15278,25386032159.5044,1773.36706349206,2177,1551.70603174603,1244.9,198.537401128995,841.26</t>
  </si>
  <si>
    <t>2025-05-02 13:04:00,2239721725.73693,10053012743.4698,495.64633901045,1054,258.039169025864,-172.93,-82.5728042510796,-69.05</t>
  </si>
  <si>
    <t>2025-05-02 13:04:00,285426881.661747,637324076.299137,132.365000000001,-451,497.33055000001,-2261.69,-3.01335757326521,-73.47</t>
  </si>
  <si>
    <t>2025-05-02 13:04:00,70200063.915389,1898241.50337515,4.4317398518905,-5,314.786748522527,-231.8,-0.00527155723372025,-3.43</t>
  </si>
  <si>
    <t>2025-05-02 13:05:00,570,,568,,575,,563.5,,,,,570,560</t>
  </si>
  <si>
    <t>2025-05-02 13:05:00,490,,490,,490,,488.5,490,,,,490,485</t>
  </si>
  <si>
    <t>2025-05-02 13:05:00,5700,,5700,,5650,,5620,,,,,5700,5600</t>
  </si>
  <si>
    <t>2025-05-02 13:05:00,20100,,20200,,19475,,20050,,,,,20200,19800</t>
  </si>
  <si>
    <t>2025-05-02 13:05:00,3931124868.26895,25344462826.3863,-530.151190476193,694,-140.667738095241,181.62,206.682419688247,-101.43</t>
  </si>
  <si>
    <t>2025-05-02 13:05:00,2256259084.9871,10476966816.0557,503.193501319469,1516,1610.9897170113,1776.26,493.799340445388,1029.21</t>
  </si>
  <si>
    <t>2025-05-02 13:05:00,286549787.402791,636690907.618328,151.200000000001,832,1718.23100000001,2796.44,0.499965272629144,194.64</t>
  </si>
  <si>
    <t>2025-05-02 13:05:00,69871582.7721399,1892430.45520085,-0.172222222222221,-4,16.8792777777778,-50.16,0.00587537145741241,-0.86</t>
  </si>
  <si>
    <t>2025-05-02 13:06:00,570,,568,,575,,564,,,,,570,560</t>
  </si>
  <si>
    <t>2025-05-02 13:06:00,490,,490,,490,,488.5,,,,,490,485</t>
  </si>
  <si>
    <t>2025-05-02 13:06:00,5700,,5700,,5650,,5620,,5700,,,5700,5600</t>
  </si>
  <si>
    <t>2025-05-02 13:06:00,20100,,20200,,19475,,20050,,,,,20200,19800</t>
  </si>
  <si>
    <t>2025-05-02 13:06:00,4008129166.20527,25064029815.3119,-2599.6205988456,-639,-1170.26151551227,-484.3,-674.524144269409,-817.56</t>
  </si>
  <si>
    <t>2025-05-02 13:06:00,2193912950.19223,10716140159.2798,-2222.89415113872,-3193,-1343.51050465838,-2507.28,-151.962870467124,-1433.29</t>
  </si>
  <si>
    <t>2025-05-02 13:06:00,286642321.13478,669630075.067814,-764.11,-1158,-2172.10690000002,-9683.86,-17.4392675300391,-470.88</t>
  </si>
  <si>
    <t>2025-05-02 13:06:00,70602756.2121839,2015846.33103704,9.49674603174602,5,-65.5250547619051,-112.24,0.00466182746657526,-1.53</t>
  </si>
  <si>
    <t>2025-05-02 13:07:00,570,,568,,575,,564,,,,,570,560</t>
  </si>
  <si>
    <t>2025-05-02 13:07:00,490,,490,,490,,488.5,,490,,,490,485</t>
  </si>
  <si>
    <t>2025-05-02 13:07:00,5700,,5700,,5650,,5620,,,,,5700,5600</t>
  </si>
  <si>
    <t>2025-05-02 13:07:00,20100,,20200,,19475,,20050,,,,,20200,19800</t>
  </si>
  <si>
    <t>2025-05-02 13:07:00,4003862949.23203,24573998067.3995,743.460642135642,961,1466.18898196248,952.22,-81.4409463143479,35.92</t>
  </si>
  <si>
    <t>2025-05-02 13:07:00,2274406235.88232,10490675809.1491,148.234821449049,187,34.5877344684622,-1319.84,-30.320581227589,-594.68</t>
  </si>
  <si>
    <t>2025-05-02 13:07:00,287560765.421313,683012961.940926,670.341666666666,641,5323.29675,7394.13,3.29157329077271,320.24</t>
  </si>
  <si>
    <t>2025-05-02 13:07:00,70598386.2181442,2039733.20732338,3.47986111111112,4,28.6261250000001,62.1,0.0285055004492892,1.22</t>
  </si>
  <si>
    <t>2025-05-02 13:08:00,570,,568,,575,,564,,,,,570,560</t>
  </si>
  <si>
    <t>2025-05-02 13:08:00,490,,490,,490,,488.5,,490,,,490,485</t>
  </si>
  <si>
    <t>2025-05-02 13:08:00,5700,,5700,,5650,,5630,,,,,5700,5600</t>
  </si>
  <si>
    <t>2025-05-02 13:08:00,20100,,20200,,19475,,20050,,,,,20200,19800</t>
  </si>
  <si>
    <t>2025-05-02 13:08:00,4008232114.30112,25144087575.3543,-357.315873015872,-276,-1444.78807936508,-1372.5,378.249418071934,-791.56</t>
  </si>
  <si>
    <t>2025-05-02 13:08:00,2077761451.26286,10997637733.6981,523.379263063693,-1557,131.151017443663,-2159.71,-347.31196586098,-1054.41</t>
  </si>
  <si>
    <t>2025-05-02 13:08:00,287044412.12536,672371810.631566,374.883333333335,627,-1138.83150000001,-340.62,6.46843686134033,107.2</t>
  </si>
  <si>
    <t>2025-05-02 13:08:00,70146247.9959879,2017137.79738658,-6.68003184713376,-3,-220.001298832272,-200.51,-0.000547566415373826,-3.41</t>
  </si>
  <si>
    <t>2025-05-02 13:09:00,570,,568,,575,,563.5,,,,,570,560</t>
  </si>
  <si>
    <t>2025-05-02 13:09:00,490,,490,,490,,488.5,,,,,490,485</t>
  </si>
  <si>
    <t>2025-05-02 13:09:00,5700,,5700,,5650,,5630,,,,,5700,5600</t>
  </si>
  <si>
    <t>2025-05-02 13:09:00,20100,,20200,,19475,,20050,,,,,20200,19800</t>
  </si>
  <si>
    <t>2025-05-02 13:09:00,3727933826.20286,26619394497.8681,-622.777777777778,-836,113.70123015873,-146.45,110.481335888047,-222.27</t>
  </si>
  <si>
    <t>2025-05-02 13:09:00,2288185466.18481,10810233836.4136,471.084160099447,592,242.770664872409,76.73,19.2051507136902,55.24</t>
  </si>
  <si>
    <t>2025-05-02 13:09:00,287255921.27556,668530393.044706,-235.366666666666,-160,-167.871666666569,-634.1,-1.57231790700561,-75.22</t>
  </si>
  <si>
    <t>2025-05-02 13:09:00,70340368.3041463,1976736.89347291,5.21212121212121,4,126.436363636364,96.2,0.0175856732012811,1.76</t>
  </si>
  <si>
    <t>2025-05-02 13:10:00,570,,568,,575,,564,,,,,570,560</t>
  </si>
  <si>
    <t>2025-05-02 13:10:00,490,,490,,490,,488.5,,,,,490,485</t>
  </si>
  <si>
    <t>2025-05-02 13:10:00,5700,,5700,,5650,,5630,,,,,5700,5600</t>
  </si>
  <si>
    <t>2025-05-02 13:10:00,20100,,20200,,19475,,20050,,,,,20200,19800</t>
  </si>
  <si>
    <t>2025-05-02 13:10:00,3995360644.06829,25843190444.8667,-1495.93253968254,-3537,-584.170000000005,-1535.32,-273.20117361031,-1078.6</t>
  </si>
  <si>
    <t>2025-05-02 13:10:00,2195533474.04012,10509098895.1492,-1569.94865424431,-1046,-974.537581498212,-678.88,103.798617572862,-402.1</t>
  </si>
  <si>
    <t>2025-05-02 13:10:00,288215591.30105,674090791.138842,-358.383333333333,-528,-2634.87066666667,-4520.99,-5.26120711736496,-273.26</t>
  </si>
  <si>
    <t>2025-05-02 13:10:00,70304391.3600134,1966693.90757056,-4.10892857142857,-4,-93.0513571428572,-133.8,0.011101609725662,-1.5</t>
  </si>
  <si>
    <t>2025-05-02 13:11:00,570,,568,,575,,564,568,,,,570,560</t>
  </si>
  <si>
    <t>2025-05-02 13:11:00,490,,490,,490,,488.5,,,,,490,485</t>
  </si>
  <si>
    <t>2025-05-02 13:11:00,5700,,5700,,5650,,5630,,,,,5700,5600</t>
  </si>
  <si>
    <t>2025-05-02 13:11:00,20100,,20200,,19475,,20050,,,,,20200,19800</t>
  </si>
  <si>
    <t>2025-05-02 13:11:00,4014385227.75402,26353643518.8854,3293.09484126986,4368,344.552178571454,979.029999999999,430.825404656053,1206.36</t>
  </si>
  <si>
    <t>2025-05-02 13:11:00,2071759441.78128,11284360661.2677,273.592250735534,-1226,354.682253868368,-724.83,-93.2077783441511,-308.14</t>
  </si>
  <si>
    <t>2025-05-02 13:11:00,286734881.702984,700010585.006095,150.999999999999,170,-2986.48500000004,-2149.27,2.73657872284716,50.88</t>
  </si>
  <si>
    <t>2025-05-02 13:11:00,69196571.6627589,2182757.51134108,-46.1962121212121,-64,-498.440742424242,-499.79,-0.0531143353270216,-11.25</t>
  </si>
  <si>
    <t>2025-05-02 13:12:00,570,,568,,575,,564,,,,,570,560</t>
  </si>
  <si>
    <t>2025-05-02 13:12:00,490,,490,,490,,488.5,,,,,490,485</t>
  </si>
  <si>
    <t>2025-05-02 13:12:00,5700,,5700,,5650,,5630,,5700,,,5700,5600</t>
  </si>
  <si>
    <t>2025-05-02 13:12:00,20100,,20200,,19475,,20050,,,,,20200,19800</t>
  </si>
  <si>
    <t>2025-05-02 13:12:00,4002260082.52267,26105718584.4267,1716.95425685426,1177,1264.99983116883,-81.0300000000003,-142.022797066226,66.3299999999999</t>
  </si>
  <si>
    <t>2025-05-02 13:12:00,2290530093.39677,10792156591.3062,-13.5767588242509,-503,1352.44486610088,732.08,185.363467417861,63.35</t>
  </si>
  <si>
    <t>2025-05-02 13:12:00,287821399.841094,700983957.374087,515.475,830,6217.40975,7218.13,-6.89653219567471,262.65</t>
  </si>
  <si>
    <t>2025-05-02 13:12:00,68816127.5773767,2150596.16989987,16.2428571428572,15,354.002857142857,267.1,0.0481835443078894,4.96</t>
  </si>
  <si>
    <t>2025-05-02 13:13:00,570,,568,,575,,564,,,,,570,560</t>
  </si>
  <si>
    <t>2025-05-02 13:13:00,490,,490,,490,,488.5,,,,,490,485</t>
  </si>
  <si>
    <t>2025-05-02 13:13:00,5700,,5700,,5650,,5630,,,,,5700,5600</t>
  </si>
  <si>
    <t>2025-05-02 13:13:00,20100,,20200,,19475,,20050,,,,,20200,19800</t>
  </si>
  <si>
    <t>2025-05-02 13:13:00,3958958323.25021,26296546596.3324,-1528.79166666666,-92,-200.005833333323,444.36,203.759860064718,-101.01</t>
  </si>
  <si>
    <t>2025-05-02 13:13:00,2250598552.56955,10898920907.481,-641.624004361456,-854,-302.824598235947,-830.51,92.6198566150277,-456.5</t>
  </si>
  <si>
    <t>2025-05-02 13:13:00,288170950.568324,701402554.031953,96.1333333333324,176,404.436999999993,103.15,-0.0774391845978495,2.70999999999999</t>
  </si>
  <si>
    <t>2025-05-02 13:13:00,65348113.383759,2201103.80992431,1.36306768077606,37,183.654106646825,185.35,0.0361536858693437,4.62</t>
  </si>
  <si>
    <t>2025-05-02 13:14:00,570,,568,,575,,564,,,,,570,560</t>
  </si>
  <si>
    <t>2025-05-02 13:14:00,490,,490,,490,,488.5,490,,,,490,485</t>
  </si>
  <si>
    <t>2025-05-02 13:14:00,5700,,5700,,5650,,5630,,,,,5700,5600</t>
  </si>
  <si>
    <t>2025-05-02 13:14:00,20100,,20200,,19475,,20050,,,,,20200,19800</t>
  </si>
  <si>
    <t>2025-05-02 13:14:00,3961594202.036,26300694162.5623,3588.59285714286,3176,4140.67871428572,2861.74,-163.67803706445,1110.06</t>
  </si>
  <si>
    <t>2025-05-02 13:14:00,2299618666.61333,11022325719.2955,3420.90227272727,1826,3002.13365909091,1638.68,-62.0859169333966,775.46</t>
  </si>
  <si>
    <t>2025-05-02 13:14:00,287876697.3055,685068007.567249,98.9583333333352,200,2515.73875,189.29,-6.92473360884142,1.53999999999999</t>
  </si>
  <si>
    <t>2025-05-02 13:14:00,69041227.6524325,2163736.28147965,27.2737161531279,15,449.818657329598,187.3,0.0583001974838836,3.6</t>
  </si>
  <si>
    <t>2025-05-02 13:15:00,570,,568,,575,,563.5,,,,,570,560</t>
  </si>
  <si>
    <t>2025-05-02 13:15:00,490,,490,,490,,488.5,,490,,,490,485</t>
  </si>
  <si>
    <t>2025-05-02 13:15:00,5700,,5700,,5650,,5630,,,,,5700,5600</t>
  </si>
  <si>
    <t>2025-05-02 13:15:00,20100,,20200,,19475,,20050,,,,,20200,19800</t>
  </si>
  <si>
    <t>2025-05-02 13:15:00,3868370157.48357,27493548764.9266,-1081.66339869281,-2036,-860.789859943977,-1294.03,94.480563558644,-632.18</t>
  </si>
  <si>
    <t>2025-05-02 13:15:00,2010364754.27738,11203566609.5008,-2540.3467063424,-3001,-2830.2171067357,-3278.83,-33.9333968559191,-1803.12</t>
  </si>
  <si>
    <t>2025-05-02 13:15:00,289366415.888323,702263418.454233,-405.55,58,-3822.68100000001,-2325.59,1.72599201787318,-113.44</t>
  </si>
  <si>
    <t>2025-05-02 13:15:00,70634108.121183,2152348.55098425,1.15497835497835,-3,21.4583116883117,-42.1,0.00198850101890288,-0.95</t>
  </si>
  <si>
    <t>2025-05-02 13:17:00,570,,568,,575,,564,,,,,570,560</t>
  </si>
  <si>
    <t>2025-05-02 13:17:00,490,,490,,490,,488.5,,,,,490,485</t>
  </si>
  <si>
    <t>2025-05-02 13:17:00,5700,,5700,,5650,,5630,,,,,5700,5600</t>
  </si>
  <si>
    <t>2025-05-02 13:17:00,20100,,20200,,19475,,20050,,,,,20200,19800</t>
  </si>
  <si>
    <t>2025-05-02 13:17:00,3967584126.3227,26582673483.3029,891.54316520346,603,276.373368083735,-860.86,217.652085589258,-368.36</t>
  </si>
  <si>
    <t>2025-05-02 13:17:00,2143655458.43808,10953349667.748,-2617.30462703236,-1954,-1210.17717666615,-999.46,132.856992427425,-615.28</t>
  </si>
  <si>
    <t>2025-05-02 13:17:00,287821706.38182,688635333.67636,84.724576612904,-518,526.83778810484,-4287.88,-1.70892240409197,-184.72</t>
  </si>
  <si>
    <t>2025-05-02 13:17:00,67461618.1474628,2114166.53875826,-8.1875,-5,-227.112625,-255.11,-0.0174274527108877,-4.32</t>
  </si>
  <si>
    <t>2025-05-02 13:18:00,570,,568,,575,,564,,,,,570,560</t>
  </si>
  <si>
    <t>2025-05-02 13:18:00,490,,490,,490,,488.5,,,,490,490,485</t>
  </si>
  <si>
    <t>2025-05-02 13:18:00,5700,,5700,,5650,,5630,,,,,5700,5600</t>
  </si>
  <si>
    <t>2025-05-02 13:18:00,20100,,20200,,19475,,20050,,,,,20200,19800</t>
  </si>
  <si>
    <t>2025-05-02 13:18:00,3930651474.16013,25985216859.5871,536.744444444444,-223,451.622190476189,44.33,91.802235121144,75.03</t>
  </si>
  <si>
    <t>2025-05-02 13:18:00,2094296092.91551,10756134932.3444,-2233.71469289165,-1308,-1475.63896583851,-1113.77,100.284930845575,-696.81</t>
  </si>
  <si>
    <t>2025-05-02 13:18:00,287276891.99775,681429703.295141,338.804166666667,273,3075.31575,1997.92,6.59829225500471,96.03</t>
  </si>
  <si>
    <t>2025-05-02 13:18:00,69098529.6484104,2146551.48007536,-4.7,1,-20.964,17.4,-0.00337262948700241,0.37</t>
  </si>
  <si>
    <t>2025-05-02 13:19:00,570,,568,,575,,564,,,,568,570,560</t>
  </si>
  <si>
    <t>2025-05-02 13:19:00,490,,490,,490,,488.5,,,,,490,485</t>
  </si>
  <si>
    <t>2025-05-02 13:19:00,5700,,5700,,5650,,5630,5700,,,,5700,5600</t>
  </si>
  <si>
    <t>2025-05-02 13:19:00,20100,,20200,,19475,,20050,,,,,20200,19800</t>
  </si>
  <si>
    <t>2025-05-02 13:19:00,3996332057.10092,26552176275.6734,-2240.15357142857,-4506,-1640.66068253968,-2732.79,135.698593016729,-1738.35</t>
  </si>
  <si>
    <t>2025-05-02 13:19:00,2200304770.50881,10819777156.4901,-20.0407407407407,-831,155.713703703704,-662.19,-18.6799116851355,-339.24</t>
  </si>
  <si>
    <t>2025-05-02 13:19:00,287028208.216566,679507486.723334,1243.92619047619,1031,-1356.83440476197,-5418.78,-4.56332519614217,365.68</t>
  </si>
  <si>
    <t>2025-05-02 13:19:00,69597228.7393086,2082448.45449614,-18.7662316849817,-12,-235.993478708791,-253.46,0.0317314987298677,-4.44</t>
  </si>
  <si>
    <t>2025-05-02 13:20:00,570,,568,,575,,564,,,,,570,560</t>
  </si>
  <si>
    <t>2025-05-02 13:20:00,490,,490,,490,,488.5,,,,,490,485</t>
  </si>
  <si>
    <t>2025-05-02 13:20:00,5700,,5700,,5650,,5630,5700,,,,5700,5600</t>
  </si>
  <si>
    <t>2025-05-02 13:20:00,20100,,20200,,19475,,20050,,,,,20200,19800</t>
  </si>
  <si>
    <t>2025-05-02 13:20:00,3917233554.63312,25122022630.3709,4276.98888888889,2066,3248.47666666667,1736.72,-81.6332035484791,922.13</t>
  </si>
  <si>
    <t>2025-05-02 13:20:00,2271511580.40739,10286829550.794,495.946459096459,890,196.442700854701,530.81,-68.0572957227875,300.02</t>
  </si>
  <si>
    <t>2025-05-02 13:20:00,288569278.761325,682535190.360637,736.833333333331,302,6828.92599999998,5239.47,-5.17620925840408,281.84</t>
  </si>
  <si>
    <t>2025-05-02 13:20:00,66265555.7433342,1995979.59559145,1.58409090909091,3,57.9300909090908,47.88,-0.00122172791076504,0.85</t>
  </si>
  <si>
    <t>2025-05-02 13:21:00,570,,568,,575,,564,,,,568,570,560</t>
  </si>
  <si>
    <t>2025-05-02 13:21:00,490,,490,,490,,488.5,490,,,490,490,485</t>
  </si>
  <si>
    <t>2025-05-02 13:21:00,5700,,5700,,5650,,5630,,5700,,,5700,5600</t>
  </si>
  <si>
    <t>2025-05-02 13:21:00,20100,,20200,,19475,,20050,,,,,20200,19800</t>
  </si>
  <si>
    <t>2025-05-02 13:21:00,3976807200.76535,24873064888.4297,-2031.22519408696,-2385,-1027.38385294281,829.85,-30.1135063508838,107.35</t>
  </si>
  <si>
    <t>2025-05-02 13:21:00,2279365182.84911,10576776227.6593,-8524.21115921116,-814,-6998.1182962963,-570.07,405.861219717775,-223.41</t>
  </si>
  <si>
    <t>2025-05-02 13:21:00,287582066.129317,664156603.69717,643.616666666667,-696,662.932666666664,2060.77,-9.2406752203096,-158.88</t>
  </si>
  <si>
    <t>2025-05-02 13:21:00,69174566.0013215,2008030.34068178,7.33611111111111,7,198.919579365079,88.73,0.000331918848214271,1.74</t>
  </si>
  <si>
    <t>2025-05-02 13:22:00,570,,568,,575,,564,,,,,570,560</t>
  </si>
  <si>
    <t>2025-05-02 13:22:00,490,,490,,490,,488.5,,,,,490,485</t>
  </si>
  <si>
    <t>2025-05-02 13:22:00,5700,,5700,,5650,,5630,,,,,5700,5600</t>
  </si>
  <si>
    <t>2025-05-02 13:22:00,20100,,20200,,19475,,20050,,,,,20200,19800</t>
  </si>
  <si>
    <t>2025-05-02 13:22:00,3937534221.35447,26233966421.387,-1798.23326118326,-2304,-1918.70597979798,-2830.57,-39.8232196874863,-1477.17</t>
  </si>
  <si>
    <t>2025-05-02 13:22:00,2063813366.50842,10770699974.6834,-980.133333333335,-1212,-1029.85652380953,-1119.53,70.3445458929484,-632.79</t>
  </si>
  <si>
    <t>2025-05-02 13:22:00,289460257.010335,690794414.037546,-288.516666666667,-575,-1293.97716666666,-1669.29,-6.08940256047095,-101.11</t>
  </si>
  <si>
    <t>2025-05-02 13:22:00,69596404.0549537,2113935.11237441,9.81341991341992,1,29.5827965367966,-99.7,-0.0206383553138957,-0.89</t>
  </si>
  <si>
    <t>2025-05-02 13:23:00,570,,568,,575,,564,,,,,570,560</t>
  </si>
  <si>
    <t>2025-05-02 13:23:00,490,,490,,490,,488.5,,,490,,490,485</t>
  </si>
  <si>
    <t>2025-05-02 13:23:00,5700,,5700,,5650,,5630,,,,,5700,5600</t>
  </si>
  <si>
    <t>2025-05-02 13:23:00,20100,,20200,,19475,,20050,,,,,20200,19800</t>
  </si>
  <si>
    <t>2025-05-02 13:23:00,4012696598.05109,24660084614.9552,751.575396825393,585,1037.42065079365,919.88,-5.91535297777374,480.19</t>
  </si>
  <si>
    <t>2025-05-02 13:23:00,2227250852.33013,10247447517.3437,718.189285714286,1414,437.553928571429,1249.05,-249.783304285388,730.46</t>
  </si>
  <si>
    <t>2025-05-02 13:23:00,289601499.462236,687079156.308607,-171.083333333334,-341,1007.219,1272.21,-2.88482350727899,75.95</t>
  </si>
  <si>
    <t>2025-05-02 13:23:00,70196905.3777541,2029184.55909319,-4.69827015090173,16,-553.444757347914,95.7,-0.014423060471162,1.83</t>
  </si>
  <si>
    <t>2025-05-02 13:24:00,570,,568,,575,,564,,,,,570,560</t>
  </si>
  <si>
    <t>2025-05-02 13:24:00,490,,490,,490,,488.5,,,,490,490,485</t>
  </si>
  <si>
    <t>2025-05-02 13:24:00,5700,,5700,,5650,,5630,,,,,5700,5600</t>
  </si>
  <si>
    <t>2025-05-02 13:24:00,20100,,20200,,19475,,20050,,,,,20200,19800</t>
  </si>
  <si>
    <t>2025-05-02 13:24:00,3926462367.07193,24702820462.1349,2331.65343708016,813,2918.57018510226,1132.75,207.851422189893,510.83</t>
  </si>
  <si>
    <t>2025-05-02 13:24:00,2275104157.35147,10590723974.0709,-539.622197124771,-1085,-278.291964780998,-1180.68,79.7612293045942,-649.79</t>
  </si>
  <si>
    <t>2025-05-02 13:24:00,288471074.804419,689963199.655723,-7.19444444444426,131,5873.02361111117,3296.08,1.67432463774676,52.94</t>
  </si>
  <si>
    <t>2025-05-02 13:24:00,65727569.2787012,1989941.48965044,1.67444444444445,3,63.6130111111111,33.73,0.00124259716091417,0.72</t>
  </si>
  <si>
    <t>2025-05-02 13:25:00,570,,568,,575,,564,,,,,570,560</t>
  </si>
  <si>
    <t>2025-05-02 13:25:00,490,,490,,490,,488.5,,,490,,490,485</t>
  </si>
  <si>
    <t>2025-05-02 13:25:00,5700,,5700,,5650,,5630,,,,,5700,5600</t>
  </si>
  <si>
    <t>2025-05-02 13:25:00,20100,,20200,,19475,,20050,,,,,20200,19800</t>
  </si>
  <si>
    <t>2025-05-02 13:25:00,3920995917.28461,25981405967.5376,7889.61457513074,2645,5284.18507959686,2563.21,250.170772932777,1478.36</t>
  </si>
  <si>
    <t>2025-05-02 13:25:00,2267262348.89562,10194581479.4332,-307.959346433718,-1535,57.2342799692463,-320.86,-425.015969786103,-96.83</t>
  </si>
  <si>
    <t>2025-05-02 13:25:00,289480509.939706,688012317.980425,60.4583333333335,737,980.874916666659,867.89,-2.44960977081194,148.32</t>
  </si>
  <si>
    <t>2025-05-02 13:25:00,65128372.2179671,2080562.84429754,-1.74727429433312,26,6.12548545572075,-21.77,-0.0711358597341461,0.3</t>
  </si>
  <si>
    <t>2025-05-02 13:26:00,570,,568,,575,,564,,,,,570,560</t>
  </si>
  <si>
    <t>2025-05-02 13:26:00,490,,490,,490,,488.5,,,,,490,485</t>
  </si>
  <si>
    <t>2025-05-02 13:26:00,5700,,5700,,5650,,5630,,,,,5700,5600</t>
  </si>
  <si>
    <t>2025-05-02 13:26:00,20100,,20200,,19475,,20050,,,,,20200,19800</t>
  </si>
  <si>
    <t>2025-05-02 13:26:00,3961486264.48721,25820679831.1222,2732.55357142857,2012,2115.86803571429,2403.48,147.178141773081,1434.16</t>
  </si>
  <si>
    <t>2025-05-02 13:26:00,2188342660.51453,11303958077.013,1084.64687028658,82,691.957884884724,-309.81,-153.728550268234,-113.95</t>
  </si>
  <si>
    <t>2025-05-02 13:26:00,290792315.911721,711242551.36553,847.150000000002,620,4120.87650000001,2925.99,6.47037455032571,208.57</t>
  </si>
  <si>
    <t>2025-05-02 13:26:00,69181345.6673196,2193870.46802225,-5.06456582633053,2,-43.2376162464986,-32.65,0.00132577587178948,-0.39</t>
  </si>
  <si>
    <t>2025-05-02 13:27:00,570,,568,,575,,564,,,,,570,560</t>
  </si>
  <si>
    <t>2025-05-02 13:27:00,490,,490,,490,,488.5,,,,,490,485</t>
  </si>
  <si>
    <t>2025-05-02 13:27:00,5700,,5700,,5650,,5630,,5700,,,5700,5600</t>
  </si>
  <si>
    <t>2025-05-02 13:27:00,20100,,20200,,19475,,20050,,,,,20200,19800</t>
  </si>
  <si>
    <t>2025-05-02 13:27:00,3997335743.82828,25877486886.6249,1213.55842490842,3642,1157.56939194139,1575.86,-174.758569821512,924.28</t>
  </si>
  <si>
    <t>2025-05-02 13:27:00,2291628113.03427,11144548726.4541,-95.7183621933633,472,462.4531511544,612.81,49.9427879243082,323.3</t>
  </si>
  <si>
    <t>2025-05-02 13:27:00,290847818.293686,710154104.569316,239.96,-402,2458.53223333332,-1483.79,-9.38613531305776,-117.54</t>
  </si>
  <si>
    <t>2025-05-02 13:27:00,69825771.2805891,2197883.9817969,-13.2071078431373,6,-47.138681372549,4.82,0.00135163324212059,-0.18</t>
  </si>
  <si>
    <t>2025-05-02 13:28:00,570,,568,,575,,564,,,,,570,560</t>
  </si>
  <si>
    <t>2025-05-02 13:28:00,490,,490,,490,,488.5,,,,,490,485</t>
  </si>
  <si>
    <t>2025-05-02 13:28:00,5700,,5700,,5650,,5630,,,,,5700,5600</t>
  </si>
  <si>
    <t>2025-05-02 13:28:00,20100,,20200,,19475,,20050,,,,,20200,19800</t>
  </si>
  <si>
    <t>2025-05-02 13:28:00,3949966100.7381,26348644298.4749,686.717627401838,2116,905.418126566417,1008.46,-115.503183815665,622.97</t>
  </si>
  <si>
    <t>2025-05-02 13:28:00,2300481514.5506,11372429660.8644,1282.32050316833,1456,1372.5425581906,971.88,49.3450195498544,490.15</t>
  </si>
  <si>
    <t>2025-05-02 13:28:00,290235507.855284,706412493.284614,365.876666666666,415,5303.45779999994,3200.23,-5.95379645387634,148.42</t>
  </si>
  <si>
    <t>2025-05-02 13:28:00,71838213.6595968,2190156.5431056,3.08367857910411,1,77.4140165975868,-213.88,0.00404768732331418,-0.98</t>
  </si>
  <si>
    <t>2025-05-02 13:29:00,570,,568,,575,,564,,,,,570,560</t>
  </si>
  <si>
    <t>2025-05-02 13:29:00,490,,490,,490,,488.5,,,,,490,485</t>
  </si>
  <si>
    <t>2025-05-02 13:29:00,5700,,5700,,5650,,5630,,,,,5700,5600</t>
  </si>
  <si>
    <t>2025-05-02 13:29:00,20100,,20200,,19475,,20050,,,,,20200,19800</t>
  </si>
  <si>
    <t>2025-05-02 13:29:00,4028035936.13783,24032149035.3599,120.086760461761,507,126.920245310246,287.52,73.7335314673414,124.2</t>
  </si>
  <si>
    <t>2025-05-02 13:29:00,2287659246.52345,9873704169.77366,8.58801169590658,988,464.550135338347,491.69,-190.87297635747,250.4</t>
  </si>
  <si>
    <t>2025-05-02 13:29:00,289879343.098909,691790338.32831,323.386666666667,335,3073.0128,2633.35,-1.62139362123149,102.24</t>
  </si>
  <si>
    <t>2025-05-02 13:29:00,71901468.4549482,2106657.72617687,-1.27777777777777,7,-9.84999999999997,69.7,-0.0169937084564495,1.6</t>
  </si>
  <si>
    <t>2025-05-02 13:31:00,570,,568,,575,,564,,,,,570,560</t>
  </si>
  <si>
    <t>2025-05-02 13:31:00,490,,490,,490,,488.5,,,,490,490,485</t>
  </si>
  <si>
    <t>2025-05-02 13:31:00,5700,,5700,,5650,,5630,5700,,,,5700,5600</t>
  </si>
  <si>
    <t>2025-05-02 13:31:00,20100,,20200,,19475,,20050,,,,,20200,19800</t>
  </si>
  <si>
    <t>2025-05-02 13:31:00,4092134233.42442,27491806416.2429,-990.518315018315,-1779,850.191807081806,173.76,160.9656838204,-52.35</t>
  </si>
  <si>
    <t>2025-05-02 13:31:00,2247311312.76858,11782525768.7496,-1320.63875263223,-47,94.8608648581667,-152.77,126.455539790706,-78.91</t>
  </si>
  <si>
    <t>2025-05-02 13:31:00,293546896.236727,757016397.140772,1821.26666666666,1520,15294.8086666666,11188.52,-11.4144704828561,632.76</t>
  </si>
  <si>
    <t>2025-05-02 13:31:00,71912651.48889,2257319.64512573,-14.2209523809524,-13,-31.2402047619048,-12.06,0.014310517937816,-0.42</t>
  </si>
  <si>
    <t>2025-05-02 13:32:00,570,,568,,575,,564,,,,,570,560</t>
  </si>
  <si>
    <t>2025-05-02 13:32:00,490,,490,,490,,488.5,,,,,490,485</t>
  </si>
  <si>
    <t>2025-05-02 13:32:00,5700,,5700,,5650,,5630,,,,,5700,5600</t>
  </si>
  <si>
    <t>2025-05-02 13:32:00,20100,,20200,,19475,,20050,,,,,20200,19800</t>
  </si>
  <si>
    <t>2025-05-02 13:32:00,3989036682.78793,28422801295.1204,-182.536507936508,1105,397.538904761905,10.2899999999998,-96.2468491089229,-146.92</t>
  </si>
  <si>
    <t>2025-05-02 13:32:00,2216335287.52348,11917772506.5013,928.611204481792,1159,488.092280112045,160.77,56.9498152774268,182.26</t>
  </si>
  <si>
    <t>2025-05-02 13:32:00,292711164.951884,752203979.980289,185.963095238096,-30,1808.26767857143,-861.02,2.17134570281768,-28.59</t>
  </si>
  <si>
    <t>2025-05-02 13:32:00,65053918.7789517,2226996.19139705,-39.5648033126294,-49,-76.5439461697726,263.84,-0.0153066080182857,4.63</t>
  </si>
  <si>
    <t>2025-05-02 13:33:00,570,,568,,575,,564,,,,,570,560</t>
  </si>
  <si>
    <t>2025-05-02 13:33:00,490,,490,,490,,488.5,,,,,490,485</t>
  </si>
  <si>
    <t>2025-05-02 13:33:00,5700,,5700,,5650,,5630,,,,,5700,5600</t>
  </si>
  <si>
    <t>2025-05-02 13:33:00,20100,,20200,,19475,,20050,,,,,20200,19800</t>
  </si>
  <si>
    <t>2025-05-02 13:33:00,4130009561.72101,27956055022.5331,-523.434798534799,347,58.5539377289367,-700.91,199.314270527943,-401.69</t>
  </si>
  <si>
    <t>2025-05-02 13:33:00,2109307464.90608,11611101807.946,270.720517355216,564,1517.42468305509,1524.59,150.42722229584,268.24</t>
  </si>
  <si>
    <t>2025-05-02 13:33:00,292499251.831962,757360415.622653,182.541666666667,63,250.442249999982,-382.43,-13.4205581741872,33.42</t>
  </si>
  <si>
    <t>2025-05-02 13:33:00,73117740.8068701,2308297.48492605,-11.725,-3,-91.2025000000001,-79.6,-0.00520825006068168,-1.91</t>
  </si>
  <si>
    <t>2025-05-02 13:34:00,570,,568,,575,,564,,,,,570,560</t>
  </si>
  <si>
    <t>2025-05-02 13:34:00,490,,490,,490,,488.5,,,,,490,485</t>
  </si>
  <si>
    <t>2025-05-02 13:34:00,5700,,5700,,5650,,5630,,,,,5700,5600</t>
  </si>
  <si>
    <t>2025-05-02 13:34:00,20100,,20200,,19475,,20050,,,,,20200,19800</t>
  </si>
  <si>
    <t>2025-05-02 13:34:00,4123788919.85998,28219121308.1637,-4180.2246031746,-2716,-1781.78276984127,-1069.55,187.633828113659,-502.98</t>
  </si>
  <si>
    <t>2025-05-02 13:34:00,2070494657.70247,11696103328.1264,-2783.60394736842,-1691,-2095.23428070175,-1184.27,-25.4070565085646,-856.31</t>
  </si>
  <si>
    <t>2025-05-02 13:34:00,292359088.063887,752081142.340899,-400.859964539006,1,-5917.97376702118,-7758.42,-8.23431888830044,-198.49</t>
  </si>
  <si>
    <t>2025-05-02 13:34:00,72339002.7876872,2283358.89441848,-1.9,1,-5.894,2.9,0.00729921024931153,0.11</t>
  </si>
  <si>
    <t>2025-05-02 13:35:00,570,,568,,575,,564,,,,,570,560</t>
  </si>
  <si>
    <t>2025-05-02 13:35:00,490,,490,,490,,488.5,,,,,490,485</t>
  </si>
  <si>
    <t>2025-05-02 13:35:00,5700,,5700,,5650,,5630,,5700,,,5700,5600</t>
  </si>
  <si>
    <t>2025-05-02 13:35:00,20100,,20200,,19475,,20050,,,,,20200,19800</t>
  </si>
  <si>
    <t>2025-05-02 13:35:00,3969808575.30043,27922122848.2774,-1787.43055555555,-2482,-1025.6708452381,-1392.04,-475.372277430285,-1038.64</t>
  </si>
  <si>
    <t>2025-05-02 13:35:00,2174532765.93078,11599532195.3395,-805.267168580211,-1458,-224.922385908777,-1291.8,-395.060893055652,-745.63</t>
  </si>
  <si>
    <t>2025-05-02 13:35:00,292282342.55952,746172992.758394,-910.17,-1731,-2379.80960000001,-5564.39,6.1938644427116,-437.86</t>
  </si>
  <si>
    <t>2025-05-02 13:35:00,71375669.49178,2342828.18164063,-10.2654761904762,-4,38.3686666666667,0.240000000000002,-0.0193117802970987,-0.1</t>
  </si>
  <si>
    <t>2025-05-02 13:36:00,570,,568,,575,,564,,,,,570,560</t>
  </si>
  <si>
    <t>2025-05-02 13:36:00,490,,491,,490,,488.5,,,,,490,485</t>
  </si>
  <si>
    <t>2025-05-02 13:36:00,5700,,5700,,5650,,5630,,,,,5700,5600</t>
  </si>
  <si>
    <t>2025-05-02 13:36:00,20100,,20200,,19475,,20050,,,,,20200,19800</t>
  </si>
  <si>
    <t>2025-05-02 13:36:00,3990456153.01036,29968904923.1395,6837.85396825397,5758,2867.76330555555,849.6,416.438834366929,1550.77</t>
  </si>
  <si>
    <t>2025-05-02 13:36:00,1955305950.36414,11414325569.8059,-4280.05829027956,-3277,-1079.69474945473,-536.68,61.3386827564817,-637.07</t>
  </si>
  <si>
    <t>2025-05-02 13:36:00,289609698.025468,785111350.341956,-852.290000000001,-986,-9987.83630000002,-2034.59,-5.01365884274812,-264.4</t>
  </si>
  <si>
    <t>2025-05-02 13:36:00,69080852.3038055,2458624.16971523,-40.4185677318159,-41,-790.964367681201,-728.87,-0.0425004777338934,-7.13</t>
  </si>
  <si>
    <t>2025-05-02 13:37:00,570,,568,,575,,564,,,568,,570,560</t>
  </si>
  <si>
    <t>2025-05-02 13:37:00,490,,491,,490,,488.5,491,,,,490,485</t>
  </si>
  <si>
    <t>2025-05-02 13:37:00,5700,,5700,,5650,,5630,,5710,,,5700,5600</t>
  </si>
  <si>
    <t>2025-05-02 13:37:00,20100,,20200,,19475,,20050,,,,,20200,19800</t>
  </si>
  <si>
    <t>2025-05-02 13:37:00,4025732072.66645,27027550178.0716,2836.00941558436,-7367,-4616.40695165947,-12333.16,-1478.31270185914,-5821.48</t>
  </si>
  <si>
    <t>2025-05-02 13:37:00,1994270003.31561,10129251669.1957,2711.91231108073,2307,2804.53247638794,1827.31,620.148016944263,1363.09</t>
  </si>
  <si>
    <t>2025-05-02 13:37:00,287553570.872525,765096862.806347,157.670000000018,-1375,-31825.3322333336,-25903.75,-52.7880921093163,-1071.88</t>
  </si>
  <si>
    <t>2025-05-02 13:37:00,69801951.4145432,2423630.19344055,-59.338354664659,-91,-1054.57956506054,-1666.96,-0.117983893485589,-28.55</t>
  </si>
  <si>
    <t>2025-05-02 13:38:00,570,,568,,575,,564,,568,568,,570,560</t>
  </si>
  <si>
    <t>2025-05-02 13:38:00,490,,491,,490,,488.5,,,,,490,485</t>
  </si>
  <si>
    <t>2025-05-02 13:38:00,5700,,5700,,5650,,5630,,,,,5700,5600</t>
  </si>
  <si>
    <t>2025-05-02 13:38:00,20100,,20200,,19475,,20050,,,,,20200,19800</t>
  </si>
  <si>
    <t>2025-05-02 13:38:00,4090218230.81907,27021853451.3333,554.680986714435,1300,2441.67073106434,2590.46,-674.648352674263,1137.94</t>
  </si>
  <si>
    <t>2025-05-02 13:38:00,2091407523.69348,10479876003.9319,-1244.31723570507,-2697,1626.43251517225,-60.4200000000001,275.535755303415,-567.87</t>
  </si>
  <si>
    <t>2025-05-02 13:38:00,288907423.055698,773042769.403341,54.3283333333313,213,3839.89148333333,884.16,-4.59382399078157,-56.19</t>
  </si>
  <si>
    <t>2025-05-02 13:38:00,67557508.551893,2470291.40934461,3.32857142857144,-2,149.42230952381,197.34,0.0532994261225535,2.82</t>
  </si>
  <si>
    <t>2025-05-02 13:39:00,570,,568,,575,,564,,,,,570,560</t>
  </si>
  <si>
    <t>2025-05-02 13:39:00,490,,491,,490,,488.5,,,,,490,485</t>
  </si>
  <si>
    <t>2025-05-02 13:39:00,5700,,5700,,5650,,5630,,,,,5700,5600</t>
  </si>
  <si>
    <t>2025-05-02 13:39:00,20100,,20200,,19475,,20075,,,,,20200,19800</t>
  </si>
  <si>
    <t>2025-05-02 13:39:00,4067214587.25005,27517684033.7929,1005.74221611722,-437,2211.71822069597,763.02,-702.983894291125,-172.03</t>
  </si>
  <si>
    <t>2025-05-02 13:39:00,2281775831.79297,11010220154.1633,727.462365003418,654,1046.74497647148,748.23,-299.190768901933,304.5</t>
  </si>
  <si>
    <t>2025-05-02 13:39:00,290559737.855584,786090386.623059,290.123333333333,57,5689.73436666668,2421.13,7.9385398211769,84.08</t>
  </si>
  <si>
    <t>2025-05-02 13:39:00,61738412.1526544,2444603.30198957,16.0932917409388,59,216.813618640183,274.96,-0.0225869903900129,6.21</t>
  </si>
  <si>
    <t>2025-05-02 13:41:00,570,,568,,575,,564,,568,,,570,560</t>
  </si>
  <si>
    <t>2025-05-02 13:41:00,490,,491,,490,,488.5,491,,,,490,485</t>
  </si>
  <si>
    <t>2025-05-02 13:41:00,5700,,5700,,5650,,5630,,,,5690,5700,5600</t>
  </si>
  <si>
    <t>2025-05-02 13:41:00,20100,,20200,,19475,,20075,,,,,20200,19800</t>
  </si>
  <si>
    <t>2025-05-02 13:41:00,4066285156.63786,25615162077.8308,906.268030910548,-1063,3269.18742043345,756.34,-431.686874534839,-313.15</t>
  </si>
  <si>
    <t>2025-05-02 13:41:00,2296075383.50249,10566242733.5972,3026.71657509157,2677,1286.18378846154,662.92,-142.408112538312,890.26</t>
  </si>
  <si>
    <t>2025-05-02 13:41:00,288777896.283584,757831214.567167,1494.17623152709,-1313,11766.3619035304,-774.12,-18.0402369974319,-326.61</t>
  </si>
  <si>
    <t>2025-05-02 13:41:00,62395464.1108202,2383062.27951046,17.7950549450549,19,256.759840659341,285.02,-0.00844293623977594,5.75</t>
  </si>
  <si>
    <t>2025-05-02 13:42:00,570,,568,,575,,564,,,,,570,560</t>
  </si>
  <si>
    <t>2025-05-02 13:42:00,490,,491,,490,,488.5,,,,,490,485</t>
  </si>
  <si>
    <t>2025-05-02 13:42:00,5700,,5700,,5650,,5630,,,,,5700,5600</t>
  </si>
  <si>
    <t>2025-05-02 13:42:00,20100,,20200,,19475,,20050,,,,,20200,19800</t>
  </si>
  <si>
    <t>2025-05-02 13:42:00,4047155309.44015,25959610823.8173,2055.5619047619,5751,1892.34997619048,1606.01,-288.481902655185,856.95</t>
  </si>
  <si>
    <t>2025-05-02 13:42:00,2295512713.98857,11143689399.8817,523.921596921597,1842,516.009037999038,1308.44,-264.913826145174,814.08</t>
  </si>
  <si>
    <t>2025-05-02 13:42:00,287885157.762935,753136619.950115,711.95,1078,2283.95200000002,3994.68,6.51735170818315,347.23</t>
  </si>
  <si>
    <t>2025-05-02 13:42:00,63836248.0644941,2402634.63510669,1.30690476190477,5,17.5985904761905,10.89,-0.0162887303027934,0.0800000000000001</t>
  </si>
  <si>
    <t>2025-05-02 13:43:00,570,,568,,575,,564.5,,568,,568,570,560</t>
  </si>
  <si>
    <t>2025-05-02 13:43:00,490,,491,,490,,488.5,,491,,,490,485</t>
  </si>
  <si>
    <t>2025-05-02 13:43:00,5700,,5700,,5650,,5635,5700,,,,5700,5600</t>
  </si>
  <si>
    <t>2025-05-02 13:43:00,20100,,20200,,19475,,20050,,,,,20200,19800</t>
  </si>
  <si>
    <t>2025-05-02 13:43:00,4013504052.34274,26145857096.3993,-17992.1154404096,-13673,-16783.9040074122,-13415.63,91.1537934062111,-6625.13</t>
  </si>
  <si>
    <t>2025-05-02 13:43:00,2066241616.69894,10743299790.4435,-5020.99454566368,-5044,-3461.51365711985,-3814.86,164.277770335113,-2291.33</t>
  </si>
  <si>
    <t>2025-05-02 13:43:00,287491448.58626,727984402.249217,-693.874761904765,-1180,-26107.9271380954,-12632.46,4.37594212710395,-352.16</t>
  </si>
  <si>
    <t>2025-05-02 13:43:00,64303173.7633104,2314335.71158034,-35.5190819964349,-45,-670.759265457092,-655.81,0.0245085883290382,-7.53</t>
  </si>
  <si>
    <t>2025-05-02 13:44:00,570,,568,,575,,564,,,,,570,560</t>
  </si>
  <si>
    <t>2025-05-02 13:44:00,490,,491,,490,,488.5,,,,,490,485</t>
  </si>
  <si>
    <t>2025-05-02 13:44:00,5700,,5700,,5650,,5630,,,,,5700,5600</t>
  </si>
  <si>
    <t>2025-05-02 13:44:00,20100,,20200,,19475,,20075,,,,,20200,19800</t>
  </si>
  <si>
    <t>2025-05-02 13:44:00,3777400104.51391,28887959126.3817,171.914682539683,-772,695.795972222226,-117.89,67.276952772808,-431.56</t>
  </si>
  <si>
    <t>2025-05-02 13:44:00,2072136732.10292,11516933904.1415,-322.949735449736,-719,-178.115661375662,-714.68,175.559247249715,-344.28</t>
  </si>
  <si>
    <t>2025-05-02 13:44:00,291208320.861909,773912573.949376,17.2799999999994,-263,1687.12013333333,22.4200000000001,3.1888854779864,-22.42</t>
  </si>
  <si>
    <t>2025-05-02 13:44:00,62346199.9059488,2338271.9268908,1.32666666666666,24,19.1257333333333,62.27,0.00918416390066561,1.42</t>
  </si>
  <si>
    <t>2025-05-02 13:45:00,570,,568,,575,,564,,,,,570,560</t>
  </si>
  <si>
    <t>2025-05-02 13:45:00,490,,491,,490,,488.5,,,490,,490,485</t>
  </si>
  <si>
    <t>2025-05-02 13:45:00,5700,,5700,,5650,,5630,,,,,5700,5600</t>
  </si>
  <si>
    <t>2025-05-02 13:45:00,20100,,20200,,19475,,20075,,,,,20200,19800</t>
  </si>
  <si>
    <t>2025-05-02 13:45:00,4102244685.65454,26757466335.4242,1945.72319624819,3092,1556.34263131312,1308.95,215.664093029725,1137.74</t>
  </si>
  <si>
    <t>2025-05-02 13:45:00,2304388021.05237,10908078417.6483,1557.53277665317,2430,2179.08612483131,2487.98,-105.384943204404,1271.95</t>
  </si>
  <si>
    <t>2025-05-02 13:45:00,291585022.248259,764501576.719292,1934.25,1341,8579.43749999999,3858.9,7.18557343257251,283.05</t>
  </si>
  <si>
    <t>2025-05-02 13:45:00,68912997.7962421,2282507.19500384,-0.214285714285714,12,2.35142857142856,11.1,-0.00721985475985595,0.21</t>
  </si>
  <si>
    <t>2025-05-02 13:46:00,570,,568,,575,,564.5,,,,,570,560</t>
  </si>
  <si>
    <t>2025-05-02 13:46:00,490,,491,,490,,488.5,,,490,,490,485</t>
  </si>
  <si>
    <t>2025-05-02 13:46:00,5700,,5700,,5650,,5635,,,,,5700,5600</t>
  </si>
  <si>
    <t>2025-05-02 13:46:00,20100,,20200,,19475,,20075,,,,,20200,19800</t>
  </si>
  <si>
    <t>2025-05-02 13:46:00,4091767842.6327,26382022790.4139,51.6431248575983,2102,554.059788011694,2903.71,-593.092289164685,1365.49</t>
  </si>
  <si>
    <t>2025-05-02 13:46:00,2297844875.09418,10860293439.8236,1278.78489010989,2449,492.391368131868,1284.87,2.50700001323413,827.34</t>
  </si>
  <si>
    <t>2025-05-02 13:46:00,290104176.031444,744498403.069475,229.006666666666,43,3685.72053333333,3390.88,5.02548192727012,149.84</t>
  </si>
  <si>
    <t>2025-05-02 13:46:00,64076349.6652267,2162030.87571576,5.12235980410449,-4,20.7643141598354,-4.43,0.0679650061433561,-0.29</t>
  </si>
  <si>
    <t>2025-05-02 13:47:00,570,,568,,575,,564,,,,568,570,560</t>
  </si>
  <si>
    <t>2025-05-02 13:47:00,490,,491,,490,,488.5,,,,490,490,485</t>
  </si>
  <si>
    <t>2025-05-02 13:47:00,5700,,5700,,5650,,5630,,,,,5700,5600</t>
  </si>
  <si>
    <t>2025-05-02 13:47:00,20100,,20200,,19475,,20075,,,,,20200,19800</t>
  </si>
  <si>
    <t>2025-05-02 13:47:00,4005193815.03629,24559269644.4021,-3897.27704240204,-3162,-997.370339382846,-2348.87,968.722659254847,-2059.54</t>
  </si>
  <si>
    <t>2025-05-02 13:47:00,2287201127.07622,9948781307.81278,279.95507330171,1771,743.796136581635,1647.32,285.072809156477,707.98</t>
  </si>
  <si>
    <t>2025-05-02 13:47:00,283554657.061173,732353149.811484,1286.545,884,44363.1915833332,13007.48,4.91058819573993,355.29</t>
  </si>
  <si>
    <t>2025-05-02 13:47:00,65521247.9494895,1997097.34696505,15.4230158730159,4,478.219984126984,247.64,0.00685218721835356,4.9</t>
  </si>
  <si>
    <t>2025-05-02 13:48:00,570,,568,,575,,564,,567,567,,570,560</t>
  </si>
  <si>
    <t>2025-05-02 13:48:00,490,,490,,490,,488.5,490,,490,,490,485</t>
  </si>
  <si>
    <t>2025-05-02 13:48:00,5700,,5700,,5650,,5630,,,,5690,5700,5600</t>
  </si>
  <si>
    <t>2025-05-02 13:48:00,20100,,20200,,19475,,20050,,,,,20200,19800</t>
  </si>
  <si>
    <t>2025-05-02 13:48:00,3881836813.5723,22359594116.5448,-3870.8914519141,-953,-2692.08523739496,-1125.78,-994.024642765096,-837.94</t>
  </si>
  <si>
    <t>2025-05-02 13:48:00,2278953953.86221,9789562691.60736,5585.28505624146,10844,2717.96659574123,5319.27,242.622540681754,3861.77</t>
  </si>
  <si>
    <t>2025-05-02 13:48:00,287656594.225035,646981939.820102,-186.829166666668,465,11036.5104583333,5005.07,37.1616968099795,-48.2599999999999</t>
  </si>
  <si>
    <t>2025-05-02 13:48:00,64459058.1729757,1858632.05224483,6.33515536187951,-12,453.631212706834,396.14,0.00568235088650645,5.97</t>
  </si>
  <si>
    <t>2025-05-02 13:49:00,575,,568,,575,,564.5,,,567,,570,560</t>
  </si>
  <si>
    <t>2025-05-02 13:49:00,490,,490,,490,,488.5,,,,,490,485</t>
  </si>
  <si>
    <t>2025-05-02 13:49:00,5700,,5700,,5650,,5635,,,5680,,5700,5600</t>
  </si>
  <si>
    <t>2025-05-02 13:49:00,20100,,20200,,19475,,20050,,,,,20200,19800</t>
  </si>
  <si>
    <t>2025-05-02 13:49:00,3590293994.45327,14869810214.3404,-2292.60629813995,3069,-1379.65076930303,2611.73,-1079.21274785522,1926.74</t>
  </si>
  <si>
    <t>2025-05-02 13:49:00,2202224113.4373,7508929672.36832,-3051.61897344653,-1339,-334.862367662483,1792.23,-719.118561054024,697.09</t>
  </si>
  <si>
    <t>2025-05-02 13:49:00,281210551.793538,496446332.558866,-441.513095238076,1930,9141.75446428592,18351.52,-35.7584767493089,1119.8</t>
  </si>
  <si>
    <t>2025-05-02 13:49:00,60425986.0838351,1362855.83128611,3.29758928919644,10,203.724549780555,335.35,0.00711446827435978,5.04</t>
  </si>
  <si>
    <t>2025-05-02 13:50:00,575,,568,,575,,564,,,,,570,560</t>
  </si>
  <si>
    <t>2025-05-02 13:50:00,490,,490,,470,,488.5,,,489,,490,485</t>
  </si>
  <si>
    <t>2025-05-02 13:50:00,5700,,5700,,5650,,5635,,,,5680,5700,5600</t>
  </si>
  <si>
    <t>2025-05-02 13:50:00,20100,,20200,,19475,,20050,,,,,20200,19800</t>
  </si>
  <si>
    <t>2025-05-02 13:50:00,3257668684.30759,14724507111.9418,15027.2401924038,24854,12703.6828595286,19592.92,-1067.81067121086,9620.82</t>
  </si>
  <si>
    <t>2025-05-02 13:50:00,2123561381.83758,7762829173.92164,10851.7321712484,7316,4294.5184859152,3266.04,638.385619948245,2120.16</t>
  </si>
  <si>
    <t>2025-05-02 13:50:00,264541834.692572,442342297.178298,-565.690513653048,-670,5608.61345288035,-1690.51,17.1599663839984,-221.96</t>
  </si>
  <si>
    <t>2025-05-02 13:50:00,59802170.9431847,1212315.6275502,51.3881121656122,0,821.161817107892,658.98,-0.0978429780176891,9.17</t>
  </si>
  <si>
    <t>2025-05-02 13:52:00,575,,568,,575,,564.5,,567,,,570,560</t>
  </si>
  <si>
    <t>2025-05-02 13:52:00,490,,491,,490,,489,,489,,,490,485</t>
  </si>
  <si>
    <t>2025-05-02 13:52:00,5700,,5700,,5650,,5635,,,5690,5680,5700,5600</t>
  </si>
  <si>
    <t>2025-05-02 13:52:00,20100,,20200,,19475,,20075,,,,,20200,19800</t>
  </si>
  <si>
    <t>2025-05-02 13:52:00,3501545628.94559,6095326997.12573,-10142.8840839524,-7811,-3955.17730566313,-1625.04,1290.20780342648,-1628.7</t>
  </si>
  <si>
    <t>2025-05-02 13:52:00,2081487500.93033,4748292699.74191,-3073.19977459323,-491,-2700.70048335573,-965.9,951.376152807226,-501.2</t>
  </si>
  <si>
    <t>2025-05-02 13:52:00,278292511.821514,428651230.682317,-947.789177489173,702,-43591.4012077917,-2597.1,33.0832671235879,182.46</t>
  </si>
  <si>
    <t>2025-05-02 13:52:00,65793718.3951941,1203787.6070135,-59.9143928293928,-49,-499.614642424242,-387.63,0.0507769159586729,-6.34</t>
  </si>
  <si>
    <t>2025-05-02 13:53:00,575,,568,,575,,564.5,567,,,,570,560</t>
  </si>
  <si>
    <t>2025-05-02 13:53:00,490,,490,,490,,488.5,,,489,,490,485</t>
  </si>
  <si>
    <t>2025-05-02 13:53:00,5700,,5700,,5650,,5635,,,,,5700,5600</t>
  </si>
  <si>
    <t>2025-05-02 13:53:00,20100,,20200,,19475,,20075,,,,,20200,19800</t>
  </si>
  <si>
    <t>2025-05-02 13:53:00,3628884131.15711,14903013653.1928,4319.01904621408,11709,2087.69163447417,5223.52,18.2801549393908,3423.36</t>
  </si>
  <si>
    <t>2025-05-02 13:53:00,2124390594.8183,7474361604.37721,-1312.53228152132,-1133,-749.928977460416,-646.08,-257.424101471098,-313.16</t>
  </si>
  <si>
    <t>2025-05-02 13:53:00,280730539.949093,477002800.338575,830.454761904769,644,61815.90302381,46646.29,9.87130544406391,707.56</t>
  </si>
  <si>
    <t>2025-05-02 13:53:00,59809390.3332722,1357035.07503818,3.5577052494252,-5,185.482819902994,14.36,-0.0242104354652544,0.32</t>
  </si>
  <si>
    <t>2025-05-02 13:54:00,570,,568,,575,,564.5,,,,,570,560</t>
  </si>
  <si>
    <t>2025-05-02 13:54:00,490,,490,,490,,488.5,490,,,490,490,485</t>
  </si>
  <si>
    <t>2025-05-02 13:54:00,5700,,5700,,5650,,5635,,,,,5700,5600</t>
  </si>
  <si>
    <t>2025-05-02 13:54:00,20100,,20200,,20000,,20080,,,,,20200,19800</t>
  </si>
  <si>
    <t>2025-05-02 13:54:00,3523475240.93138,19652342854.4181,-7901.01380300701,-2781,-6979.1913577852,-1839.7,-196.14277581218,-892.09</t>
  </si>
  <si>
    <t>2025-05-02 13:54:00,1934450974.9794,9516389202.11355,-5595.58626654675,-616,-5066.00732221785,-832.47,484.98902338934,-326.71</t>
  </si>
  <si>
    <t>2025-05-02 13:54:00,282796512.400201,553297458.234849,-133.433333333332,-68,-235.88999999999,326.39,6.28608219966346,15.87</t>
  </si>
  <si>
    <t>2025-05-02 13:54:00,32448370.4112132,1486264.12514074,,-487,,-69452.12,0.0993864268254296,-442.02</t>
  </si>
  <si>
    <t>2025-05-02 13:55:00,570,,568,,575,,564.5,,,,,570,560</t>
  </si>
  <si>
    <t>2025-05-02 13:55:00,490,,491,,490,,488.5,,,,,490,485</t>
  </si>
  <si>
    <t>2025-05-02 13:55:00,5700,,5700,,5650,,5635,,,,,5700,5600</t>
  </si>
  <si>
    <t>2025-05-02 13:55:00,20100,,20200,,20000,,20080,,,,,20200,19800</t>
  </si>
  <si>
    <t>2025-05-02 13:55:00,3755869264.26218,14525599628.1889,-3542.48012066365,-4661,-1988.67994262012,-3410.92,-93.5224981250412,-1810.27</t>
  </si>
  <si>
    <t>2025-05-02 13:55:00,2101097364.42315,6558044181.82087,3517.62427634765,3809,2020.69447748105,1759.72,425.33161846828,1267.67</t>
  </si>
  <si>
    <t>2025-05-02 13:55:00,281185308.895803,517447550.472359,-287.721666666667,-398,-2493.89071666665,-4008.89,-11.2028394054863,-227.37</t>
  </si>
  <si>
    <t>2025-05-02 13:55:00,38949295.0140451,1319711.76051437,,11,,204.56,0.00349536560261405,3.57</t>
  </si>
  <si>
    <t>2025-05-02 13:56:00,570,,568,,575,,564.5,,567,,,570,560</t>
  </si>
  <si>
    <t>2025-05-02 13:56:00,490,,491,,490,,488.5,,,,,490,485</t>
  </si>
  <si>
    <t>2025-05-02 13:56:00,5700,,5700,,5650,,5635,,,,,5700,5600</t>
  </si>
  <si>
    <t>2025-05-02 13:56:00,20100,,20200,,20000,,20080,,,,,20200,19800</t>
  </si>
  <si>
    <t>2025-05-02 13:56:00,3800354756.4349,16399328787.6746,-5885.31792374292,-4490,-3203.03464169164,-2669.32,-702.78467073064,-1287.33</t>
  </si>
  <si>
    <t>2025-05-02 13:56:00,2160718562.63303,8016812269.87394,1769.9099766839,2829,1206.83765201977,1592.89,-120.088134738688,1032.41</t>
  </si>
  <si>
    <t>2025-05-02 13:56:00,285427315.225052,550226101.179002,66.641904761905,-23,9962.63863809524,4845.32,-4.33870926571229,164.86</t>
  </si>
  <si>
    <t>2025-05-02 13:56:00,38140916.0838335,1404519.91507399,,28,,393.84,0.00136686468571111,7.03</t>
  </si>
  <si>
    <t>2025-05-02 13:57:00,570,,568,,575,,564.5,,,,,570,560</t>
  </si>
  <si>
    <t>2025-05-02 13:57:00,490,,490,,490,,488.5,,,,,490,485</t>
  </si>
  <si>
    <t>2025-05-02 13:57:00,5700,,5700,,5650,,5635,,,,,5700,5600</t>
  </si>
  <si>
    <t>2025-05-02 13:57:00,20100,,20200,,20000,,20100,,,,,20200,19800</t>
  </si>
  <si>
    <t>2025-05-02 13:57:00,3745964049.18397,22290222160.9935,-9838.39296525628,-7974,-6155.95554609564,-7867.68,8.40841827742907,-3766.35</t>
  </si>
  <si>
    <t>2025-05-02 13:57:00,2023064042.57143,9778934298.10676,-3993.00890003716,-3243,-2516.77924767744,-2140.13,104.534038127141,-1295.97</t>
  </si>
  <si>
    <t>2025-05-02 13:57:00,283697211.124674,563732869.129283,-1761.36547619047,-1231,-14938.8635357143,-7995.7,16.022158694701,-442.94</t>
  </si>
  <si>
    <t>2025-05-02 13:57:00,39726680.0569586,1459824.07374602,,-37,,-343.25,0.0245929567639629,-6.31</t>
  </si>
  <si>
    <t>2025-05-02 13:58:00,570,,568,,575,,564.5,,,,,570,560</t>
  </si>
  <si>
    <t>2025-05-02 13:58:00,490,,490,,490,,488.5,,,,,490,485</t>
  </si>
  <si>
    <t>2025-05-02 13:58:00,5700,,5700,,5650,,5635,,,,,5700,5600</t>
  </si>
  <si>
    <t>2025-05-02 13:58:00,20100,,20200,,20000,,20080,,,,,20200,19800</t>
  </si>
  <si>
    <t>2025-05-02 13:58:00,3903561563.05035,20684887609.8061,4611.28506493506,2738,4213.18044372294,3436.97,-159.197586542126,1817.52</t>
  </si>
  <si>
    <t>2025-05-02 13:58:00,2183382394.91737,8837521228.61408,2577.75188861318,2473,1408.23118941274,1238.21,151.849403469866,845.23</t>
  </si>
  <si>
    <t>2025-05-02 13:58:00,286423614.448673,598240127.382062,1318.56,1227,11729.564,8346.36,7.97543157686825,501.8</t>
  </si>
  <si>
    <t>2025-05-02 13:58:00,39710153.2070251,1437597.8721696,,6,,58.94,0.0011000769185712,1.32</t>
  </si>
  <si>
    <t>2025-05-02 14:02:00,570,,568,,575,,564.5,567,,,567,570,560</t>
  </si>
  <si>
    <t>2025-05-02 14:02:00,490,,491,,490,,488.5,,,,,490,485</t>
  </si>
  <si>
    <t>2025-05-02 14:02:00,5700,,5700,,5650,,5635,,,5680,,5700,5600</t>
  </si>
  <si>
    <t>2025-05-02 14:02:00,20100,,20200,,20000,,20100,,,,,20200,19800</t>
  </si>
  <si>
    <t>2025-05-02 14:02:00,3804788922.7413,17815639196.6816,8983.8839928791,28876,362.38427324776,4936.93,2000.56855151023,4167.75</t>
  </si>
  <si>
    <t>2025-05-02 14:02:00,2173581283.75507,8043810182.74943,11347.0161285266,8177,2177.13353591954,1249.28,722.196154821639,882.46</t>
  </si>
  <si>
    <t>2025-05-02 14:02:00,285548087.345339,524240870.018165,853.953612479479,6091,-9537.50724137932,21709.27,-3.93837958134068,1901.36</t>
  </si>
  <si>
    <t>2025-05-02 14:02:00,39752147.9906654,1196120.15962047,,-110,,-1994.77,0.245388090830592,-35.64</t>
  </si>
  <si>
    <t>2025-05-02 14:03:00,575,,568,,575,,564.5,,,,,570,560</t>
  </si>
  <si>
    <t>2025-05-02 14:03:00,490,,490,,470,,488.5,,,,,490,485</t>
  </si>
  <si>
    <t>2025-05-02 14:03:00,5700,,5700,,5650,,5635,,,,,5700,5600</t>
  </si>
  <si>
    <t>2025-05-02 14:03:00,20100,,20200,,20000,,20080,,,,,20200,19800</t>
  </si>
  <si>
    <t>2025-05-02 14:03:00,3775250744.20058,17690905434.7992,-1964.21503267975,-3222,1470.82867973856,624.04,192.657268905208,-102.13</t>
  </si>
  <si>
    <t>2025-05-02 14:03:00,2192394520.96061,7675302002.71812,318.219444444448,-97,983.57813888889,725.6,-52.5421698634859,258.94</t>
  </si>
  <si>
    <t>2025-05-02 14:03:00,284698102.51105,506161152.951595,2018.29047619047,1945,10576.2530476189,7564.21,-1.5668520361253,586.73</t>
  </si>
  <si>
    <t>2025-05-02 14:03:00,36779451.698025,1111996.37368497,,10,,32.2,-0.0156932108000309,0.76</t>
  </si>
  <si>
    <t>2025-05-02 14:04:00,575,,568,,575,,564.5,,,567,,570,560</t>
  </si>
  <si>
    <t>2025-05-02 14:04:00,490,,490,,470,,488.5,,,,,490,485</t>
  </si>
  <si>
    <t>2025-05-02 14:04:00,5700,,5700,,5650,,5635,,,,,5700,5600</t>
  </si>
  <si>
    <t>2025-05-02 14:04:00,20100,,20200,,20000,,20080,,,,,20200,19800</t>
  </si>
  <si>
    <t>2025-05-02 14:04:00,3503707127.86249,14513272489.9348,-5430.74248084291,-6510,-3594.73733312808,-2996.35,531.077208403037,-1653.98</t>
  </si>
  <si>
    <t>2025-05-02 14:04:00,2130102729.3172,6923009545.43668,-2088.84643752082,-1578,-1305.14308397818,-330.93,182.228976376451,-361.92</t>
  </si>
  <si>
    <t>2025-05-02 14:04:00,281188628.953864,430224812.61476,-874.000000000003,-557,2200.91599999995,-4906.74,22.6953822403424,-339.74</t>
  </si>
  <si>
    <t>2025-05-02 14:04:00,32585235.7239615,968133.519224823,,8,,177.92,0.0189006133368445,3.09</t>
  </si>
  <si>
    <t>2025-05-02 14:05:00,575,,568,,575,,564.5,,566,566,,570,560</t>
  </si>
  <si>
    <t>2025-05-02 14:05:00,490,,490,,470,,488.5,,,,,490,485</t>
  </si>
  <si>
    <t>2025-05-02 14:05:00,5700,,5700,,5650,,5635,,,,,5700,5600</t>
  </si>
  <si>
    <t>2025-05-02 14:05:00,20100,,20200,,20000,,20080,,,,,20200,19800</t>
  </si>
  <si>
    <t>2025-05-02 14:05:00,3332490059.73398,11293558501.0954,1945.16106554264,-848,1718.41828734715,2305.94,-1693.47651787997,1156.24</t>
  </si>
  <si>
    <t>2025-05-02 14:05:00,2097573685.19623,6289917992.52669,649.953121453711,5347,-1397.2287726352,2414.13,-70.330783119555,1851.8</t>
  </si>
  <si>
    <t>2025-05-02 14:05:00,278347014.819952,400940257.175833,1009.305,-553,16593.3634166667,4003.12,-21.8477632306268,106.92</t>
  </si>
  <si>
    <t>2025-05-02 14:05:00,32995973.481141,785822.140891455,,42,,-99.75,-0.0457253868056989,0.320000000000001</t>
  </si>
  <si>
    <t>2025-05-02 14:06:00,575,,568,,575,,564.5,,,,,570,560</t>
  </si>
  <si>
    <t>2025-05-02 14:06:00,490,,490,,470,,488.5,,,,489,490,485</t>
  </si>
  <si>
    <t>2025-05-02 14:06:00,5700,,5700,,5650,,5635,,,,5680,5700,5600</t>
  </si>
  <si>
    <t>2025-05-02 14:06:00,20100,,20200,,20000,,20100,,,,,20200,19800</t>
  </si>
  <si>
    <t>2025-05-02 14:06:00,3505474017.73776,16940866544.1437,1353.50742649629,6809,4093.50682482447,8331.12,5.20385312637693,1844.93</t>
  </si>
  <si>
    <t>2025-05-02 14:06:00,2067448920.57624,7501541323.85283,-1283.80759259897,-1407,-889.644640859142,-1096.85,126.396929041151,-605.69</t>
  </si>
  <si>
    <t>2025-05-02 14:06:00,282054719.094391,447215087.854185,-723.700000000003,-1126,637.485200000142,-1307.75,-0.702113516612601,-434.19</t>
  </si>
  <si>
    <t>2025-05-02 14:06:00,38765771.5525241,1011495.43784769,,-57,,-575.85,-0.111518856625867,-9.93</t>
  </si>
  <si>
    <t>2025-05-02 14:07:00,575,,568,,575,,565,,,,,570,560</t>
  </si>
  <si>
    <t>2025-05-02 14:07:00,490,,490,,470,,488.5,,,,,490,485</t>
  </si>
  <si>
    <t>2025-05-02 14:07:00,5700,,5700,,5650,,5635,,,,,5700,5600</t>
  </si>
  <si>
    <t>2025-05-02 14:07:00,20100,,20200,,20000,,20100,,,,,20200,19800</t>
  </si>
  <si>
    <t>2025-05-02 14:07:00,3408126454.98544,16091723058.8383,-6962.74056033572,-6142,-4086.83626303088,-3145.98,-77.2184191895641,-2327.04</t>
  </si>
  <si>
    <t>2025-05-02 14:07:00,2082917018.38036,7809101963.01169,2825.42955144271,2331,727.988593599382,-657.49,704.715532055266,114.44</t>
  </si>
  <si>
    <t>2025-05-02 14:07:00,283233318.63978,475435085.447143,577.265714285715,817,59553.7182857145,33759.29,15.8154855251562,356.66</t>
  </si>
  <si>
    <t>2025-05-02 14:07:00,39134706.4583389,1126388.93578472,,-11,,138.55,-0.0045031946743985,-1.1</t>
  </si>
  <si>
    <t>2025-05-02 14:08:00,575,,568,,575,,565,,,,,570,560</t>
  </si>
  <si>
    <t>2025-05-02 14:08:00,490,,490,,490,,488.5,,,,,490,485</t>
  </si>
  <si>
    <t>2025-05-02 14:08:00,5700,,5700,,5650,,5635,,,,,5700,5600</t>
  </si>
  <si>
    <t>2025-05-02 14:08:00,20100,,20200,,20000,,20100,,,,,20200,19800</t>
  </si>
  <si>
    <t>2025-05-02 14:08:00,3617720026.4873,16996635909.5552,-317.311111111109,740,-1118.33269841269,-1138.35,189.59732428926,-258.34</t>
  </si>
  <si>
    <t>2025-05-02 14:08:00,1976446553.49024,8072792325.84408,-1066.85968592811,-16,-965.602848116796,-736.57,180.935033285717,-271.64</t>
  </si>
  <si>
    <t>2025-05-02 14:08:00,283544093.173423,488878030.018186,-119.6,-542,-3452.36316666661,-9074.45,-1.90372440327529,-254.6</t>
  </si>
  <si>
    <t>2025-05-02 14:08:00,39617531.5943431,1180992.25163051,,-12,,-311.44,0.0508865483122218,-3.89</t>
  </si>
  <si>
    <t>2025-05-02 14:10:00,575,,568,,575,,565,,,,,570,560</t>
  </si>
  <si>
    <t>2025-05-02 14:10:00,490,,491,,490,,488.5,,,,,490,485</t>
  </si>
  <si>
    <t>2025-05-02 14:10:00,5700,,5700,,5650,,5635,,,,,5700,5600</t>
  </si>
  <si>
    <t>2025-05-02 14:10:00,20100,,20200,,20000,,20100,,,,,20200,19800</t>
  </si>
  <si>
    <t>2025-05-02 14:10:00,3707300723.79486,16367348651.5721,-859.313997113996,-1056,192.071630591631,-499.44,-161.849608230611,-188.71</t>
  </si>
  <si>
    <t>2025-05-02 14:10:00,2116769668.47002,8026227092.33898,-206.615200125545,-1317,-70.8881949278439,-666.94,-34.000067427007,-420.76</t>
  </si>
  <si>
    <t>2025-05-02 14:10:00,284102559.465036,498967590.39485,-387.956666666666,-440,-6105.71076666663,-4546.26,7.8919747815052,-97.42</t>
  </si>
  <si>
    <t>2025-05-02 14:10:00,38166394.9628029,1237208.0826262,,-8,,-221.62,0.0160367116147992,-2.96</t>
  </si>
  <si>
    <t>2025-05-02 14:11:00,575,,568,,575,,564,,,,,570,560</t>
  </si>
  <si>
    <t>2025-05-02 14:11:00,490,,490,,470,,488.5,,,,,490,485</t>
  </si>
  <si>
    <t>2025-05-02 14:11:00,5700,,5700,,5650,,5635,,,,,5700,5600</t>
  </si>
  <si>
    <t>2025-05-02 14:11:00,20100,,20200,,20000,,20080,,,,,20200,19800</t>
  </si>
  <si>
    <t>2025-05-02 14:11:00,3717174272.39248,14619139992.186,796.117103811224,83,2042.43874204227,1167.74,193.215754673846,-22.97</t>
  </si>
  <si>
    <t>2025-05-02 14:11:00,2191798789.59726,7359226406.52185,397.180136315143,995,349.70936755927,868.61,-41.8994811015251,476.82</t>
  </si>
  <si>
    <t>2025-05-02 14:11:00,282823526.138053,473319973.9752,214.107435897436,969,7803.8147,7244.91,-18.0765736972187,334.02</t>
  </si>
  <si>
    <t>2025-05-02 14:11:00,34900131.0024677,1076828.77546104,,17,,160.6,0.00252986140939421,3.2</t>
  </si>
  <si>
    <t>2025-05-02 14:12:00,575,,568,,575,,564,,,,,570,560</t>
  </si>
  <si>
    <t>2025-05-02 14:12:00,490,,491,,470,,488.5,,489,,,490,485</t>
  </si>
  <si>
    <t>2025-05-02 14:12:00,5700,,5700,,5650,,5635,,,5680,,5700,5600</t>
  </si>
  <si>
    <t>2025-05-02 14:12:00,20100,,20200,,20000,,20080,,,,,20200,19800</t>
  </si>
  <si>
    <t>2025-05-02 14:12:00,3696983678.99497,12780135054.3179,-3062.00011866789,-104,-5028.38635770298,-775.7,-0.669503672701422,-199.32</t>
  </si>
  <si>
    <t>2025-05-02 14:12:00,2153261525.17672,6088449953.57698,-2057.24896857529,-4059,-176.024788702527,-1662.7,9.85653127006733,-1094.35</t>
  </si>
  <si>
    <t>2025-05-02 14:12:00,282882496.858932,419855019.805506,-14.6083333333301,339,1079.33175000001,2849.63,-2.34523612905319,209.29</t>
  </si>
  <si>
    <t>2025-05-02 14:12:00,35034024.4978171,927051.632547029,,10,,100.8,0.00604642212223957,2.06</t>
  </si>
  <si>
    <t>2025-05-02 14:13:00,575,,568,,575,,564.5,,,,,570,560</t>
  </si>
  <si>
    <t>2025-05-02 14:13:00,490,,491,,470,,488.5,,,,489,490,485</t>
  </si>
  <si>
    <t>2025-05-02 14:13:00,5700,,5700,,5650,,5635,,,5680,,5700,5600</t>
  </si>
  <si>
    <t>2025-05-02 14:13:00,20100,,20200,,20000,,20100,,,,,20200,19800</t>
  </si>
  <si>
    <t>2025-05-02 14:13:00,3668180697.59254,12386381692.8464,-6712.28943278941,-2306,-5514.75317871017,-3410.76,125.584617958884,-854.67</t>
  </si>
  <si>
    <t>2025-05-02 14:13:00,1980460383.97346,6647298797.63857,-2512.77887955182,-504,-1360.86372661064,-1184.57,152.898092731675,-597.02</t>
  </si>
  <si>
    <t>2025-05-02 14:13:00,282548908.821994,400706427.223495,-1510.16344322344,-856,-9424.51538058608,-2551.22,-0.623763092711765,-57.55</t>
  </si>
  <si>
    <t>2025-05-02 14:13:00,38593176.0974577,827560.374765866,,-37,,-355.54,0.0135221384919667,-6.61</t>
  </si>
  <si>
    <t>2025-05-02 14:14:00,575,,568,,575,,564,,,,,570,560</t>
  </si>
  <si>
    <t>2025-05-02 14:14:00,490,,490,,470,,489,,,,,490,485</t>
  </si>
  <si>
    <t>2025-05-02 14:14:00,5700,,5700,,5650,,5635,,,,,5700,5600</t>
  </si>
  <si>
    <t>2025-05-02 14:14:00,20100,,20200,,20000,,20080,,,,,20200,19800</t>
  </si>
  <si>
    <t>2025-05-02 14:14:00,3668603538.27281,10200976906.3289,5084.71666666666,-391,2075.39173809523,485.7,-452.771519558701,150.6</t>
  </si>
  <si>
    <t>2025-05-02 14:14:00,2117373418.86499,4943965922.38543,1551.09717134717,1422,1538.0690079365,838.84,-158.258537505921,287.41</t>
  </si>
  <si>
    <t>2025-05-02 14:14:00,281112997.781002,383541908.081904,2235.54333333333,1417,16064.3991,8639.71,-19.8302196454676,561.89</t>
  </si>
  <si>
    <t>2025-05-02 14:14:00,33637560.3043534,686179.795216362,,8,,-1155.93,0.00391967716316778,-0.86</t>
  </si>
  <si>
    <t>2025-05-02 14:15:00,575,,568,,575,,564,,,,,570,560</t>
  </si>
  <si>
    <t>2025-05-02 14:15:00,490,,490,,470,,488.5,,,,,490,485</t>
  </si>
  <si>
    <t>2025-05-02 14:15:00,5700,,5700,,5650,,5635,,,,,5700,5600</t>
  </si>
  <si>
    <t>2025-05-02 14:15:00,20100,,20200,,20000,,20080,,,,,20200,19800</t>
  </si>
  <si>
    <t>2025-05-02 14:15:00,3434391520.35069,16393032890.0632,-4507.86435377488,-2509,-2756.54483301494,-1865.89,113.150634108211,-1172.47</t>
  </si>
  <si>
    <t>2025-05-02 14:15:00,1996892139.88054,7518999468.77774,-1111.97461149961,-1087,-726.485882284382,-905.91,-7.02065992779636,-506.51</t>
  </si>
  <si>
    <t>2025-05-02 14:15:00,284766152.666596,437202400.644622,-515.316190476192,-171,-7677.79159047621,-3495.72,-3.90306765256631,-168.1</t>
  </si>
  <si>
    <t>2025-05-02 14:15:00,39083487.8214288,896401.36598248,,-38,,-304.34,-0.0349328515919159,-7.26</t>
  </si>
  <si>
    <t>2025-05-02 14:16:00,570,,568,,575,,564.5,567,,,,570,560</t>
  </si>
  <si>
    <t>2025-05-02 14:16:00,490,,491,,470,,488.5,,490,,,490,485</t>
  </si>
  <si>
    <t>2025-05-02 14:16:00,5700,,5700,,5650,,5635,5690,5680,,,5700,5600</t>
  </si>
  <si>
    <t>2025-05-02 14:16:00,20100,,20200,,20000,,20100,,,,,20200,19800</t>
  </si>
  <si>
    <t>2025-05-02 14:16:00,3686751928.68424,19881551306.3098,-63.0165231129034,4327,-1944.99949551675,-558.28,-40.4581515989038,738.44</t>
  </si>
  <si>
    <t>2025-05-02 14:16:00,1974697958.07417,8747260271.52428,-5079.28570988362,-1380,-2260.37252207417,-1637.87,-266.26718124754,-757.75</t>
  </si>
  <si>
    <t>2025-05-02 14:16:00,287588133.062865,562013911.344524,-1588.12666666666,-653,-28183.9538,-26194.76,1.69205146293646,-889.69</t>
  </si>
  <si>
    <t>2025-05-02 14:16:00,40201731.3497832,1342197.9874028,,-12,,76.35,0.00155021964426874,0.91</t>
  </si>
  <si>
    <t>2025-05-02 14:17:00,570,,568,,575,,564.5,,,,,570,560</t>
  </si>
  <si>
    <t>2025-05-02 14:17:00,490,,491,,490,,489,,,,,490,485</t>
  </si>
  <si>
    <t>2025-05-02 14:17:00,5700,,5700,,5650,,5635,,5690,,,5700,5600</t>
  </si>
  <si>
    <t>2025-05-02 14:17:00,20100,,20200,,20000,,20100,,,,,20200,19800</t>
  </si>
  <si>
    <t>2025-05-02 14:17:00,3826737141.14368,15387283560.2014,-4091.70436507936,-6378,-1978.13091269841,-2171.26,-58.3876467398729,-1892.15</t>
  </si>
  <si>
    <t>2025-05-02 14:17:00,2157584105.15571,5999190153.81576,-1007.05481680156,798,413.221432382834,610.1,153.663168578279,494.92</t>
  </si>
  <si>
    <t>2025-05-02 14:17:00,283220511.377914,490980441.048105,660.591666666667,648,-885.417083333309,-4149.52,4.55043371706602,-84.23</t>
  </si>
  <si>
    <t>2025-05-02 14:17:00,39425614.5708257,1146717.14832404,,-19,,21.6,0.0581633907201496,-1.34</t>
  </si>
  <si>
    <t>2025-05-02 14:18:00,570,,568,,575,,564.5,,,,,570,560</t>
  </si>
  <si>
    <t>2025-05-02 14:18:00,490,,490,,485,,488.5,,,489,,490,485</t>
  </si>
  <si>
    <t>2025-05-02 14:18:00,5700,,5700,,5650,,5635,,,,,5700,5670</t>
  </si>
  <si>
    <t>2025-05-02 14:18:00,20100,,20200,,20000,,20080,,,,,20200,19800</t>
  </si>
  <si>
    <t>2025-05-02 14:18:00,3717703752.69498,19054489366.4244,-1231.9023715415,76,-758.928802371542,-1022.27,-38.1614206151699,-144.68</t>
  </si>
  <si>
    <t>2025-05-02 14:18:00,2145623345.28384,8376722527.42359,-65.0334199134207,-86,164.170356998556,-57.43,-257.769049387278,-56.3</t>
  </si>
  <si>
    <t>2025-05-02 14:18:00,286562291.873395,531091114.16218,-116.94166666666,-286,47445.0917500002,4821.49,-13.5273602252657,-97.18</t>
  </si>
  <si>
    <t>2025-05-02 14:18:00,36557341.4309195,1225604.50992869,,9,,116.51,-0.0036485186790663,2.11</t>
  </si>
  <si>
    <t>2025-05-02 14:19:00,570,,568,,575,,564.5,,,,,570,560</t>
  </si>
  <si>
    <t>2025-05-02 14:19:00,490,,490,,485,,488.5,,,,,490,485</t>
  </si>
  <si>
    <t>2025-05-02 14:19:00,5700,,5700,,5650,,5635,,,,,5700,5670</t>
  </si>
  <si>
    <t>2025-05-02 14:19:00,20100,,20200,,20000,,20100,,,,,20200,19800</t>
  </si>
  <si>
    <t>2025-05-02 14:19:00,3703358503.62958,19419614956.3123,-1378.97416267942,-550,-632.927107921318,-1430.31,-160.420496348327,-762.34</t>
  </si>
  <si>
    <t>2025-05-02 14:19:00,2033329273.4075,8208464259.71913,-767.795847071354,-1592,1229.32838706617,-4908.54,-40.2216576442189,-695.07</t>
  </si>
  <si>
    <t>2025-05-02 14:19:00,288730155.735793,578525198.402344,-312.735000000001,-232,-851.623350000009,-2343,1.09848976972758,-61.42</t>
  </si>
  <si>
    <t>2025-05-02 14:19:00,40453552.9067564,1327561.78453939,,-10,,-305.53,0.021845880077004,-4.46</t>
  </si>
  <si>
    <t>2025-05-02 14:20:00,570,,568,,575,,564.5,,,,,570,560</t>
  </si>
  <si>
    <t>2025-05-02 14:20:00,490,,491,,490,,488.5,490,,,,490,485</t>
  </si>
  <si>
    <t>2025-05-02 14:20:00,5700,,5700,,5650,,5635,5690,,,5690,5700,5670</t>
  </si>
  <si>
    <t>2025-05-02 14:20:00,20100,,20200,,20000,,20100,,,,,20200,19800</t>
  </si>
  <si>
    <t>2025-05-02 14:20:00,3808997779.99119,21426996863.4129,2681.34297258297,3468,-864.338678499275,-2694.89,-922.31683841959,-1001.55</t>
  </si>
  <si>
    <t>2025-05-02 14:20:00,2006694092.06305,8808126241.43814,1033.81863185124,2698,963.324027313266,1724.78,52.0605981079279,1090.03</t>
  </si>
  <si>
    <t>2025-05-02 14:20:00,286699375.316182,611442177.432059,367.116666666668,-2854,-5064.93000000006,-4023.8,5.34574788146768,-199.95</t>
  </si>
  <si>
    <t>2025-05-02 14:20:00,32748324.7952406,1428662.65792808,,-7,,-71.45,0.000221526629397303,-1.63</t>
  </si>
  <si>
    <t>2025-05-02 14:21:00,570,,568,,575,,564,,,,,570,560</t>
  </si>
  <si>
    <t>2025-05-02 14:21:00,490,,490,,490,,488.5,,,,,490,485</t>
  </si>
  <si>
    <t>2025-05-02 14:21:00,5700,,5700,,5650,,5635,,5700,,,5700,5670</t>
  </si>
  <si>
    <t>2025-05-02 14:21:00,20100,,20200,,20000,,20080,,,,,20200,19800</t>
  </si>
  <si>
    <t>2025-05-02 14:21:00,3496767721.98394,24060756479.7179,-3739.00674603176,-3208,-349.693789682548,-2343.22,-196.813853719734,-1507.81</t>
  </si>
  <si>
    <t>2025-05-02 14:21:00,1840348279.1801,9931544467.00446,-2735.28242955875,-2294,-1904.10126953748,-1998.04,58.3978962748585,-1061.82</t>
  </si>
  <si>
    <t>2025-05-02 14:21:00,288976107.883145,664004953.178482,-603.733333333333,-1674,-4023.91133333332,-6984.04,-14.7273521709562,-340.79</t>
  </si>
  <si>
    <t>2025-05-02 14:21:00,31740624.2492689,1572482.83581266,,-37,,-502.33,0.0692757906564421,-8.96</t>
  </si>
  <si>
    <t>2025-05-02 14:22:00,570,,568,,575,,564.5,,,,,570,560</t>
  </si>
  <si>
    <t>2025-05-02 14:22:00,490,,491,,490,,488.5,,,,,490,485</t>
  </si>
  <si>
    <t>2025-05-02 14:22:00,5700,,5700,,5650,,5635,5700,,,,5700,5670</t>
  </si>
  <si>
    <t>2025-05-02 14:22:00,20100,,20200,,20000,,20080,,,,,20200,19800</t>
  </si>
  <si>
    <t>2025-05-02 14:22:00,4001794367.16187,22468243612.96,9286.95313216195,14418,7846.29953980987,8069.99,593.472767489864,5040.3</t>
  </si>
  <si>
    <t>2025-05-02 14:22:00,2163381016.83517,9160212026.69787,-1887.03911894636,-3066,451.601094200147,-1049.85,-304.62668453901,-737.71</t>
  </si>
  <si>
    <t>2025-05-02 14:22:00,288962958.980221,708996933.017496,3273.57024482109,3552,23994.7224387947,21058.05,34.0324375403548,1300.12</t>
  </si>
  <si>
    <t>2025-05-02 14:22:00,39122196.9430757,1647899.67671322,,-21,,-228.21,0.0423643485736206,-5.45</t>
  </si>
  <si>
    <t>2025-05-02 14:23:00,570,,568,,575,,564.5,,,,,570,560</t>
  </si>
  <si>
    <t>2025-05-02 14:23:00,490,,491,,490,,489,,490,,,490,485</t>
  </si>
  <si>
    <t>2025-05-02 14:23:00,5700,,5700,,5650,,5635,5700,,,,5700,5670</t>
  </si>
  <si>
    <t>2025-05-02 14:23:00,20100,,20200,,20000,,20080,,,,,20200,19800</t>
  </si>
  <si>
    <t>2025-05-02 14:23:00,3920224703.26192,19056472120.8558,806.752308802306,-224,1664.59577272727,-407.28,-39.7943184356485,-993.55</t>
  </si>
  <si>
    <t>2025-05-02 14:23:00,2197539325.57992,7064254136.84784,316.980903010033,124,1311.93318291129,365.06,-42.2531313138743,-9.76999999999995</t>
  </si>
  <si>
    <t>2025-05-02 14:23:00,285768934.89004,631904003.904866,747.349999999999,1109,6964.76750000005,3905.49,2.30257371345996,220.11</t>
  </si>
  <si>
    <t>2025-05-02 14:23:00,33627866.3098658,1454594.50368521,,12,,106.84,0.0193936071936929,2.27</t>
  </si>
  <si>
    <t>2025-05-02 14:24:00,570,,568,,575,,564,,,,,570,560</t>
  </si>
  <si>
    <t>2025-05-02 14:24:00,490,,490,,490,,488.5,,490,,,490,485</t>
  </si>
  <si>
    <t>2025-05-02 14:24:00,5700,,5700,,5650,,5635,,,,,5700,5670</t>
  </si>
  <si>
    <t>2025-05-02 14:24:00,20100,,20200,,20000,,20080,,,,,20200,19800</t>
  </si>
  <si>
    <t>2025-05-02 14:24:00,3912228648.00988,23964283139.2739,3460.6713023088,1355,4711.00740674603,2724.38,-581.535349780897,820.31</t>
  </si>
  <si>
    <t>2025-05-02 14:24:00,2255995034.02807,9484254741.27872,566.98908519585,28,748.408402166461,269.48,-224.68652043007,78.68</t>
  </si>
  <si>
    <t>2025-05-02 14:24:00,290101810.491013,709943684.083099,2535.26666666668,1606,60799.5105000005,16359.84,-5.04342713234196,670.85</t>
  </si>
  <si>
    <t>2025-05-02 14:24:00,35672610.22948,1590449.91156756,,6,,74.13,-0.0291771179440125,2.47</t>
  </si>
  <si>
    <t>2025-05-02 14:25:00,570,,568,,575,,564.5,,,,,570,560</t>
  </si>
  <si>
    <t>2025-05-02 14:25:00,490,,491,,490,,488.5,,,,,490,485</t>
  </si>
  <si>
    <t>2025-05-02 14:25:00,5700,,5700,,5650,,5635,,,,,5700,5670</t>
  </si>
  <si>
    <t>2025-05-02 14:25:00,20100,,20200,,20000,,20080,,,,,20200,19800</t>
  </si>
  <si>
    <t>2025-05-02 14:25:00,3774358891.10372,24556613025.7922,2163.17485328292,2712,253.173562989877,-713.06,-231.335708433013,624.87</t>
  </si>
  <si>
    <t>2025-05-02 14:25:00,2228518830.84249,9035576011.19647,-736.808322689817,232,-438.422117155088,-523.77,-85.5244989878483,-130.79</t>
  </si>
  <si>
    <t>2025-05-02 14:25:00,288083824.656763,706707439.028869,-280.208333333334,1305,-5668.0649166667,-2622.91,-4.51062488792194,-93.07</t>
  </si>
  <si>
    <t>2025-05-02 14:25:00,33019667.2026435,1588911.55160235,,-20,,-342.31,0.00538192082082666,-3.82</t>
  </si>
  <si>
    <t>2025-05-02 14:26:00,570,,568,,575,,564.5,568,,,,570,560</t>
  </si>
  <si>
    <t>2025-05-02 14:26:00,490,,490,,490,,488.5,,,,,490,485</t>
  </si>
  <si>
    <t>2025-05-02 14:26:00,5700,,5700,,5650,,5635,,,,,5700,5670</t>
  </si>
  <si>
    <t>2025-05-02 14:26:00,20100,,20200,,20000,,20080,,,,,20200,19800</t>
  </si>
  <si>
    <t>2025-05-02 14:26:00,4000890160.62934,23034266720.9011,10595.038023088,4214,10754.8584675325,5097.09,307.481602382202,2947.09</t>
  </si>
  <si>
    <t>2025-05-02 14:26:00,2247772152.12472,9245051302.33866,1116.94779769938,186,1076.69122818906,381.97,12.2096361087583,13.01</t>
  </si>
  <si>
    <t>2025-05-02 14:26:00,290069543.035696,718344231.096108,1630.85166666667,1399,18787.28695,15055.46,1.52362963555783,487.14</t>
  </si>
  <si>
    <t>2025-05-02 14:26:00,34406051.2141334,1629036.74968636,,58,,590.43,0.171854384347042,14.41</t>
  </si>
  <si>
    <t>2025-05-02 14:28:00,570,,568,,575,,564.5,,,,,570,560</t>
  </si>
  <si>
    <t>2025-05-02 14:28:00,490,,491,,490,,488.5,,,,,490,485</t>
  </si>
  <si>
    <t>2025-05-02 14:28:00,5700,,5700,,5650,,5635,,,,,5700,5670</t>
  </si>
  <si>
    <t>2025-05-02 14:28:00,20100,,20200,,20000,,20100,,,,,20200,19800</t>
  </si>
  <si>
    <t>2025-05-02 14:28:00,3961005659.73673,21494776157.4338,4381.3815009337,1597,3288.42344771241,1190.27,-66.6138560104004,869.13</t>
  </si>
  <si>
    <t>2025-05-02 14:28:00,2234646926.047,8857383511.00492,1081.4181488801,927,663.569397233199,398.88,31.0133111012239,348.76</t>
  </si>
  <si>
    <t>2025-05-02 14:28:00,288106429.034508,689959872.991618,464.489999999999,166,955.436866666622,-1712.14,-4.17149289337922,79.88</t>
  </si>
  <si>
    <t>2025-05-02 14:28:00,39239158.4500297,1583445.66803601,,2,,52.3,0.00267131419318612,0.33</t>
  </si>
  <si>
    <t>2025-05-02 14:29:00,570,,568,,575,,564,,,,,570,560</t>
  </si>
  <si>
    <t>2025-05-02 14:29:00,490,,491,,490,,488.5,,,,,490,485</t>
  </si>
  <si>
    <t>2025-05-02 14:29:00,5700,,5700,,5650,,5635,,,,,5700,5670</t>
  </si>
  <si>
    <t>2025-05-02 14:29:00,20100,,20200,,20000,,20080,,,,,20200,19800</t>
  </si>
  <si>
    <t>2025-05-02 14:29:00,3815243878.98557,23642435943.7309,-95.4903318903323,-409,1498.7997041847,1713.23,138.395043776986,762.7</t>
  </si>
  <si>
    <t>2025-05-02 14:29:00,2234486627.46307,9066777373.18314,1032.74172100795,599,1458.38975006187,875.45,86.5441493048018,264.07</t>
  </si>
  <si>
    <t>2025-05-02 14:29:00,288238109.222736,696429318.921929,-738.516666666667,-832,1592.30433333334,-766.34,-4.21120918066722,-155.87</t>
  </si>
  <si>
    <t>2025-05-02 14:29:00,33415904.5566864,1554402.2308417,,14,,90.64,0.00236103700974111,1.46</t>
  </si>
  <si>
    <t>2025-05-02 14:30:00,570,,568,,575,,564,568,,,,570,560</t>
  </si>
  <si>
    <t>2025-05-02 14:30:00,490,,490,,490,,488.5,,,,,490,485</t>
  </si>
  <si>
    <t>2025-05-02 14:30:00,5700,,5700,,5650,,5635,,,,,5700,5670</t>
  </si>
  <si>
    <t>2025-05-02 14:30:00,20100,,20200,,20000,,20080,,,,,20200,19800</t>
  </si>
  <si>
    <t>2025-05-02 14:30:00,3820814442.16098,22845408015.3634,1451.29362593834,4213,1508.99703115186,1934.17,562.069589912423,1098.69</t>
  </si>
  <si>
    <t>2025-05-02 14:30:00,2232656188.62177,9045753550.06586,1576.66181837168,-374,663.994977718918,-201.98,30.8951529117168,-225.86</t>
  </si>
  <si>
    <t>2025-05-02 14:30:00,286418646.485194,688125466.910396,213.176666666665,200,3811.24813333333,3713.43,5.5029454299326,168.99</t>
  </si>
  <si>
    <t>2025-05-02 14:30:00,34146970.2570139,1505945.63643272,,8,,132.18,0.0133433779474506,2.56</t>
  </si>
  <si>
    <t>2025-05-02 14:31:00,570,,568,,575,,564.5,,,,,570,560</t>
  </si>
  <si>
    <t>2025-05-02 14:31:00,490,,491,,490,,489,,490,,,490,485</t>
  </si>
  <si>
    <t>2025-05-02 14:31:00,5700,,5700,,5650,,5635,,,5690,,5700,5670</t>
  </si>
  <si>
    <t>2025-05-02 14:31:00,20100,,20200,,20000,,20100,,,,,20200,19800</t>
  </si>
  <si>
    <t>2025-05-02 14:31:00,4013153355.79895,23243210175.3314,-961.778573885696,560,2793.88794430929,1131.55,343.504657496283,-452.21</t>
  </si>
  <si>
    <t>2025-05-02 14:31:00,2202534601.25329,7337328821.49522,-3125.54616888276,-539,-238.444201843659,-580.27,-314.736543986013,-421.08</t>
  </si>
  <si>
    <t>2025-05-02 14:31:00,290433027.082391,692607602.056774,-574.535000000002,405,1314.34144999997,2597.69,-5.45155054249494,213.45</t>
  </si>
  <si>
    <t>2025-05-02 14:31:00,41151836.7412573,1407673.9634656,,6,,-165.28,0.0383910624163099,-3.39</t>
  </si>
  <si>
    <t>2025-05-02 14:32:00,570,,568,,575,,564.5,,,,,570,560</t>
  </si>
  <si>
    <t>2025-05-02 14:32:00,490,,490,,470,,489,,,,,490,485</t>
  </si>
  <si>
    <t>2025-05-02 14:32:00,5700,,5700,,5650,,5635,,,,,5700,5670</t>
  </si>
  <si>
    <t>2025-05-02 14:32:00,20100,,20200,,20000,,20100,,,,,20200,19800</t>
  </si>
  <si>
    <t>2025-05-02 14:32:00,3934186032.70115,23346508471.1587,3819.60757267536,5094,6237.59529217788,4616.77,-71.1569246814083,2399.29</t>
  </si>
  <si>
    <t>2025-05-02 14:32:00,2252913171.85994,8168048612.03989,-2927.39212499435,-1021,3739.60431570756,2658.95,303.590012925052,705.15</t>
  </si>
  <si>
    <t>2025-05-02 14:32:00,289939414.51942,654462619.820624,-837.139999999999,-178,109.462933333339,2629.13,-3.61619537451499,79.97</t>
  </si>
  <si>
    <t>2025-05-02 14:32:00,39414011.3729894,1274456.26452162,,21,,594.29,-0.0250199146056417,9.21</t>
  </si>
  <si>
    <t>2025-05-02 14:33:00,570,,568,,575,,564,,,,,570,560</t>
  </si>
  <si>
    <t>2025-05-02 14:33:00,490,,490,,485,,488.5,,,,,490,485</t>
  </si>
  <si>
    <t>2025-05-02 14:33:00,5700,,5700,,5650,,5635,,5700,5690,,5700,5670</t>
  </si>
  <si>
    <t>2025-05-02 14:33:00,20100,,20200,,20000,,20080,,,,,20200,19800</t>
  </si>
  <si>
    <t>2025-05-02 14:33:00,3847365290.67011,23322093300.2147,2048.92938868911,4839,1318.39039830554,700.11,30.7108144675408,1008.04</t>
  </si>
  <si>
    <t>2025-05-02 14:33:00,2251430972.72404,8771645412.58572,-1132.37445804409,-889,-284.156569388623,-449.24,68.7456094169038,-208.88</t>
  </si>
  <si>
    <t>2025-05-02 14:33:00,289680436.722018,674997962.454271,1097.44333333333,750,7474.68753333333,3640.23,-14.1721335414535,241.44</t>
  </si>
  <si>
    <t>2025-05-02 14:33:00,35357659.6677335,1478977.5779893,,-40,,-409.78,-0.128935253219245,-10.31</t>
  </si>
  <si>
    <t>2025-05-02 14:34:00,570,,570,,575,,565.5,,,,,570,560</t>
  </si>
  <si>
    <t>2025-05-02 14:34:00,490,,491,,490,,489,,,,,490,485</t>
  </si>
  <si>
    <t>2025-05-02 14:34:00,5700,,5700,,5650,,5635,,,,,5700,5670</t>
  </si>
  <si>
    <t>2025-05-02 14:34:00,20100,,20200,,20000,,20100,,,,,20200,19800</t>
  </si>
  <si>
    <t>2025-05-02 14:34:00,3599217335.13177,5648923800.38258,-617.7281512605,-591,-195.610487394957,18.34,-12.1561020400054,-184.11</t>
  </si>
  <si>
    <t>2025-05-02 14:34:00,2067542005.14919,2973682564.82397,913.794535956989,996,816.217333012302,458.58,25.7951057683068,337.66</t>
  </si>
  <si>
    <t>2025-05-02 14:34:00,275475962.28744,418658223.547147,452.872727272727,102,7687.72070909087,-2982.3,6.41400188936666,13.13</t>
  </si>
  <si>
    <t>2025-05-02 14:34:00,37671968.7857081,853421.860107488,,15,,151.4,-0.00959455563040583,3.73</t>
  </si>
  <si>
    <t>2025-05-02 14:35:00,570,,568,,575,,564,,,,,570,560</t>
  </si>
  <si>
    <t>2025-05-02 14:35:00,490,,490,,470,,488.5,,,,,490,485</t>
  </si>
  <si>
    <t>2025-05-02 14:35:00,5700,,5700,,5650,,5635,,,5690,,5700,5670</t>
  </si>
  <si>
    <t>2025-05-02 14:35:00,20100,,20200,,20000,,20100,,,,,20200,19800</t>
  </si>
  <si>
    <t>2025-05-02 14:35:00,3904935557.3241,19207177063.5039,3154.56707868156,2735,3364.68056685274,3596.06,173.847670459879,1641.75</t>
  </si>
  <si>
    <t>2025-05-02 14:35:00,2192314129.32724,6683877883.2929,1199.35065637128,687,573.691085670129,-250.47,315.641700263515,-159.33</t>
  </si>
  <si>
    <t>2025-05-02 14:35:00,286899092.274596,579620431.706454,3033.80935064935,1848,55715.503374026,21097.07,0.778935740360145,1223.3</t>
  </si>
  <si>
    <t>2025-05-02 14:35:00,35211320.1473825,1063383.75639366,,40,,236.56,-0.0532819899210975,5.79</t>
  </si>
  <si>
    <t>2025-05-02 14:36:00,570,,568,,575,,564.5,,,,,570,560</t>
  </si>
  <si>
    <t>2025-05-02 14:36:00,490,,491,,470,,489,489,,,489,490,485</t>
  </si>
  <si>
    <t>2025-05-02 14:36:00,5700,,5700,,5650,,5635,,,,5690,5700,5670</t>
  </si>
  <si>
    <t>2025-05-02 14:36:00,20100,,20200,,20000,,20100,,,,,20200,19800</t>
  </si>
  <si>
    <t>2025-05-02 14:36:00,3843566331.61187,17114715865.1534,-512.614094058676,323,-1360.8335725097,-1669.86,99.8607005949959,-552.56</t>
  </si>
  <si>
    <t>2025-05-02 14:36:00,2160890018.23437,5797312478.04567,-2661.86150542486,-3163,-1180.63880988229,506.78,36.4625729310014,161.58</t>
  </si>
  <si>
    <t>2025-05-02 14:36:00,287691642.215639,559032379.29973,-1397.67082417582,-2081,-3919.32294010985,-7434.05,31.7301087252471,-610.1</t>
  </si>
  <si>
    <t>2025-05-02 14:36:00,37508269.2797669,948812.225430719,,-1,,-282.91,0.00780574280406917,-5.68</t>
  </si>
  <si>
    <t>2025-05-02 14:37:00,570,,568,,575,,564,,,,,570,560</t>
  </si>
  <si>
    <t>2025-05-02 14:37:00,490,,490,,485,,488.5,,,,,490,485</t>
  </si>
  <si>
    <t>2025-05-02 14:37:00,5700,,5700,,5650,,5635,,,5690,,5700,5670</t>
  </si>
  <si>
    <t>2025-05-02 14:37:00,20100,,20200,,20000,,20080,,,,,20200,19800</t>
  </si>
  <si>
    <t>2025-05-02 14:37:00,3428843074.33871,24443066679.5112,-713.694137806635,1012,-1437.89825234487,-1018.08,26.7008001212451,337.61</t>
  </si>
  <si>
    <t>2025-05-02 14:37:00,1932949544.53016,7843617921.63459,-459.82182058682,271,-499.850010293409,-93.64,94.4114052886451,-16.5</t>
  </si>
  <si>
    <t>2025-05-02 14:37:00,290560459.332012,635173490.310813,-71.5861904761914,652,-4870.45609047619,-346.65,-7.97362586014529,181.62</t>
  </si>
  <si>
    <t>2025-05-02 14:37:00,34180675.1030798,1144876.03907931,,-31,,-705.56,0.0114271564945715,-14.42</t>
  </si>
  <si>
    <t>2025-05-02 14:38:00,570,,568,,575,,564,,,,,570,560</t>
  </si>
  <si>
    <t>2025-05-02 14:38:00,490,,491,,485,,488.5,,,489,,490,485</t>
  </si>
  <si>
    <t>2025-05-02 14:38:00,5700,,5700,,5650,,5635,5690,5700,,,5700,5670</t>
  </si>
  <si>
    <t>2025-05-02 14:38:00,20100,,20200,,20000,,20100,,,,,20200,19800</t>
  </si>
  <si>
    <t>2025-05-02 14:38:00,3607253127.19062,24792362381.4144,2461.93762626263,3465,3103.26451767677,2837.63,-189.089460750106,881.65</t>
  </si>
  <si>
    <t>2025-05-02 14:38:00,1964671929.90903,8266654775.74302,-1252.63593358396,50,-1132.58305106516,-644.35,-362.85414795298,-176.93</t>
  </si>
  <si>
    <t>2025-05-02 14:38:00,287920499.825834,664931332.472421,-656.454761904764,-286,-774.506571428594,-4887.5,-5.67957120697636,-222.27</t>
  </si>
  <si>
    <t>2025-05-02 14:38:00,38588441.5961582,1288288.90715299,,-14,,-183.82,-0.0420742184114654,-4.48</t>
  </si>
  <si>
    <t>2025-05-02 14:39:00,570,,568,,575,,564,,,,,570,560</t>
  </si>
  <si>
    <t>2025-05-02 14:39:00,490,,490,,485,,488.5,,,,,490,485</t>
  </si>
  <si>
    <t>2025-05-02 14:39:00,5700,,5700,,5650,,5635,5700,,,,5700,5670</t>
  </si>
  <si>
    <t>2025-05-02 14:39:00,20100,,20200,,20000,,20100,,,,,20200,19800</t>
  </si>
  <si>
    <t>2025-05-02 14:39:00,3537120728.17149,25975678348.0136,5728.33925438597,5827,4641.45398538012,3732.28,514.726717214672,2339.11</t>
  </si>
  <si>
    <t>2025-05-02 14:39:00,2101902638.30121,8469630861.89606,941.161742424245,2723,977.44498701299,-758.57,-233.929261528419,457.87</t>
  </si>
  <si>
    <t>2025-05-02 14:39:00,290281741.726773,691495310.904585,1134.9080952381,1346,6981.32429523811,8707.87,15.5379855830567,680.36</t>
  </si>
  <si>
    <t>2025-05-02 14:39:00,39895056.4052491,1271806.84374835,,5,,210.18,0.0370527974345637,4.29</t>
  </si>
  <si>
    <t>2025-05-02 14:40:00,570,,568,,575,,564,,,,,570,560</t>
  </si>
  <si>
    <t>2025-05-02 14:40:00,490,,491,,490,,488.5,,,,,490,485</t>
  </si>
  <si>
    <t>2025-05-02 14:40:00,5700,,5700,,5650,,5635,5700,,,,5700,5670</t>
  </si>
  <si>
    <t>2025-05-02 14:40:00,20100,,20200,,20000,,20100,,,,,20200,19800</t>
  </si>
  <si>
    <t>2025-05-02 14:40:00,3995993763.65498,24268556272.6621,1368.47223609724,2361,1463.0082958708,1529.1,-447.790510625308,1124.81</t>
  </si>
  <si>
    <t>2025-05-02 14:40:00,2198286623.44534,7727305859.56543,-874.364628549604,-1649,-79.6128258958592,-2301.53,-92.7446775964038,-840.59</t>
  </si>
  <si>
    <t>2025-05-02 14:40:00,290363734.691878,712093587.988785,932.954761904762,897,5059.13133333331,3962.08,0.669326555352987,377.71</t>
  </si>
  <si>
    <t>2025-05-02 14:40:00,40689730.0850619,1419208.19578491,,-1,,-117.46,-0.0194286874731599,-3.07</t>
  </si>
  <si>
    <t>2025-05-02 14:41:00,570,,568,,575,,564,,,,,570,560</t>
  </si>
  <si>
    <t>2025-05-02 14:41:00,490,,490,,470,,488.5,,,,,490,485</t>
  </si>
  <si>
    <t>2025-05-02 14:41:00,5700,,5700,,5650,,5635,,5700,,,5700,5670</t>
  </si>
  <si>
    <t>2025-05-02 14:41:00,20100,,20200,,20000,,20100,,,,,20200,19800</t>
  </si>
  <si>
    <t>2025-05-02 14:41:00,3894275635.28422,23902034804.225,694.093909300918,2364,3264.26236139757,3013.93,-213.216361460662,442.95</t>
  </si>
  <si>
    <t>2025-05-02 14:41:00,2203656016.14607,7841854051.91966,305.449920262804,-973,679.686994775478,99.3000000000001,-203.327606876625,-349.22</t>
  </si>
  <si>
    <t>2025-05-02 14:41:00,291492557.869936,692223800.033204,597.411111111112,997,7009.83433333335,3471.05,-12.9430828473345,163.23</t>
  </si>
  <si>
    <t>2025-05-02 14:41:00,41715140.8207856,1283892.98571081,,22,,206.85,-0.045903324350103,6.16</t>
  </si>
  <si>
    <t>2025-05-02 14:42:00,570,,568,,575,,564,,,,,570,560</t>
  </si>
  <si>
    <t>2025-05-02 14:42:00,490,,490,,485,,488.5,,,,,490,485</t>
  </si>
  <si>
    <t>2025-05-02 14:42:00,5700,,5700,,5650,,5635,,,,,5700,5670</t>
  </si>
  <si>
    <t>2025-05-02 14:42:00,20100,,20200,,20000,,20080,,,,,20200,19800</t>
  </si>
  <si>
    <t>2025-05-02 14:42:00,3788319046.00072,20918130838.3566,-2836.28756038647,-1740,-1529.25752570738,-1046.09,-114.608554735326,-723.24</t>
  </si>
  <si>
    <t>2025-05-02 14:42:00,2087085674.7658,8343419894.03113,124.37484247832,537,-63.5966726842294,60.28,-138.589993654973,-67.1</t>
  </si>
  <si>
    <t>2025-05-02 14:42:00,276472029.632726,689714091.742211,-380.8,374,7715.07533333336,2289.22,4.17082783196006,1.22999999999999</t>
  </si>
  <si>
    <t>2025-05-02 14:42:00,38980489.7269657,1395997.64737145,,0,,4.8,-0.0221081466781243,0.0599999999999999</t>
  </si>
  <si>
    <t>2025-05-02 14:43:00,570,,568,,575,,564.5,,,,,570,560</t>
  </si>
  <si>
    <t>2025-05-02 14:43:00,490,,490,,485,,488.5,,489,,,490,485</t>
  </si>
  <si>
    <t>2025-05-02 14:43:00,5700,,5700,,5650,,5635,,,,,5700,5670</t>
  </si>
  <si>
    <t>2025-05-02 14:43:00,20100,,20200,,20000,,20100,,,,,20200,19800</t>
  </si>
  <si>
    <t>2025-05-02 14:43:00,3751704653.69088,21703153178.1427,-389.847992530345,407,349.925884220361,364.86,53.1254206762329,42.73</t>
  </si>
  <si>
    <t>2025-05-02 14:43:00,2112519025.73676,8266462964.69802,239.915290095271,-970,161.3634284484,-1606.92,-133.648803974345,-579.83</t>
  </si>
  <si>
    <t>2025-05-02 14:43:00,287984687.93695,631232923.579298,89.8316666666678,281,-875.001649999994,810,-4.81614483773929,191.74</t>
  </si>
  <si>
    <t>2025-05-02 14:43:00,36295071.2358186,1265878.29478677,,4,,19.06,-0.00696886006088301,0.52</t>
  </si>
  <si>
    <t>2025-05-02 14:44:00,570,,568,,575,,564.5,,,,,570,560</t>
  </si>
  <si>
    <t>2025-05-02 14:44:00,490,,491,,485,,488.5,,,,,490,485</t>
  </si>
  <si>
    <t>2025-05-02 14:44:00,5700,,5700,,5650,,5635,,,,,5700,5670</t>
  </si>
  <si>
    <t>2025-05-02 14:44:00,20100,,20200,,20000,,20100,,,,,20200,19800</t>
  </si>
  <si>
    <t>2025-05-02 14:44:00,3701567851.00479,21580428191.3074,-2092.72230710466,-795,-938.523419064597,-1661.97,42.8047576053338,-780.25</t>
  </si>
  <si>
    <t>2025-05-02 14:44:00,1996368635.96518,7510159482.59356,-3556.39626675543,-3163,-1072.70775859696,-1245.42,152.968048547284,-900.86</t>
  </si>
  <si>
    <t>2025-05-02 14:44:00,290205798.312402,662635862.674424,-231.07857142857,-1104,-541.439523809397,-8092.25,-2.99770862070302,-321.01</t>
  </si>
  <si>
    <t>2025-05-02 14:44:00,41115922.6163646,1106404.30617176,,-11,,-64.78,0.00328073368997026,-1.74</t>
  </si>
  <si>
    <t>2025-05-02 14:45:00,575,,568,,575,,564.5,,,,,570,560</t>
  </si>
  <si>
    <t>2025-05-02 14:45:00,490,,490,,470,,489,,,,,490,485</t>
  </si>
  <si>
    <t>2025-05-02 14:45:00,5700,,5700,,5650,,5635,,,,5690,5700,5670</t>
  </si>
  <si>
    <t>2025-05-02 14:45:00,20100,,20200,,20000,,20080,,,,,20200,19800</t>
  </si>
  <si>
    <t>2025-05-02 14:45:00,3737035191.35472,12642714420.4506,2244.10651942769,5324,16656.2901338153,11985.05,235.96008450758,1778.3</t>
  </si>
  <si>
    <t>2025-05-02 14:45:00,2162016315.55572,5724042481.10384,-1609.40199585277,-4204,-1145.62971131493,-1893.52,-245.750692811213,-1696.17</t>
  </si>
  <si>
    <t>2025-05-02 14:45:00,290168908.737664,540001199.711245,-1949.99523809524,-3380,-430.447547619033,-4284.81,-3.71133085170682,-657.26</t>
  </si>
  <si>
    <t>2025-05-02 14:45:00,35420658.9520981,946552.847363772,,68,,-46.44,0.107461743366645,5.11</t>
  </si>
  <si>
    <t>2025-05-02 14:47:00,575,,568,,575,,564.5,,567,,,570,560</t>
  </si>
  <si>
    <t>2025-05-02 14:47:00,490,,490,,485,,488.5,,,,,490,485</t>
  </si>
  <si>
    <t>2025-05-02 14:47:00,5700,,5700,,5650,,5635,5690,,,5680,5700,5670</t>
  </si>
  <si>
    <t>2025-05-02 14:47:00,20100,,20200,,20000,,20080,,,,,20200,19800</t>
  </si>
  <si>
    <t>2025-05-02 14:47:00,3663693661.81113,17897615827.8439,-13222.8935254804,-6746,-9417.0720340435,-5990.81,204.554213003413,-3216.84</t>
  </si>
  <si>
    <t>2025-05-02 14:47:00,1956049029.1956,7410492205.96017,-5409.63480544995,-1532,-1338.85793303681,-1342.69,-945.537005823147,-742.33</t>
  </si>
  <si>
    <t>2025-05-02 14:47:00,291665534.202837,556803444.658195,-1914.01428571428,-4069,-12680.483952381,-10487.42,9.58543443776903,-1012.76</t>
  </si>
  <si>
    <t>2025-05-02 14:47:00,35803691.4068867,1001462.71428792,,-57,,-333.79,-0.0411994811089382,-9.61</t>
  </si>
  <si>
    <t>2025-05-02 14:48:00,575,,568,,575,,564.5,,,,567,570,560</t>
  </si>
  <si>
    <t>2025-05-02 14:48:00,490,,490,,470,,488.5,,,,,490,485</t>
  </si>
  <si>
    <t>2025-05-02 14:48:00,5700,,5700,,5650,,5635,,,5680,,5700,5670</t>
  </si>
  <si>
    <t>2025-05-02 14:48:00,20100,,20200,,20000,,20080,,,,,20200,19800</t>
  </si>
  <si>
    <t>2025-05-02 14:48:00,3519921468.08893,14702181136.6437,-10051.8129738562,-9191,-3342.9186,-3137.91,-190.534871903169,-3459.49</t>
  </si>
  <si>
    <t>2025-05-02 14:48:00,2111370232.56472,5835279001.22167,-237.056952723909,-1619,-151.250468377867,-568.929999999999,266.752545791322,-815.28</t>
  </si>
  <si>
    <t>2025-05-02 14:48:00,285428752.82874,443288163.618355,1181.21234126984,507,12534.2470107143,5956.5,-3.17367316840835,238.08</t>
  </si>
  <si>
    <t>2025-05-02 14:48:00,35437428.1674942,590226.573806355,,66,,209.45,0.156907963472994,5.27</t>
  </si>
  <si>
    <t>2025-05-02 14:49:00,575,,568,,575,,565.5,,,,,570,560</t>
  </si>
  <si>
    <t>2025-05-02 14:49:00,490,,491,,470,,489,,,488,,490,485</t>
  </si>
  <si>
    <t>2025-05-02 14:49:00,5700,,5700,,5650,,5635,,,,5680,5700,5670</t>
  </si>
  <si>
    <t>2025-05-02 14:49:00,20100,,20200,,19500,,20100,,,,,20200,19800</t>
  </si>
  <si>
    <t>2025-05-02 14:49:00,3532125536.92895,3933317047.97346,-2965.41819131161,-3097,-1227.33671261487,-1147.54,4.29170782971639,-894.75</t>
  </si>
  <si>
    <t>2025-05-02 14:49:00,2019806814.04759,2349211065.20881,-1245.5476687197,338,-29.0728869142566,1383.9,-293.209646874292,909.4</t>
  </si>
  <si>
    <t>2025-05-02 14:49:00,285088804.903767,286441044.769303,-2080.31904761905,-3117,-6252.22796428572,-6846.27,3.8589961283615,-940.83</t>
  </si>
  <si>
    <t>2025-05-02 14:49:00,39298453.0623939,266953.787437578,,-15,,148.32,-0.187196580356159,2.67</t>
  </si>
  <si>
    <t>2025-05-02 14:50:00,565,,566,,575,,564,,567,,,570,560</t>
  </si>
  <si>
    <t>2025-05-02 14:50:00,490,,490,,470,,489,,,,489,490,485</t>
  </si>
  <si>
    <t>2025-05-02 14:50:00,5700,,5700,,5650,,5635,,,,5680,5700,5670</t>
  </si>
  <si>
    <t>2025-05-02 14:50:00,20100,,20200,,20000,,20080,,,,,20200,19800</t>
  </si>
  <si>
    <t>2025-05-02 14:50:00,3663623994.28768,36512587351.2571,-439.379046562403,-3310,2964.50144328167,-3746.92,448.398182106189,-2363.6</t>
  </si>
  <si>
    <t>2025-05-02 14:50:00,1807608764.00687,6123177121.91357,-1272.33147269272,-901,-1360.1456078221,-1753.45,138.21326739197,-1156.47</t>
  </si>
  <si>
    <t>2025-05-02 14:50:00,271468130.820727,569501720.970977,-2746.37453923757,-4780,-9757.65728592622,-17615.91,-2.93601197307396,-1462.54</t>
  </si>
  <si>
    <t>2025-05-02 14:50:00,39805304.6739576,725727.52237031,,-72,,-904.84,0.133001169746448,-14.73</t>
  </si>
  <si>
    <t>2025-05-02 14:51:00,575,,568,,575,,565,567,,,,570,560</t>
  </si>
  <si>
    <t>2025-05-02 14:51:00,490,,490,,485,,488.5,,,489,,490,485</t>
  </si>
  <si>
    <t>2025-05-02 14:51:00,5700,,5700,,5650,,5635,5690,,,5680,5700,5670</t>
  </si>
  <si>
    <t>2025-05-02 14:51:00,20100,,20200,,20000,,20100,,,,,20200,19800</t>
  </si>
  <si>
    <t>2025-05-02 14:51:00,3743660471.76635,13985537805.5183,1632.1063342116,4736,3913.43546320931,3941.8,359.708884620459,2679.63</t>
  </si>
  <si>
    <t>2025-05-02 14:51:00,2227048125.72207,6854889756.68274,3149.43077246928,5262,2033.21479000307,3088.03,46.3443938098005,2570.02</t>
  </si>
  <si>
    <t>2025-05-02 14:51:00,289504589.414249,410065254.044056,-511.161428571426,1785,16736.2748666667,12071.15,10.792229041608,803.28</t>
  </si>
  <si>
    <t>2025-05-02 14:51:00,45560328.6952979,678289.82593557,,22,,-43.15,-0.0860155143446698,-0.0800000000000003</t>
  </si>
  <si>
    <t>2025-05-02 14:52:00,570,,568,,575,,565.5,567,,567,,570,560</t>
  </si>
  <si>
    <t>2025-05-02 14:52:00,490,,491,,470,,489,,489,,,490,485</t>
  </si>
  <si>
    <t>2025-05-02 14:52:00,5700,,5700,,5650,,5635,,,,5680,5700,5670</t>
  </si>
  <si>
    <t>2025-05-02 14:52:00,20100,,20200,,20000,,20100,,,,,20200,19800</t>
  </si>
  <si>
    <t>2025-05-02 14:52:00,3993400260.76046,15250448834.9115,7072.41352686307,8553,-4808.57916825497,-1186.34,-705.015517766643,3003.12</t>
  </si>
  <si>
    <t>2025-05-02 14:52:00,2255348508.36403,6811722776.18684,2831.57092272604,-666,355.736221499113,-1512.94,-567.625644879402,-1039.61</t>
  </si>
  <si>
    <t>2025-05-02 14:52:00,295788456.09183,557943579.191172,1827.77428571429,3369,-7948.75633333304,5742.6,37.5547230406101,997.1</t>
  </si>
  <si>
    <t>2025-05-02 14:52:00,46330965.7424656,1056587.82899696,,-94,,-664.16,-0.262639727248207,-21.41</t>
  </si>
  <si>
    <t>2025-05-02 14:53:00,570,,568,,575,,565,,,,,570,560</t>
  </si>
  <si>
    <t>2025-05-02 14:53:00,490,,490,,470,,488.5,,,,,490,485</t>
  </si>
  <si>
    <t>2025-05-02 14:53:00,5700,,5700,,5650,,5635,,5690,5680,,5700,5670</t>
  </si>
  <si>
    <t>2025-05-02 14:53:00,20100,,20200,,20000,,20100,,,,,20200,19800</t>
  </si>
  <si>
    <t>2025-05-02 14:53:00,4145111958.5438,22574564484.1607,791.656348812645,1295,6535.79813579584,8459.5,-23.2602263654846,1099.93</t>
  </si>
  <si>
    <t>2025-05-02 14:53:00,2291685171.82251,7833637327.32665,1119.35687811462,953,1170.97220091249,850.91,152.217827523262,706.9</t>
  </si>
  <si>
    <t>2025-05-02 14:53:00,296397263.830533,540485448.765396,2068.99583333333,1780,2956.96262499988,-3657.49,-39.7464089624878,32.81</t>
  </si>
  <si>
    <t>2025-05-02 14:53:00,47461012.0433757,1055288.20401875,,20,,66.53,0.0336227920727646,2.09</t>
  </si>
  <si>
    <t>2025-05-02 14:54:00,570,,568,,575,,565,,,,,570,560</t>
  </si>
  <si>
    <t>2025-05-02 14:54:00,490,,490,,485,,489,,,,,490,485</t>
  </si>
  <si>
    <t>2025-05-02 14:54:00,5700,,5700,,5650,,5635,,5700,5690,,5700,5670</t>
  </si>
  <si>
    <t>2025-05-02 14:54:00,20100,,20200,,20000,,20080,,,,,20200,19800</t>
  </si>
  <si>
    <t>2025-05-02 14:54:00,4120168492.72768,20048312032.0766,785.803831694616,-570,625.312738095234,-1719.84,-196.757478238678,-243.4</t>
  </si>
  <si>
    <t>2025-05-02 14:54:00,2246370571.48029,9547337400.17848,86.0029687514451,405,1167.69350778752,-823.53,185.137737353802,224.86</t>
  </si>
  <si>
    <t>2025-05-02 14:54:00,309033281.076707,840441291.177596,6223.30535714288,-1760,5876.41191071431,-3981.57,-29.7603522419575,-297.57</t>
  </si>
  <si>
    <t>2025-05-02 14:54:00,48846487.307583,1684045.1103178,,-45,,-136.14,0.033552825685325,-5.12</t>
  </si>
  <si>
    <t>2025-05-02 14:55:00,575,,568,,575,,565,,,,,570,560</t>
  </si>
  <si>
    <t>2025-05-02 14:55:00,490,,490,,485,,488.5,,489,489,,490,485</t>
  </si>
  <si>
    <t>2025-05-02 14:55:00,5700,,5700,,5650,,5635,,,5680,5690,5700,5670</t>
  </si>
  <si>
    <t>2025-05-02 14:55:00,20100,,20200,,20000,,20080,,,,,20200,19800</t>
  </si>
  <si>
    <t>2025-05-02 14:55:00,4065657194.4478,20342239923.7812,3062.65646516671,4935,7412.57018630926,3144.53,-285.841716633489,1286.02</t>
  </si>
  <si>
    <t>2025-05-02 14:55:00,2100527580.32763,8703993733.03394,1094.34273857863,754,3986.15169853668,3800.95,-94.4671807161395,1111.04</t>
  </si>
  <si>
    <t>2025-05-02 14:55:00,304302291.650633,382724514.782062,1738.94195906433,2249,4649.47640058479,-127.03,-24.977271503447,-128.23</t>
  </si>
  <si>
    <t>2025-05-02 14:55:00,44829352.6927809,732589.206620397,,52,,442.41,-0.135951113165783,13.26</t>
  </si>
  <si>
    <t>2025-05-02 14:56:00,565,,568,,575,,565,,,,567,570,560</t>
  </si>
  <si>
    <t>2025-05-02 14:56:00,490,,490,,485,,488.5,,489,,,490,485</t>
  </si>
  <si>
    <t>2025-05-02 14:56:00,5700,,5700,,5650,,5635,,5690,5680,,5700,5670</t>
  </si>
  <si>
    <t>2025-05-02 14:56:00,20100,,20200,,20000,,20100,,,,,20200,19800</t>
  </si>
  <si>
    <t>2025-05-02 14:56:00,3758623439.70741,29923832651.9075,-9188.85449269447,-6857,-3716.89926906591,-3086.86,474.04082446697,-3277.95</t>
  </si>
  <si>
    <t>2025-05-02 14:56:00,2259285166.7443,7987151170.76118,-470.974773421896,1600,-397.768431586526,-120.74,-647.072731998575,41.0900000000001</t>
  </si>
  <si>
    <t>2025-05-02 14:56:00,307359136.618223,358693991.291271,-2184.36309523809,-3735,-9263.34861904758,-11011.21,-220.397193049906,-1066.91</t>
  </si>
  <si>
    <t>2025-05-02 14:56:00,51285195.0855976,471337.72136994,,-15,,-47.84,0.028236166309711,-0.4</t>
  </si>
  <si>
    <t>2025-05-02 14:57:00,575,,568,,575,,565,,567,,,570,560</t>
  </si>
  <si>
    <t>2025-05-02 14:57:00,490,,490,,470,,488.5,,,,,490,485</t>
  </si>
  <si>
    <t>2025-05-02 14:57:00,5700,,5700,,5650,,5635,5690,,5680,,5700,5670</t>
  </si>
  <si>
    <t>2025-05-02 14:57:00,20100,,20200,,20000,,20100,,,,,20200,19800</t>
  </si>
  <si>
    <t>2025-05-02 14:57:00,3829701736.33776,26903751719.9549,5315.68361139242,6196,284.11089420686,31.4699999999999,-34.3698595678079,-427.57</t>
  </si>
  <si>
    <t>2025-05-02 14:57:00,2290345125.34235,8411893709.88851,2098.57857144035,636,-636.069846632634,-1669.19,116.203993331676,114.11</t>
  </si>
  <si>
    <t>2025-05-02 14:57:00,309463240.856001,501004089.682956,1643.01272175537,2385,-9327.74018440702,-4122.98,-21.6823133050004,276.01</t>
  </si>
  <si>
    <t>2025-05-02 14:57:00,57383272.1809848,486380.426290828,,-14,,-543.17,0.118927917616156,-10.23</t>
  </si>
  <si>
    <t>2025-05-02 14:58:00,565,,567,,575,,565,,,,,570,560</t>
  </si>
  <si>
    <t>2025-05-02 14:58:00,490,,490,,485,,488.5,,,,,490,485</t>
  </si>
  <si>
    <t>2025-05-02 14:58:00,5700,,,5680,5650,,5635,5690,,,5680,5700,5670</t>
  </si>
  <si>
    <t>2025-05-02 14:58:00,20100,,20200,,20000,,20080,,,,,20200,19800</t>
  </si>
  <si>
    <t>2025-05-02 14:58:00,3779045276.80564,26903600237.7768,3784.17438986134,3887,37890.9718589623,29885.54,-529.41145102462,3936.81</t>
  </si>
  <si>
    <t>2025-05-02 14:58:00,2277782358.21219,9566391642.49553,256.588194046901,-659,1873.7648607266,1491.14,-133.004595827759,-3.23000000000003</t>
  </si>
  <si>
    <t>2025-05-02 14:58:00,301679406.029238,253753404.316555,-217.064370543251,616,3694.63637216662,3227.32,111.243976382569,242.93</t>
  </si>
  <si>
    <t>2025-05-02 14:58:00,59244217.5308494,367451.500305591,,64,,109.76,-0.266001783473776,7.27</t>
  </si>
  <si>
    <t>2025-05-02 14:59:00,575,,568,,575,,565.5,,,,,570,560</t>
  </si>
  <si>
    <t>2025-05-02 14:59:00,490,,490,,470,,489,,,,,490,485</t>
  </si>
  <si>
    <t>2025-05-02 14:59:00,5700,,,5680,5650,,5635,5690,,,5680,5700,5670</t>
  </si>
  <si>
    <t>2025-05-02 14:59:00,20100,,20200,,20000,,20080,,,,,20200,19800</t>
  </si>
  <si>
    <t>2025-05-02 14:59:00,4149215700.31697,17614059268.2841,-1573.04510662745,1366,612.061926722868,-595.54,-386.441452468711,720.41</t>
  </si>
  <si>
    <t>2025-05-02 14:59:00,2417804738.52267,7715346190.65179,-2645.14828070563,-1933,-987.830637788763,-1453.34,203.781479217502,-1021.11</t>
  </si>
  <si>
    <t>2025-05-02 14:59:00,305471756.493065,471213690.237212,-404.350838757905,757,-1299.800482343,1341.18,208.852172504701,889.76</t>
  </si>
  <si>
    <t>2025-05-02 14:59:00,82259053.3542199,710348.645723177,,-56,,-60.55,0.132981128405733,-0.54</t>
  </si>
  <si>
    <t>2025-05-02 15:00:00,575,,567,,575,,565,567,,,,570,560</t>
  </si>
  <si>
    <t>2025-05-02 15:00:00,490,,490,,470,,488.5,,,,,490,485</t>
  </si>
  <si>
    <t>2025-05-02 15:00:00,5700,,,5680,5650,,5635,5690,,,5680,5700,5670</t>
  </si>
  <si>
    <t>2025-05-02 15:00:00,20100,,20200,,20000,,20080,,,,,20200,19800</t>
  </si>
  <si>
    <t>2025-05-02 15:00:00,4089574636.80192,42393509659.7685,-62.4163045537773,2313,1632.59634807928,-502.95,469.612667359163,445.88</t>
  </si>
  <si>
    <t>2025-05-02 15:00:00,2546193532.88502,9946484255.67916,-521.421625519305,3778,-1431.86459232168,126.69,-160.578244673381,526.01</t>
  </si>
  <si>
    <t>2025-05-02 15:00:00,289520322.007284,296418175.168878,594.792651857946,670,204.113857680882,939.75,74.5503511784031,-101.42</t>
  </si>
  <si>
    <t>2025-05-02 15:00:00,58426466.230798,27970.9631765951,,-11,,-13,-0.104145331750023,-1.88</t>
  </si>
  <si>
    <t>2025-05-02 15:01:00,575,,568,,575,,565.5,,,,,570,560</t>
  </si>
  <si>
    <t>2025-05-02 15:01:00,490,,490,,470,,488.5,,,,,490,485</t>
  </si>
  <si>
    <t>2025-05-02 15:01:00,5700,,,5680,5650,,5635,,,,,5700,5670</t>
  </si>
  <si>
    <t>2025-05-02 15:01:00,20100,,,,20000,,20080,,,,,20200,19800</t>
  </si>
  <si>
    <t>2025-05-02 15:01:00,4539726786.35318,30409679732.6761,-35.849265337344,273,1496.52010567163,-573.21,-413.34278506819,609.51</t>
  </si>
  <si>
    <t>2025-05-02 15:01:00,2518456248.51675,9862224682.82312,256.258952227569,99,370.693445702443,665.55,33.272056645385,331.16</t>
  </si>
  <si>
    <t>2025-05-02 15:01:00,290978455.055532,404092216.466251,0,0,0,0,0,0</t>
  </si>
  <si>
    <t>2025-05-02 15:01:00,58495820.6309308,-20364.1814611296,,0,,0,0,0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</si>
</sst>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e">
        <v>#N/A</v>
        <stp/>
        <stp>VOLUME</stp>
        <stp>.SPXWC5780</stp>
        <tr r="F95" s="2"/>
        <tr r="G95" s="2"/>
      </tp>
      <tp t="e">
        <v>#N/A</v>
        <stp/>
        <stp>VOLUME</stp>
        <stp>.SPXWP5780</stp>
        <tr r="F95" s="2"/>
        <tr r="G95" s="2"/>
      </tp>
      <tp t="e">
        <v>#N/A</v>
        <stp/>
        <stp>VOLUME</stp>
        <stp>.SPXWC5790</stp>
        <tr r="G94" s="2"/>
        <tr r="F94" s="2"/>
      </tp>
      <tp t="e">
        <v>#N/A</v>
        <stp/>
        <stp>VOLUME</stp>
        <stp>.SPXWP5790</stp>
        <tr r="G94" s="2"/>
        <tr r="F94" s="2"/>
      </tp>
      <tp t="e">
        <v>#N/A</v>
        <stp/>
        <stp>VOLUME</stp>
        <stp>.SPXWC5740</stp>
        <tr r="F99" s="2"/>
        <tr r="G99" s="2"/>
      </tp>
      <tp t="e">
        <v>#N/A</v>
        <stp/>
        <stp>VOLUME</stp>
        <stp>.SPXWP5740</stp>
        <tr r="F99" s="2"/>
        <tr r="G99" s="2"/>
      </tp>
      <tp t="e">
        <v>#N/A</v>
        <stp/>
        <stp>VOLUME</stp>
        <stp>.SPXWC5750</stp>
        <tr r="G98" s="2"/>
        <tr r="F98" s="2"/>
      </tp>
      <tp t="e">
        <v>#N/A</v>
        <stp/>
        <stp>VOLUME</stp>
        <stp>.SPXWP5750</stp>
        <tr r="G98" s="2"/>
        <tr r="F98" s="2"/>
      </tp>
      <tp t="e">
        <v>#N/A</v>
        <stp/>
        <stp>VOLUME</stp>
        <stp>.SPXWC5760</stp>
        <tr r="G97" s="2"/>
        <tr r="F97" s="2"/>
      </tp>
      <tp t="e">
        <v>#N/A</v>
        <stp/>
        <stp>VOLUME</stp>
        <stp>.SPXWP5760</stp>
        <tr r="G97" s="2"/>
        <tr r="F97" s="2"/>
      </tp>
      <tp t="e">
        <v>#N/A</v>
        <stp/>
        <stp>VOLUME</stp>
        <stp>.SPXWC5770</stp>
        <tr r="F96" s="2"/>
        <tr r="G96" s="2"/>
      </tp>
      <tp t="e">
        <v>#N/A</v>
        <stp/>
        <stp>VOLUME</stp>
        <stp>.SPXWP5770</stp>
        <tr r="F96" s="2"/>
        <tr r="G96" s="2"/>
      </tp>
      <tp t="e">
        <v>#N/A</v>
        <stp/>
        <stp>VOLUME</stp>
        <stp>.SPXWC5700</stp>
        <tr r="G103" s="2"/>
        <tr r="F103" s="2"/>
      </tp>
      <tp t="e">
        <v>#N/A</v>
        <stp/>
        <stp>VOLUME</stp>
        <stp>.SPXWP5700</stp>
        <tr r="G103" s="2"/>
        <tr r="F103" s="2"/>
      </tp>
      <tp t="e">
        <v>#N/A</v>
        <stp/>
        <stp>VOLUME</stp>
        <stp>.SPXWC5710</stp>
        <tr r="F102" s="2"/>
        <tr r="G102" s="2"/>
      </tp>
      <tp t="e">
        <v>#N/A</v>
        <stp/>
        <stp>VOLUME</stp>
        <stp>.SPXWP5710</stp>
        <tr r="F102" s="2"/>
        <tr r="G102" s="2"/>
      </tp>
      <tp t="e">
        <v>#N/A</v>
        <stp/>
        <stp>VOLUME</stp>
        <stp>.SPXWC5720</stp>
        <tr r="F101" s="2"/>
        <tr r="G101" s="2"/>
      </tp>
      <tp t="e">
        <v>#N/A</v>
        <stp/>
        <stp>VOLUME</stp>
        <stp>.SPXWP5720</stp>
        <tr r="F101" s="2"/>
        <tr r="G101" s="2"/>
      </tp>
      <tp t="e">
        <v>#N/A</v>
        <stp/>
        <stp>VOLUME</stp>
        <stp>.SPXWC5730</stp>
        <tr r="F100" s="2"/>
        <tr r="G100" s="2"/>
      </tp>
      <tp t="e">
        <v>#N/A</v>
        <stp/>
        <stp>VOLUME</stp>
        <stp>.SPXWP5730</stp>
        <tr r="F100" s="2"/>
        <tr r="G100" s="2"/>
      </tp>
      <tp t="e">
        <v>#N/A</v>
        <stp/>
        <stp>LAST</stp>
        <stp>.SPY250502P582</stp>
        <tr r="DB4" s="1"/>
        <tr r="DB4" s="1"/>
      </tp>
      <tp t="e">
        <v>#N/A</v>
        <stp/>
        <stp>LAST</stp>
        <stp>.SPY250502C582</stp>
        <tr r="DA4" s="1"/>
        <tr r="DA4" s="1"/>
      </tp>
      <tp t="e">
        <v>#N/A</v>
        <stp/>
        <stp>LAST</stp>
        <stp>.SPY250502P580</stp>
        <tr r="DB6" s="1"/>
        <tr r="DB6" s="1"/>
      </tp>
      <tp t="e">
        <v>#N/A</v>
        <stp/>
        <stp>LAST</stp>
        <stp>.SPY250502C580</stp>
        <tr r="DA6" s="1"/>
        <tr r="DA6" s="1"/>
      </tp>
      <tp t="e">
        <v>#N/A</v>
        <stp/>
        <stp>LAST</stp>
        <stp>.SPY250502P581</stp>
        <tr r="DB5" s="1"/>
        <tr r="DB5" s="1"/>
      </tp>
      <tp t="e">
        <v>#N/A</v>
        <stp/>
        <stp>LAST</stp>
        <stp>.SPY250502C581</stp>
        <tr r="DA5" s="1"/>
        <tr r="DA5" s="1"/>
      </tp>
      <tp t="e">
        <v>#N/A</v>
        <stp/>
        <stp>LAST</stp>
        <stp>.SPY250502P568</stp>
        <tr r="DB18" s="1"/>
        <tr r="DB18" s="1"/>
      </tp>
      <tp t="e">
        <v>#N/A</v>
        <stp/>
        <stp>LAST</stp>
        <stp>.SPY250502C568</stp>
        <tr r="DA18" s="1"/>
        <tr r="DA18" s="1"/>
      </tp>
      <tp t="e">
        <v>#N/A</v>
        <stp/>
        <stp>LAST</stp>
        <stp>.SPY250502P569</stp>
        <tr r="DB17" s="1"/>
        <tr r="DB17" s="1"/>
      </tp>
      <tp t="e">
        <v>#N/A</v>
        <stp/>
        <stp>LAST</stp>
        <stp>.SPY250502C569</stp>
        <tr r="DA17" s="1"/>
        <tr r="DA17" s="1"/>
      </tp>
      <tp t="e">
        <v>#N/A</v>
        <stp/>
        <stp>LAST</stp>
        <stp>.SPY250502P566</stp>
        <tr r="DB20" s="1"/>
        <tr r="DB20" s="1"/>
      </tp>
      <tp t="e">
        <v>#N/A</v>
        <stp/>
        <stp>LAST</stp>
        <stp>.SPY250502C566</stp>
        <tr r="DA20" s="1"/>
        <tr r="DA20" s="1"/>
      </tp>
      <tp t="e">
        <v>#N/A</v>
        <stp/>
        <stp>LAST</stp>
        <stp>.SPY250502P567</stp>
        <tr r="DB19" s="1"/>
        <tr r="DB19" s="1"/>
      </tp>
      <tp t="e">
        <v>#N/A</v>
        <stp/>
        <stp>LAST</stp>
        <stp>.SPY250502C567</stp>
        <tr r="DA19" s="1"/>
        <tr r="DA19" s="1"/>
      </tp>
      <tp t="e">
        <v>#N/A</v>
        <stp/>
        <stp>LAST</stp>
        <stp>.SPY250502P564</stp>
        <tr r="DB22" s="1"/>
        <tr r="DB22" s="1"/>
      </tp>
      <tp t="e">
        <v>#N/A</v>
        <stp/>
        <stp>LAST</stp>
        <stp>.SPY250502C564</stp>
        <tr r="DA22" s="1"/>
        <tr r="DA22" s="1"/>
      </tp>
      <tp t="e">
        <v>#N/A</v>
        <stp/>
        <stp>LAST</stp>
        <stp>.SPY250502P565</stp>
        <tr r="DB21" s="1"/>
        <tr r="DB21" s="1"/>
      </tp>
      <tp t="e">
        <v>#N/A</v>
        <stp/>
        <stp>LAST</stp>
        <stp>.SPY250502C565</stp>
        <tr r="DA21" s="1"/>
        <tr r="DA21" s="1"/>
      </tp>
      <tp t="e">
        <v>#N/A</v>
        <stp/>
        <stp>LAST</stp>
        <stp>.SPY250502P562</stp>
        <tr r="DB24" s="1"/>
        <tr r="DB24" s="1"/>
      </tp>
      <tp t="e">
        <v>#N/A</v>
        <stp/>
        <stp>LAST</stp>
        <stp>.SPY250502C562</stp>
        <tr r="DA24" s="1"/>
        <tr r="DA24" s="1"/>
      </tp>
      <tp t="e">
        <v>#N/A</v>
        <stp/>
        <stp>LAST</stp>
        <stp>.SPY250502P563</stp>
        <tr r="DB23" s="1"/>
        <tr r="DB23" s="1"/>
      </tp>
      <tp t="e">
        <v>#N/A</v>
        <stp/>
        <stp>LAST</stp>
        <stp>.SPY250502C563</stp>
        <tr r="DA23" s="1"/>
        <tr r="DA23" s="1"/>
      </tp>
      <tp t="e">
        <v>#N/A</v>
        <stp/>
        <stp>LAST</stp>
        <stp>.SPY250502P560</stp>
        <tr r="DB26" s="1"/>
        <tr r="DB26" s="1"/>
      </tp>
      <tp t="e">
        <v>#N/A</v>
        <stp/>
        <stp>LAST</stp>
        <stp>.SPY250502C560</stp>
        <tr r="DA26" s="1"/>
        <tr r="DA26" s="1"/>
      </tp>
      <tp t="e">
        <v>#N/A</v>
        <stp/>
        <stp>LAST</stp>
        <stp>.SPY250502P561</stp>
        <tr r="DB25" s="1"/>
        <tr r="DB25" s="1"/>
      </tp>
      <tp t="e">
        <v>#N/A</v>
        <stp/>
        <stp>LAST</stp>
        <stp>.SPY250502C561</stp>
        <tr r="DA25" s="1"/>
        <tr r="DA25" s="1"/>
      </tp>
      <tp t="e">
        <v>#N/A</v>
        <stp/>
        <stp>LAST</stp>
        <stp>.SPY250502P578</stp>
        <tr r="DB8" s="1"/>
        <tr r="DB8" s="1"/>
      </tp>
      <tp t="e">
        <v>#N/A</v>
        <stp/>
        <stp>LAST</stp>
        <stp>.SPY250502C578</stp>
        <tr r="DA8" s="1"/>
        <tr r="DA8" s="1"/>
      </tp>
      <tp t="e">
        <v>#N/A</v>
        <stp/>
        <stp>LAST</stp>
        <stp>.SPY250502P579</stp>
        <tr r="DB7" s="1"/>
        <tr r="DB7" s="1"/>
      </tp>
      <tp t="e">
        <v>#N/A</v>
        <stp/>
        <stp>LAST</stp>
        <stp>.SPY250502C579</stp>
        <tr r="DA7" s="1"/>
        <tr r="DA7" s="1"/>
      </tp>
      <tp t="e">
        <v>#N/A</v>
        <stp/>
        <stp>LAST</stp>
        <stp>.SPY250502P576</stp>
        <tr r="DB10" s="1"/>
        <tr r="DB10" s="1"/>
      </tp>
      <tp t="e">
        <v>#N/A</v>
        <stp/>
        <stp>LAST</stp>
        <stp>.SPY250502C576</stp>
        <tr r="DA10" s="1"/>
        <tr r="DA10" s="1"/>
      </tp>
      <tp t="e">
        <v>#N/A</v>
        <stp/>
        <stp>LAST</stp>
        <stp>.SPY250502P577</stp>
        <tr r="DB9" s="1"/>
        <tr r="DB9" s="1"/>
      </tp>
      <tp t="e">
        <v>#N/A</v>
        <stp/>
        <stp>LAST</stp>
        <stp>.SPY250502C577</stp>
        <tr r="DA9" s="1"/>
        <tr r="DA9" s="1"/>
      </tp>
      <tp t="e">
        <v>#N/A</v>
        <stp/>
        <stp>LAST</stp>
        <stp>.SPY250502P574</stp>
        <tr r="DB12" s="1"/>
        <tr r="DB12" s="1"/>
      </tp>
      <tp t="e">
        <v>#N/A</v>
        <stp/>
        <stp>LAST</stp>
        <stp>.SPY250502C574</stp>
        <tr r="DA12" s="1"/>
        <tr r="DA12" s="1"/>
      </tp>
      <tp t="e">
        <v>#N/A</v>
        <stp/>
        <stp>LAST</stp>
        <stp>.SPY250502P575</stp>
        <tr r="DB11" s="1"/>
        <tr r="DB11" s="1"/>
      </tp>
      <tp t="e">
        <v>#N/A</v>
        <stp/>
        <stp>LAST</stp>
        <stp>.SPY250502C575</stp>
        <tr r="DA11" s="1"/>
        <tr r="DA11" s="1"/>
      </tp>
      <tp t="e">
        <v>#N/A</v>
        <stp/>
        <stp>LAST</stp>
        <stp>.SPY250502P572</stp>
        <tr r="DB14" s="1"/>
        <tr r="DB14" s="1"/>
      </tp>
      <tp t="e">
        <v>#N/A</v>
        <stp/>
        <stp>LAST</stp>
        <stp>.SPY250502C572</stp>
        <tr r="DA14" s="1"/>
        <tr r="DA14" s="1"/>
      </tp>
      <tp t="e">
        <v>#N/A</v>
        <stp/>
        <stp>LAST</stp>
        <stp>.SPY250502P573</stp>
        <tr r="DB13" s="1"/>
        <tr r="DB13" s="1"/>
      </tp>
      <tp t="e">
        <v>#N/A</v>
        <stp/>
        <stp>LAST</stp>
        <stp>.SPY250502C573</stp>
        <tr r="DA13" s="1"/>
        <tr r="DA13" s="1"/>
      </tp>
      <tp t="e">
        <v>#N/A</v>
        <stp/>
        <stp>LAST</stp>
        <stp>.SPY250502P570</stp>
        <tr r="DB16" s="1"/>
        <tr r="DB16" s="1"/>
      </tp>
      <tp t="e">
        <v>#N/A</v>
        <stp/>
        <stp>LAST</stp>
        <stp>.SPY250502C570</stp>
        <tr r="DA16" s="1"/>
        <tr r="DA16" s="1"/>
      </tp>
      <tp t="e">
        <v>#N/A</v>
        <stp/>
        <stp>LAST</stp>
        <stp>.SPY250502P571</stp>
        <tr r="DB15" s="1"/>
        <tr r="DB15" s="1"/>
      </tp>
      <tp t="e">
        <v>#N/A</v>
        <stp/>
        <stp>LAST</stp>
        <stp>.SPY250502C571</stp>
        <tr r="DA15" s="1"/>
        <tr r="DA15" s="1"/>
      </tp>
      <tp t="e">
        <v>#N/A</v>
        <stp/>
        <stp>LAST</stp>
        <stp>.SPY250502P548</stp>
        <tr r="DB38" s="1"/>
        <tr r="DB38" s="1"/>
      </tp>
      <tp t="e">
        <v>#N/A</v>
        <stp/>
        <stp>LAST</stp>
        <stp>.SPY250502C548</stp>
        <tr r="DA38" s="1"/>
        <tr r="DA38" s="1"/>
      </tp>
      <tp t="e">
        <v>#N/A</v>
        <stp/>
        <stp>LAST</stp>
        <stp>.SPY250502P549</stp>
        <tr r="DB37" s="1"/>
        <tr r="DB37" s="1"/>
      </tp>
      <tp t="e">
        <v>#N/A</v>
        <stp/>
        <stp>LAST</stp>
        <stp>.SPY250502C549</stp>
        <tr r="DA37" s="1"/>
        <tr r="DA37" s="1"/>
      </tp>
      <tp t="e">
        <v>#N/A</v>
        <stp/>
        <stp>LAST</stp>
        <stp>.SPY250502P558</stp>
        <tr r="DB28" s="1"/>
        <tr r="DB28" s="1"/>
      </tp>
      <tp t="e">
        <v>#N/A</v>
        <stp/>
        <stp>LAST</stp>
        <stp>.SPY250502C558</stp>
        <tr r="DA28" s="1"/>
        <tr r="DA28" s="1"/>
      </tp>
      <tp t="e">
        <v>#N/A</v>
        <stp/>
        <stp>LAST</stp>
        <stp>.SPY250502P559</stp>
        <tr r="DB27" s="1"/>
        <tr r="DB27" s="1"/>
      </tp>
      <tp t="e">
        <v>#N/A</v>
        <stp/>
        <stp>LAST</stp>
        <stp>.SPY250502C559</stp>
        <tr r="DA27" s="1"/>
        <tr r="DA27" s="1"/>
      </tp>
      <tp t="e">
        <v>#N/A</v>
        <stp/>
        <stp>LAST</stp>
        <stp>.SPY250502P556</stp>
        <tr r="DB30" s="1"/>
        <tr r="DB30" s="1"/>
      </tp>
      <tp t="e">
        <v>#N/A</v>
        <stp/>
        <stp>LAST</stp>
        <stp>.SPY250502C556</stp>
        <tr r="DA30" s="1"/>
        <tr r="DA30" s="1"/>
      </tp>
      <tp t="e">
        <v>#N/A</v>
        <stp/>
        <stp>LAST</stp>
        <stp>.SPY250502P557</stp>
        <tr r="DB29" s="1"/>
        <tr r="DB29" s="1"/>
      </tp>
      <tp t="e">
        <v>#N/A</v>
        <stp/>
        <stp>LAST</stp>
        <stp>.SPY250502C557</stp>
        <tr r="DA29" s="1"/>
        <tr r="DA29" s="1"/>
      </tp>
      <tp t="e">
        <v>#N/A</v>
        <stp/>
        <stp>LAST</stp>
        <stp>.SPY250502P554</stp>
        <tr r="DB32" s="1"/>
        <tr r="DB32" s="1"/>
      </tp>
      <tp t="e">
        <v>#N/A</v>
        <stp/>
        <stp>LAST</stp>
        <stp>.SPY250502C554</stp>
        <tr r="DA32" s="1"/>
        <tr r="DA32" s="1"/>
      </tp>
      <tp t="e">
        <v>#N/A</v>
        <stp/>
        <stp>LAST</stp>
        <stp>.SPY250502P555</stp>
        <tr r="DB31" s="1"/>
        <tr r="DB31" s="1"/>
      </tp>
      <tp t="e">
        <v>#N/A</v>
        <stp/>
        <stp>LAST</stp>
        <stp>.SPY250502C555</stp>
        <tr r="DA31" s="1"/>
        <tr r="DA31" s="1"/>
      </tp>
      <tp t="e">
        <v>#N/A</v>
        <stp/>
        <stp>LAST</stp>
        <stp>.SPY250502P552</stp>
        <tr r="DB34" s="1"/>
        <tr r="DB34" s="1"/>
      </tp>
      <tp t="e">
        <v>#N/A</v>
        <stp/>
        <stp>LAST</stp>
        <stp>.SPY250502C552</stp>
        <tr r="DA34" s="1"/>
        <tr r="DA34" s="1"/>
      </tp>
      <tp t="e">
        <v>#N/A</v>
        <stp/>
        <stp>LAST</stp>
        <stp>.SPY250502P553</stp>
        <tr r="DB33" s="1"/>
        <tr r="DB33" s="1"/>
      </tp>
      <tp t="e">
        <v>#N/A</v>
        <stp/>
        <stp>LAST</stp>
        <stp>.SPY250502C553</stp>
        <tr r="DA33" s="1"/>
        <tr r="DA33" s="1"/>
      </tp>
      <tp t="e">
        <v>#N/A</v>
        <stp/>
        <stp>LAST</stp>
        <stp>.SPY250502P550</stp>
        <tr r="DB36" s="1"/>
        <tr r="DB36" s="1"/>
      </tp>
      <tp t="e">
        <v>#N/A</v>
        <stp/>
        <stp>LAST</stp>
        <stp>.SPY250502C550</stp>
        <tr r="DA36" s="1"/>
        <tr r="DA36" s="1"/>
      </tp>
      <tp t="e">
        <v>#N/A</v>
        <stp/>
        <stp>LAST</stp>
        <stp>.SPY250502P551</stp>
        <tr r="DB35" s="1"/>
        <tr r="DB35" s="1"/>
      </tp>
      <tp t="e">
        <v>#N/A</v>
        <stp/>
        <stp>LAST</stp>
        <stp>.SPY250502C551</stp>
        <tr r="DA35" s="1"/>
        <tr r="DA35" s="1"/>
      </tp>
      <tp t="e">
        <v>#N/A</v>
        <stp/>
        <stp>VOLUME</stp>
        <stp>.SPXWC5680</stp>
        <tr r="G105" s="2"/>
        <tr r="F105" s="2"/>
      </tp>
      <tp t="e">
        <v>#N/A</v>
        <stp/>
        <stp>VOLUME</stp>
        <stp>.SPXWP5680</stp>
        <tr r="G105" s="2"/>
        <tr r="F105" s="2"/>
      </tp>
      <tp t="e">
        <v>#N/A</v>
        <stp/>
        <stp>VOLUME</stp>
        <stp>.SPXWC5690</stp>
        <tr r="G104" s="2"/>
        <tr r="F104" s="2"/>
      </tp>
      <tp t="e">
        <v>#N/A</v>
        <stp/>
        <stp>VOLUME</stp>
        <stp>.SPXWP5690</stp>
        <tr r="G104" s="2"/>
        <tr r="F104" s="2"/>
      </tp>
      <tp t="e">
        <v>#N/A</v>
        <stp/>
        <stp>VOLUME</stp>
        <stp>.SPXWC5640</stp>
        <tr r="G109" s="2"/>
        <tr r="F109" s="2"/>
      </tp>
      <tp t="e">
        <v>#N/A</v>
        <stp/>
        <stp>VOLUME</stp>
        <stp>.SPXWP5640</stp>
        <tr r="G109" s="2"/>
        <tr r="F109" s="2"/>
      </tp>
      <tp t="e">
        <v>#N/A</v>
        <stp/>
        <stp>VOLUME</stp>
        <stp>.SPXWC5650</stp>
        <tr r="G108" s="2"/>
        <tr r="F108" s="2"/>
      </tp>
      <tp t="e">
        <v>#N/A</v>
        <stp/>
        <stp>VOLUME</stp>
        <stp>.SPXWP5650</stp>
        <tr r="G108" s="2"/>
        <tr r="F108" s="2"/>
      </tp>
      <tp t="e">
        <v>#N/A</v>
        <stp/>
        <stp>VOLUME</stp>
        <stp>.SPXWC5660</stp>
        <tr r="G107" s="2"/>
        <tr r="F107" s="2"/>
      </tp>
      <tp t="e">
        <v>#N/A</v>
        <stp/>
        <stp>VOLUME</stp>
        <stp>.SPXWP5660</stp>
        <tr r="G107" s="2"/>
        <tr r="F107" s="2"/>
      </tp>
      <tp t="e">
        <v>#N/A</v>
        <stp/>
        <stp>VOLUME</stp>
        <stp>.SPXWC5670</stp>
        <tr r="F106" s="2"/>
        <tr r="G106" s="2"/>
      </tp>
      <tp t="e">
        <v>#N/A</v>
        <stp/>
        <stp>VOLUME</stp>
        <stp>.SPXWP5670</stp>
        <tr r="F106" s="2"/>
        <tr r="G106" s="2"/>
      </tp>
      <tp t="e">
        <v>#N/A</v>
        <stp/>
        <stp>VOLUME</stp>
        <stp>.SPXWC5600</stp>
        <tr r="G113" s="2"/>
        <tr r="F113" s="2"/>
      </tp>
      <tp t="e">
        <v>#N/A</v>
        <stp/>
        <stp>VOLUME</stp>
        <stp>.SPXWP5600</stp>
        <tr r="G113" s="2"/>
        <tr r="F113" s="2"/>
      </tp>
      <tp t="e">
        <v>#N/A</v>
        <stp/>
        <stp>VOLUME</stp>
        <stp>.SPXWC5610</stp>
        <tr r="G112" s="2"/>
        <tr r="F112" s="2"/>
      </tp>
      <tp t="e">
        <v>#N/A</v>
        <stp/>
        <stp>VOLUME</stp>
        <stp>.SPXWP5610</stp>
        <tr r="G112" s="2"/>
        <tr r="F112" s="2"/>
      </tp>
      <tp t="e">
        <v>#N/A</v>
        <stp/>
        <stp>VOLUME</stp>
        <stp>.SPXWC5620</stp>
        <tr r="F111" s="2"/>
        <tr r="G111" s="2"/>
      </tp>
      <tp t="e">
        <v>#N/A</v>
        <stp/>
        <stp>VOLUME</stp>
        <stp>.SPXWP5620</stp>
        <tr r="F111" s="2"/>
        <tr r="G111" s="2"/>
      </tp>
      <tp t="e">
        <v>#N/A</v>
        <stp/>
        <stp>VOLUME</stp>
        <stp>.SPXWC5630</stp>
        <tr r="G110" s="2"/>
        <tr r="F110" s="2"/>
      </tp>
      <tp t="e">
        <v>#N/A</v>
        <stp/>
        <stp>VOLUME</stp>
        <stp>.SPXWP5630</stp>
        <tr r="G110" s="2"/>
        <tr r="F110" s="2"/>
      </tp>
      <tp t="e">
        <v>#N/A</v>
        <stp/>
        <stp>VOLUME</stp>
        <stp>.SPXWC5580</stp>
        <tr r="F115" s="2"/>
        <tr r="G115" s="2"/>
      </tp>
      <tp t="e">
        <v>#N/A</v>
        <stp/>
        <stp>VOLUME</stp>
        <stp>.SPXWP5580</stp>
        <tr r="F115" s="2"/>
        <tr r="G115" s="2"/>
      </tp>
      <tp t="e">
        <v>#N/A</v>
        <stp/>
        <stp>VOLUME</stp>
        <stp>.SPXWC5590</stp>
        <tr r="G114" s="2"/>
        <tr r="F114" s="2"/>
      </tp>
      <tp t="e">
        <v>#N/A</v>
        <stp/>
        <stp>VOLUME</stp>
        <stp>.SPXWP5590</stp>
        <tr r="G114" s="2"/>
        <tr r="F114" s="2"/>
      </tp>
      <tp t="e">
        <v>#N/A</v>
        <stp/>
        <stp>VOLUME</stp>
        <stp>.SPXWC5540</stp>
        <tr r="G119" s="2"/>
        <tr r="F119" s="2"/>
      </tp>
      <tp t="e">
        <v>#N/A</v>
        <stp/>
        <stp>VOLUME</stp>
        <stp>.SPXWP5540</stp>
        <tr r="G119" s="2"/>
        <tr r="F119" s="2"/>
      </tp>
      <tp t="e">
        <v>#N/A</v>
        <stp/>
        <stp>VOLUME</stp>
        <stp>.SPXWC5550</stp>
        <tr r="G118" s="2"/>
        <tr r="F118" s="2"/>
      </tp>
      <tp t="e">
        <v>#N/A</v>
        <stp/>
        <stp>VOLUME</stp>
        <stp>.SPXWP5550</stp>
        <tr r="G118" s="2"/>
        <tr r="F118" s="2"/>
      </tp>
      <tp t="e">
        <v>#N/A</v>
        <stp/>
        <stp>VOLUME</stp>
        <stp>.SPXWC5560</stp>
        <tr r="G117" s="2"/>
        <tr r="F117" s="2"/>
      </tp>
      <tp t="e">
        <v>#N/A</v>
        <stp/>
        <stp>VOLUME</stp>
        <stp>.SPXWP5560</stp>
        <tr r="G117" s="2"/>
        <tr r="F117" s="2"/>
      </tp>
      <tp t="e">
        <v>#N/A</v>
        <stp/>
        <stp>VOLUME</stp>
        <stp>.SPXWC5570</stp>
        <tr r="G116" s="2"/>
        <tr r="F116" s="2"/>
      </tp>
      <tp t="e">
        <v>#N/A</v>
        <stp/>
        <stp>VOLUME</stp>
        <stp>.SPXWP5570</stp>
        <tr r="G116" s="2"/>
        <tr r="F116" s="2"/>
      </tp>
      <tp t="e">
        <v>#N/A</v>
        <stp/>
        <stp>VOLUME</stp>
        <stp>.SPXWC5500</stp>
        <tr r="F123" s="2"/>
        <tr r="G123" s="2"/>
      </tp>
      <tp t="e">
        <v>#N/A</v>
        <stp/>
        <stp>VOLUME</stp>
        <stp>.SPXWP5500</stp>
        <tr r="F123" s="2"/>
        <tr r="G123" s="2"/>
      </tp>
      <tp t="e">
        <v>#N/A</v>
        <stp/>
        <stp>VOLUME</stp>
        <stp>.SPXWC5510</stp>
        <tr r="F122" s="2"/>
        <tr r="G122" s="2"/>
      </tp>
      <tp t="e">
        <v>#N/A</v>
        <stp/>
        <stp>VOLUME</stp>
        <stp>.SPXWP5510</stp>
        <tr r="F122" s="2"/>
        <tr r="G122" s="2"/>
      </tp>
      <tp t="e">
        <v>#N/A</v>
        <stp/>
        <stp>VOLUME</stp>
        <stp>.SPXWC5520</stp>
        <tr r="F121" s="2"/>
        <tr r="G121" s="2"/>
      </tp>
      <tp t="e">
        <v>#N/A</v>
        <stp/>
        <stp>VOLUME</stp>
        <stp>.SPXWP5520</stp>
        <tr r="F121" s="2"/>
        <tr r="G121" s="2"/>
      </tp>
      <tp t="e">
        <v>#N/A</v>
        <stp/>
        <stp>VOLUME</stp>
        <stp>.SPXWC5530</stp>
        <tr r="F120" s="2"/>
        <tr r="G120" s="2"/>
      </tp>
      <tp t="e">
        <v>#N/A</v>
        <stp/>
        <stp>VOLUME</stp>
        <stp>.SPXWP5530</stp>
        <tr r="F120" s="2"/>
        <tr r="G120" s="2"/>
      </tp>
      <tp t="e">
        <v>#N/A</v>
        <stp/>
        <stp>VOLUME</stp>
        <stp>.SPXWC5480</stp>
        <tr r="G125" s="2"/>
        <tr r="F125" s="2"/>
      </tp>
      <tp t="e">
        <v>#N/A</v>
        <stp/>
        <stp>VOLUME</stp>
        <stp>.SPXWP5480</stp>
        <tr r="G125" s="2"/>
        <tr r="F125" s="2"/>
      </tp>
      <tp t="e">
        <v>#N/A</v>
        <stp/>
        <stp>VOLUME</stp>
        <stp>.SPXWC5490</stp>
        <tr r="G124" s="2"/>
        <tr r="F124" s="2"/>
      </tp>
      <tp t="e">
        <v>#N/A</v>
        <stp/>
        <stp>VOLUME</stp>
        <stp>.SPXWP5490</stp>
        <tr r="G124" s="2"/>
        <tr r="F124" s="2"/>
      </tp>
      <tp t="e">
        <v>#N/A</v>
        <stp/>
        <stp>VOLUME</stp>
        <stp>.SPXWC5440</stp>
        <tr r="F129" s="2"/>
        <tr r="G129" s="2"/>
      </tp>
      <tp t="e">
        <v>#N/A</v>
        <stp/>
        <stp>VOLUME</stp>
        <stp>.SPXWP5440</stp>
        <tr r="F129" s="2"/>
        <tr r="G129" s="2"/>
      </tp>
      <tp t="e">
        <v>#N/A</v>
        <stp/>
        <stp>VOLUME</stp>
        <stp>.SPXWC5450</stp>
        <tr r="G128" s="2"/>
        <tr r="F128" s="2"/>
      </tp>
      <tp t="e">
        <v>#N/A</v>
        <stp/>
        <stp>VOLUME</stp>
        <stp>.SPXWP5450</stp>
        <tr r="G128" s="2"/>
        <tr r="F128" s="2"/>
      </tp>
      <tp t="e">
        <v>#N/A</v>
        <stp/>
        <stp>VOLUME</stp>
        <stp>.SPXWC5460</stp>
        <tr r="G127" s="2"/>
        <tr r="F127" s="2"/>
      </tp>
      <tp t="e">
        <v>#N/A</v>
        <stp/>
        <stp>VOLUME</stp>
        <stp>.SPXWP5460</stp>
        <tr r="G127" s="2"/>
        <tr r="F127" s="2"/>
      </tp>
      <tp t="e">
        <v>#N/A</v>
        <stp/>
        <stp>VOLUME</stp>
        <stp>.SPXWC5470</stp>
        <tr r="G126" s="2"/>
        <tr r="F126" s="2"/>
      </tp>
      <tp t="e">
        <v>#N/A</v>
        <stp/>
        <stp>VOLUME</stp>
        <stp>.SPXWP5470</stp>
        <tr r="G126" s="2"/>
        <tr r="F126" s="2"/>
      </tp>
      <tp t="e">
        <v>#N/A</v>
        <stp/>
        <stp>VOLUME</stp>
        <stp>.SPXWC5420</stp>
        <tr r="G131" s="2"/>
        <tr r="F131" s="2"/>
      </tp>
      <tp t="e">
        <v>#N/A</v>
        <stp/>
        <stp>VOLUME</stp>
        <stp>.SPXWP5420</stp>
        <tr r="G131" s="2"/>
        <tr r="F131" s="2"/>
      </tp>
      <tp t="e">
        <v>#N/A</v>
        <stp/>
        <stp>VOLUME</stp>
        <stp>.SPXWC5430</stp>
        <tr r="G130" s="2"/>
        <tr r="F130" s="2"/>
      </tp>
      <tp t="e">
        <v>#N/A</v>
        <stp/>
        <stp>VOLUME</stp>
        <stp>.SPXWP5430</stp>
        <tr r="G130" s="2"/>
        <tr r="F130" s="2"/>
      </tp>
      <tp t="e">
        <v>#N/A</v>
        <stp/>
        <stp>MARK</stp>
        <stp>SPY</stp>
        <tr r="G84" s="1"/>
        <tr r="A3" s="1"/>
      </tp>
      <tp t="e">
        <v>#N/A</v>
        <stp/>
        <stp>MARK</stp>
        <stp>SPX</stp>
        <tr r="E82" s="1"/>
      </tp>
      <tp t="e">
        <v>#N/A</v>
        <stp/>
        <stp>DELTA</stp>
        <stp>.SPY250516P582</stp>
        <tr r="CI4" s="1"/>
        <tr r="CI4" s="1"/>
      </tp>
      <tp t="e">
        <v>#N/A</v>
        <stp/>
        <stp>DELTA</stp>
        <stp>.SPY250516C582</stp>
        <tr r="CH4" s="1"/>
        <tr r="CH4" s="1"/>
      </tp>
      <tp t="e">
        <v>#N/A</v>
        <stp/>
        <stp>DELTA</stp>
        <stp>.SPY250516P581</stp>
        <tr r="CI5" s="1"/>
        <tr r="CI5" s="1"/>
      </tp>
      <tp t="e">
        <v>#N/A</v>
        <stp/>
        <stp>DELTA</stp>
        <stp>.SPY250516C581</stp>
        <tr r="CH5" s="1"/>
        <tr r="CH5" s="1"/>
      </tp>
      <tp t="e">
        <v>#N/A</v>
        <stp/>
        <stp>DELTA</stp>
        <stp>.SPY250516P580</stp>
        <tr r="CI6" s="1"/>
        <tr r="CI6" s="1"/>
      </tp>
      <tp t="e">
        <v>#N/A</v>
        <stp/>
        <stp>DELTA</stp>
        <stp>.SPY250516C580</stp>
        <tr r="CH6" s="1"/>
        <tr r="CH6" s="1"/>
      </tp>
      <tp t="e">
        <v>#N/A</v>
        <stp/>
        <stp>DELTA</stp>
        <stp>.SPY250502P582</stp>
        <tr r="CE4" s="1"/>
        <tr r="CE4" s="1"/>
      </tp>
      <tp t="e">
        <v>#N/A</v>
        <stp/>
        <stp>DELTA</stp>
        <stp>.SPY250502C582</stp>
        <tr r="CD4" s="1"/>
        <tr r="CD4" s="1"/>
      </tp>
      <tp t="e">
        <v>#N/A</v>
        <stp/>
        <stp>DELTA</stp>
        <stp>.SPY250502P581</stp>
        <tr r="CE5" s="1"/>
        <tr r="CE5" s="1"/>
      </tp>
      <tp t="e">
        <v>#N/A</v>
        <stp/>
        <stp>DELTA</stp>
        <stp>.SPY250502C581</stp>
        <tr r="CD5" s="1"/>
        <tr r="CD5" s="1"/>
      </tp>
      <tp t="e">
        <v>#N/A</v>
        <stp/>
        <stp>DELTA</stp>
        <stp>.SPY250502P580</stp>
        <tr r="CE6" s="1"/>
        <tr r="CE6" s="1"/>
      </tp>
      <tp t="e">
        <v>#N/A</v>
        <stp/>
        <stp>DELTA</stp>
        <stp>.SPY250502C580</stp>
        <tr r="CD6" s="1"/>
        <tr r="CD6" s="1"/>
      </tp>
      <tp t="e">
        <v>#N/A</v>
        <stp/>
        <stp>DELTA</stp>
        <stp>.SPY250509P580</stp>
        <tr r="CG6" s="1"/>
        <tr r="CG6" s="1"/>
      </tp>
      <tp t="e">
        <v>#N/A</v>
        <stp/>
        <stp>DELTA</stp>
        <stp>.SPY250509C580</stp>
        <tr r="CF6" s="1"/>
        <tr r="CF6" s="1"/>
      </tp>
      <tp t="e">
        <v>#N/A</v>
        <stp/>
        <stp>DELTA</stp>
        <stp>.SPY250509P581</stp>
        <tr r="CG5" s="1"/>
        <tr r="CG5" s="1"/>
      </tp>
      <tp t="e">
        <v>#N/A</v>
        <stp/>
        <stp>DELTA</stp>
        <stp>.SPY250509C581</stp>
        <tr r="CF5" s="1"/>
        <tr r="CF5" s="1"/>
      </tp>
      <tp t="e">
        <v>#N/A</v>
        <stp/>
        <stp>DELTA</stp>
        <stp>.SPY250509P582</stp>
        <tr r="CG4" s="1"/>
        <tr r="CG4" s="1"/>
      </tp>
      <tp t="e">
        <v>#N/A</v>
        <stp/>
        <stp>DELTA</stp>
        <stp>.SPY250509C582</stp>
        <tr r="CF4" s="1"/>
        <tr r="CF4" s="1"/>
      </tp>
      <tp t="e">
        <v>#N/A</v>
        <stp/>
        <stp>DELTA</stp>
        <stp>.SPY250502P553</stp>
        <tr r="CE33" s="1"/>
        <tr r="CE33" s="1"/>
      </tp>
      <tp t="e">
        <v>#N/A</v>
        <stp/>
        <stp>DELTA</stp>
        <stp>.SPY250509P558</stp>
        <tr r="CG28" s="1"/>
        <tr r="CG28" s="1"/>
      </tp>
      <tp t="e">
        <v>#N/A</v>
        <stp/>
        <stp>DELTA</stp>
        <stp>.SPY250502C553</stp>
        <tr r="CD33" s="1"/>
        <tr r="CD33" s="1"/>
      </tp>
      <tp t="e">
        <v>#N/A</v>
        <stp/>
        <stp>DELTA</stp>
        <stp>.SPY250509C558</stp>
        <tr r="CF28" s="1"/>
        <tr r="CF28" s="1"/>
      </tp>
      <tp t="e">
        <v>#N/A</v>
        <stp/>
        <stp>DELTA</stp>
        <stp>.SPY250502P552</stp>
        <tr r="CE34" s="1"/>
        <tr r="CE34" s="1"/>
      </tp>
      <tp t="e">
        <v>#N/A</v>
        <stp/>
        <stp>DELTA</stp>
        <stp>.SPY250509P559</stp>
        <tr r="CG27" s="1"/>
        <tr r="CG27" s="1"/>
      </tp>
      <tp t="e">
        <v>#N/A</v>
        <stp/>
        <stp>DELTA</stp>
        <stp>.SPY250502C552</stp>
        <tr r="CD34" s="1"/>
        <tr r="CD34" s="1"/>
      </tp>
      <tp t="e">
        <v>#N/A</v>
        <stp/>
        <stp>DELTA</stp>
        <stp>.SPY250509C559</stp>
        <tr r="CF27" s="1"/>
        <tr r="CF27" s="1"/>
      </tp>
      <tp t="e">
        <v>#N/A</v>
        <stp/>
        <stp>DELTA</stp>
        <stp>.SPY250502P551</stp>
        <tr r="CE35" s="1"/>
        <tr r="CE35" s="1"/>
      </tp>
      <tp t="e">
        <v>#N/A</v>
        <stp/>
        <stp>DELTA</stp>
        <stp>.SPY250502C551</stp>
        <tr r="CD35" s="1"/>
        <tr r="CD35" s="1"/>
      </tp>
      <tp t="e">
        <v>#N/A</v>
        <stp/>
        <stp>DELTA</stp>
        <stp>.SPY250502P550</stp>
        <tr r="CE36" s="1"/>
        <tr r="CE36" s="1"/>
      </tp>
      <tp t="e">
        <v>#N/A</v>
        <stp/>
        <stp>DELTA</stp>
        <stp>.SPY250502C550</stp>
        <tr r="CD36" s="1"/>
        <tr r="CD36" s="1"/>
      </tp>
      <tp t="e">
        <v>#N/A</v>
        <stp/>
        <stp>DELTA</stp>
        <stp>.SPY250502P557</stp>
        <tr r="CE29" s="1"/>
        <tr r="CE29" s="1"/>
      </tp>
      <tp t="e">
        <v>#N/A</v>
        <stp/>
        <stp>DELTA</stp>
        <stp>.SPY250502C557</stp>
        <tr r="CD29" s="1"/>
        <tr r="CD29" s="1"/>
      </tp>
      <tp t="e">
        <v>#N/A</v>
        <stp/>
        <stp>DELTA</stp>
        <stp>.SPY250502P556</stp>
        <tr r="CE30" s="1"/>
        <tr r="CE30" s="1"/>
      </tp>
      <tp t="e">
        <v>#N/A</v>
        <stp/>
        <stp>DELTA</stp>
        <stp>.SPY250502C556</stp>
        <tr r="CD30" s="1"/>
        <tr r="CD30" s="1"/>
      </tp>
      <tp t="e">
        <v>#N/A</v>
        <stp/>
        <stp>DELTA</stp>
        <stp>.SPY250502P555</stp>
        <tr r="CE31" s="1"/>
        <tr r="CE31" s="1"/>
      </tp>
      <tp t="e">
        <v>#N/A</v>
        <stp/>
        <stp>DELTA</stp>
        <stp>.SPY250502C555</stp>
        <tr r="CD31" s="1"/>
        <tr r="CD31" s="1"/>
      </tp>
      <tp t="e">
        <v>#N/A</v>
        <stp/>
        <stp>DELTA</stp>
        <stp>.SPY250502P554</stp>
        <tr r="CE32" s="1"/>
        <tr r="CE32" s="1"/>
      </tp>
      <tp t="e">
        <v>#N/A</v>
        <stp/>
        <stp>DELTA</stp>
        <stp>.SPY250502C554</stp>
        <tr r="CD32" s="1"/>
        <tr r="CD32" s="1"/>
      </tp>
      <tp t="e">
        <v>#N/A</v>
        <stp/>
        <stp>DELTA</stp>
        <stp>.SPY250509P550</stp>
        <tr r="CG36" s="1"/>
        <tr r="CG36" s="1"/>
      </tp>
      <tp t="e">
        <v>#N/A</v>
        <stp/>
        <stp>DELTA</stp>
        <stp>.SPY250509C550</stp>
        <tr r="CF36" s="1"/>
        <tr r="CF36" s="1"/>
      </tp>
      <tp t="e">
        <v>#N/A</v>
        <stp/>
        <stp>DELTA</stp>
        <stp>.SPY250509P551</stp>
        <tr r="CG35" s="1"/>
        <tr r="CG35" s="1"/>
      </tp>
      <tp t="e">
        <v>#N/A</v>
        <stp/>
        <stp>DELTA</stp>
        <stp>.SPY250509C551</stp>
        <tr r="CF35" s="1"/>
        <tr r="CF35" s="1"/>
      </tp>
      <tp t="e">
        <v>#N/A</v>
        <stp/>
        <stp>DELTA</stp>
        <stp>.SPY250502P559</stp>
        <tr r="CE27" s="1"/>
        <tr r="CE27" s="1"/>
      </tp>
      <tp t="e">
        <v>#N/A</v>
        <stp/>
        <stp>DELTA</stp>
        <stp>.SPY250509P552</stp>
        <tr r="CG34" s="1"/>
        <tr r="CG34" s="1"/>
      </tp>
      <tp t="e">
        <v>#N/A</v>
        <stp/>
        <stp>DELTA</stp>
        <stp>.SPY250502C559</stp>
        <tr r="CD27" s="1"/>
        <tr r="CD27" s="1"/>
      </tp>
      <tp t="e">
        <v>#N/A</v>
        <stp/>
        <stp>DELTA</stp>
        <stp>.SPY250509C552</stp>
        <tr r="CF34" s="1"/>
        <tr r="CF34" s="1"/>
      </tp>
      <tp t="e">
        <v>#N/A</v>
        <stp/>
        <stp>DELTA</stp>
        <stp>.SPY250502P558</stp>
        <tr r="CE28" s="1"/>
        <tr r="CE28" s="1"/>
      </tp>
      <tp t="e">
        <v>#N/A</v>
        <stp/>
        <stp>DELTA</stp>
        <stp>.SPY250509P553</stp>
        <tr r="CG33" s="1"/>
        <tr r="CG33" s="1"/>
      </tp>
      <tp t="e">
        <v>#N/A</v>
        <stp/>
        <stp>DELTA</stp>
        <stp>.SPY250502C558</stp>
        <tr r="CD28" s="1"/>
        <tr r="CD28" s="1"/>
      </tp>
      <tp t="e">
        <v>#N/A</v>
        <stp/>
        <stp>DELTA</stp>
        <stp>.SPY250509C553</stp>
        <tr r="CF33" s="1"/>
        <tr r="CF33" s="1"/>
      </tp>
      <tp t="e">
        <v>#N/A</v>
        <stp/>
        <stp>DELTA</stp>
        <stp>.SPY250509P554</stp>
        <tr r="CG32" s="1"/>
        <tr r="CG32" s="1"/>
      </tp>
      <tp t="e">
        <v>#N/A</v>
        <stp/>
        <stp>DELTA</stp>
        <stp>.SPY250509C554</stp>
        <tr r="CF32" s="1"/>
        <tr r="CF32" s="1"/>
      </tp>
      <tp t="e">
        <v>#N/A</v>
        <stp/>
        <stp>DELTA</stp>
        <stp>.SPY250509P555</stp>
        <tr r="CG31" s="1"/>
        <tr r="CG31" s="1"/>
      </tp>
      <tp t="e">
        <v>#N/A</v>
        <stp/>
        <stp>DELTA</stp>
        <stp>.SPY250509C555</stp>
        <tr r="CF31" s="1"/>
        <tr r="CF31" s="1"/>
      </tp>
      <tp t="e">
        <v>#N/A</v>
        <stp/>
        <stp>DELTA</stp>
        <stp>.SPY250509P556</stp>
        <tr r="CG30" s="1"/>
        <tr r="CG30" s="1"/>
      </tp>
      <tp t="e">
        <v>#N/A</v>
        <stp/>
        <stp>DELTA</stp>
        <stp>.SPY250516P549</stp>
        <tr r="CI37" s="1"/>
        <tr r="CI37" s="1"/>
      </tp>
      <tp t="e">
        <v>#N/A</v>
        <stp/>
        <stp>DELTA</stp>
        <stp>.SPY250509C556</stp>
        <tr r="CF30" s="1"/>
        <tr r="CF30" s="1"/>
      </tp>
      <tp t="e">
        <v>#N/A</v>
        <stp/>
        <stp>DELTA</stp>
        <stp>.SPY250516C549</stp>
        <tr r="CH37" s="1"/>
        <tr r="CH37" s="1"/>
      </tp>
      <tp t="e">
        <v>#N/A</v>
        <stp/>
        <stp>DELTA</stp>
        <stp>.SPY250509P557</stp>
        <tr r="CG29" s="1"/>
        <tr r="CG29" s="1"/>
      </tp>
      <tp t="e">
        <v>#N/A</v>
        <stp/>
        <stp>DELTA</stp>
        <stp>.SPY250516P548</stp>
        <tr r="CI38" s="1"/>
        <tr r="CI38" s="1"/>
      </tp>
      <tp t="e">
        <v>#N/A</v>
        <stp/>
        <stp>DELTA</stp>
        <stp>.SPY250509C557</stp>
        <tr r="CF29" s="1"/>
        <tr r="CF29" s="1"/>
      </tp>
      <tp t="e">
        <v>#N/A</v>
        <stp/>
        <stp>DELTA</stp>
        <stp>.SPY250516C548</stp>
        <tr r="CH38" s="1"/>
        <tr r="CH38" s="1"/>
      </tp>
      <tp t="e">
        <v>#N/A</v>
        <stp/>
        <stp>DELTA</stp>
        <stp>.SPY250509P548</stp>
        <tr r="CG38" s="1"/>
        <tr r="CG38" s="1"/>
      </tp>
      <tp t="e">
        <v>#N/A</v>
        <stp/>
        <stp>DELTA</stp>
        <stp>.SPY250516P557</stp>
        <tr r="CI29" s="1"/>
        <tr r="CI29" s="1"/>
      </tp>
      <tp t="e">
        <v>#N/A</v>
        <stp/>
        <stp>DELTA</stp>
        <stp>.SPY250509C548</stp>
        <tr r="CF38" s="1"/>
        <tr r="CF38" s="1"/>
      </tp>
      <tp t="e">
        <v>#N/A</v>
        <stp/>
        <stp>DELTA</stp>
        <stp>.SPY250516C557</stp>
        <tr r="CH29" s="1"/>
        <tr r="CH29" s="1"/>
      </tp>
      <tp t="e">
        <v>#N/A</v>
        <stp/>
        <stp>DELTA</stp>
        <stp>.SPY250509P549</stp>
        <tr r="CG37" s="1"/>
        <tr r="CG37" s="1"/>
      </tp>
      <tp t="e">
        <v>#N/A</v>
        <stp/>
        <stp>DELTA</stp>
        <stp>.SPY250516P556</stp>
        <tr r="CI30" s="1"/>
        <tr r="CI30" s="1"/>
      </tp>
      <tp t="e">
        <v>#N/A</v>
        <stp/>
        <stp>DELTA</stp>
        <stp>.SPY250509C549</stp>
        <tr r="CF37" s="1"/>
        <tr r="CF37" s="1"/>
      </tp>
      <tp t="e">
        <v>#N/A</v>
        <stp/>
        <stp>DELTA</stp>
        <stp>.SPY250516C556</stp>
        <tr r="CH30" s="1"/>
        <tr r="CH30" s="1"/>
      </tp>
      <tp t="e">
        <v>#N/A</v>
        <stp/>
        <stp>DELTA</stp>
        <stp>.SPY250516P555</stp>
        <tr r="CI31" s="1"/>
        <tr r="CI31" s="1"/>
      </tp>
      <tp t="e">
        <v>#N/A</v>
        <stp/>
        <stp>DELTA</stp>
        <stp>.SPY250516C555</stp>
        <tr r="CH31" s="1"/>
        <tr r="CH31" s="1"/>
      </tp>
      <tp t="e">
        <v>#N/A</v>
        <stp/>
        <stp>DELTA</stp>
        <stp>.SPY250516P554</stp>
        <tr r="CI32" s="1"/>
        <tr r="CI32" s="1"/>
      </tp>
      <tp t="e">
        <v>#N/A</v>
        <stp/>
        <stp>DELTA</stp>
        <stp>.SPY250516C554</stp>
        <tr r="CH32" s="1"/>
        <tr r="CH32" s="1"/>
      </tp>
      <tp t="e">
        <v>#N/A</v>
        <stp/>
        <stp>DELTA</stp>
        <stp>.SPY250516P553</stp>
        <tr r="CI33" s="1"/>
        <tr r="CI33" s="1"/>
      </tp>
      <tp t="e">
        <v>#N/A</v>
        <stp/>
        <stp>DELTA</stp>
        <stp>.SPY250516C553</stp>
        <tr r="CH33" s="1"/>
        <tr r="CH33" s="1"/>
      </tp>
      <tp t="e">
        <v>#N/A</v>
        <stp/>
        <stp>DELTA</stp>
        <stp>.SPY250516P552</stp>
        <tr r="CI34" s="1"/>
        <tr r="CI34" s="1"/>
      </tp>
      <tp t="e">
        <v>#N/A</v>
        <stp/>
        <stp>DELTA</stp>
        <stp>.SPY250516C552</stp>
        <tr r="CH34" s="1"/>
        <tr r="CH34" s="1"/>
      </tp>
      <tp t="e">
        <v>#N/A</v>
        <stp/>
        <stp>DELTA</stp>
        <stp>.SPY250516P551</stp>
        <tr r="CI35" s="1"/>
        <tr r="CI35" s="1"/>
      </tp>
      <tp t="e">
        <v>#N/A</v>
        <stp/>
        <stp>DELTA</stp>
        <stp>.SPY250516C551</stp>
        <tr r="CH35" s="1"/>
        <tr r="CH35" s="1"/>
      </tp>
      <tp t="e">
        <v>#N/A</v>
        <stp/>
        <stp>DELTA</stp>
        <stp>.SPY250516P550</stp>
        <tr r="CI36" s="1"/>
        <tr r="CI36" s="1"/>
      </tp>
      <tp t="e">
        <v>#N/A</v>
        <stp/>
        <stp>DELTA</stp>
        <stp>.SPY250516C550</stp>
        <tr r="CH36" s="1"/>
        <tr r="CH36" s="1"/>
      </tp>
      <tp t="e">
        <v>#N/A</v>
        <stp/>
        <stp>DELTA</stp>
        <stp>.SPY250502P549</stp>
        <tr r="CE37" s="1"/>
        <tr r="CE37" s="1"/>
      </tp>
      <tp t="e">
        <v>#N/A</v>
        <stp/>
        <stp>DELTA</stp>
        <stp>.SPY250502C549</stp>
        <tr r="CD37" s="1"/>
        <tr r="CD37" s="1"/>
      </tp>
      <tp t="e">
        <v>#N/A</v>
        <stp/>
        <stp>DELTA</stp>
        <stp>.SPY250502P548</stp>
        <tr r="CE38" s="1"/>
        <tr r="CE38" s="1"/>
      </tp>
      <tp t="e">
        <v>#N/A</v>
        <stp/>
        <stp>DELTA</stp>
        <stp>.SPY250502C548</stp>
        <tr r="CD38" s="1"/>
        <tr r="CD38" s="1"/>
      </tp>
      <tp t="e">
        <v>#N/A</v>
        <stp/>
        <stp>DELTA</stp>
        <stp>.SPY250516P559</stp>
        <tr r="CI27" s="1"/>
        <tr r="CI27" s="1"/>
      </tp>
      <tp t="e">
        <v>#N/A</v>
        <stp/>
        <stp>DELTA</stp>
        <stp>.SPY250516C559</stp>
        <tr r="CH27" s="1"/>
        <tr r="CH27" s="1"/>
      </tp>
      <tp t="e">
        <v>#N/A</v>
        <stp/>
        <stp>DELTA</stp>
        <stp>.SPY250516P558</stp>
        <tr r="CI28" s="1"/>
        <tr r="CI28" s="1"/>
      </tp>
      <tp t="e">
        <v>#N/A</v>
        <stp/>
        <stp>DELTA</stp>
        <stp>.SPY250516C558</stp>
        <tr r="CH28" s="1"/>
        <tr r="CH28" s="1"/>
      </tp>
      <tp t="e">
        <v>#N/A</v>
        <stp/>
        <stp>DELTA</stp>
        <stp>.SPY250502P573</stp>
        <tr r="CE13" s="1"/>
        <tr r="CE13" s="1"/>
      </tp>
      <tp t="e">
        <v>#N/A</v>
        <stp/>
        <stp>DELTA</stp>
        <stp>.SPY250509P578</stp>
        <tr r="CG8" s="1"/>
        <tr r="CG8" s="1"/>
      </tp>
      <tp t="e">
        <v>#N/A</v>
        <stp/>
        <stp>DELTA</stp>
        <stp>.SPY250516P567</stp>
        <tr r="CI19" s="1"/>
        <tr r="CI19" s="1"/>
      </tp>
      <tp t="e">
        <v>#N/A</v>
        <stp/>
        <stp>DELTA</stp>
        <stp>.SPY250502C573</stp>
        <tr r="CD13" s="1"/>
        <tr r="CD13" s="1"/>
      </tp>
      <tp t="e">
        <v>#N/A</v>
        <stp/>
        <stp>DELTA</stp>
        <stp>.SPY250509C578</stp>
        <tr r="CF8" s="1"/>
        <tr r="CF8" s="1"/>
      </tp>
      <tp t="e">
        <v>#N/A</v>
        <stp/>
        <stp>DELTA</stp>
        <stp>.SPY250516C567</stp>
        <tr r="CH19" s="1"/>
        <tr r="CH19" s="1"/>
      </tp>
      <tp t="e">
        <v>#N/A</v>
        <stp/>
        <stp>DELTA</stp>
        <stp>.SPY250502P572</stp>
        <tr r="CE14" s="1"/>
        <tr r="CE14" s="1"/>
      </tp>
      <tp t="e">
        <v>#N/A</v>
        <stp/>
        <stp>DELTA</stp>
        <stp>.SPY250509P579</stp>
        <tr r="CG7" s="1"/>
        <tr r="CG7" s="1"/>
      </tp>
      <tp t="e">
        <v>#N/A</v>
        <stp/>
        <stp>DELTA</stp>
        <stp>.SPY250516P566</stp>
        <tr r="CI20" s="1"/>
        <tr r="CI20" s="1"/>
      </tp>
      <tp t="e">
        <v>#N/A</v>
        <stp/>
        <stp>DELTA</stp>
        <stp>.SPY250502C572</stp>
        <tr r="CD14" s="1"/>
        <tr r="CD14" s="1"/>
      </tp>
      <tp t="e">
        <v>#N/A</v>
        <stp/>
        <stp>DELTA</stp>
        <stp>.SPY250509C579</stp>
        <tr r="CF7" s="1"/>
        <tr r="CF7" s="1"/>
      </tp>
      <tp t="e">
        <v>#N/A</v>
        <stp/>
        <stp>DELTA</stp>
        <stp>.SPY250516C566</stp>
        <tr r="CH20" s="1"/>
        <tr r="CH20" s="1"/>
      </tp>
      <tp t="e">
        <v>#N/A</v>
        <stp/>
        <stp>DELTA</stp>
        <stp>.SPY250502P571</stp>
        <tr r="CE15" s="1"/>
        <tr r="CE15" s="1"/>
      </tp>
      <tp t="e">
        <v>#N/A</v>
        <stp/>
        <stp>DELTA</stp>
        <stp>.SPY250516P565</stp>
        <tr r="CI21" s="1"/>
        <tr r="CI21" s="1"/>
      </tp>
      <tp t="e">
        <v>#N/A</v>
        <stp/>
        <stp>DELTA</stp>
        <stp>.SPY250502C571</stp>
        <tr r="CD15" s="1"/>
        <tr r="CD15" s="1"/>
      </tp>
      <tp t="e">
        <v>#N/A</v>
        <stp/>
        <stp>DELTA</stp>
        <stp>.SPY250516C565</stp>
        <tr r="CH21" s="1"/>
        <tr r="CH21" s="1"/>
      </tp>
      <tp t="e">
        <v>#N/A</v>
        <stp/>
        <stp>DELTA</stp>
        <stp>.SPY250502P570</stp>
        <tr r="CE16" s="1"/>
        <tr r="CE16" s="1"/>
      </tp>
      <tp t="e">
        <v>#N/A</v>
        <stp/>
        <stp>DELTA</stp>
        <stp>.SPY250516P564</stp>
        <tr r="CI22" s="1"/>
        <tr r="CI22" s="1"/>
      </tp>
      <tp t="e">
        <v>#N/A</v>
        <stp/>
        <stp>DELTA</stp>
        <stp>.SPY250502C570</stp>
        <tr r="CD16" s="1"/>
        <tr r="CD16" s="1"/>
      </tp>
      <tp t="e">
        <v>#N/A</v>
        <stp/>
        <stp>DELTA</stp>
        <stp>.SPY250516C564</stp>
        <tr r="CH22" s="1"/>
        <tr r="CH22" s="1"/>
      </tp>
      <tp t="e">
        <v>#N/A</v>
        <stp/>
        <stp>DELTA</stp>
        <stp>.SPY250502P577</stp>
        <tr r="CE9" s="1"/>
        <tr r="CE9" s="1"/>
      </tp>
      <tp t="e">
        <v>#N/A</v>
        <stp/>
        <stp>DELTA</stp>
        <stp>.SPY250516P563</stp>
        <tr r="CI23" s="1"/>
        <tr r="CI23" s="1"/>
      </tp>
      <tp t="e">
        <v>#N/A</v>
        <stp/>
        <stp>DELTA</stp>
        <stp>.SPY250502C577</stp>
        <tr r="CD9" s="1"/>
        <tr r="CD9" s="1"/>
      </tp>
      <tp t="e">
        <v>#N/A</v>
        <stp/>
        <stp>DELTA</stp>
        <stp>.SPY250516C563</stp>
        <tr r="CH23" s="1"/>
        <tr r="CH23" s="1"/>
      </tp>
      <tp t="e">
        <v>#N/A</v>
        <stp/>
        <stp>DELTA</stp>
        <stp>.SPY250502P576</stp>
        <tr r="CE10" s="1"/>
        <tr r="CE10" s="1"/>
      </tp>
      <tp t="e">
        <v>#N/A</v>
        <stp/>
        <stp>DELTA</stp>
        <stp>.SPY250516P562</stp>
        <tr r="CI24" s="1"/>
        <tr r="CI24" s="1"/>
      </tp>
      <tp t="e">
        <v>#N/A</v>
        <stp/>
        <stp>DELTA</stp>
        <stp>.SPY250502C576</stp>
        <tr r="CD10" s="1"/>
        <tr r="CD10" s="1"/>
      </tp>
      <tp t="e">
        <v>#N/A</v>
        <stp/>
        <stp>DELTA</stp>
        <stp>.SPY250516C562</stp>
        <tr r="CH24" s="1"/>
        <tr r="CH24" s="1"/>
      </tp>
      <tp t="e">
        <v>#N/A</v>
        <stp/>
        <stp>DELTA</stp>
        <stp>.SPY250502P575</stp>
        <tr r="CE11" s="1"/>
        <tr r="CE11" s="1"/>
      </tp>
      <tp t="e">
        <v>#N/A</v>
        <stp/>
        <stp>DELTA</stp>
        <stp>.SPY250516P561</stp>
        <tr r="CI25" s="1"/>
        <tr r="CI25" s="1"/>
      </tp>
      <tp t="e">
        <v>#N/A</v>
        <stp/>
        <stp>DELTA</stp>
        <stp>.SPY250502C575</stp>
        <tr r="CD11" s="1"/>
        <tr r="CD11" s="1"/>
      </tp>
      <tp t="e">
        <v>#N/A</v>
        <stp/>
        <stp>DELTA</stp>
        <stp>.SPY250516C561</stp>
        <tr r="CH25" s="1"/>
        <tr r="CH25" s="1"/>
      </tp>
      <tp t="e">
        <v>#N/A</v>
        <stp/>
        <stp>DELTA</stp>
        <stp>.SPY250502P574</stp>
        <tr r="CE12" s="1"/>
        <tr r="CE12" s="1"/>
      </tp>
      <tp t="e">
        <v>#N/A</v>
        <stp/>
        <stp>DELTA</stp>
        <stp>.SPY250516P560</stp>
        <tr r="CI26" s="1"/>
        <tr r="CI26" s="1"/>
      </tp>
      <tp t="e">
        <v>#N/A</v>
        <stp/>
        <stp>DELTA</stp>
        <stp>.SPY250502C574</stp>
        <tr r="CD12" s="1"/>
        <tr r="CD12" s="1"/>
      </tp>
      <tp t="e">
        <v>#N/A</v>
        <stp/>
        <stp>DELTA</stp>
        <stp>.SPY250516C560</stp>
        <tr r="CH26" s="1"/>
        <tr r="CH26" s="1"/>
      </tp>
      <tp t="e">
        <v>#N/A</v>
        <stp/>
        <stp>DELTA</stp>
        <stp>.SPY250509P570</stp>
        <tr r="CG16" s="1"/>
        <tr r="CG16" s="1"/>
      </tp>
      <tp t="e">
        <v>#N/A</v>
        <stp/>
        <stp>DELTA</stp>
        <stp>.SPY250509C570</stp>
        <tr r="CF16" s="1"/>
        <tr r="CF16" s="1"/>
      </tp>
      <tp t="e">
        <v>#N/A</v>
        <stp/>
        <stp>DELTA</stp>
        <stp>.SPY250509P571</stp>
        <tr r="CG15" s="1"/>
        <tr r="CG15" s="1"/>
      </tp>
      <tp t="e">
        <v>#N/A</v>
        <stp/>
        <stp>DELTA</stp>
        <stp>.SPY250509C571</stp>
        <tr r="CF15" s="1"/>
        <tr r="CF15" s="1"/>
      </tp>
      <tp t="e">
        <v>#N/A</v>
        <stp/>
        <stp>DELTA</stp>
        <stp>.SPY250502P579</stp>
        <tr r="CE7" s="1"/>
        <tr r="CE7" s="1"/>
      </tp>
      <tp t="e">
        <v>#N/A</v>
        <stp/>
        <stp>DELTA</stp>
        <stp>.SPY250509P572</stp>
        <tr r="CG14" s="1"/>
        <tr r="CG14" s="1"/>
      </tp>
      <tp t="e">
        <v>#N/A</v>
        <stp/>
        <stp>DELTA</stp>
        <stp>.SPY250502C579</stp>
        <tr r="CD7" s="1"/>
        <tr r="CD7" s="1"/>
      </tp>
      <tp t="e">
        <v>#N/A</v>
        <stp/>
        <stp>DELTA</stp>
        <stp>.SPY250509C572</stp>
        <tr r="CF14" s="1"/>
        <tr r="CF14" s="1"/>
      </tp>
      <tp t="e">
        <v>#N/A</v>
        <stp/>
        <stp>DELTA</stp>
        <stp>.SPY250502P578</stp>
        <tr r="CE8" s="1"/>
        <tr r="CE8" s="1"/>
      </tp>
      <tp t="e">
        <v>#N/A</v>
        <stp/>
        <stp>DELTA</stp>
        <stp>.SPY250509P573</stp>
        <tr r="CG13" s="1"/>
        <tr r="CG13" s="1"/>
      </tp>
      <tp t="e">
        <v>#N/A</v>
        <stp/>
        <stp>DELTA</stp>
        <stp>.SPY250502C578</stp>
        <tr r="CD8" s="1"/>
        <tr r="CD8" s="1"/>
      </tp>
      <tp t="e">
        <v>#N/A</v>
        <stp/>
        <stp>DELTA</stp>
        <stp>.SPY250509C573</stp>
        <tr r="CF13" s="1"/>
        <tr r="CF13" s="1"/>
      </tp>
      <tp t="e">
        <v>#N/A</v>
        <stp/>
        <stp>DELTA</stp>
        <stp>.SPY250509P574</stp>
        <tr r="CG12" s="1"/>
        <tr r="CG12" s="1"/>
      </tp>
      <tp t="e">
        <v>#N/A</v>
        <stp/>
        <stp>DELTA</stp>
        <stp>.SPY250509C574</stp>
        <tr r="CF12" s="1"/>
        <tr r="CF12" s="1"/>
      </tp>
      <tp t="e">
        <v>#N/A</v>
        <stp/>
        <stp>DELTA</stp>
        <stp>.SPY250509P575</stp>
        <tr r="CG11" s="1"/>
        <tr r="CG11" s="1"/>
      </tp>
      <tp t="e">
        <v>#N/A</v>
        <stp/>
        <stp>DELTA</stp>
        <stp>.SPY250509C575</stp>
        <tr r="CF11" s="1"/>
        <tr r="CF11" s="1"/>
      </tp>
      <tp t="e">
        <v>#N/A</v>
        <stp/>
        <stp>DELTA</stp>
        <stp>.SPY250509P576</stp>
        <tr r="CG10" s="1"/>
        <tr r="CG10" s="1"/>
      </tp>
      <tp t="e">
        <v>#N/A</v>
        <stp/>
        <stp>DELTA</stp>
        <stp>.SPY250516P569</stp>
        <tr r="CI17" s="1"/>
        <tr r="CI17" s="1"/>
      </tp>
      <tp t="e">
        <v>#N/A</v>
        <stp/>
        <stp>DELTA</stp>
        <stp>.SPY250509C576</stp>
        <tr r="CF10" s="1"/>
        <tr r="CF10" s="1"/>
      </tp>
      <tp t="e">
        <v>#N/A</v>
        <stp/>
        <stp>DELTA</stp>
        <stp>.SPY250516C569</stp>
        <tr r="CH17" s="1"/>
        <tr r="CH17" s="1"/>
      </tp>
      <tp t="e">
        <v>#N/A</v>
        <stp/>
        <stp>DELTA</stp>
        <stp>.SPY250509P577</stp>
        <tr r="CG9" s="1"/>
        <tr r="CG9" s="1"/>
      </tp>
      <tp t="e">
        <v>#N/A</v>
        <stp/>
        <stp>DELTA</stp>
        <stp>.SPY250516P568</stp>
        <tr r="CI18" s="1"/>
        <tr r="CI18" s="1"/>
      </tp>
      <tp t="e">
        <v>#N/A</v>
        <stp/>
        <stp>DELTA</stp>
        <stp>.SPY250509C577</stp>
        <tr r="CF9" s="1"/>
        <tr r="CF9" s="1"/>
      </tp>
      <tp t="e">
        <v>#N/A</v>
        <stp/>
        <stp>DELTA</stp>
        <stp>.SPY250516C568</stp>
        <tr r="CH18" s="1"/>
        <tr r="CH18" s="1"/>
      </tp>
      <tp t="e">
        <v>#N/A</v>
        <stp/>
        <stp>DELTA</stp>
        <stp>.SPY250502P563</stp>
        <tr r="CE23" s="1"/>
        <tr r="CE23" s="1"/>
      </tp>
      <tp t="e">
        <v>#N/A</v>
        <stp/>
        <stp>DELTA</stp>
        <stp>.SPY250509P568</stp>
        <tr r="CG18" s="1"/>
        <tr r="CG18" s="1"/>
      </tp>
      <tp t="e">
        <v>#N/A</v>
        <stp/>
        <stp>DELTA</stp>
        <stp>.SPY250516P577</stp>
        <tr r="CI9" s="1"/>
        <tr r="CI9" s="1"/>
      </tp>
      <tp t="e">
        <v>#N/A</v>
        <stp/>
        <stp>DELTA</stp>
        <stp>.SPY250502C563</stp>
        <tr r="CD23" s="1"/>
        <tr r="CD23" s="1"/>
      </tp>
      <tp t="e">
        <v>#N/A</v>
        <stp/>
        <stp>DELTA</stp>
        <stp>.SPY250509C568</stp>
        <tr r="CF18" s="1"/>
        <tr r="CF18" s="1"/>
      </tp>
      <tp t="e">
        <v>#N/A</v>
        <stp/>
        <stp>DELTA</stp>
        <stp>.SPY250516C577</stp>
        <tr r="CH9" s="1"/>
        <tr r="CH9" s="1"/>
      </tp>
      <tp t="e">
        <v>#N/A</v>
        <stp/>
        <stp>DELTA</stp>
        <stp>.SPY250502P562</stp>
        <tr r="CE24" s="1"/>
        <tr r="CE24" s="1"/>
      </tp>
      <tp t="e">
        <v>#N/A</v>
        <stp/>
        <stp>DELTA</stp>
        <stp>.SPY250509P569</stp>
        <tr r="CG17" s="1"/>
        <tr r="CG17" s="1"/>
      </tp>
      <tp t="e">
        <v>#N/A</v>
        <stp/>
        <stp>DELTA</stp>
        <stp>.SPY250516P576</stp>
        <tr r="CI10" s="1"/>
        <tr r="CI10" s="1"/>
      </tp>
      <tp t="e">
        <v>#N/A</v>
        <stp/>
        <stp>DELTA</stp>
        <stp>.SPY250502C562</stp>
        <tr r="CD24" s="1"/>
        <tr r="CD24" s="1"/>
      </tp>
      <tp t="e">
        <v>#N/A</v>
        <stp/>
        <stp>DELTA</stp>
        <stp>.SPY250509C569</stp>
        <tr r="CF17" s="1"/>
        <tr r="CF17" s="1"/>
      </tp>
      <tp t="e">
        <v>#N/A</v>
        <stp/>
        <stp>DELTA</stp>
        <stp>.SPY250516C576</stp>
        <tr r="CH10" s="1"/>
        <tr r="CH10" s="1"/>
      </tp>
      <tp t="e">
        <v>#N/A</v>
        <stp/>
        <stp>DELTA</stp>
        <stp>.SPY250502P561</stp>
        <tr r="CE25" s="1"/>
        <tr r="CE25" s="1"/>
      </tp>
      <tp t="e">
        <v>#N/A</v>
        <stp/>
        <stp>DELTA</stp>
        <stp>.SPY250516P575</stp>
        <tr r="CI11" s="1"/>
        <tr r="CI11" s="1"/>
      </tp>
      <tp t="e">
        <v>#N/A</v>
        <stp/>
        <stp>DELTA</stp>
        <stp>.SPY250502C561</stp>
        <tr r="CD25" s="1"/>
        <tr r="CD25" s="1"/>
      </tp>
      <tp t="e">
        <v>#N/A</v>
        <stp/>
        <stp>DELTA</stp>
        <stp>.SPY250516C575</stp>
        <tr r="CH11" s="1"/>
        <tr r="CH11" s="1"/>
      </tp>
      <tp t="e">
        <v>#N/A</v>
        <stp/>
        <stp>DELTA</stp>
        <stp>.SPY250502P560</stp>
        <tr r="CE26" s="1"/>
        <tr r="CE26" s="1"/>
      </tp>
      <tp t="e">
        <v>#N/A</v>
        <stp/>
        <stp>DELTA</stp>
        <stp>.SPY250516P574</stp>
        <tr r="CI12" s="1"/>
        <tr r="CI12" s="1"/>
      </tp>
      <tp t="e">
        <v>#N/A</v>
        <stp/>
        <stp>DELTA</stp>
        <stp>.SPY250502C560</stp>
        <tr r="CD26" s="1"/>
        <tr r="CD26" s="1"/>
      </tp>
      <tp t="e">
        <v>#N/A</v>
        <stp/>
        <stp>DELTA</stp>
        <stp>.SPY250516C574</stp>
        <tr r="CH12" s="1"/>
        <tr r="CH12" s="1"/>
      </tp>
      <tp t="e">
        <v>#N/A</v>
        <stp/>
        <stp>DELTA</stp>
        <stp>.SPY250502P567</stp>
        <tr r="CE19" s="1"/>
        <tr r="CE19" s="1"/>
      </tp>
      <tp t="e">
        <v>#N/A</v>
        <stp/>
        <stp>DELTA</stp>
        <stp>.SPY250516P573</stp>
        <tr r="CI13" s="1"/>
        <tr r="CI13" s="1"/>
      </tp>
      <tp t="e">
        <v>#N/A</v>
        <stp/>
        <stp>DELTA</stp>
        <stp>.SPY250502C567</stp>
        <tr r="CD19" s="1"/>
        <tr r="CD19" s="1"/>
      </tp>
      <tp t="e">
        <v>#N/A</v>
        <stp/>
        <stp>DELTA</stp>
        <stp>.SPY250516C573</stp>
        <tr r="CH13" s="1"/>
        <tr r="CH13" s="1"/>
      </tp>
      <tp t="e">
        <v>#N/A</v>
        <stp/>
        <stp>DELTA</stp>
        <stp>.SPY250502P566</stp>
        <tr r="CE20" s="1"/>
        <tr r="CE20" s="1"/>
      </tp>
      <tp t="e">
        <v>#N/A</v>
        <stp/>
        <stp>DELTA</stp>
        <stp>.SPY250516P572</stp>
        <tr r="CI14" s="1"/>
        <tr r="CI14" s="1"/>
      </tp>
      <tp t="e">
        <v>#N/A</v>
        <stp/>
        <stp>DELTA</stp>
        <stp>.SPY250502C566</stp>
        <tr r="CD20" s="1"/>
        <tr r="CD20" s="1"/>
      </tp>
      <tp t="e">
        <v>#N/A</v>
        <stp/>
        <stp>DELTA</stp>
        <stp>.SPY250516C572</stp>
        <tr r="CH14" s="1"/>
        <tr r="CH14" s="1"/>
      </tp>
      <tp t="e">
        <v>#N/A</v>
        <stp/>
        <stp>DELTA</stp>
        <stp>.SPY250502P565</stp>
        <tr r="CE21" s="1"/>
        <tr r="CE21" s="1"/>
      </tp>
      <tp t="e">
        <v>#N/A</v>
        <stp/>
        <stp>DELTA</stp>
        <stp>.SPY250516P571</stp>
        <tr r="CI15" s="1"/>
        <tr r="CI15" s="1"/>
      </tp>
      <tp t="e">
        <v>#N/A</v>
        <stp/>
        <stp>DELTA</stp>
        <stp>.SPY250502C565</stp>
        <tr r="CD21" s="1"/>
        <tr r="CD21" s="1"/>
      </tp>
      <tp t="e">
        <v>#N/A</v>
        <stp/>
        <stp>DELTA</stp>
        <stp>.SPY250516C571</stp>
        <tr r="CH15" s="1"/>
        <tr r="CH15" s="1"/>
      </tp>
      <tp t="e">
        <v>#N/A</v>
        <stp/>
        <stp>DELTA</stp>
        <stp>.SPY250502P564</stp>
        <tr r="CE22" s="1"/>
        <tr r="CE22" s="1"/>
      </tp>
      <tp t="e">
        <v>#N/A</v>
        <stp/>
        <stp>DELTA</stp>
        <stp>.SPY250516P570</stp>
        <tr r="CI16" s="1"/>
        <tr r="CI16" s="1"/>
      </tp>
      <tp t="e">
        <v>#N/A</v>
        <stp/>
        <stp>DELTA</stp>
        <stp>.SPY250502C564</stp>
        <tr r="CD22" s="1"/>
        <tr r="CD22" s="1"/>
      </tp>
      <tp t="e">
        <v>#N/A</v>
        <stp/>
        <stp>DELTA</stp>
        <stp>.SPY250516C570</stp>
        <tr r="CH16" s="1"/>
        <tr r="CH16" s="1"/>
      </tp>
      <tp t="e">
        <v>#N/A</v>
        <stp/>
        <stp>DELTA</stp>
        <stp>.SPY250509P560</stp>
        <tr r="CG26" s="1"/>
        <tr r="CG26" s="1"/>
      </tp>
      <tp t="e">
        <v>#N/A</v>
        <stp/>
        <stp>DELTA</stp>
        <stp>.SPY250509C560</stp>
        <tr r="CF26" s="1"/>
        <tr r="CF26" s="1"/>
      </tp>
      <tp t="e">
        <v>#N/A</v>
        <stp/>
        <stp>DELTA</stp>
        <stp>.SPY250509P561</stp>
        <tr r="CG25" s="1"/>
        <tr r="CG25" s="1"/>
      </tp>
      <tp t="e">
        <v>#N/A</v>
        <stp/>
        <stp>DELTA</stp>
        <stp>.SPY250509C561</stp>
        <tr r="CF25" s="1"/>
        <tr r="CF25" s="1"/>
      </tp>
      <tp t="e">
        <v>#N/A</v>
        <stp/>
        <stp>DELTA</stp>
        <stp>.SPY250502P569</stp>
        <tr r="CE17" s="1"/>
        <tr r="CE17" s="1"/>
      </tp>
      <tp t="e">
        <v>#N/A</v>
        <stp/>
        <stp>DELTA</stp>
        <stp>.SPY250509P562</stp>
        <tr r="CG24" s="1"/>
        <tr r="CG24" s="1"/>
      </tp>
      <tp t="e">
        <v>#N/A</v>
        <stp/>
        <stp>DELTA</stp>
        <stp>.SPY250502C569</stp>
        <tr r="CD17" s="1"/>
        <tr r="CD17" s="1"/>
      </tp>
      <tp t="e">
        <v>#N/A</v>
        <stp/>
        <stp>DELTA</stp>
        <stp>.SPY250509C562</stp>
        <tr r="CF24" s="1"/>
        <tr r="CF24" s="1"/>
      </tp>
      <tp t="e">
        <v>#N/A</v>
        <stp/>
        <stp>DELTA</stp>
        <stp>.SPY250502P568</stp>
        <tr r="CE18" s="1"/>
        <tr r="CE18" s="1"/>
      </tp>
      <tp t="e">
        <v>#N/A</v>
        <stp/>
        <stp>DELTA</stp>
        <stp>.SPY250509P563</stp>
        <tr r="CG23" s="1"/>
        <tr r="CG23" s="1"/>
      </tp>
      <tp t="e">
        <v>#N/A</v>
        <stp/>
        <stp>DELTA</stp>
        <stp>.SPY250502C568</stp>
        <tr r="CD18" s="1"/>
        <tr r="CD18" s="1"/>
      </tp>
      <tp t="e">
        <v>#N/A</v>
        <stp/>
        <stp>DELTA</stp>
        <stp>.SPY250509C563</stp>
        <tr r="CF23" s="1"/>
        <tr r="CF23" s="1"/>
      </tp>
      <tp t="e">
        <v>#N/A</v>
        <stp/>
        <stp>DELTA</stp>
        <stp>.SPY250509P564</stp>
        <tr r="CG22" s="1"/>
        <tr r="CG22" s="1"/>
      </tp>
      <tp t="e">
        <v>#N/A</v>
        <stp/>
        <stp>DELTA</stp>
        <stp>.SPY250509C564</stp>
        <tr r="CF22" s="1"/>
        <tr r="CF22" s="1"/>
      </tp>
      <tp t="e">
        <v>#N/A</v>
        <stp/>
        <stp>DELTA</stp>
        <stp>.SPY250509P565</stp>
        <tr r="CG21" s="1"/>
        <tr r="CG21" s="1"/>
      </tp>
      <tp t="e">
        <v>#N/A</v>
        <stp/>
        <stp>DELTA</stp>
        <stp>.SPY250509C565</stp>
        <tr r="CF21" s="1"/>
        <tr r="CF21" s="1"/>
      </tp>
      <tp t="e">
        <v>#N/A</v>
        <stp/>
        <stp>DELTA</stp>
        <stp>.SPY250509P566</stp>
        <tr r="CG20" s="1"/>
        <tr r="CG20" s="1"/>
      </tp>
      <tp t="e">
        <v>#N/A</v>
        <stp/>
        <stp>DELTA</stp>
        <stp>.SPY250516P579</stp>
        <tr r="CI7" s="1"/>
        <tr r="CI7" s="1"/>
      </tp>
      <tp t="e">
        <v>#N/A</v>
        <stp/>
        <stp>DELTA</stp>
        <stp>.SPY250509C566</stp>
        <tr r="CF20" s="1"/>
        <tr r="CF20" s="1"/>
      </tp>
      <tp t="e">
        <v>#N/A</v>
        <stp/>
        <stp>DELTA</stp>
        <stp>.SPY250516C579</stp>
        <tr r="CH7" s="1"/>
        <tr r="CH7" s="1"/>
      </tp>
      <tp t="e">
        <v>#N/A</v>
        <stp/>
        <stp>DELTA</stp>
        <stp>.SPY250509P567</stp>
        <tr r="CG19" s="1"/>
        <tr r="CG19" s="1"/>
      </tp>
      <tp t="e">
        <v>#N/A</v>
        <stp/>
        <stp>DELTA</stp>
        <stp>.SPY250516P578</stp>
        <tr r="CI8" s="1"/>
        <tr r="CI8" s="1"/>
      </tp>
      <tp t="e">
        <v>#N/A</v>
        <stp/>
        <stp>DELTA</stp>
        <stp>.SPY250509C567</stp>
        <tr r="CF19" s="1"/>
        <tr r="CF19" s="1"/>
      </tp>
      <tp t="e">
        <v>#N/A</v>
        <stp/>
        <stp>DELTA</stp>
        <stp>.SPY250516C578</stp>
        <tr r="CH8" s="1"/>
        <tr r="CH8" s="1"/>
      </tp>
      <tp t="e">
        <v>#N/A</v>
        <stp/>
        <stp>MARK</stp>
        <stp>QQQ</stp>
        <tr r="G136" s="1"/>
        <tr r="A44" s="1"/>
      </tp>
      <tp t="e">
        <v>#N/A</v>
        <stp/>
        <stp>LAST</stp>
        <stp>.QQQ250502P500</stp>
        <tr r="DB47" s="1"/>
        <tr r="DB47" s="1"/>
      </tp>
      <tp t="e">
        <v>#N/A</v>
        <stp/>
        <stp>LAST</stp>
        <stp>.QQQ250502C500</stp>
        <tr r="DA47" s="1"/>
        <tr r="DA47" s="1"/>
      </tp>
      <tp t="e">
        <v>#N/A</v>
        <stp/>
        <stp>LAST</stp>
        <stp>.QQQ250502P501</stp>
        <tr r="DB46" s="1"/>
        <tr r="DB46" s="1"/>
      </tp>
      <tp t="e">
        <v>#N/A</v>
        <stp/>
        <stp>LAST</stp>
        <stp>.QQQ250502C501</stp>
        <tr r="DA46" s="1"/>
        <tr r="DA46" s="1"/>
      </tp>
      <tp t="e">
        <v>#N/A</v>
        <stp/>
        <stp>LAST</stp>
        <stp>.QQQ250502P502</stp>
        <tr r="DB45" s="1"/>
        <tr r="DB45" s="1"/>
      </tp>
      <tp t="e">
        <v>#N/A</v>
        <stp/>
        <stp>LAST</stp>
        <stp>.QQQ250502C502</stp>
        <tr r="DA45" s="1"/>
        <tr r="DA45" s="1"/>
      </tp>
      <tp t="e">
        <v>#N/A</v>
        <stp/>
        <stp>LAST</stp>
        <stp>.QQQ250502P488</stp>
        <tr r="DB59" s="1"/>
        <tr r="DB59" s="1"/>
      </tp>
      <tp t="e">
        <v>#N/A</v>
        <stp/>
        <stp>LAST</stp>
        <stp>.QQQ250502C488</stp>
        <tr r="DA59" s="1"/>
        <tr r="DA59" s="1"/>
      </tp>
      <tp t="e">
        <v>#N/A</v>
        <stp/>
        <stp>LAST</stp>
        <stp>.QQQ250502P489</stp>
        <tr r="DB58" s="1"/>
        <tr r="DB58" s="1"/>
      </tp>
      <tp t="e">
        <v>#N/A</v>
        <stp/>
        <stp>LAST</stp>
        <stp>.QQQ250502C489</stp>
        <tr r="DA58" s="1"/>
        <tr r="DA58" s="1"/>
      </tp>
      <tp t="e">
        <v>#N/A</v>
        <stp/>
        <stp>LAST</stp>
        <stp>.QQQ250502P484</stp>
        <tr r="DB63" s="1"/>
        <tr r="DB63" s="1"/>
      </tp>
      <tp t="e">
        <v>#N/A</v>
        <stp/>
        <stp>LAST</stp>
        <stp>.QQQ250502C484</stp>
        <tr r="DA63" s="1"/>
        <tr r="DA63" s="1"/>
      </tp>
      <tp t="e">
        <v>#N/A</v>
        <stp/>
        <stp>LAST</stp>
        <stp>.QQQ250502P485</stp>
        <tr r="DB62" s="1"/>
        <tr r="DB62" s="1"/>
      </tp>
      <tp t="e">
        <v>#N/A</v>
        <stp/>
        <stp>LAST</stp>
        <stp>.QQQ250502C485</stp>
        <tr r="DA62" s="1"/>
        <tr r="DA62" s="1"/>
      </tp>
      <tp t="e">
        <v>#N/A</v>
        <stp/>
        <stp>LAST</stp>
        <stp>.QQQ250502P486</stp>
        <tr r="DB61" s="1"/>
        <tr r="DB61" s="1"/>
      </tp>
      <tp t="e">
        <v>#N/A</v>
        <stp/>
        <stp>LAST</stp>
        <stp>.QQQ250502C486</stp>
        <tr r="DA61" s="1"/>
        <tr r="DA61" s="1"/>
      </tp>
      <tp t="e">
        <v>#N/A</v>
        <stp/>
        <stp>LAST</stp>
        <stp>.QQQ250502P487</stp>
        <tr r="DB60" s="1"/>
        <tr r="DB60" s="1"/>
      </tp>
      <tp t="e">
        <v>#N/A</v>
        <stp/>
        <stp>LAST</stp>
        <stp>.QQQ250502C487</stp>
        <tr r="DA60" s="1"/>
        <tr r="DA60" s="1"/>
      </tp>
      <tp t="e">
        <v>#N/A</v>
        <stp/>
        <stp>LAST</stp>
        <stp>.QQQ250502P480</stp>
        <tr r="DB67" s="1"/>
        <tr r="DB67" s="1"/>
      </tp>
      <tp t="e">
        <v>#N/A</v>
        <stp/>
        <stp>LAST</stp>
        <stp>.QQQ250502C480</stp>
        <tr r="DA67" s="1"/>
        <tr r="DA67" s="1"/>
      </tp>
      <tp t="e">
        <v>#N/A</v>
        <stp/>
        <stp>LAST</stp>
        <stp>.QQQ250502P481</stp>
        <tr r="DB66" s="1"/>
        <tr r="DB66" s="1"/>
      </tp>
      <tp t="e">
        <v>#N/A</v>
        <stp/>
        <stp>LAST</stp>
        <stp>.QQQ250502C481</stp>
        <tr r="DA66" s="1"/>
        <tr r="DA66" s="1"/>
      </tp>
      <tp t="e">
        <v>#N/A</v>
        <stp/>
        <stp>LAST</stp>
        <stp>.QQQ250502P482</stp>
        <tr r="DB65" s="1"/>
        <tr r="DB65" s="1"/>
      </tp>
      <tp t="e">
        <v>#N/A</v>
        <stp/>
        <stp>LAST</stp>
        <stp>.QQQ250502C482</stp>
        <tr r="DA65" s="1"/>
        <tr r="DA65" s="1"/>
      </tp>
      <tp t="e">
        <v>#N/A</v>
        <stp/>
        <stp>LAST</stp>
        <stp>.QQQ250502P483</stp>
        <tr r="DB64" s="1"/>
        <tr r="DB64" s="1"/>
      </tp>
      <tp t="e">
        <v>#N/A</v>
        <stp/>
        <stp>LAST</stp>
        <stp>.QQQ250502C483</stp>
        <tr r="DA64" s="1"/>
        <tr r="DA64" s="1"/>
      </tp>
      <tp t="e">
        <v>#N/A</v>
        <stp/>
        <stp>LAST</stp>
        <stp>.QQQ250502P498</stp>
        <tr r="DB49" s="1"/>
        <tr r="DB49" s="1"/>
      </tp>
      <tp t="e">
        <v>#N/A</v>
        <stp/>
        <stp>LAST</stp>
        <stp>.QQQ250502C498</stp>
        <tr r="DA49" s="1"/>
        <tr r="DA49" s="1"/>
      </tp>
      <tp t="e">
        <v>#N/A</v>
        <stp/>
        <stp>LAST</stp>
        <stp>.QQQ250502P499</stp>
        <tr r="DB48" s="1"/>
        <tr r="DB48" s="1"/>
      </tp>
      <tp t="e">
        <v>#N/A</v>
        <stp/>
        <stp>LAST</stp>
        <stp>.QQQ250502C499</stp>
        <tr r="DA48" s="1"/>
        <tr r="DA48" s="1"/>
      </tp>
      <tp t="e">
        <v>#N/A</v>
        <stp/>
        <stp>LAST</stp>
        <stp>.QQQ250502P494</stp>
        <tr r="DB53" s="1"/>
        <tr r="DB53" s="1"/>
      </tp>
      <tp t="e">
        <v>#N/A</v>
        <stp/>
        <stp>LAST</stp>
        <stp>.QQQ250502C494</stp>
        <tr r="DA53" s="1"/>
        <tr r="DA53" s="1"/>
      </tp>
      <tp t="e">
        <v>#N/A</v>
        <stp/>
        <stp>LAST</stp>
        <stp>.QQQ250502P495</stp>
        <tr r="DB52" s="1"/>
        <tr r="DB52" s="1"/>
      </tp>
      <tp t="e">
        <v>#N/A</v>
        <stp/>
        <stp>LAST</stp>
        <stp>.QQQ250502C495</stp>
        <tr r="DA52" s="1"/>
        <tr r="DA52" s="1"/>
      </tp>
      <tp t="e">
        <v>#N/A</v>
        <stp/>
        <stp>LAST</stp>
        <stp>.QQQ250502P496</stp>
        <tr r="DB51" s="1"/>
        <tr r="DB51" s="1"/>
      </tp>
      <tp t="e">
        <v>#N/A</v>
        <stp/>
        <stp>LAST</stp>
        <stp>.QQQ250502C496</stp>
        <tr r="DA51" s="1"/>
        <tr r="DA51" s="1"/>
      </tp>
      <tp t="e">
        <v>#N/A</v>
        <stp/>
        <stp>LAST</stp>
        <stp>.QQQ250502P497</stp>
        <tr r="DB50" s="1"/>
        <tr r="DB50" s="1"/>
      </tp>
      <tp t="e">
        <v>#N/A</v>
        <stp/>
        <stp>LAST</stp>
        <stp>.QQQ250502C497</stp>
        <tr r="DA50" s="1"/>
        <tr r="DA50" s="1"/>
      </tp>
      <tp t="e">
        <v>#N/A</v>
        <stp/>
        <stp>LAST</stp>
        <stp>.QQQ250502P490</stp>
        <tr r="DB57" s="1"/>
        <tr r="DB57" s="1"/>
      </tp>
      <tp t="e">
        <v>#N/A</v>
        <stp/>
        <stp>LAST</stp>
        <stp>.QQQ250502C490</stp>
        <tr r="DA57" s="1"/>
        <tr r="DA57" s="1"/>
      </tp>
      <tp t="e">
        <v>#N/A</v>
        <stp/>
        <stp>LAST</stp>
        <stp>.QQQ250502P491</stp>
        <tr r="DB56" s="1"/>
        <tr r="DB56" s="1"/>
      </tp>
      <tp t="e">
        <v>#N/A</v>
        <stp/>
        <stp>LAST</stp>
        <stp>.QQQ250502C491</stp>
        <tr r="DA56" s="1"/>
        <tr r="DA56" s="1"/>
      </tp>
      <tp t="e">
        <v>#N/A</v>
        <stp/>
        <stp>LAST</stp>
        <stp>.QQQ250502P492</stp>
        <tr r="DB55" s="1"/>
        <tr r="DB55" s="1"/>
      </tp>
      <tp t="e">
        <v>#N/A</v>
        <stp/>
        <stp>LAST</stp>
        <stp>.QQQ250502C492</stp>
        <tr r="DA55" s="1"/>
        <tr r="DA55" s="1"/>
      </tp>
      <tp t="e">
        <v>#N/A</v>
        <stp/>
        <stp>LAST</stp>
        <stp>.QQQ250502P493</stp>
        <tr r="DB54" s="1"/>
        <tr r="DB54" s="1"/>
      </tp>
      <tp t="e">
        <v>#N/A</v>
        <stp/>
        <stp>LAST</stp>
        <stp>.QQQ250502C493</stp>
        <tr r="DA54" s="1"/>
        <tr r="DA54" s="1"/>
      </tp>
      <tp t="e">
        <v>#N/A</v>
        <stp/>
        <stp>LAST</stp>
        <stp>.QQQ250502P468</stp>
        <tr r="DB79" s="1"/>
        <tr r="DB79" s="1"/>
      </tp>
      <tp t="e">
        <v>#N/A</v>
        <stp/>
        <stp>LAST</stp>
        <stp>.QQQ250502C468</stp>
        <tr r="DA79" s="1"/>
        <tr r="DA79" s="1"/>
      </tp>
      <tp t="e">
        <v>#N/A</v>
        <stp/>
        <stp>LAST</stp>
        <stp>.QQQ250502P469</stp>
        <tr r="DB78" s="1"/>
        <tr r="DB78" s="1"/>
      </tp>
      <tp t="e">
        <v>#N/A</v>
        <stp/>
        <stp>LAST</stp>
        <stp>.QQQ250502C469</stp>
        <tr r="DA78" s="1"/>
        <tr r="DA78" s="1"/>
      </tp>
      <tp t="e">
        <v>#N/A</v>
        <stp/>
        <stp>LAST</stp>
        <stp>.QQQ250502P478</stp>
        <tr r="DB69" s="1"/>
        <tr r="DB69" s="1"/>
      </tp>
      <tp t="e">
        <v>#N/A</v>
        <stp/>
        <stp>LAST</stp>
        <stp>.QQQ250502C478</stp>
        <tr r="DA69" s="1"/>
        <tr r="DA69" s="1"/>
      </tp>
      <tp t="e">
        <v>#N/A</v>
        <stp/>
        <stp>LAST</stp>
        <stp>.QQQ250502P479</stp>
        <tr r="DB68" s="1"/>
        <tr r="DB68" s="1"/>
      </tp>
      <tp t="e">
        <v>#N/A</v>
        <stp/>
        <stp>LAST</stp>
        <stp>.QQQ250502C479</stp>
        <tr r="DA68" s="1"/>
        <tr r="DA68" s="1"/>
      </tp>
      <tp t="e">
        <v>#N/A</v>
        <stp/>
        <stp>LAST</stp>
        <stp>.QQQ250502P474</stp>
        <tr r="DB73" s="1"/>
        <tr r="DB73" s="1"/>
      </tp>
      <tp t="e">
        <v>#N/A</v>
        <stp/>
        <stp>LAST</stp>
        <stp>.QQQ250502C474</stp>
        <tr r="DA73" s="1"/>
        <tr r="DA73" s="1"/>
      </tp>
      <tp t="e">
        <v>#N/A</v>
        <stp/>
        <stp>LAST</stp>
        <stp>.QQQ250502P475</stp>
        <tr r="DB72" s="1"/>
        <tr r="DB72" s="1"/>
      </tp>
      <tp t="e">
        <v>#N/A</v>
        <stp/>
        <stp>LAST</stp>
        <stp>.QQQ250502C475</stp>
        <tr r="DA72" s="1"/>
        <tr r="DA72" s="1"/>
      </tp>
      <tp t="e">
        <v>#N/A</v>
        <stp/>
        <stp>LAST</stp>
        <stp>.QQQ250502P476</stp>
        <tr r="DB71" s="1"/>
        <tr r="DB71" s="1"/>
      </tp>
      <tp t="e">
        <v>#N/A</v>
        <stp/>
        <stp>LAST</stp>
        <stp>.QQQ250502C476</stp>
        <tr r="DA71" s="1"/>
        <tr r="DA71" s="1"/>
      </tp>
      <tp t="e">
        <v>#N/A</v>
        <stp/>
        <stp>LAST</stp>
        <stp>.QQQ250502P477</stp>
        <tr r="DB70" s="1"/>
        <tr r="DB70" s="1"/>
      </tp>
      <tp t="e">
        <v>#N/A</v>
        <stp/>
        <stp>LAST</stp>
        <stp>.QQQ250502C477</stp>
        <tr r="DA70" s="1"/>
        <tr r="DA70" s="1"/>
      </tp>
      <tp t="e">
        <v>#N/A</v>
        <stp/>
        <stp>LAST</stp>
        <stp>.QQQ250502P470</stp>
        <tr r="DB77" s="1"/>
        <tr r="DB77" s="1"/>
      </tp>
      <tp t="e">
        <v>#N/A</v>
        <stp/>
        <stp>LAST</stp>
        <stp>.QQQ250502C470</stp>
        <tr r="DA77" s="1"/>
        <tr r="DA77" s="1"/>
      </tp>
      <tp t="e">
        <v>#N/A</v>
        <stp/>
        <stp>LAST</stp>
        <stp>.QQQ250502P471</stp>
        <tr r="DB76" s="1"/>
        <tr r="DB76" s="1"/>
      </tp>
      <tp t="e">
        <v>#N/A</v>
        <stp/>
        <stp>LAST</stp>
        <stp>.QQQ250502C471</stp>
        <tr r="DA76" s="1"/>
        <tr r="DA76" s="1"/>
      </tp>
      <tp t="e">
        <v>#N/A</v>
        <stp/>
        <stp>LAST</stp>
        <stp>.QQQ250502P472</stp>
        <tr r="DB75" s="1"/>
        <tr r="DB75" s="1"/>
      </tp>
      <tp t="e">
        <v>#N/A</v>
        <stp/>
        <stp>LAST</stp>
        <stp>.QQQ250502C472</stp>
        <tr r="DA75" s="1"/>
        <tr r="DA75" s="1"/>
      </tp>
      <tp t="e">
        <v>#N/A</v>
        <stp/>
        <stp>LAST</stp>
        <stp>.QQQ250502P473</stp>
        <tr r="DB74" s="1"/>
        <tr r="DB74" s="1"/>
      </tp>
      <tp t="e">
        <v>#N/A</v>
        <stp/>
        <stp>LAST</stp>
        <stp>.QQQ250502C473</stp>
        <tr r="DA74" s="1"/>
        <tr r="DA74" s="1"/>
      </tp>
      <tp t="e">
        <v>#N/A</v>
        <stp/>
        <stp>DELTA</stp>
        <stp>.QQQ250502P491</stp>
        <tr r="CE56" s="1"/>
        <tr r="CE56" s="1"/>
      </tp>
      <tp t="e">
        <v>#N/A</v>
        <stp/>
        <stp>DELTA</stp>
        <stp>.QQQ250516P485</stp>
        <tr r="CI62" s="1"/>
        <tr r="CI62" s="1"/>
      </tp>
      <tp t="e">
        <v>#N/A</v>
        <stp/>
        <stp>DELTA</stp>
        <stp>.QQQ250502C491</stp>
        <tr r="CD56" s="1"/>
        <tr r="CD56" s="1"/>
      </tp>
      <tp t="e">
        <v>#N/A</v>
        <stp/>
        <stp>DELTA</stp>
        <stp>.QQQ250516C485</stp>
        <tr r="CH62" s="1"/>
        <tr r="CH62" s="1"/>
      </tp>
      <tp t="e">
        <v>#N/A</v>
        <stp/>
        <stp>DELTA</stp>
        <stp>.QQQ250502P490</stp>
        <tr r="CE57" s="1"/>
        <tr r="CE57" s="1"/>
      </tp>
      <tp t="e">
        <v>#N/A</v>
        <stp/>
        <stp>DELTA</stp>
        <stp>.QQQ250516P484</stp>
        <tr r="CI63" s="1"/>
      </tp>
      <tp t="e">
        <v>#N/A</v>
        <stp/>
        <stp>DELTA</stp>
        <stp>.QQQ250502C490</stp>
        <tr r="CD57" s="1"/>
        <tr r="CD57" s="1"/>
      </tp>
      <tp t="e">
        <v>#N/A</v>
        <stp/>
        <stp>DELTA</stp>
        <stp>.QQQ250516C484</stp>
        <tr r="CH63" s="1"/>
      </tp>
      <tp t="e">
        <v>#N/A</v>
        <stp/>
        <stp>DELTA</stp>
        <stp>.QQQ250502P493</stp>
        <tr r="CE54" s="1"/>
        <tr r="CE54" s="1"/>
      </tp>
      <tp t="e">
        <v>#N/A</v>
        <stp/>
        <stp>DELTA</stp>
        <stp>.QQQ250509P498</stp>
        <tr r="CG49" s="1"/>
        <tr r="CG49" s="1"/>
      </tp>
      <tp t="e">
        <v>#N/A</v>
        <stp/>
        <stp>DELTA</stp>
        <stp>.QQQ250516P487</stp>
        <tr r="CI60" s="1"/>
      </tp>
      <tp t="e">
        <v>#N/A</v>
        <stp/>
        <stp>DELTA</stp>
        <stp>.QQQ250502C493</stp>
        <tr r="CD54" s="1"/>
        <tr r="CD54" s="1"/>
      </tp>
      <tp t="e">
        <v>#N/A</v>
        <stp/>
        <stp>DELTA</stp>
        <stp>.QQQ250509C498</stp>
        <tr r="CF49" s="1"/>
        <tr r="CF49" s="1"/>
      </tp>
      <tp t="e">
        <v>#N/A</v>
        <stp/>
        <stp>DELTA</stp>
        <stp>.QQQ250516C487</stp>
        <tr r="CH60" s="1"/>
      </tp>
      <tp t="e">
        <v>#N/A</v>
        <stp/>
        <stp>DELTA</stp>
        <stp>.QQQ250502P492</stp>
        <tr r="CE55" s="1"/>
        <tr r="CE55" s="1"/>
      </tp>
      <tp t="e">
        <v>#N/A</v>
        <stp/>
        <stp>DELTA</stp>
        <stp>.QQQ250509P499</stp>
        <tr r="CG48" s="1"/>
        <tr r="CG48" s="1"/>
      </tp>
      <tp t="e">
        <v>#N/A</v>
        <stp/>
        <stp>DELTA</stp>
        <stp>.QQQ250516P486</stp>
        <tr r="CI61" s="1"/>
      </tp>
      <tp t="e">
        <v>#N/A</v>
        <stp/>
        <stp>DELTA</stp>
        <stp>.QQQ250502C492</stp>
        <tr r="CD55" s="1"/>
        <tr r="CD55" s="1"/>
      </tp>
      <tp t="e">
        <v>#N/A</v>
        <stp/>
        <stp>DELTA</stp>
        <stp>.QQQ250509C499</stp>
        <tr r="CF48" s="1"/>
        <tr r="CF48" s="1"/>
      </tp>
      <tp t="e">
        <v>#N/A</v>
        <stp/>
        <stp>DELTA</stp>
        <stp>.QQQ250516C486</stp>
        <tr r="CH61" s="1"/>
      </tp>
      <tp t="e">
        <v>#N/A</v>
        <stp/>
        <stp>DELTA</stp>
        <stp>.QQQ250502P495</stp>
        <tr r="CE52" s="1"/>
        <tr r="CE52" s="1"/>
      </tp>
      <tp t="e">
        <v>#N/A</v>
        <stp/>
        <stp>DELTA</stp>
        <stp>.QQQ250516P481</stp>
        <tr r="CI66" s="1"/>
      </tp>
      <tp t="e">
        <v>#N/A</v>
        <stp/>
        <stp>DELTA</stp>
        <stp>.QQQ250502C495</stp>
        <tr r="CD52" s="1"/>
        <tr r="CD52" s="1"/>
      </tp>
      <tp t="e">
        <v>#N/A</v>
        <stp/>
        <stp>DELTA</stp>
        <stp>.QQQ250516C481</stp>
        <tr r="CH66" s="1"/>
      </tp>
      <tp t="e">
        <v>#N/A</v>
        <stp/>
        <stp>DELTA</stp>
        <stp>.QQQ250502P494</stp>
        <tr r="CE53" s="1"/>
        <tr r="CE53" s="1"/>
      </tp>
      <tp t="e">
        <v>#N/A</v>
        <stp/>
        <stp>DELTA</stp>
        <stp>.QQQ250516P480</stp>
        <tr r="CI67" s="1"/>
        <tr r="CI67" s="1"/>
      </tp>
      <tp t="e">
        <v>#N/A</v>
        <stp/>
        <stp>DELTA</stp>
        <stp>.QQQ250502C494</stp>
        <tr r="CD53" s="1"/>
        <tr r="CD53" s="1"/>
      </tp>
      <tp t="e">
        <v>#N/A</v>
        <stp/>
        <stp>DELTA</stp>
        <stp>.QQQ250516C480</stp>
        <tr r="CH67" s="1"/>
        <tr r="CH67" s="1"/>
      </tp>
      <tp t="e">
        <v>#N/A</v>
        <stp/>
        <stp>DELTA</stp>
        <stp>.QQQ250502P497</stp>
        <tr r="CE50" s="1"/>
        <tr r="CE50" s="1"/>
      </tp>
      <tp t="e">
        <v>#N/A</v>
        <stp/>
        <stp>DELTA</stp>
        <stp>.QQQ250516P483</stp>
        <tr r="CI64" s="1"/>
      </tp>
      <tp t="e">
        <v>#N/A</v>
        <stp/>
        <stp>DELTA</stp>
        <stp>.QQQ250502C497</stp>
        <tr r="CD50" s="1"/>
        <tr r="CD50" s="1"/>
      </tp>
      <tp t="e">
        <v>#N/A</v>
        <stp/>
        <stp>DELTA</stp>
        <stp>.QQQ250516C483</stp>
        <tr r="CH64" s="1"/>
      </tp>
      <tp t="e">
        <v>#N/A</v>
        <stp/>
        <stp>DELTA</stp>
        <stp>.QQQ250502P496</stp>
        <tr r="CE51" s="1"/>
        <tr r="CE51" s="1"/>
      </tp>
      <tp t="e">
        <v>#N/A</v>
        <stp/>
        <stp>DELTA</stp>
        <stp>.QQQ250516P482</stp>
        <tr r="CI65" s="1"/>
      </tp>
      <tp t="e">
        <v>#N/A</v>
        <stp/>
        <stp>DELTA</stp>
        <stp>.QQQ250502C496</stp>
        <tr r="CD51" s="1"/>
        <tr r="CD51" s="1"/>
      </tp>
      <tp t="e">
        <v>#N/A</v>
        <stp/>
        <stp>DELTA</stp>
        <stp>.QQQ250516C482</stp>
        <tr r="CH65" s="1"/>
      </tp>
      <tp t="e">
        <v>#N/A</v>
        <stp/>
        <stp>DELTA</stp>
        <stp>.QQQ250502P499</stp>
        <tr r="CE48" s="1"/>
        <tr r="CE48" s="1"/>
      </tp>
      <tp t="e">
        <v>#N/A</v>
        <stp/>
        <stp>DELTA</stp>
        <stp>.QQQ250509P492</stp>
        <tr r="CG55" s="1"/>
        <tr r="CG55" s="1"/>
      </tp>
      <tp t="e">
        <v>#N/A</v>
        <stp/>
        <stp>DELTA</stp>
        <stp>.QQQ250502C499</stp>
        <tr r="CD48" s="1"/>
        <tr r="CD48" s="1"/>
      </tp>
      <tp t="e">
        <v>#N/A</v>
        <stp/>
        <stp>DELTA</stp>
        <stp>.QQQ250509C492</stp>
        <tr r="CF55" s="1"/>
        <tr r="CF55" s="1"/>
      </tp>
      <tp t="e">
        <v>#N/A</v>
        <stp/>
        <stp>DELTA</stp>
        <stp>.QQQ250502P498</stp>
        <tr r="CE49" s="1"/>
        <tr r="CE49" s="1"/>
      </tp>
      <tp t="e">
        <v>#N/A</v>
        <stp/>
        <stp>DELTA</stp>
        <stp>.QQQ250509P493</stp>
        <tr r="CG54" s="1"/>
        <tr r="CG54" s="1"/>
      </tp>
      <tp t="e">
        <v>#N/A</v>
        <stp/>
        <stp>DELTA</stp>
        <stp>.QQQ250502C498</stp>
        <tr r="CD49" s="1"/>
        <tr r="CD49" s="1"/>
      </tp>
      <tp t="e">
        <v>#N/A</v>
        <stp/>
        <stp>DELTA</stp>
        <stp>.QQQ250509C493</stp>
        <tr r="CF54" s="1"/>
        <tr r="CF54" s="1"/>
      </tp>
      <tp t="e">
        <v>#N/A</v>
        <stp/>
        <stp>DELTA</stp>
        <stp>.QQQ250509P490</stp>
        <tr r="CG57" s="1"/>
        <tr r="CG57" s="1"/>
      </tp>
      <tp t="e">
        <v>#N/A</v>
        <stp/>
        <stp>DELTA</stp>
        <stp>.QQQ250509C490</stp>
        <tr r="CF57" s="1"/>
        <tr r="CF57" s="1"/>
      </tp>
      <tp t="e">
        <v>#N/A</v>
        <stp/>
        <stp>DELTA</stp>
        <stp>.QQQ250509P491</stp>
        <tr r="CG56" s="1"/>
        <tr r="CG56" s="1"/>
      </tp>
      <tp t="e">
        <v>#N/A</v>
        <stp/>
        <stp>DELTA</stp>
        <stp>.QQQ250509C491</stp>
        <tr r="CF56" s="1"/>
        <tr r="CF56" s="1"/>
      </tp>
      <tp t="e">
        <v>#N/A</v>
        <stp/>
        <stp>DELTA</stp>
        <stp>.QQQ250509P496</stp>
        <tr r="CG51" s="1"/>
        <tr r="CG51" s="1"/>
      </tp>
      <tp t="e">
        <v>#N/A</v>
        <stp/>
        <stp>DELTA</stp>
        <stp>.QQQ250516P489</stp>
        <tr r="CI58" s="1"/>
      </tp>
      <tp t="e">
        <v>#N/A</v>
        <stp/>
        <stp>DELTA</stp>
        <stp>.QQQ250509C496</stp>
        <tr r="CF51" s="1"/>
        <tr r="CF51" s="1"/>
      </tp>
      <tp t="e">
        <v>#N/A</v>
        <stp/>
        <stp>DELTA</stp>
        <stp>.QQQ250516C489</stp>
        <tr r="CH58" s="1"/>
      </tp>
      <tp t="e">
        <v>#N/A</v>
        <stp/>
        <stp>DELTA</stp>
        <stp>.QQQ250509P497</stp>
        <tr r="CG50" s="1"/>
        <tr r="CG50" s="1"/>
      </tp>
      <tp t="e">
        <v>#N/A</v>
        <stp/>
        <stp>DELTA</stp>
        <stp>.QQQ250516P488</stp>
        <tr r="CI59" s="1"/>
      </tp>
      <tp t="e">
        <v>#N/A</v>
        <stp/>
        <stp>DELTA</stp>
        <stp>.QQQ250509C497</stp>
        <tr r="CF50" s="1"/>
        <tr r="CF50" s="1"/>
      </tp>
      <tp t="e">
        <v>#N/A</v>
        <stp/>
        <stp>DELTA</stp>
        <stp>.QQQ250516C488</stp>
        <tr r="CH59" s="1"/>
      </tp>
      <tp t="e">
        <v>#N/A</v>
        <stp/>
        <stp>DELTA</stp>
        <stp>.QQQ250509P494</stp>
        <tr r="CG53" s="1"/>
        <tr r="CG53" s="1"/>
      </tp>
      <tp t="e">
        <v>#N/A</v>
        <stp/>
        <stp>DELTA</stp>
        <stp>.QQQ250509C494</stp>
        <tr r="CF53" s="1"/>
        <tr r="CF53" s="1"/>
      </tp>
      <tp t="e">
        <v>#N/A</v>
        <stp/>
        <stp>DELTA</stp>
        <stp>.QQQ250509P495</stp>
        <tr r="CG52" s="1"/>
        <tr r="CG52" s="1"/>
      </tp>
      <tp t="e">
        <v>#N/A</v>
        <stp/>
        <stp>DELTA</stp>
        <stp>.QQQ250509C495</stp>
        <tr r="CF52" s="1"/>
        <tr r="CF52" s="1"/>
      </tp>
      <tp t="e">
        <v>#N/A</v>
        <stp/>
        <stp>DELTA</stp>
        <stp>.QQQ250502P481</stp>
        <tr r="CE66" s="1"/>
        <tr r="CE66" s="1"/>
      </tp>
      <tp t="e">
        <v>#N/A</v>
        <stp/>
        <stp>DELTA</stp>
        <stp>.QQQ250516P495</stp>
        <tr r="CI52" s="1"/>
        <tr r="CI52" s="1"/>
      </tp>
      <tp t="e">
        <v>#N/A</v>
        <stp/>
        <stp>DELTA</stp>
        <stp>.QQQ250502C481</stp>
        <tr r="CD66" s="1"/>
        <tr r="CD66" s="1"/>
      </tp>
      <tp t="e">
        <v>#N/A</v>
        <stp/>
        <stp>DELTA</stp>
        <stp>.QQQ250516C495</stp>
        <tr r="CH52" s="1"/>
        <tr r="CH52" s="1"/>
      </tp>
      <tp t="e">
        <v>#N/A</v>
        <stp/>
        <stp>DELTA</stp>
        <stp>.QQQ250502P480</stp>
        <tr r="CE67" s="1"/>
        <tr r="CE67" s="1"/>
      </tp>
      <tp t="e">
        <v>#N/A</v>
        <stp/>
        <stp>DELTA</stp>
        <stp>.QQQ250516P494</stp>
        <tr r="CI53" s="1"/>
      </tp>
      <tp t="e">
        <v>#N/A</v>
        <stp/>
        <stp>DELTA</stp>
        <stp>.QQQ250502C480</stp>
        <tr r="CD67" s="1"/>
        <tr r="CD67" s="1"/>
      </tp>
      <tp t="e">
        <v>#N/A</v>
        <stp/>
        <stp>DELTA</stp>
        <stp>.QQQ250516C494</stp>
        <tr r="CH53" s="1"/>
      </tp>
      <tp t="e">
        <v>#N/A</v>
        <stp/>
        <stp>DELTA</stp>
        <stp>.QQQ250502P483</stp>
        <tr r="CE64" s="1"/>
        <tr r="CE64" s="1"/>
      </tp>
      <tp t="e">
        <v>#N/A</v>
        <stp/>
        <stp>DELTA</stp>
        <stp>.QQQ250509P488</stp>
        <tr r="CG59" s="1"/>
        <tr r="CG59" s="1"/>
      </tp>
      <tp t="e">
        <v>#N/A</v>
        <stp/>
        <stp>DELTA</stp>
        <stp>.QQQ250516P497</stp>
        <tr r="CI50" s="1"/>
      </tp>
      <tp t="e">
        <v>#N/A</v>
        <stp/>
        <stp>DELTA</stp>
        <stp>.QQQ250502C483</stp>
        <tr r="CD64" s="1"/>
        <tr r="CD64" s="1"/>
      </tp>
      <tp t="e">
        <v>#N/A</v>
        <stp/>
        <stp>DELTA</stp>
        <stp>.QQQ250509C488</stp>
        <tr r="CF59" s="1"/>
        <tr r="CF59" s="1"/>
      </tp>
      <tp t="e">
        <v>#N/A</v>
        <stp/>
        <stp>DELTA</stp>
        <stp>.QQQ250516C497</stp>
        <tr r="CH50" s="1"/>
      </tp>
      <tp t="e">
        <v>#N/A</v>
        <stp/>
        <stp>DELTA</stp>
        <stp>.QQQ250502P482</stp>
        <tr r="CE65" s="1"/>
        <tr r="CE65" s="1"/>
      </tp>
      <tp t="e">
        <v>#N/A</v>
        <stp/>
        <stp>DELTA</stp>
        <stp>.QQQ250509P489</stp>
        <tr r="CG58" s="1"/>
        <tr r="CG58" s="1"/>
      </tp>
      <tp t="e">
        <v>#N/A</v>
        <stp/>
        <stp>DELTA</stp>
        <stp>.QQQ250516P496</stp>
        <tr r="CI51" s="1"/>
      </tp>
      <tp t="e">
        <v>#N/A</v>
        <stp/>
        <stp>DELTA</stp>
        <stp>.QQQ250502C482</stp>
        <tr r="CD65" s="1"/>
        <tr r="CD65" s="1"/>
      </tp>
      <tp t="e">
        <v>#N/A</v>
        <stp/>
        <stp>DELTA</stp>
        <stp>.QQQ250509C489</stp>
        <tr r="CF58" s="1"/>
        <tr r="CF58" s="1"/>
      </tp>
      <tp t="e">
        <v>#N/A</v>
        <stp/>
        <stp>DELTA</stp>
        <stp>.QQQ250516C496</stp>
        <tr r="CH51" s="1"/>
      </tp>
      <tp t="e">
        <v>#N/A</v>
        <stp/>
        <stp>DELTA</stp>
        <stp>.QQQ250502P485</stp>
        <tr r="CE62" s="1"/>
        <tr r="CE62" s="1"/>
      </tp>
      <tp t="e">
        <v>#N/A</v>
        <stp/>
        <stp>DELTA</stp>
        <stp>.QQQ250516P491</stp>
        <tr r="CI56" s="1"/>
      </tp>
      <tp t="e">
        <v>#N/A</v>
        <stp/>
        <stp>DELTA</stp>
        <stp>.QQQ250502C485</stp>
        <tr r="CD62" s="1"/>
        <tr r="CD62" s="1"/>
      </tp>
      <tp t="e">
        <v>#N/A</v>
        <stp/>
        <stp>DELTA</stp>
        <stp>.QQQ250516C491</stp>
        <tr r="CH56" s="1"/>
      </tp>
      <tp t="e">
        <v>#N/A</v>
        <stp/>
        <stp>DELTA</stp>
        <stp>.QQQ250502P484</stp>
        <tr r="CE63" s="1"/>
        <tr r="CE63" s="1"/>
      </tp>
      <tp t="e">
        <v>#N/A</v>
        <stp/>
        <stp>DELTA</stp>
        <stp>.QQQ250516P490</stp>
        <tr r="CI57" s="1"/>
        <tr r="CI57" s="1"/>
      </tp>
      <tp t="e">
        <v>#N/A</v>
        <stp/>
        <stp>DELTA</stp>
        <stp>.QQQ250502C484</stp>
        <tr r="CD63" s="1"/>
        <tr r="CD63" s="1"/>
      </tp>
      <tp t="e">
        <v>#N/A</v>
        <stp/>
        <stp>DELTA</stp>
        <stp>.QQQ250516C490</stp>
        <tr r="CH57" s="1"/>
        <tr r="CH57" s="1"/>
      </tp>
      <tp t="e">
        <v>#N/A</v>
        <stp/>
        <stp>DELTA</stp>
        <stp>.QQQ250502P487</stp>
        <tr r="CE60" s="1"/>
        <tr r="CE60" s="1"/>
      </tp>
      <tp t="e">
        <v>#N/A</v>
        <stp/>
        <stp>DELTA</stp>
        <stp>.QQQ250516P493</stp>
        <tr r="CI54" s="1"/>
      </tp>
      <tp t="e">
        <v>#N/A</v>
        <stp/>
        <stp>DELTA</stp>
        <stp>.QQQ250502C487</stp>
        <tr r="CD60" s="1"/>
        <tr r="CD60" s="1"/>
      </tp>
      <tp t="e">
        <v>#N/A</v>
        <stp/>
        <stp>DELTA</stp>
        <stp>.QQQ250516C493</stp>
        <tr r="CH54" s="1"/>
      </tp>
      <tp t="e">
        <v>#N/A</v>
        <stp/>
        <stp>DELTA</stp>
        <stp>.QQQ250502P486</stp>
        <tr r="CE61" s="1"/>
        <tr r="CE61" s="1"/>
      </tp>
      <tp t="e">
        <v>#N/A</v>
        <stp/>
        <stp>DELTA</stp>
        <stp>.QQQ250516P492</stp>
        <tr r="CI55" s="1"/>
      </tp>
      <tp t="e">
        <v>#N/A</v>
        <stp/>
        <stp>DELTA</stp>
        <stp>.QQQ250502C486</stp>
        <tr r="CD61" s="1"/>
        <tr r="CD61" s="1"/>
      </tp>
      <tp t="e">
        <v>#N/A</v>
        <stp/>
        <stp>DELTA</stp>
        <stp>.QQQ250516C492</stp>
        <tr r="CH55" s="1"/>
      </tp>
      <tp t="e">
        <v>#N/A</v>
        <stp/>
        <stp>DELTA</stp>
        <stp>.QQQ250502P489</stp>
        <tr r="CE58" s="1"/>
        <tr r="CE58" s="1"/>
      </tp>
      <tp t="e">
        <v>#N/A</v>
        <stp/>
        <stp>DELTA</stp>
        <stp>.QQQ250509P482</stp>
        <tr r="CG65" s="1"/>
        <tr r="CG65" s="1"/>
      </tp>
      <tp t="e">
        <v>#N/A</v>
        <stp/>
        <stp>DELTA</stp>
        <stp>.QQQ250502C489</stp>
        <tr r="CD58" s="1"/>
        <tr r="CD58" s="1"/>
      </tp>
      <tp t="e">
        <v>#N/A</v>
        <stp/>
        <stp>DELTA</stp>
        <stp>.QQQ250509C482</stp>
        <tr r="CF65" s="1"/>
        <tr r="CF65" s="1"/>
      </tp>
      <tp t="e">
        <v>#N/A</v>
        <stp/>
        <stp>DELTA</stp>
        <stp>.QQQ250502P488</stp>
        <tr r="CE59" s="1"/>
        <tr r="CE59" s="1"/>
      </tp>
      <tp t="e">
        <v>#N/A</v>
        <stp/>
        <stp>DELTA</stp>
        <stp>.QQQ250509P483</stp>
        <tr r="CG64" s="1"/>
        <tr r="CG64" s="1"/>
      </tp>
      <tp t="e">
        <v>#N/A</v>
        <stp/>
        <stp>DELTA</stp>
        <stp>.QQQ250502C488</stp>
        <tr r="CD59" s="1"/>
        <tr r="CD59" s="1"/>
      </tp>
      <tp t="e">
        <v>#N/A</v>
        <stp/>
        <stp>DELTA</stp>
        <stp>.QQQ250509C483</stp>
        <tr r="CF64" s="1"/>
        <tr r="CF64" s="1"/>
      </tp>
      <tp t="e">
        <v>#N/A</v>
        <stp/>
        <stp>DELTA</stp>
        <stp>.QQQ250509P480</stp>
        <tr r="CG67" s="1"/>
        <tr r="CG67" s="1"/>
      </tp>
      <tp t="e">
        <v>#N/A</v>
        <stp/>
        <stp>DELTA</stp>
        <stp>.QQQ250509C480</stp>
        <tr r="CF67" s="1"/>
        <tr r="CF67" s="1"/>
      </tp>
      <tp t="e">
        <v>#N/A</v>
        <stp/>
        <stp>DELTA</stp>
        <stp>.QQQ250509P481</stp>
        <tr r="CG66" s="1"/>
        <tr r="CG66" s="1"/>
      </tp>
      <tp t="e">
        <v>#N/A</v>
        <stp/>
        <stp>DELTA</stp>
        <stp>.QQQ250509C481</stp>
        <tr r="CF66" s="1"/>
        <tr r="CF66" s="1"/>
      </tp>
      <tp t="e">
        <v>#N/A</v>
        <stp/>
        <stp>DELTA</stp>
        <stp>.QQQ250509P486</stp>
        <tr r="CG61" s="1"/>
        <tr r="CG61" s="1"/>
      </tp>
      <tp t="e">
        <v>#N/A</v>
        <stp/>
        <stp>DELTA</stp>
        <stp>.QQQ250516P499</stp>
        <tr r="CI48" s="1"/>
      </tp>
      <tp t="e">
        <v>#N/A</v>
        <stp/>
        <stp>DELTA</stp>
        <stp>.QQQ250509C486</stp>
        <tr r="CF61" s="1"/>
        <tr r="CF61" s="1"/>
      </tp>
      <tp t="e">
        <v>#N/A</v>
        <stp/>
        <stp>DELTA</stp>
        <stp>.QQQ250516C499</stp>
        <tr r="CH48" s="1"/>
      </tp>
      <tp t="e">
        <v>#N/A</v>
        <stp/>
        <stp>DELTA</stp>
        <stp>.QQQ250509P487</stp>
        <tr r="CG60" s="1"/>
        <tr r="CG60" s="1"/>
      </tp>
      <tp t="e">
        <v>#N/A</v>
        <stp/>
        <stp>DELTA</stp>
        <stp>.QQQ250516P498</stp>
        <tr r="CI49" s="1"/>
      </tp>
      <tp t="e">
        <v>#N/A</v>
        <stp/>
        <stp>DELTA</stp>
        <stp>.QQQ250509C487</stp>
        <tr r="CF60" s="1"/>
        <tr r="CF60" s="1"/>
      </tp>
      <tp t="e">
        <v>#N/A</v>
        <stp/>
        <stp>DELTA</stp>
        <stp>.QQQ250516C498</stp>
        <tr r="CH49" s="1"/>
      </tp>
      <tp t="e">
        <v>#N/A</v>
        <stp/>
        <stp>DELTA</stp>
        <stp>.QQQ250509P484</stp>
        <tr r="CG63" s="1"/>
        <tr r="CG63" s="1"/>
      </tp>
      <tp t="e">
        <v>#N/A</v>
        <stp/>
        <stp>DELTA</stp>
        <stp>.QQQ250509C484</stp>
        <tr r="CF63" s="1"/>
        <tr r="CF63" s="1"/>
      </tp>
      <tp t="e">
        <v>#N/A</v>
        <stp/>
        <stp>DELTA</stp>
        <stp>.QQQ250509P485</stp>
        <tr r="CG62" s="1"/>
        <tr r="CG62" s="1"/>
      </tp>
      <tp t="e">
        <v>#N/A</v>
        <stp/>
        <stp>DELTA</stp>
        <stp>.QQQ250509C485</stp>
        <tr r="CF62" s="1"/>
        <tr r="CF62" s="1"/>
      </tp>
      <tp t="e">
        <v>#N/A</v>
        <stp/>
        <stp>DELTA</stp>
        <stp>.QQQ250502P471</stp>
        <tr r="CE76" s="1"/>
        <tr r="CE76" s="1"/>
      </tp>
      <tp t="e">
        <v>#N/A</v>
        <stp/>
        <stp>DELTA</stp>
        <stp>.QQQ250502C471</stp>
        <tr r="CD76" s="1"/>
        <tr r="CD76" s="1"/>
      </tp>
      <tp t="e">
        <v>#N/A</v>
        <stp/>
        <stp>DELTA</stp>
        <stp>.QQQ250502P470</stp>
        <tr r="CE77" s="1"/>
        <tr r="CE77" s="1"/>
      </tp>
      <tp t="e">
        <v>#N/A</v>
        <stp/>
        <stp>DELTA</stp>
        <stp>.QQQ250502C470</stp>
        <tr r="CD77" s="1"/>
        <tr r="CD77" s="1"/>
      </tp>
      <tp t="e">
        <v>#N/A</v>
        <stp/>
        <stp>DELTA</stp>
        <stp>.QQQ250502P473</stp>
        <tr r="CE74" s="1"/>
        <tr r="CE74" s="1"/>
      </tp>
      <tp t="e">
        <v>#N/A</v>
        <stp/>
        <stp>DELTA</stp>
        <stp>.QQQ250509P478</stp>
        <tr r="CG69" s="1"/>
        <tr r="CG69" s="1"/>
      </tp>
      <tp t="e">
        <v>#N/A</v>
        <stp/>
        <stp>DELTA</stp>
        <stp>.QQQ250502C473</stp>
        <tr r="CD74" s="1"/>
        <tr r="CD74" s="1"/>
      </tp>
      <tp t="e">
        <v>#N/A</v>
        <stp/>
        <stp>DELTA</stp>
        <stp>.QQQ250509C478</stp>
        <tr r="CF69" s="1"/>
        <tr r="CF69" s="1"/>
      </tp>
      <tp t="e">
        <v>#N/A</v>
        <stp/>
        <stp>DELTA</stp>
        <stp>.QQQ250502P472</stp>
        <tr r="CE75" s="1"/>
        <tr r="CE75" s="1"/>
      </tp>
      <tp t="e">
        <v>#N/A</v>
        <stp/>
        <stp>DELTA</stp>
        <stp>.QQQ250509P479</stp>
        <tr r="CG68" s="1"/>
        <tr r="CG68" s="1"/>
      </tp>
      <tp t="e">
        <v>#N/A</v>
        <stp/>
        <stp>DELTA</stp>
        <stp>.QQQ250502C472</stp>
        <tr r="CD75" s="1"/>
        <tr r="CD75" s="1"/>
      </tp>
      <tp t="e">
        <v>#N/A</v>
        <stp/>
        <stp>DELTA</stp>
        <stp>.QQQ250509C479</stp>
        <tr r="CF68" s="1"/>
        <tr r="CF68" s="1"/>
      </tp>
      <tp t="e">
        <v>#N/A</v>
        <stp/>
        <stp>DELTA</stp>
        <stp>.QQQ250502P475</stp>
        <tr r="CE72" s="1"/>
        <tr r="CE72" s="1"/>
      </tp>
      <tp t="e">
        <v>#N/A</v>
        <stp/>
        <stp>DELTA</stp>
        <stp>.QQQ250502C475</stp>
        <tr r="CD72" s="1"/>
        <tr r="CD72" s="1"/>
      </tp>
      <tp t="e">
        <v>#N/A</v>
        <stp/>
        <stp>DELTA</stp>
        <stp>.QQQ250502P474</stp>
        <tr r="CE73" s="1"/>
        <tr r="CE73" s="1"/>
      </tp>
      <tp t="e">
        <v>#N/A</v>
        <stp/>
        <stp>DELTA</stp>
        <stp>.QQQ250502C474</stp>
        <tr r="CD73" s="1"/>
        <tr r="CD73" s="1"/>
      </tp>
      <tp t="e">
        <v>#N/A</v>
        <stp/>
        <stp>DELTA</stp>
        <stp>.QQQ250502P477</stp>
        <tr r="CE70" s="1"/>
        <tr r="CE70" s="1"/>
      </tp>
      <tp t="e">
        <v>#N/A</v>
        <stp/>
        <stp>DELTA</stp>
        <stp>.QQQ250502C477</stp>
        <tr r="CD70" s="1"/>
        <tr r="CD70" s="1"/>
      </tp>
      <tp t="e">
        <v>#N/A</v>
        <stp/>
        <stp>DELTA</stp>
        <stp>.QQQ250502P476</stp>
        <tr r="CE71" s="1"/>
        <tr r="CE71" s="1"/>
      </tp>
      <tp t="e">
        <v>#N/A</v>
        <stp/>
        <stp>DELTA</stp>
        <stp>.QQQ250502C476</stp>
        <tr r="CD71" s="1"/>
        <tr r="CD71" s="1"/>
      </tp>
      <tp t="e">
        <v>#N/A</v>
        <stp/>
        <stp>DELTA</stp>
        <stp>.QQQ250502P479</stp>
        <tr r="CE68" s="1"/>
        <tr r="CE68" s="1"/>
      </tp>
      <tp t="e">
        <v>#N/A</v>
        <stp/>
        <stp>DELTA</stp>
        <stp>.QQQ250509P472</stp>
        <tr r="CG75" s="1"/>
        <tr r="CG75" s="1"/>
      </tp>
      <tp t="e">
        <v>#N/A</v>
        <stp/>
        <stp>DELTA</stp>
        <stp>.QQQ250502C479</stp>
        <tr r="CD68" s="1"/>
        <tr r="CD68" s="1"/>
      </tp>
      <tp t="e">
        <v>#N/A</v>
        <stp/>
        <stp>DELTA</stp>
        <stp>.QQQ250509C472</stp>
        <tr r="CF75" s="1"/>
        <tr r="CF75" s="1"/>
      </tp>
      <tp t="e">
        <v>#N/A</v>
        <stp/>
        <stp>DELTA</stp>
        <stp>.QQQ250502P478</stp>
        <tr r="CE69" s="1"/>
        <tr r="CE69" s="1"/>
      </tp>
      <tp t="e">
        <v>#N/A</v>
        <stp/>
        <stp>DELTA</stp>
        <stp>.QQQ250509P473</stp>
        <tr r="CG74" s="1"/>
        <tr r="CG74" s="1"/>
      </tp>
      <tp t="e">
        <v>#N/A</v>
        <stp/>
        <stp>DELTA</stp>
        <stp>.QQQ250502C478</stp>
        <tr r="CD69" s="1"/>
        <tr r="CD69" s="1"/>
      </tp>
      <tp t="e">
        <v>#N/A</v>
        <stp/>
        <stp>DELTA</stp>
        <stp>.QQQ250509C473</stp>
        <tr r="CF74" s="1"/>
        <tr r="CF74" s="1"/>
      </tp>
      <tp t="e">
        <v>#N/A</v>
        <stp/>
        <stp>DELTA</stp>
        <stp>.QQQ250509P470</stp>
        <tr r="CG77" s="1"/>
        <tr r="CG77" s="1"/>
      </tp>
      <tp t="e">
        <v>#N/A</v>
        <stp/>
        <stp>DELTA</stp>
        <stp>.QQQ250509C470</stp>
        <tr r="CF77" s="1"/>
        <tr r="CF77" s="1"/>
      </tp>
      <tp t="e">
        <v>#N/A</v>
        <stp/>
        <stp>DELTA</stp>
        <stp>.QQQ250509P471</stp>
        <tr r="CG76" s="1"/>
        <tr r="CG76" s="1"/>
      </tp>
      <tp t="e">
        <v>#N/A</v>
        <stp/>
        <stp>DELTA</stp>
        <stp>.QQQ250509C471</stp>
        <tr r="CF76" s="1"/>
        <tr r="CF76" s="1"/>
      </tp>
      <tp t="e">
        <v>#N/A</v>
        <stp/>
        <stp>DELTA</stp>
        <stp>.QQQ250509P476</stp>
        <tr r="CG71" s="1"/>
        <tr r="CG71" s="1"/>
      </tp>
      <tp t="e">
        <v>#N/A</v>
        <stp/>
        <stp>DELTA</stp>
        <stp>.QQQ250516P469</stp>
        <tr r="CI78" s="1"/>
        <tr r="CI78" s="1"/>
      </tp>
      <tp t="e">
        <v>#N/A</v>
        <stp/>
        <stp>DELTA</stp>
        <stp>.QQQ250509C476</stp>
        <tr r="CF71" s="1"/>
        <tr r="CF71" s="1"/>
      </tp>
      <tp t="e">
        <v>#N/A</v>
        <stp/>
        <stp>DELTA</stp>
        <stp>.QQQ250516C469</stp>
        <tr r="CH78" s="1"/>
        <tr r="CH78" s="1"/>
      </tp>
      <tp t="e">
        <v>#N/A</v>
        <stp/>
        <stp>DELTA</stp>
        <stp>.QQQ250509P477</stp>
        <tr r="CG70" s="1"/>
        <tr r="CG70" s="1"/>
      </tp>
      <tp t="e">
        <v>#N/A</v>
        <stp/>
        <stp>DELTA</stp>
        <stp>.QQQ250516P468</stp>
        <tr r="CI79" s="1"/>
        <tr r="CI79" s="1"/>
      </tp>
      <tp t="e">
        <v>#N/A</v>
        <stp/>
        <stp>DELTA</stp>
        <stp>.QQQ250509C477</stp>
        <tr r="CF70" s="1"/>
        <tr r="CF70" s="1"/>
      </tp>
      <tp t="e">
        <v>#N/A</v>
        <stp/>
        <stp>DELTA</stp>
        <stp>.QQQ250516C468</stp>
        <tr r="CH79" s="1"/>
        <tr r="CH79" s="1"/>
      </tp>
      <tp t="e">
        <v>#N/A</v>
        <stp/>
        <stp>DELTA</stp>
        <stp>.QQQ250509P474</stp>
        <tr r="CG73" s="1"/>
        <tr r="CG73" s="1"/>
      </tp>
      <tp t="e">
        <v>#N/A</v>
        <stp/>
        <stp>DELTA</stp>
        <stp>.QQQ250509C474</stp>
        <tr r="CF73" s="1"/>
        <tr r="CF73" s="1"/>
      </tp>
      <tp t="e">
        <v>#N/A</v>
        <stp/>
        <stp>DELTA</stp>
        <stp>.QQQ250509P475</stp>
        <tr r="CG72" s="1"/>
        <tr r="CG72" s="1"/>
      </tp>
      <tp t="e">
        <v>#N/A</v>
        <stp/>
        <stp>DELTA</stp>
        <stp>.QQQ250509C475</stp>
        <tr r="CF72" s="1"/>
        <tr r="CF72" s="1"/>
      </tp>
      <tp t="e">
        <v>#N/A</v>
        <stp/>
        <stp>DELTA</stp>
        <stp>.QQQ250516P475</stp>
        <tr r="CI72" s="1"/>
        <tr r="CI72" s="1"/>
      </tp>
      <tp t="e">
        <v>#N/A</v>
        <stp/>
        <stp>DELTA</stp>
        <stp>.QQQ250516C475</stp>
        <tr r="CH72" s="1"/>
        <tr r="CH72" s="1"/>
      </tp>
      <tp t="e">
        <v>#N/A</v>
        <stp/>
        <stp>DELTA</stp>
        <stp>.QQQ250516P474</stp>
        <tr r="CI73" s="1"/>
      </tp>
      <tp t="e">
        <v>#N/A</v>
        <stp/>
        <stp>DELTA</stp>
        <stp>.QQQ250516C474</stp>
        <tr r="CH73" s="1"/>
      </tp>
      <tp t="e">
        <v>#N/A</v>
        <stp/>
        <stp>DELTA</stp>
        <stp>.QQQ250509P468</stp>
        <tr r="CG79" s="1"/>
        <tr r="CG79" s="1"/>
      </tp>
      <tp t="e">
        <v>#N/A</v>
        <stp/>
        <stp>DELTA</stp>
        <stp>.QQQ250516P477</stp>
        <tr r="CI70" s="1"/>
      </tp>
      <tp t="e">
        <v>#N/A</v>
        <stp/>
        <stp>DELTA</stp>
        <stp>.QQQ250509C468</stp>
        <tr r="CF79" s="1"/>
        <tr r="CF79" s="1"/>
      </tp>
      <tp t="e">
        <v>#N/A</v>
        <stp/>
        <stp>DELTA</stp>
        <stp>.QQQ250516C477</stp>
        <tr r="CH70" s="1"/>
      </tp>
      <tp t="e">
        <v>#N/A</v>
        <stp/>
        <stp>DELTA</stp>
        <stp>.QQQ250509P469</stp>
        <tr r="CG78" s="1"/>
        <tr r="CG78" s="1"/>
      </tp>
      <tp t="e">
        <v>#N/A</v>
        <stp/>
        <stp>DELTA</stp>
        <stp>.QQQ250516P476</stp>
        <tr r="CI71" s="1"/>
      </tp>
      <tp t="e">
        <v>#N/A</v>
        <stp/>
        <stp>DELTA</stp>
        <stp>.QQQ250509C469</stp>
        <tr r="CF78" s="1"/>
        <tr r="CF78" s="1"/>
      </tp>
      <tp t="e">
        <v>#N/A</v>
        <stp/>
        <stp>DELTA</stp>
        <stp>.QQQ250516C476</stp>
        <tr r="CH71" s="1"/>
      </tp>
      <tp t="e">
        <v>#N/A</v>
        <stp/>
        <stp>DELTA</stp>
        <stp>.QQQ250516P471</stp>
        <tr r="CI76" s="1"/>
      </tp>
      <tp t="e">
        <v>#N/A</v>
        <stp/>
        <stp>DELTA</stp>
        <stp>.QQQ250516C471</stp>
        <tr r="CH76" s="1"/>
      </tp>
      <tp t="e">
        <v>#N/A</v>
        <stp/>
        <stp>DELTA</stp>
        <stp>.QQQ250516P470</stp>
        <tr r="CI77" s="1"/>
        <tr r="CI77" s="1"/>
      </tp>
      <tp t="e">
        <v>#N/A</v>
        <stp/>
        <stp>DELTA</stp>
        <stp>.QQQ250516C470</stp>
        <tr r="CH77" s="1"/>
        <tr r="CH77" s="1"/>
      </tp>
      <tp t="e">
        <v>#N/A</v>
        <stp/>
        <stp>DELTA</stp>
        <stp>.QQQ250516P473</stp>
        <tr r="CI74" s="1"/>
      </tp>
      <tp t="e">
        <v>#N/A</v>
        <stp/>
        <stp>DELTA</stp>
        <stp>.QQQ250516C473</stp>
        <tr r="CH74" s="1"/>
      </tp>
      <tp t="e">
        <v>#N/A</v>
        <stp/>
        <stp>DELTA</stp>
        <stp>.QQQ250516P472</stp>
        <tr r="CI75" s="1"/>
      </tp>
      <tp t="e">
        <v>#N/A</v>
        <stp/>
        <stp>DELTA</stp>
        <stp>.QQQ250516C472</stp>
        <tr r="CH75" s="1"/>
      </tp>
      <tp t="e">
        <v>#N/A</v>
        <stp/>
        <stp>DELTA</stp>
        <stp>.QQQ250502P469</stp>
        <tr r="CE78" s="1"/>
        <tr r="CE78" s="1"/>
      </tp>
      <tp t="e">
        <v>#N/A</v>
        <stp/>
        <stp>DELTA</stp>
        <stp>.QQQ250502C469</stp>
        <tr r="CD78" s="1"/>
        <tr r="CD78" s="1"/>
      </tp>
      <tp t="e">
        <v>#N/A</v>
        <stp/>
        <stp>DELTA</stp>
        <stp>.QQQ250502P468</stp>
        <tr r="CE79" s="1"/>
        <tr r="CE79" s="1"/>
      </tp>
      <tp t="e">
        <v>#N/A</v>
        <stp/>
        <stp>DELTA</stp>
        <stp>.QQQ250502C468</stp>
        <tr r="CD79" s="1"/>
        <tr r="CD79" s="1"/>
      </tp>
      <tp t="e">
        <v>#N/A</v>
        <stp/>
        <stp>DELTA</stp>
        <stp>.QQQ250516P479</stp>
        <tr r="CI68" s="1"/>
      </tp>
      <tp t="e">
        <v>#N/A</v>
        <stp/>
        <stp>DELTA</stp>
        <stp>.QQQ250516C479</stp>
        <tr r="CH68" s="1"/>
      </tp>
      <tp t="e">
        <v>#N/A</v>
        <stp/>
        <stp>DELTA</stp>
        <stp>.QQQ250516P478</stp>
        <tr r="CI69" s="1"/>
      </tp>
      <tp t="e">
        <v>#N/A</v>
        <stp/>
        <stp>DELTA</stp>
        <stp>.QQQ250516C478</stp>
        <tr r="CH69" s="1"/>
      </tp>
      <tp t="e">
        <v>#N/A</v>
        <stp/>
        <stp>DELTA</stp>
        <stp>.QQQ250516P501</stp>
        <tr r="CI46" s="1"/>
        <tr r="CI46" s="1"/>
      </tp>
      <tp t="e">
        <v>#N/A</v>
        <stp/>
        <stp>DELTA</stp>
        <stp>.QQQ250516C501</stp>
        <tr r="CH46" s="1"/>
        <tr r="CH46" s="1"/>
      </tp>
      <tp t="e">
        <v>#N/A</v>
        <stp/>
        <stp>DELTA</stp>
        <stp>.QQQ250516P500</stp>
        <tr r="CI47" s="1"/>
        <tr r="CI47" s="1"/>
      </tp>
      <tp t="e">
        <v>#N/A</v>
        <stp/>
        <stp>DELTA</stp>
        <stp>.QQQ250516C500</stp>
        <tr r="CH47" s="1"/>
        <tr r="CH47" s="1"/>
      </tp>
      <tp t="e">
        <v>#N/A</v>
        <stp/>
        <stp>DELTA</stp>
        <stp>.QQQ250516P502</stp>
        <tr r="CI45" s="1"/>
        <tr r="CI45" s="1"/>
      </tp>
      <tp t="e">
        <v>#N/A</v>
        <stp/>
        <stp>DELTA</stp>
        <stp>.QQQ250516C502</stp>
        <tr r="CH45" s="1"/>
        <tr r="CH45" s="1"/>
      </tp>
      <tp t="e">
        <v>#N/A</v>
        <stp/>
        <stp>DELTA</stp>
        <stp>.QQQ250502P501</stp>
        <tr r="CE46" s="1"/>
        <tr r="CE46" s="1"/>
      </tp>
      <tp t="e">
        <v>#N/A</v>
        <stp/>
        <stp>DELTA</stp>
        <stp>.QQQ250502C501</stp>
        <tr r="CD46" s="1"/>
        <tr r="CD46" s="1"/>
      </tp>
      <tp t="e">
        <v>#N/A</v>
        <stp/>
        <stp>DELTA</stp>
        <stp>.QQQ250502P500</stp>
        <tr r="CE47" s="1"/>
        <tr r="CE47" s="1"/>
      </tp>
      <tp t="e">
        <v>#N/A</v>
        <stp/>
        <stp>DELTA</stp>
        <stp>.QQQ250502C500</stp>
        <tr r="CD47" s="1"/>
        <tr r="CD47" s="1"/>
      </tp>
      <tp t="e">
        <v>#N/A</v>
        <stp/>
        <stp>DELTA</stp>
        <stp>.QQQ250502P502</stp>
        <tr r="CE45" s="1"/>
        <tr r="CE45" s="1"/>
      </tp>
      <tp t="e">
        <v>#N/A</v>
        <stp/>
        <stp>DELTA</stp>
        <stp>.QQQ250502C502</stp>
        <tr r="CD45" s="1"/>
        <tr r="CD45" s="1"/>
      </tp>
      <tp t="e">
        <v>#N/A</v>
        <stp/>
        <stp>DELTA</stp>
        <stp>.QQQ250509P502</stp>
        <tr r="CG45" s="1"/>
        <tr r="CG45" s="1"/>
      </tp>
      <tp t="e">
        <v>#N/A</v>
        <stp/>
        <stp>DELTA</stp>
        <stp>.QQQ250509C502</stp>
        <tr r="CF45" s="1"/>
        <tr r="CF45" s="1"/>
      </tp>
      <tp t="e">
        <v>#N/A</v>
        <stp/>
        <stp>DELTA</stp>
        <stp>.QQQ250509P500</stp>
        <tr r="CG47" s="1"/>
        <tr r="CG47" s="1"/>
      </tp>
      <tp t="e">
        <v>#N/A</v>
        <stp/>
        <stp>DELTA</stp>
        <stp>.QQQ250509C500</stp>
        <tr r="CF47" s="1"/>
        <tr r="CF47" s="1"/>
      </tp>
      <tp t="e">
        <v>#N/A</v>
        <stp/>
        <stp>DELTA</stp>
        <stp>.QQQ250509P501</stp>
        <tr r="CG46" s="1"/>
        <tr r="CG46" s="1"/>
      </tp>
      <tp t="e">
        <v>#N/A</v>
        <stp/>
        <stp>DELTA</stp>
        <stp>.QQQ250509C501</stp>
        <tr r="CF46" s="1"/>
        <tr r="CF46" s="1"/>
      </tp>
      <tp t="e">
        <v>#N/A</v>
        <stp/>
        <stp>VOLUME</stp>
        <stp>.SPXWC5840</stp>
        <tr r="G89" s="2"/>
        <tr r="F89" s="2"/>
      </tp>
      <tp t="e">
        <v>#N/A</v>
        <stp/>
        <stp>VOLUME</stp>
        <stp>.SPXWP5840</stp>
        <tr r="G89" s="2"/>
        <tr r="F89" s="2"/>
      </tp>
      <tp t="e">
        <v>#N/A</v>
        <stp/>
        <stp>VOLUME</stp>
        <stp>.SPXWC5850</stp>
        <tr r="F88" s="2"/>
        <tr r="G88" s="2"/>
      </tp>
      <tp t="e">
        <v>#N/A</v>
        <stp/>
        <stp>VOLUME</stp>
        <stp>.SPXWP5850</stp>
        <tr r="F88" s="2"/>
        <tr r="G88" s="2"/>
      </tp>
      <tp t="e">
        <v>#N/A</v>
        <stp/>
        <stp>VOLUME</stp>
        <stp>.SPXWC5860</stp>
        <tr r="F87" s="2"/>
        <tr r="G87" s="2"/>
      </tp>
      <tp t="e">
        <v>#N/A</v>
        <stp/>
        <stp>VOLUME</stp>
        <stp>.SPXWP5860</stp>
        <tr r="F87" s="2"/>
        <tr r="G87" s="2"/>
      </tp>
      <tp t="e">
        <v>#N/A</v>
        <stp/>
        <stp>VOLUME</stp>
        <stp>.SPXWC5870</stp>
        <tr r="G86" s="2"/>
        <tr r="F86" s="2"/>
      </tp>
      <tp t="e">
        <v>#N/A</v>
        <stp/>
        <stp>VOLUME</stp>
        <stp>.SPXWP5870</stp>
        <tr r="G86" s="2"/>
        <tr r="F86" s="2"/>
      </tp>
      <tp t="e">
        <v>#N/A</v>
        <stp/>
        <stp>VOLUME</stp>
        <stp>.SPXWC5800</stp>
        <tr r="F93" s="2"/>
        <tr r="G93" s="2"/>
      </tp>
      <tp t="e">
        <v>#N/A</v>
        <stp/>
        <stp>VOLUME</stp>
        <stp>.SPXWP5800</stp>
        <tr r="F93" s="2"/>
        <tr r="G93" s="2"/>
      </tp>
      <tp t="e">
        <v>#N/A</v>
        <stp/>
        <stp>VOLUME</stp>
        <stp>.SPXWC5810</stp>
        <tr r="G92" s="2"/>
        <tr r="F92" s="2"/>
      </tp>
      <tp t="e">
        <v>#N/A</v>
        <stp/>
        <stp>VOLUME</stp>
        <stp>.SPXWP5810</stp>
        <tr r="G92" s="2"/>
        <tr r="F92" s="2"/>
      </tp>
      <tp t="e">
        <v>#N/A</v>
        <stp/>
        <stp>VOLUME</stp>
        <stp>.SPXWC5820</stp>
        <tr r="G91" s="2"/>
        <tr r="F91" s="2"/>
      </tp>
      <tp t="e">
        <v>#N/A</v>
        <stp/>
        <stp>VOLUME</stp>
        <stp>.SPXWP5820</stp>
        <tr r="G91" s="2"/>
        <tr r="F91" s="2"/>
      </tp>
      <tp t="e">
        <v>#N/A</v>
        <stp/>
        <stp>VOLUME</stp>
        <stp>.SPXWC5830</stp>
        <tr r="F90" s="2"/>
        <tr r="G90" s="2"/>
      </tp>
      <tp t="e">
        <v>#N/A</v>
        <stp/>
        <stp>VOLUME</stp>
        <stp>.SPXWP5830</stp>
        <tr r="F90" s="2"/>
        <tr r="G90" s="2"/>
      </tp>
      <tp t="e">
        <v>#N/A</v>
        <stp/>
        <stp>ASK</stp>
        <stp>.NDXP250502C20180</stp>
        <tr r="DC150" s="1"/>
        <tr r="DC150" s="1"/>
      </tp>
      <tp t="e">
        <v>#N/A</v>
        <stp/>
        <stp>ASK</stp>
        <stp>.NDXP250502C20160</stp>
        <tr r="DC151" s="1"/>
        <tr r="DC151" s="1"/>
      </tp>
      <tp t="e">
        <v>#N/A</v>
        <stp/>
        <stp>ASK</stp>
        <stp>.NDXP250502C20140</stp>
        <tr r="DC152" s="1"/>
        <tr r="DC152" s="1"/>
      </tp>
      <tp t="e">
        <v>#N/A</v>
        <stp/>
        <stp>ASK</stp>
        <stp>.NDXP250502C20120</stp>
        <tr r="DC153" s="1"/>
        <tr r="DC153" s="1"/>
      </tp>
      <tp t="e">
        <v>#N/A</v>
        <stp/>
        <stp>ASK</stp>
        <stp>.NDXP250502C20100</stp>
        <tr r="DC154" s="1"/>
        <tr r="DC154" s="1"/>
      </tp>
      <tp t="e">
        <v>#N/A</v>
        <stp/>
        <stp>ASK</stp>
        <stp>.NDXP250502P20180</stp>
        <tr r="DD150" s="1"/>
        <tr r="DD150" s="1"/>
      </tp>
      <tp t="e">
        <v>#N/A</v>
        <stp/>
        <stp>ASK</stp>
        <stp>.NDXP250502P20140</stp>
        <tr r="DD152" s="1"/>
        <tr r="DD152" s="1"/>
      </tp>
      <tp t="e">
        <v>#N/A</v>
        <stp/>
        <stp>ASK</stp>
        <stp>.NDXP250502P20160</stp>
        <tr r="DD151" s="1"/>
        <tr r="DD151" s="1"/>
      </tp>
      <tp t="e">
        <v>#N/A</v>
        <stp/>
        <stp>ASK</stp>
        <stp>.NDXP250502P20100</stp>
        <tr r="DD154" s="1"/>
        <tr r="DD154" s="1"/>
      </tp>
      <tp t="e">
        <v>#N/A</v>
        <stp/>
        <stp>ASK</stp>
        <stp>.NDXP250502P20120</stp>
        <tr r="DD153" s="1"/>
        <tr r="DD153" s="1"/>
      </tp>
      <tp t="e">
        <v>#N/A</v>
        <stp/>
        <stp>ASK</stp>
        <stp>.NDXP250502C20080</stp>
        <tr r="DC155" s="1"/>
        <tr r="DC155" s="1"/>
      </tp>
      <tp t="e">
        <v>#N/A</v>
        <stp/>
        <stp>ASK</stp>
        <stp>.NDXP250502C20060</stp>
        <tr r="DC156" s="1"/>
        <tr r="DC156" s="1"/>
      </tp>
      <tp t="e">
        <v>#N/A</v>
        <stp/>
        <stp>ASK</stp>
        <stp>.NDXP250502C20040</stp>
        <tr r="DC157" s="1"/>
        <tr r="DC157" s="1"/>
      </tp>
      <tp t="e">
        <v>#N/A</v>
        <stp/>
        <stp>ASK</stp>
        <stp>.NDXP250502C20020</stp>
        <tr r="DC158" s="1"/>
        <tr r="DC158" s="1"/>
      </tp>
      <tp t="e">
        <v>#N/A</v>
        <stp/>
        <stp>ASK</stp>
        <stp>.NDXP250502C20000</stp>
        <tr r="DC159" s="1"/>
        <tr r="DC159" s="1"/>
      </tp>
      <tp t="e">
        <v>#N/A</v>
        <stp/>
        <stp>ASK</stp>
        <stp>.NDXP250502P20080</stp>
        <tr r="DD155" s="1"/>
        <tr r="DD155" s="1"/>
      </tp>
      <tp t="e">
        <v>#N/A</v>
        <stp/>
        <stp>ASK</stp>
        <stp>.NDXP250502P20040</stp>
        <tr r="DD157" s="1"/>
        <tr r="DD157" s="1"/>
      </tp>
      <tp t="e">
        <v>#N/A</v>
        <stp/>
        <stp>ASK</stp>
        <stp>.NDXP250502P20060</stp>
        <tr r="DD156" s="1"/>
        <tr r="DD156" s="1"/>
      </tp>
      <tp t="e">
        <v>#N/A</v>
        <stp/>
        <stp>ASK</stp>
        <stp>.NDXP250502P20000</stp>
        <tr r="DD159" s="1"/>
        <tr r="DD159" s="1"/>
      </tp>
      <tp t="e">
        <v>#N/A</v>
        <stp/>
        <stp>ASK</stp>
        <stp>.NDXP250502P20020</stp>
        <tr r="DD158" s="1"/>
        <tr r="DD158" s="1"/>
      </tp>
      <tp t="e">
        <v>#N/A</v>
        <stp/>
        <stp>ASK</stp>
        <stp>.NDXP250502C20380</stp>
        <tr r="DC140" s="1"/>
        <tr r="DC140" s="1"/>
      </tp>
      <tp t="e">
        <v>#N/A</v>
        <stp/>
        <stp>ASK</stp>
        <stp>.NDXP250502C20360</stp>
        <tr r="DC141" s="1"/>
        <tr r="DC141" s="1"/>
      </tp>
      <tp t="e">
        <v>#N/A</v>
        <stp/>
        <stp>ASK</stp>
        <stp>.NDXP250502C20340</stp>
        <tr r="DC142" s="1"/>
        <tr r="DC142" s="1"/>
      </tp>
      <tp t="e">
        <v>#N/A</v>
        <stp/>
        <stp>ASK</stp>
        <stp>.NDXP250502C20320</stp>
        <tr r="DC143" s="1"/>
        <tr r="DC143" s="1"/>
      </tp>
      <tp t="e">
        <v>#N/A</v>
        <stp/>
        <stp>ASK</stp>
        <stp>.NDXP250502C20300</stp>
        <tr r="DC144" s="1"/>
        <tr r="DC144" s="1"/>
      </tp>
      <tp t="e">
        <v>#N/A</v>
        <stp/>
        <stp>ASK</stp>
        <stp>.NDXP250502P20380</stp>
        <tr r="DD140" s="1"/>
        <tr r="DD140" s="1"/>
      </tp>
      <tp t="e">
        <v>#N/A</v>
        <stp/>
        <stp>ASK</stp>
        <stp>.NDXP250502P20340</stp>
        <tr r="DD142" s="1"/>
        <tr r="DD142" s="1"/>
      </tp>
      <tp t="e">
        <v>#N/A</v>
        <stp/>
        <stp>ASK</stp>
        <stp>.NDXP250502P20360</stp>
        <tr r="DD141" s="1"/>
        <tr r="DD141" s="1"/>
      </tp>
      <tp t="e">
        <v>#N/A</v>
        <stp/>
        <stp>ASK</stp>
        <stp>.NDXP250502P20300</stp>
        <tr r="DD144" s="1"/>
        <tr r="DD144" s="1"/>
      </tp>
      <tp t="e">
        <v>#N/A</v>
        <stp/>
        <stp>ASK</stp>
        <stp>.NDXP250502P20320</stp>
        <tr r="DD143" s="1"/>
        <tr r="DD143" s="1"/>
      </tp>
      <tp t="e">
        <v>#N/A</v>
        <stp/>
        <stp>VOLUME</stp>
        <stp>.NDXPP19980</stp>
        <tr r="F161" s="2"/>
        <tr r="G161" s="2"/>
      </tp>
      <tp t="e">
        <v>#N/A</v>
        <stp/>
        <stp>VOLUME</stp>
        <stp>.NDXPP19960</stp>
        <tr r="F162" s="2"/>
        <tr r="G162" s="2"/>
      </tp>
      <tp t="e">
        <v>#N/A</v>
        <stp/>
        <stp>VOLUME</stp>
        <stp>.NDXPP19940</stp>
        <tr r="F163" s="2"/>
        <tr r="G163" s="2"/>
      </tp>
      <tp t="e">
        <v>#N/A</v>
        <stp/>
        <stp>VOLUME</stp>
        <stp>.NDXPP19920</stp>
        <tr r="F164" s="2"/>
        <tr r="G164" s="2"/>
      </tp>
      <tp t="e">
        <v>#N/A</v>
        <stp/>
        <stp>VOLUME</stp>
        <stp>.NDXPP19900</stp>
        <tr r="F165" s="2"/>
        <tr r="G165" s="2"/>
      </tp>
      <tp t="e">
        <v>#N/A</v>
        <stp/>
        <stp>VOLUME</stp>
        <stp>.NDXPC19980</stp>
        <tr r="F161" s="2"/>
        <tr r="G161" s="2"/>
      </tp>
      <tp t="e">
        <v>#N/A</v>
        <stp/>
        <stp>VOLUME</stp>
        <stp>.NDXPC19940</stp>
        <tr r="F163" s="2"/>
        <tr r="G163" s="2"/>
      </tp>
      <tp t="e">
        <v>#N/A</v>
        <stp/>
        <stp>VOLUME</stp>
        <stp>.NDXPC19960</stp>
        <tr r="F162" s="2"/>
        <tr r="G162" s="2"/>
      </tp>
      <tp t="e">
        <v>#N/A</v>
        <stp/>
        <stp>VOLUME</stp>
        <stp>.NDXPC19900</stp>
        <tr r="F165" s="2"/>
        <tr r="G165" s="2"/>
      </tp>
      <tp t="e">
        <v>#N/A</v>
        <stp/>
        <stp>VOLUME</stp>
        <stp>.NDXPC19920</stp>
        <tr r="F164" s="2"/>
        <tr r="G164" s="2"/>
      </tp>
      <tp t="e">
        <v>#N/A</v>
        <stp/>
        <stp>ASK</stp>
        <stp>.NDXP250502C20280</stp>
        <tr r="DC145" s="1"/>
        <tr r="DC145" s="1"/>
      </tp>
      <tp t="e">
        <v>#N/A</v>
        <stp/>
        <stp>ASK</stp>
        <stp>.NDXP250502C20260</stp>
        <tr r="DC146" s="1"/>
        <tr r="DC146" s="1"/>
      </tp>
      <tp t="e">
        <v>#N/A</v>
        <stp/>
        <stp>ASK</stp>
        <stp>.NDXP250502C20240</stp>
        <tr r="DC147" s="1"/>
        <tr r="DC147" s="1"/>
      </tp>
      <tp t="e">
        <v>#N/A</v>
        <stp/>
        <stp>ASK</stp>
        <stp>.NDXP250502C20220</stp>
        <tr r="DC148" s="1"/>
        <tr r="DC148" s="1"/>
      </tp>
      <tp t="e">
        <v>#N/A</v>
        <stp/>
        <stp>ASK</stp>
        <stp>.NDXP250502C20200</stp>
        <tr r="DC149" s="1"/>
        <tr r="DC149" s="1"/>
      </tp>
      <tp t="e">
        <v>#N/A</v>
        <stp/>
        <stp>ASK</stp>
        <stp>.NDXP250502P20280</stp>
        <tr r="DD145" s="1"/>
        <tr r="DD145" s="1"/>
      </tp>
      <tp t="e">
        <v>#N/A</v>
        <stp/>
        <stp>ASK</stp>
        <stp>.NDXP250502P20240</stp>
        <tr r="DD147" s="1"/>
        <tr r="DD147" s="1"/>
      </tp>
      <tp t="e">
        <v>#N/A</v>
        <stp/>
        <stp>ASK</stp>
        <stp>.NDXP250502P20260</stp>
        <tr r="DD146" s="1"/>
        <tr r="DD146" s="1"/>
      </tp>
      <tp t="e">
        <v>#N/A</v>
        <stp/>
        <stp>ASK</stp>
        <stp>.NDXP250502P20200</stp>
        <tr r="DD149" s="1"/>
        <tr r="DD149" s="1"/>
      </tp>
      <tp t="e">
        <v>#N/A</v>
        <stp/>
        <stp>ASK</stp>
        <stp>.NDXP250502P20220</stp>
        <tr r="DD148" s="1"/>
        <tr r="DD148" s="1"/>
      </tp>
      <tp t="e">
        <v>#N/A</v>
        <stp/>
        <stp>VOLUME</stp>
        <stp>.NDXPP19880</stp>
        <tr r="F166" s="2"/>
        <tr r="G166" s="2"/>
      </tp>
      <tp t="e">
        <v>#N/A</v>
        <stp/>
        <stp>VOLUME</stp>
        <stp>.NDXPP19860</stp>
        <tr r="F167" s="2"/>
        <tr r="G167" s="2"/>
      </tp>
      <tp t="e">
        <v>#N/A</v>
        <stp/>
        <stp>VOLUME</stp>
        <stp>.NDXPP19840</stp>
        <tr r="F168" s="2"/>
        <tr r="G168" s="2"/>
      </tp>
      <tp t="e">
        <v>#N/A</v>
        <stp/>
        <stp>VOLUME</stp>
        <stp>.NDXPP19820</stp>
        <tr r="F169" s="2"/>
        <tr r="G169" s="2"/>
      </tp>
      <tp t="e">
        <v>#N/A</v>
        <stp/>
        <stp>VOLUME</stp>
        <stp>.NDXPP19800</stp>
        <tr r="G170" s="2"/>
        <tr r="F170" s="2"/>
      </tp>
      <tp t="e">
        <v>#N/A</v>
        <stp/>
        <stp>LAST</stp>
        <stp>.SPXW250502P5810</stp>
        <tr r="DB91" s="1"/>
        <tr r="DB91" s="1"/>
      </tp>
      <tp t="e">
        <v>#N/A</v>
        <stp/>
        <stp>LAST</stp>
        <stp>.SPXW250502C5810</stp>
        <tr r="DA91" s="1"/>
        <tr r="DA91" s="1"/>
      </tp>
      <tp t="e">
        <v>#N/A</v>
        <stp/>
        <stp>LAST</stp>
        <stp>.SPXW250502P5800</stp>
        <tr r="DB92" s="1"/>
        <tr r="DB92" s="1"/>
      </tp>
      <tp t="e">
        <v>#N/A</v>
        <stp/>
        <stp>LAST</stp>
        <stp>.SPXW250502C5800</stp>
        <tr r="DA92" s="1"/>
        <tr r="DA92" s="1"/>
      </tp>
      <tp t="e">
        <v>#N/A</v>
        <stp/>
        <stp>LAST</stp>
        <stp>.SPXW250502P5830</stp>
        <tr r="DB89" s="1"/>
        <tr r="DB89" s="1"/>
      </tp>
      <tp t="e">
        <v>#N/A</v>
        <stp/>
        <stp>LAST</stp>
        <stp>.SPXW250502C5830</stp>
        <tr r="DA89" s="1"/>
        <tr r="DA89" s="1"/>
      </tp>
      <tp t="e">
        <v>#N/A</v>
        <stp/>
        <stp>LAST</stp>
        <stp>.SPXW250502P5820</stp>
        <tr r="DB90" s="1"/>
        <tr r="DB90" s="1"/>
      </tp>
      <tp t="e">
        <v>#N/A</v>
        <stp/>
        <stp>LAST</stp>
        <stp>.SPXW250502C5820</stp>
        <tr r="DA90" s="1"/>
        <tr r="DA90" s="1"/>
      </tp>
      <tp t="e">
        <v>#N/A</v>
        <stp/>
        <stp>LAST</stp>
        <stp>.SPXW250502P5850</stp>
        <tr r="DB87" s="1"/>
        <tr r="DB87" s="1"/>
      </tp>
      <tp t="e">
        <v>#N/A</v>
        <stp/>
        <stp>LAST</stp>
        <stp>.SPXW250502C5850</stp>
        <tr r="DA87" s="1"/>
        <tr r="DA87" s="1"/>
      </tp>
      <tp t="e">
        <v>#N/A</v>
        <stp/>
        <stp>LAST</stp>
        <stp>.SPXW250502P5840</stp>
        <tr r="DB88" s="1"/>
        <tr r="DB88" s="1"/>
      </tp>
      <tp t="e">
        <v>#N/A</v>
        <stp/>
        <stp>VOLUME</stp>
        <stp>.NDXPC19880</stp>
        <tr r="F166" s="2"/>
        <tr r="G166" s="2"/>
      </tp>
      <tp t="e">
        <v>#N/A</v>
        <stp/>
        <stp>LAST</stp>
        <stp>.SPXW250502C5840</stp>
        <tr r="DA88" s="1"/>
        <tr r="DA88" s="1"/>
      </tp>
      <tp t="e">
        <v>#N/A</v>
        <stp/>
        <stp>LAST</stp>
        <stp>.SPXW250502P5870</stp>
        <tr r="DB85" s="1"/>
        <tr r="DB85" s="1"/>
      </tp>
      <tp t="e">
        <v>#N/A</v>
        <stp/>
        <stp>LAST</stp>
        <stp>.SPXW250502C5870</stp>
        <tr r="DA85" s="1"/>
        <tr r="DA85" s="1"/>
      </tp>
      <tp t="e">
        <v>#N/A</v>
        <stp/>
        <stp>LAST</stp>
        <stp>.SPXW250502P5860</stp>
        <tr r="DB86" s="1"/>
        <tr r="DB86" s="1"/>
      </tp>
      <tp t="e">
        <v>#N/A</v>
        <stp/>
        <stp>LAST</stp>
        <stp>.SPXW250502C5860</stp>
        <tr r="DA86" s="1"/>
        <tr r="DA86" s="1"/>
      </tp>
      <tp t="e">
        <v>#N/A</v>
        <stp/>
        <stp>VOLUME</stp>
        <stp>.NDXPC19840</stp>
        <tr r="F168" s="2"/>
        <tr r="G168" s="2"/>
      </tp>
      <tp t="e">
        <v>#N/A</v>
        <stp/>
        <stp>VOLUME</stp>
        <stp>.NDXPC19860</stp>
        <tr r="F167" s="2"/>
        <tr r="G167" s="2"/>
      </tp>
      <tp t="e">
        <v>#N/A</v>
        <stp/>
        <stp>VOLUME</stp>
        <stp>.NDXPC19800</stp>
        <tr r="G170" s="2"/>
        <tr r="F170" s="2"/>
      </tp>
      <tp t="e">
        <v>#N/A</v>
        <stp/>
        <stp>VOLUME</stp>
        <stp>.NDXPC19820</stp>
        <tr r="F169" s="2"/>
        <tr r="G169" s="2"/>
      </tp>
      <tp t="e">
        <v>#N/A</v>
        <stp/>
        <stp>ASK</stp>
        <stp>.NDXP250502C19580</stp>
        <tr r="DC180" s="1"/>
        <tr r="DC180" s="1"/>
      </tp>
      <tp t="e">
        <v>#N/A</v>
        <stp/>
        <stp>ASK</stp>
        <stp>.NDXP250502C19560</stp>
        <tr r="DC181" s="1"/>
        <tr r="DC181" s="1"/>
      </tp>
      <tp t="e">
        <v>#N/A</v>
        <stp/>
        <stp>ASK</stp>
        <stp>.NDXP250502C19540</stp>
        <tr r="DC182" s="1"/>
        <tr r="DC182" s="1"/>
      </tp>
      <tp t="e">
        <v>#N/A</v>
        <stp/>
        <stp>ASK</stp>
        <stp>.NDXP250502C19520</stp>
        <tr r="DC183" s="1"/>
        <tr r="DC183" s="1"/>
      </tp>
      <tp t="e">
        <v>#N/A</v>
        <stp/>
        <stp>ASK</stp>
        <stp>.NDXP250502C19500</stp>
        <tr r="DC184" s="1"/>
        <tr r="DC184" s="1"/>
      </tp>
      <tp t="e">
        <v>#N/A</v>
        <stp/>
        <stp>ASK</stp>
        <stp>.NDXP250502P19580</stp>
        <tr r="DD180" s="1"/>
        <tr r="DD180" s="1"/>
      </tp>
      <tp t="e">
        <v>#N/A</v>
        <stp/>
        <stp>ASK</stp>
        <stp>.NDXP250502P19540</stp>
        <tr r="DD182" s="1"/>
        <tr r="DD182" s="1"/>
      </tp>
      <tp t="e">
        <v>#N/A</v>
        <stp/>
        <stp>ASK</stp>
        <stp>.NDXP250502P19560</stp>
        <tr r="DD181" s="1"/>
        <tr r="DD181" s="1"/>
      </tp>
      <tp t="e">
        <v>#N/A</v>
        <stp/>
        <stp>ASK</stp>
        <stp>.NDXP250502P19500</stp>
        <tr r="DD184" s="1"/>
        <tr r="DD184" s="1"/>
      </tp>
      <tp t="e">
        <v>#N/A</v>
        <stp/>
        <stp>ASK</stp>
        <stp>.NDXP250502P19520</stp>
        <tr r="DD183" s="1"/>
        <tr r="DD183" s="1"/>
      </tp>
      <tp t="e">
        <v>#N/A</v>
        <stp/>
        <stp>ASK</stp>
        <stp>.NDXP250502C19480</stp>
        <tr r="DC185" s="1"/>
        <tr r="DC185" s="1"/>
      </tp>
      <tp t="e">
        <v>#N/A</v>
        <stp/>
        <stp>ASK</stp>
        <stp>.NDXP250502C19460</stp>
        <tr r="DC186" s="1"/>
        <tr r="DC186" s="1"/>
      </tp>
      <tp t="e">
        <v>#N/A</v>
        <stp/>
        <stp>ASK</stp>
        <stp>.NDXP250502C19440</stp>
        <tr r="DC187" s="1"/>
        <tr r="DC187" s="1"/>
      </tp>
      <tp t="e">
        <v>#N/A</v>
        <stp/>
        <stp>ASK</stp>
        <stp>.NDXP250502C20440</stp>
        <tr r="DC137" s="1"/>
      </tp>
      <tp t="e">
        <v>#N/A</v>
        <stp/>
        <stp>ASK</stp>
        <stp>.NDXP250502C19420</stp>
        <tr r="DC188" s="1"/>
        <tr r="DC188" s="1"/>
      </tp>
      <tp t="e">
        <v>#N/A</v>
        <stp/>
        <stp>ASK</stp>
        <stp>.NDXP250502C20420</stp>
        <tr r="DC138" s="1"/>
      </tp>
      <tp t="e">
        <v>#N/A</v>
        <stp/>
        <stp>ASK</stp>
        <stp>.NDXP250502C19400</stp>
        <tr r="DC189" s="1"/>
        <tr r="DC189" s="1"/>
      </tp>
      <tp t="e">
        <v>#N/A</v>
        <stp/>
        <stp>ASK</stp>
        <stp>.NDXP250502C20400</stp>
        <tr r="DC139" s="1"/>
        <tr r="DC139" s="1"/>
      </tp>
      <tp t="e">
        <v>#N/A</v>
        <stp/>
        <stp>ASK</stp>
        <stp>.NDXP250502P19480</stp>
        <tr r="DD185" s="1"/>
        <tr r="DD185" s="1"/>
      </tp>
      <tp t="e">
        <v>#N/A</v>
        <stp/>
        <stp>ASK</stp>
        <stp>.NDXP250502P19440</stp>
        <tr r="DD187" s="1"/>
        <tr r="DD187" s="1"/>
      </tp>
      <tp t="e">
        <v>#N/A</v>
        <stp/>
        <stp>ASK</stp>
        <stp>.NDXP250502P20440</stp>
        <tr r="DD137" s="1"/>
      </tp>
      <tp t="e">
        <v>#N/A</v>
        <stp/>
        <stp>ASK</stp>
        <stp>.NDXP250502P19460</stp>
        <tr r="DD186" s="1"/>
        <tr r="DD186" s="1"/>
      </tp>
      <tp t="e">
        <v>#N/A</v>
        <stp/>
        <stp>ASK</stp>
        <stp>.NDXP250502P19400</stp>
        <tr r="DD189" s="1"/>
        <tr r="DD189" s="1"/>
      </tp>
      <tp t="e">
        <v>#N/A</v>
        <stp/>
        <stp>ASK</stp>
        <stp>.NDXP250502P20400</stp>
        <tr r="DD139" s="1"/>
        <tr r="DD139" s="1"/>
      </tp>
      <tp t="e">
        <v>#N/A</v>
        <stp/>
        <stp>ASK</stp>
        <stp>.NDXP250502P19420</stp>
        <tr r="DD188" s="1"/>
        <tr r="DD188" s="1"/>
      </tp>
      <tp t="e">
        <v>#N/A</v>
        <stp/>
        <stp>ASK</stp>
        <stp>.NDXP250502P20420</stp>
        <tr r="DD138" s="1"/>
      </tp>
      <tp t="e">
        <v>#N/A</v>
        <stp/>
        <stp>ASK</stp>
        <stp>.NDXP250502C19780</stp>
        <tr r="DC170" s="1"/>
        <tr r="DC170" s="1"/>
      </tp>
      <tp t="e">
        <v>#N/A</v>
        <stp/>
        <stp>BID</stp>
        <stp>.NDXP250502C19880</stp>
        <tr r="DE165" s="1"/>
        <tr r="DE165" s="1"/>
      </tp>
      <tp t="e">
        <v>#N/A</v>
        <stp/>
        <stp>ASK</stp>
        <stp>.NDXP250502C19760</stp>
        <tr r="DC171" s="1"/>
        <tr r="DC171" s="1"/>
      </tp>
      <tp t="e">
        <v>#N/A</v>
        <stp/>
        <stp>BID</stp>
        <stp>.NDXP250502C19860</stp>
        <tr r="DE166" s="1"/>
        <tr r="DE166" s="1"/>
      </tp>
      <tp t="e">
        <v>#N/A</v>
        <stp/>
        <stp>ASK</stp>
        <stp>.NDXP250502C19740</stp>
        <tr r="DC172" s="1"/>
        <tr r="DC172" s="1"/>
      </tp>
      <tp t="e">
        <v>#N/A</v>
        <stp/>
        <stp>BID</stp>
        <stp>.NDXP250502C19840</stp>
        <tr r="DE167" s="1"/>
        <tr r="DE167" s="1"/>
      </tp>
      <tp t="e">
        <v>#N/A</v>
        <stp/>
        <stp>ASK</stp>
        <stp>.NDXP250502C19720</stp>
        <tr r="DC173" s="1"/>
        <tr r="DC173" s="1"/>
      </tp>
      <tp t="e">
        <v>#N/A</v>
        <stp/>
        <stp>BID</stp>
        <stp>.NDXP250502C19820</stp>
        <tr r="DE168" s="1"/>
        <tr r="DE168" s="1"/>
      </tp>
      <tp t="e">
        <v>#N/A</v>
        <stp/>
        <stp>ASK</stp>
        <stp>.NDXP250502C19700</stp>
        <tr r="DC174" s="1"/>
        <tr r="DC174" s="1"/>
      </tp>
      <tp t="e">
        <v>#N/A</v>
        <stp/>
        <stp>BID</stp>
        <stp>.NDXP250502C19800</stp>
        <tr r="DE169" s="1"/>
        <tr r="DE169" s="1"/>
      </tp>
      <tp t="e">
        <v>#N/A</v>
        <stp/>
        <stp>ASK</stp>
        <stp>.NDXP250502P19780</stp>
        <tr r="DD170" s="1"/>
        <tr r="DD170" s="1"/>
      </tp>
      <tp t="e">
        <v>#N/A</v>
        <stp/>
        <stp>BID</stp>
        <stp>.NDXP250502P19880</stp>
        <tr r="DF165" s="1"/>
        <tr r="DF165" s="1"/>
      </tp>
      <tp t="e">
        <v>#N/A</v>
        <stp/>
        <stp>ASK</stp>
        <stp>.NDXP250502P19740</stp>
        <tr r="DD172" s="1"/>
        <tr r="DD172" s="1"/>
      </tp>
      <tp t="e">
        <v>#N/A</v>
        <stp/>
        <stp>BID</stp>
        <stp>.NDXP250502P19840</stp>
        <tr r="DF167" s="1"/>
        <tr r="DF167" s="1"/>
      </tp>
      <tp t="e">
        <v>#N/A</v>
        <stp/>
        <stp>ASK</stp>
        <stp>.NDXP250502P19760</stp>
        <tr r="DD171" s="1"/>
        <tr r="DD171" s="1"/>
      </tp>
      <tp t="e">
        <v>#N/A</v>
        <stp/>
        <stp>BID</stp>
        <stp>.NDXP250502P19860</stp>
        <tr r="DF166" s="1"/>
        <tr r="DF166" s="1"/>
      </tp>
      <tp t="e">
        <v>#N/A</v>
        <stp/>
        <stp>ASK</stp>
        <stp>.NDXP250502P19700</stp>
        <tr r="DD174" s="1"/>
        <tr r="DD174" s="1"/>
      </tp>
      <tp t="e">
        <v>#N/A</v>
        <stp/>
        <stp>BID</stp>
        <stp>.NDXP250502P19800</stp>
        <tr r="DF169" s="1"/>
        <tr r="DF169" s="1"/>
      </tp>
      <tp t="e">
        <v>#N/A</v>
        <stp/>
        <stp>ASK</stp>
        <stp>.NDXP250502P19720</stp>
        <tr r="DD173" s="1"/>
        <tr r="DD173" s="1"/>
      </tp>
      <tp t="e">
        <v>#N/A</v>
        <stp/>
        <stp>BID</stp>
        <stp>.NDXP250502P19820</stp>
        <tr r="DF168" s="1"/>
        <tr r="DF168" s="1"/>
      </tp>
      <tp t="e">
        <v>#N/A</v>
        <stp/>
        <stp>ASK</stp>
        <stp>.NDXP250502C19680</stp>
        <tr r="DC175" s="1"/>
        <tr r="DC175" s="1"/>
      </tp>
      <tp t="e">
        <v>#N/A</v>
        <stp/>
        <stp>BID</stp>
        <stp>.NDXP250502C19980</stp>
        <tr r="DE160" s="1"/>
        <tr r="DE160" s="1"/>
      </tp>
      <tp t="e">
        <v>#N/A</v>
        <stp/>
        <stp>ASK</stp>
        <stp>.NDXP250502C19660</stp>
        <tr r="DC176" s="1"/>
        <tr r="DC176" s="1"/>
      </tp>
      <tp t="e">
        <v>#N/A</v>
        <stp/>
        <stp>BID</stp>
        <stp>.NDXP250502C19960</stp>
        <tr r="DE161" s="1"/>
        <tr r="DE161" s="1"/>
      </tp>
      <tp t="e">
        <v>#N/A</v>
        <stp/>
        <stp>ASK</stp>
        <stp>.NDXP250502C19640</stp>
        <tr r="DC177" s="1"/>
        <tr r="DC177" s="1"/>
      </tp>
      <tp t="e">
        <v>#N/A</v>
        <stp/>
        <stp>BID</stp>
        <stp>.NDXP250502C19940</stp>
        <tr r="DE162" s="1"/>
        <tr r="DE162" s="1"/>
      </tp>
      <tp t="e">
        <v>#N/A</v>
        <stp/>
        <stp>ASK</stp>
        <stp>.NDXP250502C19620</stp>
        <tr r="DC178" s="1"/>
        <tr r="DC178" s="1"/>
      </tp>
      <tp t="e">
        <v>#N/A</v>
        <stp/>
        <stp>BID</stp>
        <stp>.NDXP250502C19920</stp>
        <tr r="DE163" s="1"/>
        <tr r="DE163" s="1"/>
      </tp>
      <tp t="e">
        <v>#N/A</v>
        <stp/>
        <stp>ASK</stp>
        <stp>.NDXP250502C19600</stp>
        <tr r="DC179" s="1"/>
        <tr r="DC179" s="1"/>
      </tp>
      <tp t="e">
        <v>#N/A</v>
        <stp/>
        <stp>BID</stp>
        <stp>.NDXP250502C19900</stp>
        <tr r="DE164" s="1"/>
        <tr r="DE164" s="1"/>
      </tp>
      <tp t="e">
        <v>#N/A</v>
        <stp/>
        <stp>ASK</stp>
        <stp>.NDXP250502P19680</stp>
        <tr r="DD175" s="1"/>
        <tr r="DD175" s="1"/>
      </tp>
      <tp t="e">
        <v>#N/A</v>
        <stp/>
        <stp>BID</stp>
        <stp>.NDXP250502P19980</stp>
        <tr r="DF160" s="1"/>
        <tr r="DF160" s="1"/>
      </tp>
      <tp t="e">
        <v>#N/A</v>
        <stp/>
        <stp>ASK</stp>
        <stp>.NDXP250502P19640</stp>
        <tr r="DD177" s="1"/>
        <tr r="DD177" s="1"/>
      </tp>
      <tp t="e">
        <v>#N/A</v>
        <stp/>
        <stp>BID</stp>
        <stp>.NDXP250502P19940</stp>
        <tr r="DF162" s="1"/>
        <tr r="DF162" s="1"/>
      </tp>
      <tp t="e">
        <v>#N/A</v>
        <stp/>
        <stp>ASK</stp>
        <stp>.NDXP250502P19660</stp>
        <tr r="DD176" s="1"/>
        <tr r="DD176" s="1"/>
      </tp>
      <tp t="e">
        <v>#N/A</v>
        <stp/>
        <stp>BID</stp>
        <stp>.NDXP250502P19960</stp>
        <tr r="DF161" s="1"/>
        <tr r="DF161" s="1"/>
      </tp>
      <tp t="e">
        <v>#N/A</v>
        <stp/>
        <stp>ASK</stp>
        <stp>.NDXP250502P19600</stp>
        <tr r="DD179" s="1"/>
        <tr r="DD179" s="1"/>
      </tp>
      <tp t="e">
        <v>#N/A</v>
        <stp/>
        <stp>BID</stp>
        <stp>.NDXP250502P19900</stp>
        <tr r="DF164" s="1"/>
        <tr r="DF164" s="1"/>
      </tp>
      <tp t="e">
        <v>#N/A</v>
        <stp/>
        <stp>ASK</stp>
        <stp>.NDXP250502P19620</stp>
        <tr r="DD178" s="1"/>
        <tr r="DD178" s="1"/>
      </tp>
      <tp t="e">
        <v>#N/A</v>
        <stp/>
        <stp>BID</stp>
        <stp>.NDXP250502P19920</stp>
        <tr r="DF163" s="1"/>
        <tr r="DF163" s="1"/>
      </tp>
      <tp t="e">
        <v>#N/A</v>
        <stp/>
        <stp>ASK</stp>
        <stp>.NDXP250502C19980</stp>
        <tr r="DC160" s="1"/>
        <tr r="DC160" s="1"/>
      </tp>
      <tp t="e">
        <v>#N/A</v>
        <stp/>
        <stp>BID</stp>
        <stp>.NDXP250502C19680</stp>
        <tr r="DE175" s="1"/>
        <tr r="DE175" s="1"/>
      </tp>
      <tp t="e">
        <v>#N/A</v>
        <stp/>
        <stp>ASK</stp>
        <stp>.NDXP250502C19960</stp>
        <tr r="DC161" s="1"/>
        <tr r="DC161" s="1"/>
      </tp>
      <tp t="e">
        <v>#N/A</v>
        <stp/>
        <stp>BID</stp>
        <stp>.NDXP250502C19660</stp>
        <tr r="DE176" s="1"/>
        <tr r="DE176" s="1"/>
      </tp>
      <tp t="e">
        <v>#N/A</v>
        <stp/>
        <stp>ASK</stp>
        <stp>.NDXP250502C19940</stp>
        <tr r="DC162" s="1"/>
        <tr r="DC162" s="1"/>
      </tp>
      <tp t="e">
        <v>#N/A</v>
        <stp/>
        <stp>BID</stp>
        <stp>.NDXP250502C19640</stp>
        <tr r="DE177" s="1"/>
        <tr r="DE177" s="1"/>
      </tp>
      <tp t="e">
        <v>#N/A</v>
        <stp/>
        <stp>ASK</stp>
        <stp>.NDXP250502C19920</stp>
        <tr r="DC163" s="1"/>
        <tr r="DC163" s="1"/>
      </tp>
      <tp t="e">
        <v>#N/A</v>
        <stp/>
        <stp>BID</stp>
        <stp>.NDXP250502C19620</stp>
        <tr r="DE178" s="1"/>
        <tr r="DE178" s="1"/>
      </tp>
      <tp t="e">
        <v>#N/A</v>
        <stp/>
        <stp>ASK</stp>
        <stp>.NDXP250502C19900</stp>
        <tr r="DC164" s="1"/>
        <tr r="DC164" s="1"/>
      </tp>
      <tp t="e">
        <v>#N/A</v>
        <stp/>
        <stp>BID</stp>
        <stp>.NDXP250502C19600</stp>
        <tr r="DE179" s="1"/>
        <tr r="DE179" s="1"/>
      </tp>
      <tp t="e">
        <v>#N/A</v>
        <stp/>
        <stp>ASK</stp>
        <stp>.NDXP250502P19980</stp>
        <tr r="DD160" s="1"/>
        <tr r="DD160" s="1"/>
      </tp>
      <tp t="e">
        <v>#N/A</v>
        <stp/>
        <stp>BID</stp>
        <stp>.NDXP250502P19680</stp>
        <tr r="DF175" s="1"/>
        <tr r="DF175" s="1"/>
      </tp>
      <tp t="e">
        <v>#N/A</v>
        <stp/>
        <stp>ASK</stp>
        <stp>.NDXP250502P19940</stp>
        <tr r="DD162" s="1"/>
        <tr r="DD162" s="1"/>
      </tp>
      <tp t="e">
        <v>#N/A</v>
        <stp/>
        <stp>BID</stp>
        <stp>.NDXP250502P19640</stp>
        <tr r="DF177" s="1"/>
        <tr r="DF177" s="1"/>
      </tp>
      <tp t="e">
        <v>#N/A</v>
        <stp/>
        <stp>ASK</stp>
        <stp>.NDXP250502P19960</stp>
        <tr r="DD161" s="1"/>
        <tr r="DD161" s="1"/>
      </tp>
      <tp t="e">
        <v>#N/A</v>
        <stp/>
        <stp>BID</stp>
        <stp>.NDXP250502P19660</stp>
        <tr r="DF176" s="1"/>
        <tr r="DF176" s="1"/>
      </tp>
      <tp t="e">
        <v>#N/A</v>
        <stp/>
        <stp>ASK</stp>
        <stp>.NDXP250502P19900</stp>
        <tr r="DD164" s="1"/>
        <tr r="DD164" s="1"/>
      </tp>
      <tp t="e">
        <v>#N/A</v>
        <stp/>
        <stp>BID</stp>
        <stp>.NDXP250502P19600</stp>
        <tr r="DF179" s="1"/>
        <tr r="DF179" s="1"/>
      </tp>
      <tp t="e">
        <v>#N/A</v>
        <stp/>
        <stp>ASK</stp>
        <stp>.NDXP250502P19920</stp>
        <tr r="DD163" s="1"/>
        <tr r="DD163" s="1"/>
      </tp>
      <tp t="e">
        <v>#N/A</v>
        <stp/>
        <stp>BID</stp>
        <stp>.NDXP250502P19620</stp>
        <tr r="DF178" s="1"/>
        <tr r="DF178" s="1"/>
      </tp>
      <tp t="e">
        <v>#N/A</v>
        <stp/>
        <stp>VOLUME</stp>
        <stp>.NDXPP20380</stp>
        <tr r="G141" s="2"/>
        <tr r="F141" s="2"/>
      </tp>
      <tp t="e">
        <v>#N/A</v>
        <stp/>
        <stp>VOLUME</stp>
        <stp>.NDXPP20360</stp>
        <tr r="G142" s="2"/>
        <tr r="F142" s="2"/>
      </tp>
      <tp t="e">
        <v>#N/A</v>
        <stp/>
        <stp>VOLUME</stp>
        <stp>.NDXPP20340</stp>
        <tr r="G143" s="2"/>
        <tr r="F143" s="2"/>
      </tp>
      <tp t="e">
        <v>#N/A</v>
        <stp/>
        <stp>VOLUME</stp>
        <stp>.NDXPP20320</stp>
        <tr r="G144" s="2"/>
        <tr r="F144" s="2"/>
      </tp>
      <tp t="e">
        <v>#N/A</v>
        <stp/>
        <stp>VOLUME</stp>
        <stp>.NDXPP20300</stp>
        <tr r="G145" s="2"/>
        <tr r="F145" s="2"/>
      </tp>
      <tp t="e">
        <v>#N/A</v>
        <stp/>
        <stp>VOLUME</stp>
        <stp>.NDXPC20380</stp>
        <tr r="G141" s="2"/>
        <tr r="F141" s="2"/>
      </tp>
      <tp t="e">
        <v>#N/A</v>
        <stp/>
        <stp>VOLUME</stp>
        <stp>.NDXPC20340</stp>
        <tr r="G143" s="2"/>
        <tr r="F143" s="2"/>
      </tp>
      <tp t="e">
        <v>#N/A</v>
        <stp/>
        <stp>VOLUME</stp>
        <stp>.NDXPC20360</stp>
        <tr r="G142" s="2"/>
        <tr r="F142" s="2"/>
      </tp>
      <tp t="e">
        <v>#N/A</v>
        <stp/>
        <stp>VOLUME</stp>
        <stp>.NDXPC20300</stp>
        <tr r="G145" s="2"/>
        <tr r="F145" s="2"/>
      </tp>
      <tp>
        <v>20102.614000000001</v>
        <stp/>
        <stp>MARK</stp>
        <stp>NDX</stp>
        <tr r="E134" s="1"/>
      </tp>
      <tp t="e">
        <v>#N/A</v>
        <stp/>
        <stp>VOLUME</stp>
        <stp>.NDXPC20320</stp>
        <tr r="G144" s="2"/>
        <tr r="F144" s="2"/>
      </tp>
      <tp t="e">
        <v>#N/A</v>
        <stp/>
        <stp>ASK</stp>
        <stp>.NDXP250502C19880</stp>
        <tr r="DC165" s="1"/>
        <tr r="DC165" s="1"/>
      </tp>
      <tp t="e">
        <v>#N/A</v>
        <stp/>
        <stp>BID</stp>
        <stp>.NDXP250502C19780</stp>
        <tr r="DE170" s="1"/>
        <tr r="DE170" s="1"/>
      </tp>
      <tp t="e">
        <v>#N/A</v>
        <stp/>
        <stp>ASK</stp>
        <stp>.NDXP250502C19860</stp>
        <tr r="DC166" s="1"/>
        <tr r="DC166" s="1"/>
      </tp>
      <tp t="e">
        <v>#N/A</v>
        <stp/>
        <stp>BID</stp>
        <stp>.NDXP250502C19760</stp>
        <tr r="DE171" s="1"/>
        <tr r="DE171" s="1"/>
      </tp>
      <tp t="e">
        <v>#N/A</v>
        <stp/>
        <stp>ASK</stp>
        <stp>.NDXP250502C19840</stp>
        <tr r="DC167" s="1"/>
        <tr r="DC167" s="1"/>
      </tp>
      <tp t="e">
        <v>#N/A</v>
        <stp/>
        <stp>BID</stp>
        <stp>.NDXP250502C19740</stp>
        <tr r="DE172" s="1"/>
        <tr r="DE172" s="1"/>
      </tp>
      <tp t="e">
        <v>#N/A</v>
        <stp/>
        <stp>ASK</stp>
        <stp>.NDXP250502C19820</stp>
        <tr r="DC168" s="1"/>
        <tr r="DC168" s="1"/>
      </tp>
      <tp t="e">
        <v>#N/A</v>
        <stp/>
        <stp>BID</stp>
        <stp>.NDXP250502C19720</stp>
        <tr r="DE173" s="1"/>
        <tr r="DE173" s="1"/>
      </tp>
      <tp t="e">
        <v>#N/A</v>
        <stp/>
        <stp>ASK</stp>
        <stp>.NDXP250502C19800</stp>
        <tr r="DC169" s="1"/>
        <tr r="DC169" s="1"/>
      </tp>
      <tp t="e">
        <v>#N/A</v>
        <stp/>
        <stp>BID</stp>
        <stp>.NDXP250502C19700</stp>
        <tr r="DE174" s="1"/>
        <tr r="DE174" s="1"/>
      </tp>
      <tp t="e">
        <v>#N/A</v>
        <stp/>
        <stp>ASK</stp>
        <stp>.NDXP250502P19880</stp>
        <tr r="DD165" s="1"/>
        <tr r="DD165" s="1"/>
      </tp>
      <tp t="e">
        <v>#N/A</v>
        <stp/>
        <stp>BID</stp>
        <stp>.NDXP250502P19780</stp>
        <tr r="DF170" s="1"/>
        <tr r="DF170" s="1"/>
      </tp>
      <tp t="e">
        <v>#N/A</v>
        <stp/>
        <stp>ASK</stp>
        <stp>.NDXP250502P19840</stp>
        <tr r="DD167" s="1"/>
        <tr r="DD167" s="1"/>
      </tp>
      <tp t="e">
        <v>#N/A</v>
        <stp/>
        <stp>BID</stp>
        <stp>.NDXP250502P19740</stp>
        <tr r="DF172" s="1"/>
        <tr r="DF172" s="1"/>
      </tp>
      <tp t="e">
        <v>#N/A</v>
        <stp/>
        <stp>ASK</stp>
        <stp>.NDXP250502P19860</stp>
        <tr r="DD166" s="1"/>
        <tr r="DD166" s="1"/>
      </tp>
      <tp t="e">
        <v>#N/A</v>
        <stp/>
        <stp>BID</stp>
        <stp>.NDXP250502P19760</stp>
        <tr r="DF171" s="1"/>
        <tr r="DF171" s="1"/>
      </tp>
      <tp t="e">
        <v>#N/A</v>
        <stp/>
        <stp>ASK</stp>
        <stp>.NDXP250502P19800</stp>
        <tr r="DD169" s="1"/>
        <tr r="DD169" s="1"/>
      </tp>
      <tp t="e">
        <v>#N/A</v>
        <stp/>
        <stp>BID</stp>
        <stp>.NDXP250502P19700</stp>
        <tr r="DF174" s="1"/>
        <tr r="DF174" s="1"/>
      </tp>
      <tp t="e">
        <v>#N/A</v>
        <stp/>
        <stp>ASK</stp>
        <stp>.NDXP250502P19820</stp>
        <tr r="DD168" s="1"/>
        <tr r="DD168" s="1"/>
      </tp>
      <tp t="e">
        <v>#N/A</v>
        <stp/>
        <stp>BID</stp>
        <stp>.NDXP250502P19720</stp>
        <tr r="DF173" s="1"/>
        <tr r="DF173" s="1"/>
      </tp>
      <tp t="e">
        <v>#N/A</v>
        <stp/>
        <stp>VOLUME</stp>
        <stp>.NDXPP20280</stp>
        <tr r="F146" s="2"/>
        <tr r="G146" s="2"/>
      </tp>
      <tp t="e">
        <v>#N/A</v>
        <stp/>
        <stp>VOLUME</stp>
        <stp>.NDXPP20260</stp>
        <tr r="G147" s="2"/>
        <tr r="F147" s="2"/>
      </tp>
      <tp t="e">
        <v>#N/A</v>
        <stp/>
        <stp>VOLUME</stp>
        <stp>.NDXPP20240</stp>
        <tr r="G148" s="2"/>
        <tr r="F148" s="2"/>
      </tp>
      <tp t="e">
        <v>#N/A</v>
        <stp/>
        <stp>VOLUME</stp>
        <stp>.NDXPP20220</stp>
        <tr r="G149" s="2"/>
        <tr r="F149" s="2"/>
      </tp>
      <tp t="e">
        <v>#N/A</v>
        <stp/>
        <stp>VOLUME</stp>
        <stp>.NDXPP20200</stp>
        <tr r="F150" s="2"/>
        <tr r="G150" s="2"/>
      </tp>
      <tp t="e">
        <v>#N/A</v>
        <stp/>
        <stp>VOLUME</stp>
        <stp>.NDXPC20280</stp>
        <tr r="F146" s="2"/>
        <tr r="G146" s="2"/>
      </tp>
      <tp t="e">
        <v>#N/A</v>
        <stp/>
        <stp>VOLUME</stp>
        <stp>.NDXPC20240</stp>
        <tr r="G148" s="2"/>
        <tr r="F148" s="2"/>
      </tp>
      <tp t="e">
        <v>#N/A</v>
        <stp/>
        <stp>VOLUME</stp>
        <stp>.NDXPC20260</stp>
        <tr r="G147" s="2"/>
        <tr r="F147" s="2"/>
      </tp>
      <tp t="e">
        <v>#N/A</v>
        <stp/>
        <stp>VOLUME</stp>
        <stp>.NDXPC20200</stp>
        <tr r="F150" s="2"/>
        <tr r="G150" s="2"/>
      </tp>
      <tp t="e">
        <v>#N/A</v>
        <stp/>
        <stp>VOLUME</stp>
        <stp>.NDXPC20220</stp>
        <tr r="G149" s="2"/>
        <tr r="F149" s="2"/>
      </tp>
      <tp t="e">
        <v>#N/A</v>
        <stp/>
        <stp>BID</stp>
        <stp>.NDXP250502C19480</stp>
        <tr r="DE185" s="1"/>
        <tr r="DE185" s="1"/>
      </tp>
      <tp t="e">
        <v>#N/A</v>
        <stp/>
        <stp>BID</stp>
        <stp>.NDXP250502C19460</stp>
        <tr r="DE186" s="1"/>
        <tr r="DE186" s="1"/>
      </tp>
      <tp t="e">
        <v>#N/A</v>
        <stp/>
        <stp>BID</stp>
        <stp>.NDXP250502C20440</stp>
        <tr r="DE137" s="1"/>
      </tp>
      <tp t="e">
        <v>#N/A</v>
        <stp/>
        <stp>BID</stp>
        <stp>.NDXP250502C19440</stp>
        <tr r="DE187" s="1"/>
        <tr r="DE187" s="1"/>
      </tp>
      <tp t="e">
        <v>#N/A</v>
        <stp/>
        <stp>BID</stp>
        <stp>.NDXP250502C20420</stp>
        <tr r="DE138" s="1"/>
      </tp>
      <tp t="e">
        <v>#N/A</v>
        <stp/>
        <stp>BID</stp>
        <stp>.NDXP250502C19420</stp>
        <tr r="DE188" s="1"/>
        <tr r="DE188" s="1"/>
      </tp>
      <tp t="e">
        <v>#N/A</v>
        <stp/>
        <stp>BID</stp>
        <stp>.NDXP250502C20400</stp>
        <tr r="DE139" s="1"/>
        <tr r="DE139" s="1"/>
      </tp>
      <tp t="e">
        <v>#N/A</v>
        <stp/>
        <stp>BID</stp>
        <stp>.NDXP250502C19400</stp>
        <tr r="DE189" s="1"/>
        <tr r="DE189" s="1"/>
      </tp>
      <tp t="e">
        <v>#N/A</v>
        <stp/>
        <stp>BID</stp>
        <stp>.NDXP250502P19480</stp>
        <tr r="DF185" s="1"/>
        <tr r="DF185" s="1"/>
      </tp>
      <tp t="e">
        <v>#N/A</v>
        <stp/>
        <stp>BID</stp>
        <stp>.NDXP250502P20440</stp>
        <tr r="DF137" s="1"/>
      </tp>
      <tp t="e">
        <v>#N/A</v>
        <stp/>
        <stp>BID</stp>
        <stp>.NDXP250502P19440</stp>
        <tr r="DF187" s="1"/>
        <tr r="DF187" s="1"/>
      </tp>
      <tp t="e">
        <v>#N/A</v>
        <stp/>
        <stp>BID</stp>
        <stp>.NDXP250502P19460</stp>
        <tr r="DF186" s="1"/>
        <tr r="DF186" s="1"/>
      </tp>
      <tp t="e">
        <v>#N/A</v>
        <stp/>
        <stp>BID</stp>
        <stp>.NDXP250502P20400</stp>
        <tr r="DF139" s="1"/>
        <tr r="DF139" s="1"/>
      </tp>
      <tp t="e">
        <v>#N/A</v>
        <stp/>
        <stp>BID</stp>
        <stp>.NDXP250502P19400</stp>
        <tr r="DF189" s="1"/>
        <tr r="DF189" s="1"/>
      </tp>
      <tp t="e">
        <v>#N/A</v>
        <stp/>
        <stp>BID</stp>
        <stp>.NDXP250502P20420</stp>
        <tr r="DF138" s="1"/>
      </tp>
      <tp t="e">
        <v>#N/A</v>
        <stp/>
        <stp>BID</stp>
        <stp>.NDXP250502P19420</stp>
        <tr r="DF188" s="1"/>
        <tr r="DF188" s="1"/>
      </tp>
      <tp t="e">
        <v>#N/A</v>
        <stp/>
        <stp>VOLUME</stp>
        <stp>.NDXPP20180</stp>
        <tr r="F151" s="2"/>
        <tr r="G151" s="2"/>
      </tp>
      <tp t="e">
        <v>#N/A</v>
        <stp/>
        <stp>VOLUME</stp>
        <stp>.NDXPP20160</stp>
        <tr r="G152" s="2"/>
        <tr r="F152" s="2"/>
      </tp>
      <tp t="e">
        <v>#N/A</v>
        <stp/>
        <stp>VOLUME</stp>
        <stp>.NDXPP20140</stp>
        <tr r="G153" s="2"/>
        <tr r="F153" s="2"/>
      </tp>
      <tp t="e">
        <v>#N/A</v>
        <stp/>
        <stp>VOLUME</stp>
        <stp>.NDXPP20120</stp>
        <tr r="G154" s="2"/>
        <tr r="F154" s="2"/>
      </tp>
      <tp t="e">
        <v>#N/A</v>
        <stp/>
        <stp>VOLUME</stp>
        <stp>.NDXPP20100</stp>
        <tr r="G155" s="2"/>
        <tr r="F155" s="2"/>
      </tp>
      <tp t="e">
        <v>#N/A</v>
        <stp/>
        <stp>VOLUME</stp>
        <stp>.NDXPC20180</stp>
        <tr r="F151" s="2"/>
        <tr r="G151" s="2"/>
      </tp>
      <tp t="e">
        <v>#N/A</v>
        <stp/>
        <stp>VOLUME</stp>
        <stp>.NDXPC20140</stp>
        <tr r="G153" s="2"/>
        <tr r="F153" s="2"/>
      </tp>
      <tp t="e">
        <v>#N/A</v>
        <stp/>
        <stp>VOLUME</stp>
        <stp>.NDXPC20160</stp>
        <tr r="G152" s="2"/>
        <tr r="F152" s="2"/>
      </tp>
      <tp t="e">
        <v>#N/A</v>
        <stp/>
        <stp>VOLUME</stp>
        <stp>.NDXPC20100</stp>
        <tr r="G155" s="2"/>
        <tr r="F155" s="2"/>
      </tp>
      <tp t="e">
        <v>#N/A</v>
        <stp/>
        <stp>VOLUME</stp>
        <stp>.NDXPC20120</stp>
        <tr r="G154" s="2"/>
        <tr r="F154" s="2"/>
      </tp>
      <tp t="e">
        <v>#N/A</v>
        <stp/>
        <stp>BID</stp>
        <stp>.NDXP250502C19580</stp>
        <tr r="DE180" s="1"/>
        <tr r="DE180" s="1"/>
      </tp>
      <tp t="e">
        <v>#N/A</v>
        <stp/>
        <stp>BID</stp>
        <stp>.NDXP250502C19560</stp>
        <tr r="DE181" s="1"/>
        <tr r="DE181" s="1"/>
      </tp>
      <tp t="e">
        <v>#N/A</v>
        <stp/>
        <stp>BID</stp>
        <stp>.NDXP250502C19540</stp>
        <tr r="DE182" s="1"/>
        <tr r="DE182" s="1"/>
      </tp>
      <tp t="e">
        <v>#N/A</v>
        <stp/>
        <stp>BID</stp>
        <stp>.NDXP250502C19520</stp>
        <tr r="DE183" s="1"/>
        <tr r="DE183" s="1"/>
      </tp>
      <tp t="e">
        <v>#N/A</v>
        <stp/>
        <stp>BID</stp>
        <stp>.NDXP250502C19500</stp>
        <tr r="DE184" s="1"/>
        <tr r="DE184" s="1"/>
      </tp>
      <tp t="e">
        <v>#N/A</v>
        <stp/>
        <stp>BID</stp>
        <stp>.NDXP250502P19580</stp>
        <tr r="DF180" s="1"/>
        <tr r="DF180" s="1"/>
      </tp>
      <tp t="e">
        <v>#N/A</v>
        <stp/>
        <stp>BID</stp>
        <stp>.NDXP250502P19540</stp>
        <tr r="DF182" s="1"/>
        <tr r="DF182" s="1"/>
      </tp>
      <tp t="e">
        <v>#N/A</v>
        <stp/>
        <stp>BID</stp>
        <stp>.NDXP250502P19560</stp>
        <tr r="DF181" s="1"/>
        <tr r="DF181" s="1"/>
      </tp>
      <tp t="e">
        <v>#N/A</v>
        <stp/>
        <stp>BID</stp>
        <stp>.NDXP250502P19500</stp>
        <tr r="DF184" s="1"/>
        <tr r="DF184" s="1"/>
      </tp>
      <tp t="e">
        <v>#N/A</v>
        <stp/>
        <stp>BID</stp>
        <stp>.NDXP250502P19520</stp>
        <tr r="DF183" s="1"/>
        <tr r="DF183" s="1"/>
      </tp>
      <tp t="e">
        <v>#N/A</v>
        <stp/>
        <stp>VOLUME</stp>
        <stp>.NDXPP20080</stp>
        <tr r="G156" s="2"/>
        <tr r="F156" s="2"/>
      </tp>
      <tp t="e">
        <v>#N/A</v>
        <stp/>
        <stp>VOLUME</stp>
        <stp>.NDXPP20060</stp>
        <tr r="G157" s="2"/>
        <tr r="F157" s="2"/>
      </tp>
      <tp t="e">
        <v>#N/A</v>
        <stp/>
        <stp>VOLUME</stp>
        <stp>.NDXPP20040</stp>
        <tr r="F158" s="2"/>
        <tr r="G158" s="2"/>
      </tp>
      <tp t="e">
        <v>#N/A</v>
        <stp/>
        <stp>VOLUME</stp>
        <stp>.NDXPP20020</stp>
        <tr r="G159" s="2"/>
        <tr r="F159" s="2"/>
      </tp>
      <tp t="e">
        <v>#N/A</v>
        <stp/>
        <stp>VOLUME</stp>
        <stp>.NDXPP20000</stp>
        <tr r="G160" s="2"/>
        <tr r="F160" s="2"/>
      </tp>
      <tp t="e">
        <v>#N/A</v>
        <stp/>
        <stp>VOLUME</stp>
        <stp>.NDXPC20080</stp>
        <tr r="G156" s="2"/>
        <tr r="F156" s="2"/>
      </tp>
      <tp t="e">
        <v>#N/A</v>
        <stp/>
        <stp>VOLUME</stp>
        <stp>.NDXPC20040</stp>
        <tr r="F158" s="2"/>
        <tr r="G158" s="2"/>
      </tp>
      <tp t="e">
        <v>#N/A</v>
        <stp/>
        <stp>VOLUME</stp>
        <stp>.NDXPC20060</stp>
        <tr r="G157" s="2"/>
        <tr r="F157" s="2"/>
      </tp>
      <tp t="e">
        <v>#N/A</v>
        <stp/>
        <stp>VOLUME</stp>
        <stp>.NDXPC20000</stp>
        <tr r="G160" s="2"/>
        <tr r="F160" s="2"/>
      </tp>
      <tp t="e">
        <v>#N/A</v>
        <stp/>
        <stp>VOLUME</stp>
        <stp>.NDXPC20020</stp>
        <tr r="G159" s="2"/>
        <tr r="F159" s="2"/>
      </tp>
      <tp t="e">
        <v>#N/A</v>
        <stp/>
        <stp>BID</stp>
        <stp>.NDXP250502C20280</stp>
        <tr r="DE145" s="1"/>
        <tr r="DE145" s="1"/>
      </tp>
      <tp t="e">
        <v>#N/A</v>
        <stp/>
        <stp>BID</stp>
        <stp>.NDXP250502C20260</stp>
        <tr r="DE146" s="1"/>
        <tr r="DE146" s="1"/>
      </tp>
      <tp t="e">
        <v>#N/A</v>
        <stp/>
        <stp>BID</stp>
        <stp>.NDXP250502C20240</stp>
        <tr r="DE147" s="1"/>
        <tr r="DE147" s="1"/>
      </tp>
      <tp t="e">
        <v>#N/A</v>
        <stp/>
        <stp>BID</stp>
        <stp>.NDXP250502C20220</stp>
        <tr r="DE148" s="1"/>
        <tr r="DE148" s="1"/>
      </tp>
      <tp t="e">
        <v>#N/A</v>
        <stp/>
        <stp>BID</stp>
        <stp>.NDXP250502C20200</stp>
        <tr r="DE149" s="1"/>
        <tr r="DE149" s="1"/>
      </tp>
      <tp t="e">
        <v>#N/A</v>
        <stp/>
        <stp>BID</stp>
        <stp>.NDXP250502P20280</stp>
        <tr r="DF145" s="1"/>
        <tr r="DF145" s="1"/>
      </tp>
      <tp t="e">
        <v>#N/A</v>
        <stp/>
        <stp>BID</stp>
        <stp>.NDXP250502P20240</stp>
        <tr r="DF147" s="1"/>
        <tr r="DF147" s="1"/>
      </tp>
      <tp t="e">
        <v>#N/A</v>
        <stp/>
        <stp>BID</stp>
        <stp>.NDXP250502P20260</stp>
        <tr r="DF146" s="1"/>
        <tr r="DF146" s="1"/>
      </tp>
      <tp t="e">
        <v>#N/A</v>
        <stp/>
        <stp>BID</stp>
        <stp>.NDXP250502P20200</stp>
        <tr r="DF149" s="1"/>
        <tr r="DF149" s="1"/>
      </tp>
      <tp t="e">
        <v>#N/A</v>
        <stp/>
        <stp>BID</stp>
        <stp>.NDXP250502P20220</stp>
        <tr r="DF148" s="1"/>
        <tr r="DF148" s="1"/>
      </tp>
      <tp t="e">
        <v>#N/A</v>
        <stp/>
        <stp>VOLUME</stp>
        <stp>.NDXPP19780</stp>
        <tr r="G171" s="2"/>
        <tr r="F171" s="2"/>
      </tp>
      <tp t="e">
        <v>#N/A</v>
        <stp/>
        <stp>VOLUME</stp>
        <stp>.NDXPP19760</stp>
        <tr r="F172" s="2"/>
        <tr r="G172" s="2"/>
      </tp>
      <tp t="e">
        <v>#N/A</v>
        <stp/>
        <stp>VOLUME</stp>
        <stp>.NDXPP19740</stp>
        <tr r="G173" s="2"/>
        <tr r="F173" s="2"/>
      </tp>
      <tp t="e">
        <v>#N/A</v>
        <stp/>
        <stp>VOLUME</stp>
        <stp>.NDXPP19720</stp>
        <tr r="F174" s="2"/>
        <tr r="G174" s="2"/>
      </tp>
      <tp t="e">
        <v>#N/A</v>
        <stp/>
        <stp>VOLUME</stp>
        <stp>.NDXPP19700</stp>
        <tr r="F175" s="2"/>
        <tr r="G175" s="2"/>
      </tp>
      <tp t="e">
        <v>#N/A</v>
        <stp/>
        <stp>LAST</stp>
        <stp>.SPXW250502P5710</stp>
        <tr r="DB101" s="1"/>
        <tr r="DB101" s="1"/>
      </tp>
      <tp t="e">
        <v>#N/A</v>
        <stp/>
        <stp>LAST</stp>
        <stp>.SPXW250502C5710</stp>
        <tr r="DA101" s="1"/>
        <tr r="DA101" s="1"/>
      </tp>
      <tp t="e">
        <v>#N/A</v>
        <stp/>
        <stp>LAST</stp>
        <stp>.SPXW250502P5700</stp>
        <tr r="DB102" s="1"/>
        <tr r="DB102" s="1"/>
      </tp>
      <tp t="e">
        <v>#N/A</v>
        <stp/>
        <stp>LAST</stp>
        <stp>.SPXW250502C5700</stp>
        <tr r="DA102" s="1"/>
        <tr r="DA102" s="1"/>
      </tp>
      <tp t="e">
        <v>#N/A</v>
        <stp/>
        <stp>LAST</stp>
        <stp>.SPXW250502P5730</stp>
        <tr r="DB99" s="1"/>
        <tr r="DB99" s="1"/>
      </tp>
      <tp t="e">
        <v>#N/A</v>
        <stp/>
        <stp>LAST</stp>
        <stp>.SPXW250502C5730</stp>
        <tr r="DA99" s="1"/>
        <tr r="DA99" s="1"/>
      </tp>
      <tp t="e">
        <v>#N/A</v>
        <stp/>
        <stp>LAST</stp>
        <stp>.SPXW250502P5720</stp>
        <tr r="DB100" s="1"/>
        <tr r="DB100" s="1"/>
      </tp>
      <tp t="e">
        <v>#N/A</v>
        <stp/>
        <stp>LAST</stp>
        <stp>.SPXW250502C5720</stp>
        <tr r="DA100" s="1"/>
        <tr r="DA100" s="1"/>
      </tp>
      <tp t="e">
        <v>#N/A</v>
        <stp/>
        <stp>LAST</stp>
        <stp>.SPXW250502P5750</stp>
        <tr r="DB97" s="1"/>
        <tr r="DB97" s="1"/>
      </tp>
      <tp t="e">
        <v>#N/A</v>
        <stp/>
        <stp>LAST</stp>
        <stp>.SPXW250502C5750</stp>
        <tr r="DA97" s="1"/>
        <tr r="DA97" s="1"/>
      </tp>
      <tp t="e">
        <v>#N/A</v>
        <stp/>
        <stp>LAST</stp>
        <stp>.SPXW250502P5740</stp>
        <tr r="DB98" s="1"/>
        <tr r="DB98" s="1"/>
      </tp>
      <tp t="e">
        <v>#N/A</v>
        <stp/>
        <stp>VOLUME</stp>
        <stp>.NDXPC19780</stp>
        <tr r="G171" s="2"/>
        <tr r="F171" s="2"/>
      </tp>
      <tp t="e">
        <v>#N/A</v>
        <stp/>
        <stp>LAST</stp>
        <stp>.SPXW250502C5740</stp>
        <tr r="DA98" s="1"/>
        <tr r="DA98" s="1"/>
      </tp>
      <tp t="e">
        <v>#N/A</v>
        <stp/>
        <stp>LAST</stp>
        <stp>.SPXW250502P5770</stp>
        <tr r="DB95" s="1"/>
        <tr r="DB95" s="1"/>
      </tp>
      <tp t="e">
        <v>#N/A</v>
        <stp/>
        <stp>LAST</stp>
        <stp>.SPXW250502C5770</stp>
        <tr r="DA95" s="1"/>
        <tr r="DA95" s="1"/>
      </tp>
      <tp t="e">
        <v>#N/A</v>
        <stp/>
        <stp>LAST</stp>
        <stp>.SPXW250502P5760</stp>
        <tr r="DB96" s="1"/>
        <tr r="DB96" s="1"/>
      </tp>
      <tp t="e">
        <v>#N/A</v>
        <stp/>
        <stp>LAST</stp>
        <stp>.SPXW250502C5760</stp>
        <tr r="DA96" s="1"/>
        <tr r="DA96" s="1"/>
      </tp>
      <tp t="e">
        <v>#N/A</v>
        <stp/>
        <stp>LAST</stp>
        <stp>.SPXW250502P5790</stp>
        <tr r="DB93" s="1"/>
        <tr r="DB93" s="1"/>
      </tp>
      <tp t="e">
        <v>#N/A</v>
        <stp/>
        <stp>LAST</stp>
        <stp>.SPXW250502C5790</stp>
        <tr r="DA93" s="1"/>
        <tr r="DA93" s="1"/>
      </tp>
      <tp t="e">
        <v>#N/A</v>
        <stp/>
        <stp>LAST</stp>
        <stp>.SPXW250502P5780</stp>
        <tr r="DB94" s="1"/>
        <tr r="DB94" s="1"/>
      </tp>
      <tp t="e">
        <v>#N/A</v>
        <stp/>
        <stp>VOLUME</stp>
        <stp>.NDXPC19740</stp>
        <tr r="G173" s="2"/>
        <tr r="F173" s="2"/>
      </tp>
      <tp t="e">
        <v>#N/A</v>
        <stp/>
        <stp>LAST</stp>
        <stp>.SPXW250502C5780</stp>
        <tr r="DA94" s="1"/>
        <tr r="DA94" s="1"/>
      </tp>
      <tp t="e">
        <v>#N/A</v>
        <stp/>
        <stp>VOLUME</stp>
        <stp>.NDXPC19760</stp>
        <tr r="F172" s="2"/>
        <tr r="G172" s="2"/>
      </tp>
      <tp t="e">
        <v>#N/A</v>
        <stp/>
        <stp>VOLUME</stp>
        <stp>.NDXPC19700</stp>
        <tr r="F175" s="2"/>
        <tr r="G175" s="2"/>
      </tp>
      <tp t="e">
        <v>#N/A</v>
        <stp/>
        <stp>VOLUME</stp>
        <stp>.NDXPC19720</stp>
        <tr r="F174" s="2"/>
        <tr r="G174" s="2"/>
      </tp>
      <tp t="e">
        <v>#N/A</v>
        <stp/>
        <stp>BID</stp>
        <stp>.NDXP250502C20380</stp>
        <tr r="DE140" s="1"/>
        <tr r="DE140" s="1"/>
      </tp>
      <tp t="e">
        <v>#N/A</v>
        <stp/>
        <stp>BID</stp>
        <stp>.NDXP250502C20360</stp>
        <tr r="DE141" s="1"/>
        <tr r="DE141" s="1"/>
      </tp>
      <tp t="e">
        <v>#N/A</v>
        <stp/>
        <stp>BID</stp>
        <stp>.NDXP250502C20340</stp>
        <tr r="DE142" s="1"/>
        <tr r="DE142" s="1"/>
      </tp>
      <tp t="e">
        <v>#N/A</v>
        <stp/>
        <stp>BID</stp>
        <stp>.NDXP250502C20320</stp>
        <tr r="DE143" s="1"/>
        <tr r="DE143" s="1"/>
      </tp>
      <tp t="e">
        <v>#N/A</v>
        <stp/>
        <stp>BID</stp>
        <stp>.NDXP250502C20300</stp>
        <tr r="DE144" s="1"/>
        <tr r="DE144" s="1"/>
      </tp>
      <tp t="e">
        <v>#N/A</v>
        <stp/>
        <stp>BID</stp>
        <stp>.NDXP250502P20380</stp>
        <tr r="DF140" s="1"/>
        <tr r="DF140" s="1"/>
      </tp>
      <tp t="e">
        <v>#N/A</v>
        <stp/>
        <stp>BID</stp>
        <stp>.NDXP250502P20340</stp>
        <tr r="DF142" s="1"/>
        <tr r="DF142" s="1"/>
      </tp>
      <tp t="e">
        <v>#N/A</v>
        <stp/>
        <stp>BID</stp>
        <stp>.NDXP250502P20360</stp>
        <tr r="DF141" s="1"/>
        <tr r="DF141" s="1"/>
      </tp>
      <tp t="e">
        <v>#N/A</v>
        <stp/>
        <stp>BID</stp>
        <stp>.NDXP250502P20300</stp>
        <tr r="DF144" s="1"/>
        <tr r="DF144" s="1"/>
      </tp>
      <tp t="e">
        <v>#N/A</v>
        <stp/>
        <stp>BID</stp>
        <stp>.NDXP250502P20320</stp>
        <tr r="DF143" s="1"/>
        <tr r="DF143" s="1"/>
      </tp>
      <tp t="e">
        <v>#N/A</v>
        <stp/>
        <stp>VOLUME</stp>
        <stp>.NDXPP19680</stp>
        <tr r="G176" s="2"/>
        <tr r="F176" s="2"/>
      </tp>
      <tp t="e">
        <v>#N/A</v>
        <stp/>
        <stp>VOLUME</stp>
        <stp>.NDXPP19660</stp>
        <tr r="F177" s="2"/>
        <tr r="G177" s="2"/>
      </tp>
      <tp t="e">
        <v>#N/A</v>
        <stp/>
        <stp>VOLUME</stp>
        <stp>.NDXPP19640</stp>
        <tr r="F178" s="2"/>
        <tr r="G178" s="2"/>
      </tp>
      <tp t="e">
        <v>#N/A</v>
        <stp/>
        <stp>VOLUME</stp>
        <stp>.NDXPP19620</stp>
        <tr r="F179" s="2"/>
        <tr r="G179" s="2"/>
      </tp>
      <tp t="e">
        <v>#N/A</v>
        <stp/>
        <stp>VOLUME</stp>
        <stp>.NDXPP19600</stp>
        <tr r="G180" s="2"/>
        <tr r="F180" s="2"/>
      </tp>
      <tp t="e">
        <v>#N/A</v>
        <stp/>
        <stp>LAST</stp>
        <stp>.SPXW250502P5610</stp>
        <tr r="DB111" s="1"/>
        <tr r="DB111" s="1"/>
      </tp>
      <tp t="e">
        <v>#N/A</v>
        <stp/>
        <stp>LAST</stp>
        <stp>.SPXW250502C5610</stp>
        <tr r="DA111" s="1"/>
        <tr r="DA111" s="1"/>
      </tp>
      <tp t="e">
        <v>#N/A</v>
        <stp/>
        <stp>LAST</stp>
        <stp>.SPXW250502P5600</stp>
        <tr r="DB112" s="1"/>
        <tr r="DB112" s="1"/>
      </tp>
      <tp t="e">
        <v>#N/A</v>
        <stp/>
        <stp>LAST</stp>
        <stp>.SPXW250502C5600</stp>
        <tr r="DA112" s="1"/>
        <tr r="DA112" s="1"/>
      </tp>
      <tp t="e">
        <v>#N/A</v>
        <stp/>
        <stp>LAST</stp>
        <stp>.SPXW250502P5630</stp>
        <tr r="DB109" s="1"/>
        <tr r="DB109" s="1"/>
      </tp>
      <tp t="e">
        <v>#N/A</v>
        <stp/>
        <stp>LAST</stp>
        <stp>.SPXW250502C5630</stp>
        <tr r="DA109" s="1"/>
        <tr r="DA109" s="1"/>
      </tp>
      <tp t="e">
        <v>#N/A</v>
        <stp/>
        <stp>LAST</stp>
        <stp>.SPXW250502P5620</stp>
        <tr r="DB110" s="1"/>
        <tr r="DB110" s="1"/>
      </tp>
      <tp t="e">
        <v>#N/A</v>
        <stp/>
        <stp>LAST</stp>
        <stp>.SPXW250502C5620</stp>
        <tr r="DA110" s="1"/>
        <tr r="DA110" s="1"/>
      </tp>
      <tp t="e">
        <v>#N/A</v>
        <stp/>
        <stp>LAST</stp>
        <stp>.SPXW250502P5650</stp>
        <tr r="DB107" s="1"/>
        <tr r="DB107" s="1"/>
      </tp>
      <tp t="e">
        <v>#N/A</v>
        <stp/>
        <stp>LAST</stp>
        <stp>.SPXW250502C5650</stp>
        <tr r="DA107" s="1"/>
        <tr r="DA107" s="1"/>
      </tp>
      <tp t="e">
        <v>#N/A</v>
        <stp/>
        <stp>LAST</stp>
        <stp>.SPXW250502P5640</stp>
        <tr r="DB108" s="1"/>
        <tr r="DB108" s="1"/>
      </tp>
      <tp t="e">
        <v>#N/A</v>
        <stp/>
        <stp>VOLUME</stp>
        <stp>.NDXPC19680</stp>
        <tr r="G176" s="2"/>
        <tr r="F176" s="2"/>
      </tp>
      <tp t="e">
        <v>#N/A</v>
        <stp/>
        <stp>LAST</stp>
        <stp>.SPXW250502C5640</stp>
        <tr r="DA108" s="1"/>
        <tr r="DA108" s="1"/>
      </tp>
      <tp t="e">
        <v>#N/A</v>
        <stp/>
        <stp>LAST</stp>
        <stp>.SPXW250502P5670</stp>
        <tr r="DB105" s="1"/>
        <tr r="DB105" s="1"/>
      </tp>
      <tp t="e">
        <v>#N/A</v>
        <stp/>
        <stp>LAST</stp>
        <stp>.SPXW250502C5670</stp>
        <tr r="DA105" s="1"/>
        <tr r="DA105" s="1"/>
      </tp>
      <tp t="e">
        <v>#N/A</v>
        <stp/>
        <stp>LAST</stp>
        <stp>.SPXW250502P5660</stp>
        <tr r="DB106" s="1"/>
        <tr r="DB106" s="1"/>
      </tp>
      <tp t="e">
        <v>#N/A</v>
        <stp/>
        <stp>LAST</stp>
        <stp>.SPXW250502C5660</stp>
        <tr r="DA106" s="1"/>
        <tr r="DA106" s="1"/>
      </tp>
      <tp t="e">
        <v>#N/A</v>
        <stp/>
        <stp>LAST</stp>
        <stp>.SPXW250502P5690</stp>
        <tr r="DB103" s="1"/>
        <tr r="DB103" s="1"/>
      </tp>
      <tp t="e">
        <v>#N/A</v>
        <stp/>
        <stp>LAST</stp>
        <stp>.SPXW250502C5690</stp>
        <tr r="DA103" s="1"/>
        <tr r="DA103" s="1"/>
      </tp>
      <tp t="e">
        <v>#N/A</v>
        <stp/>
        <stp>LAST</stp>
        <stp>.SPXW250502P5680</stp>
        <tr r="DB104" s="1"/>
        <tr r="DB104" s="1"/>
      </tp>
      <tp t="e">
        <v>#N/A</v>
        <stp/>
        <stp>VOLUME</stp>
        <stp>.NDXPC19640</stp>
        <tr r="F178" s="2"/>
        <tr r="G178" s="2"/>
      </tp>
      <tp t="e">
        <v>#N/A</v>
        <stp/>
        <stp>LAST</stp>
        <stp>.SPXW250502C5680</stp>
        <tr r="DA104" s="1"/>
        <tr r="DA104" s="1"/>
      </tp>
      <tp t="e">
        <v>#N/A</v>
        <stp/>
        <stp>VOLUME</stp>
        <stp>.NDXPC19660</stp>
        <tr r="F177" s="2"/>
        <tr r="G177" s="2"/>
      </tp>
      <tp t="e">
        <v>#N/A</v>
        <stp/>
        <stp>VOLUME</stp>
        <stp>.NDXPC19600</stp>
        <tr r="G180" s="2"/>
        <tr r="F180" s="2"/>
      </tp>
      <tp t="e">
        <v>#N/A</v>
        <stp/>
        <stp>VOLUME</stp>
        <stp>.NDXPC19620</stp>
        <tr r="F179" s="2"/>
        <tr r="G179" s="2"/>
      </tp>
      <tp t="e">
        <v>#N/A</v>
        <stp/>
        <stp>BID</stp>
        <stp>.NDXP250502C20080</stp>
        <tr r="DE155" s="1"/>
        <tr r="DE155" s="1"/>
      </tp>
      <tp t="e">
        <v>#N/A</v>
        <stp/>
        <stp>BID</stp>
        <stp>.NDXP250502C20060</stp>
        <tr r="DE156" s="1"/>
        <tr r="DE156" s="1"/>
      </tp>
      <tp t="e">
        <v>#N/A</v>
        <stp/>
        <stp>BID</stp>
        <stp>.NDXP250502C20040</stp>
        <tr r="DE157" s="1"/>
        <tr r="DE157" s="1"/>
      </tp>
      <tp t="e">
        <v>#N/A</v>
        <stp/>
        <stp>BID</stp>
        <stp>.NDXP250502C20020</stp>
        <tr r="DE158" s="1"/>
        <tr r="DE158" s="1"/>
      </tp>
      <tp t="e">
        <v>#N/A</v>
        <stp/>
        <stp>BID</stp>
        <stp>.NDXP250502C20000</stp>
        <tr r="DE159" s="1"/>
        <tr r="DE159" s="1"/>
      </tp>
      <tp t="e">
        <v>#N/A</v>
        <stp/>
        <stp>BID</stp>
        <stp>.NDXP250502P20080</stp>
        <tr r="DF155" s="1"/>
        <tr r="DF155" s="1"/>
      </tp>
      <tp t="e">
        <v>#N/A</v>
        <stp/>
        <stp>BID</stp>
        <stp>.NDXP250502P20040</stp>
        <tr r="DF157" s="1"/>
        <tr r="DF157" s="1"/>
      </tp>
      <tp t="e">
        <v>#N/A</v>
        <stp/>
        <stp>BID</stp>
        <stp>.NDXP250502P20060</stp>
        <tr r="DF156" s="1"/>
        <tr r="DF156" s="1"/>
      </tp>
      <tp t="e">
        <v>#N/A</v>
        <stp/>
        <stp>BID</stp>
        <stp>.NDXP250502P20000</stp>
        <tr r="DF159" s="1"/>
        <tr r="DF159" s="1"/>
      </tp>
      <tp t="e">
        <v>#N/A</v>
        <stp/>
        <stp>BID</stp>
        <stp>.NDXP250502P20020</stp>
        <tr r="DF158" s="1"/>
        <tr r="DF158" s="1"/>
      </tp>
      <tp t="e">
        <v>#N/A</v>
        <stp/>
        <stp>VOLUME</stp>
        <stp>.NDXPP19580</stp>
        <tr r="F181" s="2"/>
        <tr r="G181" s="2"/>
      </tp>
      <tp t="e">
        <v>#N/A</v>
        <stp/>
        <stp>VOLUME</stp>
        <stp>.NDXPP19560</stp>
        <tr r="F182" s="2"/>
        <tr r="G182" s="2"/>
      </tp>
      <tp t="e">
        <v>#N/A</v>
        <stp/>
        <stp>VOLUME</stp>
        <stp>.NDXPP19540</stp>
        <tr r="F183" s="2"/>
        <tr r="G183" s="2"/>
      </tp>
      <tp t="e">
        <v>#N/A</v>
        <stp/>
        <stp>VOLUME</stp>
        <stp>.NDXPP19520</stp>
        <tr r="G184" s="2"/>
        <tr r="F184" s="2"/>
      </tp>
      <tp t="e">
        <v>#N/A</v>
        <stp/>
        <stp>VOLUME</stp>
        <stp>.NDXPP19500</stp>
        <tr r="G185" s="2"/>
        <tr r="F185" s="2"/>
      </tp>
      <tp t="e">
        <v>#N/A</v>
        <stp/>
        <stp>LAST</stp>
        <stp>.SPXW250502P5510</stp>
        <tr r="DB121" s="1"/>
        <tr r="DB121" s="1"/>
      </tp>
      <tp t="e">
        <v>#N/A</v>
        <stp/>
        <stp>LAST</stp>
        <stp>.SPXW250502C5510</stp>
        <tr r="DA121" s="1"/>
        <tr r="DA121" s="1"/>
      </tp>
      <tp t="e">
        <v>#N/A</v>
        <stp/>
        <stp>LAST</stp>
        <stp>.SPXW250502P5500</stp>
        <tr r="DB122" s="1"/>
        <tr r="DB122" s="1"/>
      </tp>
      <tp t="e">
        <v>#N/A</v>
        <stp/>
        <stp>LAST</stp>
        <stp>.SPXW250502C5500</stp>
        <tr r="DA122" s="1"/>
        <tr r="DA122" s="1"/>
      </tp>
      <tp t="e">
        <v>#N/A</v>
        <stp/>
        <stp>LAST</stp>
        <stp>.SPXW250502P5530</stp>
        <tr r="DB119" s="1"/>
        <tr r="DB119" s="1"/>
      </tp>
      <tp t="e">
        <v>#N/A</v>
        <stp/>
        <stp>LAST</stp>
        <stp>.SPXW250502C5530</stp>
        <tr r="DA119" s="1"/>
        <tr r="DA119" s="1"/>
      </tp>
      <tp t="e">
        <v>#N/A</v>
        <stp/>
        <stp>LAST</stp>
        <stp>.SPXW250502P5520</stp>
        <tr r="DB120" s="1"/>
        <tr r="DB120" s="1"/>
      </tp>
      <tp t="e">
        <v>#N/A</v>
        <stp/>
        <stp>LAST</stp>
        <stp>.SPXW250502C5520</stp>
        <tr r="DA120" s="1"/>
        <tr r="DA120" s="1"/>
      </tp>
      <tp t="e">
        <v>#N/A</v>
        <stp/>
        <stp>LAST</stp>
        <stp>.SPXW250502P5550</stp>
        <tr r="DB117" s="1"/>
        <tr r="DB117" s="1"/>
      </tp>
      <tp t="e">
        <v>#N/A</v>
        <stp/>
        <stp>LAST</stp>
        <stp>.SPXW250502C5550</stp>
        <tr r="DA117" s="1"/>
        <tr r="DA117" s="1"/>
      </tp>
      <tp t="e">
        <v>#N/A</v>
        <stp/>
        <stp>LAST</stp>
        <stp>.SPXW250502P5540</stp>
        <tr r="DB118" s="1"/>
        <tr r="DB118" s="1"/>
      </tp>
      <tp t="e">
        <v>#N/A</v>
        <stp/>
        <stp>VOLUME</stp>
        <stp>.NDXPC19580</stp>
        <tr r="F181" s="2"/>
        <tr r="G181" s="2"/>
      </tp>
      <tp t="e">
        <v>#N/A</v>
        <stp/>
        <stp>LAST</stp>
        <stp>.SPXW250502C5540</stp>
        <tr r="DA118" s="1"/>
        <tr r="DA118" s="1"/>
      </tp>
      <tp t="e">
        <v>#N/A</v>
        <stp/>
        <stp>LAST</stp>
        <stp>.SPXW250502P5570</stp>
        <tr r="DB115" s="1"/>
        <tr r="DB115" s="1"/>
      </tp>
      <tp t="e">
        <v>#N/A</v>
        <stp/>
        <stp>LAST</stp>
        <stp>.SPXW250502C5570</stp>
        <tr r="DA115" s="1"/>
        <tr r="DA115" s="1"/>
      </tp>
      <tp t="e">
        <v>#N/A</v>
        <stp/>
        <stp>LAST</stp>
        <stp>.SPXW250502P5560</stp>
        <tr r="DB116" s="1"/>
        <tr r="DB116" s="1"/>
      </tp>
      <tp t="e">
        <v>#N/A</v>
        <stp/>
        <stp>LAST</stp>
        <stp>.SPXW250502C5560</stp>
        <tr r="DA116" s="1"/>
        <tr r="DA116" s="1"/>
      </tp>
      <tp t="e">
        <v>#N/A</v>
        <stp/>
        <stp>LAST</stp>
        <stp>.SPXW250502P5590</stp>
        <tr r="DB113" s="1"/>
        <tr r="DB113" s="1"/>
      </tp>
      <tp t="e">
        <v>#N/A</v>
        <stp/>
        <stp>LAST</stp>
        <stp>.SPXW250502C5590</stp>
        <tr r="DA113" s="1"/>
        <tr r="DA113" s="1"/>
      </tp>
      <tp t="e">
        <v>#N/A</v>
        <stp/>
        <stp>LAST</stp>
        <stp>.SPXW250502P5580</stp>
        <tr r="DB114" s="1"/>
        <tr r="DB114" s="1"/>
      </tp>
      <tp t="e">
        <v>#N/A</v>
        <stp/>
        <stp>VOLUME</stp>
        <stp>.NDXPC19540</stp>
        <tr r="F183" s="2"/>
        <tr r="G183" s="2"/>
      </tp>
      <tp t="e">
        <v>#N/A</v>
        <stp/>
        <stp>LAST</stp>
        <stp>.SPXW250502C5580</stp>
        <tr r="DA114" s="1"/>
        <tr r="DA114" s="1"/>
      </tp>
      <tp t="e">
        <v>#N/A</v>
        <stp/>
        <stp>VOLUME</stp>
        <stp>.NDXPC19560</stp>
        <tr r="F182" s="2"/>
        <tr r="G182" s="2"/>
      </tp>
      <tp t="e">
        <v>#N/A</v>
        <stp/>
        <stp>VOLUME</stp>
        <stp>.NDXPC19500</stp>
        <tr r="G185" s="2"/>
        <tr r="F185" s="2"/>
      </tp>
      <tp t="e">
        <v>#N/A</v>
        <stp/>
        <stp>VOLUME</stp>
        <stp>.NDXPC19520</stp>
        <tr r="G184" s="2"/>
        <tr r="F184" s="2"/>
      </tp>
      <tp t="e">
        <v>#N/A</v>
        <stp/>
        <stp>BID</stp>
        <stp>.NDXP250502C20180</stp>
        <tr r="DE150" s="1"/>
        <tr r="DE150" s="1"/>
      </tp>
      <tp t="e">
        <v>#N/A</v>
        <stp/>
        <stp>BID</stp>
        <stp>.NDXP250502C20160</stp>
        <tr r="DE151" s="1"/>
        <tr r="DE151" s="1"/>
      </tp>
      <tp t="e">
        <v>#N/A</v>
        <stp/>
        <stp>BID</stp>
        <stp>.NDXP250502C20140</stp>
        <tr r="DE152" s="1"/>
        <tr r="DE152" s="1"/>
      </tp>
      <tp t="e">
        <v>#N/A</v>
        <stp/>
        <stp>BID</stp>
        <stp>.NDXP250502C20120</stp>
        <tr r="DE153" s="1"/>
        <tr r="DE153" s="1"/>
      </tp>
      <tp t="e">
        <v>#N/A</v>
        <stp/>
        <stp>BID</stp>
        <stp>.NDXP250502C20100</stp>
        <tr r="DE154" s="1"/>
        <tr r="DE154" s="1"/>
      </tp>
      <tp t="e">
        <v>#N/A</v>
        <stp/>
        <stp>BID</stp>
        <stp>.NDXP250502P20180</stp>
        <tr r="DF150" s="1"/>
        <tr r="DF150" s="1"/>
      </tp>
      <tp t="e">
        <v>#N/A</v>
        <stp/>
        <stp>BID</stp>
        <stp>.NDXP250502P20140</stp>
        <tr r="DF152" s="1"/>
        <tr r="DF152" s="1"/>
      </tp>
      <tp t="e">
        <v>#N/A</v>
        <stp/>
        <stp>BID</stp>
        <stp>.NDXP250502P20160</stp>
        <tr r="DF151" s="1"/>
        <tr r="DF151" s="1"/>
      </tp>
      <tp t="e">
        <v>#N/A</v>
        <stp/>
        <stp>BID</stp>
        <stp>.NDXP250502P20100</stp>
        <tr r="DF154" s="1"/>
        <tr r="DF154" s="1"/>
      </tp>
      <tp t="e">
        <v>#N/A</v>
        <stp/>
        <stp>BID</stp>
        <stp>.NDXP250502P20120</stp>
        <tr r="DF153" s="1"/>
        <tr r="DF153" s="1"/>
      </tp>
      <tp t="e">
        <v>#N/A</v>
        <stp/>
        <stp>VOLUME</stp>
        <stp>.NDXPP19480</stp>
        <tr r="G186" s="2"/>
        <tr r="F186" s="2"/>
      </tp>
      <tp t="e">
        <v>#N/A</v>
        <stp/>
        <stp>VOLUME</stp>
        <stp>.NDXPP19460</stp>
        <tr r="F187" s="2"/>
        <tr r="G187" s="2"/>
      </tp>
      <tp t="e">
        <v>#N/A</v>
        <stp/>
        <stp>VOLUME</stp>
        <stp>.NDXPP19440</stp>
        <tr r="F188" s="2"/>
        <tr r="G188" s="2"/>
      </tp>
      <tp t="e">
        <v>#N/A</v>
        <stp/>
        <stp>VOLUME</stp>
        <stp>.NDXPP20440</stp>
        <tr r="G138" s="2"/>
        <tr r="F138" s="2"/>
      </tp>
      <tp t="e">
        <v>#N/A</v>
        <stp/>
        <stp>VOLUME</stp>
        <stp>.NDXPP19420</stp>
        <tr r="F189" s="2"/>
        <tr r="G189" s="2"/>
      </tp>
      <tp t="e">
        <v>#N/A</v>
        <stp/>
        <stp>VOLUME</stp>
        <stp>.NDXPP20420</stp>
        <tr r="G139" s="2"/>
        <tr r="F139" s="2"/>
      </tp>
      <tp t="e">
        <v>#N/A</v>
        <stp/>
        <stp>VOLUME</stp>
        <stp>.NDXPP19400</stp>
        <tr r="G190" s="2"/>
        <tr r="F190" s="2"/>
      </tp>
      <tp t="e">
        <v>#N/A</v>
        <stp/>
        <stp>VOLUME</stp>
        <stp>.NDXPP20400</stp>
        <tr r="G140" s="2"/>
        <tr r="F140" s="2"/>
      </tp>
      <tp t="e">
        <v>#N/A</v>
        <stp/>
        <stp>LAST</stp>
        <stp>.SPXW250502P5430</stp>
        <tr r="DB129" s="1"/>
        <tr r="DB129" s="1"/>
      </tp>
      <tp t="e">
        <v>#N/A</v>
        <stp/>
        <stp>LAST</stp>
        <stp>.SPXW250502C5430</stp>
        <tr r="DA129" s="1"/>
        <tr r="DA129" s="1"/>
      </tp>
      <tp t="e">
        <v>#N/A</v>
        <stp/>
        <stp>LAST</stp>
        <stp>.SPXW250502P5420</stp>
        <tr r="DB130" s="1"/>
        <tr r="DB130" s="1"/>
      </tp>
      <tp t="e">
        <v>#N/A</v>
        <stp/>
        <stp>LAST</stp>
        <stp>.SPXW250502C5420</stp>
        <tr r="DA130" s="1"/>
        <tr r="DA130" s="1"/>
      </tp>
      <tp t="e">
        <v>#N/A</v>
        <stp/>
        <stp>LAST</stp>
        <stp>.SPXW250502P5450</stp>
        <tr r="DB127" s="1"/>
        <tr r="DB127" s="1"/>
      </tp>
      <tp t="e">
        <v>#N/A</v>
        <stp/>
        <stp>LAST</stp>
        <stp>.SPXW250502C5450</stp>
        <tr r="DA127" s="1"/>
        <tr r="DA127" s="1"/>
      </tp>
      <tp t="e">
        <v>#N/A</v>
        <stp/>
        <stp>LAST</stp>
        <stp>.SPXW250502P5440</stp>
        <tr r="DB128" s="1"/>
        <tr r="DB128" s="1"/>
      </tp>
      <tp t="e">
        <v>#N/A</v>
        <stp/>
        <stp>VOLUME</stp>
        <stp>.NDXPC19480</stp>
        <tr r="G186" s="2"/>
        <tr r="F186" s="2"/>
      </tp>
      <tp t="e">
        <v>#N/A</v>
        <stp/>
        <stp>LAST</stp>
        <stp>.SPXW250502C5440</stp>
        <tr r="DA128" s="1"/>
        <tr r="DA128" s="1"/>
      </tp>
      <tp t="e">
        <v>#N/A</v>
        <stp/>
        <stp>LAST</stp>
        <stp>.SPXW250502P5470</stp>
        <tr r="DB125" s="1"/>
        <tr r="DB125" s="1"/>
      </tp>
      <tp t="e">
        <v>#N/A</v>
        <stp/>
        <stp>LAST</stp>
        <stp>.SPXW250502C5470</stp>
        <tr r="DA125" s="1"/>
        <tr r="DA125" s="1"/>
      </tp>
      <tp t="e">
        <v>#N/A</v>
        <stp/>
        <stp>LAST</stp>
        <stp>.SPXW250502P5460</stp>
        <tr r="DB126" s="1"/>
        <tr r="DB126" s="1"/>
      </tp>
      <tp t="e">
        <v>#N/A</v>
        <stp/>
        <stp>LAST</stp>
        <stp>.SPXW250502C5460</stp>
        <tr r="DA126" s="1"/>
        <tr r="DA126" s="1"/>
      </tp>
      <tp t="e">
        <v>#N/A</v>
        <stp/>
        <stp>LAST</stp>
        <stp>.SPXW250502P5490</stp>
        <tr r="DB123" s="1"/>
        <tr r="DB123" s="1"/>
      </tp>
      <tp t="e">
        <v>#N/A</v>
        <stp/>
        <stp>LAST</stp>
        <stp>.SPXW250502C5490</stp>
        <tr r="DA123" s="1"/>
        <tr r="DA123" s="1"/>
      </tp>
      <tp t="e">
        <v>#N/A</v>
        <stp/>
        <stp>LAST</stp>
        <stp>.SPXW250502P5480</stp>
        <tr r="DB124" s="1"/>
        <tr r="DB124" s="1"/>
      </tp>
      <tp t="e">
        <v>#N/A</v>
        <stp/>
        <stp>VOLUME</stp>
        <stp>.NDXPC19440</stp>
        <tr r="F188" s="2"/>
        <tr r="G188" s="2"/>
      </tp>
      <tp t="e">
        <v>#N/A</v>
        <stp/>
        <stp>VOLUME</stp>
        <stp>.NDXPC20440</stp>
        <tr r="G138" s="2"/>
        <tr r="F138" s="2"/>
      </tp>
      <tp t="e">
        <v>#N/A</v>
        <stp/>
        <stp>LAST</stp>
        <stp>.SPXW250502C5480</stp>
        <tr r="DA124" s="1"/>
        <tr r="DA124" s="1"/>
      </tp>
      <tp t="e">
        <v>#N/A</v>
        <stp/>
        <stp>VOLUME</stp>
        <stp>.NDXPC19460</stp>
        <tr r="F187" s="2"/>
        <tr r="G187" s="2"/>
      </tp>
      <tp t="e">
        <v>#N/A</v>
        <stp/>
        <stp>VOLUME</stp>
        <stp>.NDXPC19400</stp>
        <tr r="G190" s="2"/>
        <tr r="F190" s="2"/>
      </tp>
      <tp t="e">
        <v>#N/A</v>
        <stp/>
        <stp>VOLUME</stp>
        <stp>.NDXPC20400</stp>
        <tr r="G140" s="2"/>
        <tr r="F140" s="2"/>
      </tp>
      <tp t="e">
        <v>#N/A</v>
        <stp/>
        <stp>VOLUME</stp>
        <stp>.NDXPC19420</stp>
        <tr r="F189" s="2"/>
        <tr r="G189" s="2"/>
      </tp>
      <tp t="e">
        <v>#N/A</v>
        <stp/>
        <stp>VOLUME</stp>
        <stp>.NDXPC20420</stp>
        <tr r="G139" s="2"/>
        <tr r="F139" s="2"/>
      </tp>
      <tp t="e">
        <v>#N/A</v>
        <stp/>
        <stp>ASK</stp>
        <stp>.SPXW250502C5550</stp>
        <tr r="DC117" s="1"/>
        <tr r="DC117" s="1"/>
      </tp>
      <tp t="e">
        <v>#N/A</v>
        <stp/>
        <stp>ASK</stp>
        <stp>.SPXW250502P5550</stp>
        <tr r="DD117" s="1"/>
        <tr r="DD117" s="1"/>
      </tp>
      <tp t="e">
        <v>#N/A</v>
        <stp/>
        <stp>ASK</stp>
        <stp>.SPXW250502C5540</stp>
        <tr r="DC118" s="1"/>
        <tr r="DC118" s="1"/>
      </tp>
      <tp t="e">
        <v>#N/A</v>
        <stp/>
        <stp>ASK</stp>
        <stp>.SPXW250502P5540</stp>
        <tr r="DD118" s="1"/>
        <tr r="DD118" s="1"/>
      </tp>
      <tp t="e">
        <v>#N/A</v>
        <stp/>
        <stp>ASK</stp>
        <stp>.SPXW250502C5570</stp>
        <tr r="DC115" s="1"/>
        <tr r="DC115" s="1"/>
      </tp>
      <tp t="e">
        <v>#N/A</v>
        <stp/>
        <stp>ASK</stp>
        <stp>.SPXW250502P5570</stp>
        <tr r="DD115" s="1"/>
        <tr r="DD115" s="1"/>
      </tp>
      <tp t="e">
        <v>#N/A</v>
        <stp/>
        <stp>ASK</stp>
        <stp>.SPXW250502C5560</stp>
        <tr r="DC116" s="1"/>
        <tr r="DC116" s="1"/>
      </tp>
      <tp t="e">
        <v>#N/A</v>
        <stp/>
        <stp>ASK</stp>
        <stp>.SPXW250502P5560</stp>
        <tr r="DD116" s="1"/>
        <tr r="DD116" s="1"/>
      </tp>
      <tp t="e">
        <v>#N/A</v>
        <stp/>
        <stp>ASK</stp>
        <stp>.SPXW250502C5510</stp>
        <tr r="DC121" s="1"/>
        <tr r="DC121" s="1"/>
      </tp>
      <tp t="e">
        <v>#N/A</v>
        <stp/>
        <stp>ASK</stp>
        <stp>.SPXW250502P5510</stp>
        <tr r="DD121" s="1"/>
        <tr r="DD121" s="1"/>
      </tp>
      <tp t="e">
        <v>#N/A</v>
        <stp/>
        <stp>ASK</stp>
        <stp>.SPXW250502C5500</stp>
        <tr r="DC122" s="1"/>
        <tr r="DC122" s="1"/>
      </tp>
      <tp t="e">
        <v>#N/A</v>
        <stp/>
        <stp>ASK</stp>
        <stp>.SPXW250502P5500</stp>
        <tr r="DD122" s="1"/>
        <tr r="DD122" s="1"/>
      </tp>
      <tp t="e">
        <v>#N/A</v>
        <stp/>
        <stp>ASK</stp>
        <stp>.SPXW250502C5530</stp>
        <tr r="DC119" s="1"/>
        <tr r="DC119" s="1"/>
      </tp>
      <tp t="e">
        <v>#N/A</v>
        <stp/>
        <stp>ASK</stp>
        <stp>.SPXW250502P5530</stp>
        <tr r="DD119" s="1"/>
        <tr r="DD119" s="1"/>
      </tp>
      <tp t="e">
        <v>#N/A</v>
        <stp/>
        <stp>ASK</stp>
        <stp>.SPXW250502C5520</stp>
        <tr r="DC120" s="1"/>
        <tr r="DC120" s="1"/>
      </tp>
      <tp t="e">
        <v>#N/A</v>
        <stp/>
        <stp>ASK</stp>
        <stp>.SPXW250502P5520</stp>
        <tr r="DD120" s="1"/>
        <tr r="DD120" s="1"/>
      </tp>
      <tp t="e">
        <v>#N/A</v>
        <stp/>
        <stp>ASK</stp>
        <stp>.SPXW250502C5590</stp>
        <tr r="DC113" s="1"/>
        <tr r="DC113" s="1"/>
      </tp>
      <tp t="e">
        <v>#N/A</v>
        <stp/>
        <stp>ASK</stp>
        <stp>.SPXW250502P5590</stp>
        <tr r="DD113" s="1"/>
        <tr r="DD113" s="1"/>
      </tp>
      <tp t="e">
        <v>#N/A</v>
        <stp/>
        <stp>ASK</stp>
        <stp>.SPXW250502C5580</stp>
        <tr r="DC114" s="1"/>
        <tr r="DC114" s="1"/>
      </tp>
      <tp t="e">
        <v>#N/A</v>
        <stp/>
        <stp>ASK</stp>
        <stp>.SPXW250502P5580</stp>
        <tr r="DD114" s="1"/>
        <tr r="DD114" s="1"/>
      </tp>
      <tp t="e">
        <v>#N/A</v>
        <stp/>
        <stp>LAST</stp>
        <stp>.NDXP250502P19580</stp>
        <tr r="DB180" s="1"/>
        <tr r="DB180" s="1"/>
      </tp>
      <tp t="e">
        <v>#N/A</v>
        <stp/>
        <stp>LAST</stp>
        <stp>.NDXP250502P19560</stp>
        <tr r="DB181" s="1"/>
        <tr r="DB181" s="1"/>
      </tp>
      <tp t="e">
        <v>#N/A</v>
        <stp/>
        <stp>LAST</stp>
        <stp>.NDXP250502P19540</stp>
        <tr r="DB182" s="1"/>
        <tr r="DB182" s="1"/>
      </tp>
      <tp t="e">
        <v>#N/A</v>
        <stp/>
        <stp>LAST</stp>
        <stp>.NDXP250502P19520</stp>
        <tr r="DB183" s="1"/>
        <tr r="DB183" s="1"/>
      </tp>
      <tp t="e">
        <v>#N/A</v>
        <stp/>
        <stp>LAST</stp>
        <stp>.NDXP250502P19500</stp>
        <tr r="DB184" s="1"/>
        <tr r="DB184" s="1"/>
      </tp>
      <tp t="e">
        <v>#N/A</v>
        <stp/>
        <stp>LAST</stp>
        <stp>.NDXP250502C19580</stp>
        <tr r="DA180" s="1"/>
        <tr r="DA180" s="1"/>
      </tp>
      <tp t="e">
        <v>#N/A</v>
        <stp/>
        <stp>LAST</stp>
        <stp>.NDXP250502C19540</stp>
        <tr r="DA182" s="1"/>
        <tr r="DA182" s="1"/>
      </tp>
      <tp t="e">
        <v>#N/A</v>
        <stp/>
        <stp>LAST</stp>
        <stp>.NDXP250502C19560</stp>
        <tr r="DA181" s="1"/>
        <tr r="DA181" s="1"/>
      </tp>
      <tp t="e">
        <v>#N/A</v>
        <stp/>
        <stp>LAST</stp>
        <stp>.NDXP250502C19500</stp>
        <tr r="DA184" s="1"/>
        <tr r="DA184" s="1"/>
      </tp>
      <tp t="e">
        <v>#N/A</v>
        <stp/>
        <stp>LAST</stp>
        <stp>.NDXP250502C19520</stp>
        <tr r="DA183" s="1"/>
        <tr r="DA183" s="1"/>
      </tp>
      <tp t="e">
        <v>#N/A</v>
        <stp/>
        <stp>ASK</stp>
        <stp>.SPXW250502C5450</stp>
        <tr r="DC127" s="1"/>
        <tr r="DC127" s="1"/>
      </tp>
      <tp t="e">
        <v>#N/A</v>
        <stp/>
        <stp>ASK</stp>
        <stp>.SPXW250502P5450</stp>
        <tr r="DD127" s="1"/>
        <tr r="DD127" s="1"/>
      </tp>
      <tp t="e">
        <v>#N/A</v>
        <stp/>
        <stp>ASK</stp>
        <stp>.SPXW250502C5440</stp>
        <tr r="DC128" s="1"/>
        <tr r="DC128" s="1"/>
      </tp>
      <tp t="e">
        <v>#N/A</v>
        <stp/>
        <stp>ASK</stp>
        <stp>.SPXW250502P5440</stp>
        <tr r="DD128" s="1"/>
        <tr r="DD128" s="1"/>
      </tp>
      <tp t="e">
        <v>#N/A</v>
        <stp/>
        <stp>ASK</stp>
        <stp>.SPXW250502C5470</stp>
        <tr r="DC125" s="1"/>
        <tr r="DC125" s="1"/>
      </tp>
      <tp t="e">
        <v>#N/A</v>
        <stp/>
        <stp>ASK</stp>
        <stp>.SPXW250502P5470</stp>
        <tr r="DD125" s="1"/>
        <tr r="DD125" s="1"/>
      </tp>
      <tp t="e">
        <v>#N/A</v>
        <stp/>
        <stp>ASK</stp>
        <stp>.SPXW250502C5460</stp>
        <tr r="DC126" s="1"/>
        <tr r="DC126" s="1"/>
      </tp>
      <tp t="e">
        <v>#N/A</v>
        <stp/>
        <stp>ASK</stp>
        <stp>.SPXW250502P5460</stp>
        <tr r="DD126" s="1"/>
        <tr r="DD126" s="1"/>
      </tp>
      <tp t="e">
        <v>#N/A</v>
        <stp/>
        <stp>ASK</stp>
        <stp>.SPXW250502C5430</stp>
        <tr r="DC129" s="1"/>
        <tr r="DC129" s="1"/>
      </tp>
      <tp t="e">
        <v>#N/A</v>
        <stp/>
        <stp>ASK</stp>
        <stp>.SPXW250502P5430</stp>
        <tr r="DD129" s="1"/>
        <tr r="DD129" s="1"/>
      </tp>
      <tp t="e">
        <v>#N/A</v>
        <stp/>
        <stp>ASK</stp>
        <stp>.SPXW250502C5420</stp>
        <tr r="DC130" s="1"/>
        <tr r="DC130" s="1"/>
      </tp>
      <tp t="e">
        <v>#N/A</v>
        <stp/>
        <stp>ASK</stp>
        <stp>.SPXW250502P5420</stp>
        <tr r="DD130" s="1"/>
        <tr r="DD130" s="1"/>
      </tp>
      <tp t="e">
        <v>#N/A</v>
        <stp/>
        <stp>ASK</stp>
        <stp>.SPXW250502C5490</stp>
        <tr r="DC123" s="1"/>
        <tr r="DC123" s="1"/>
      </tp>
      <tp t="e">
        <v>#N/A</v>
        <stp/>
        <stp>ASK</stp>
        <stp>.SPXW250502P5490</stp>
        <tr r="DD123" s="1"/>
        <tr r="DD123" s="1"/>
      </tp>
      <tp t="e">
        <v>#N/A</v>
        <stp/>
        <stp>ASK</stp>
        <stp>.SPXW250502C5480</stp>
        <tr r="DC124" s="1"/>
        <tr r="DC124" s="1"/>
      </tp>
      <tp t="e">
        <v>#N/A</v>
        <stp/>
        <stp>ASK</stp>
        <stp>.SPXW250502P5480</stp>
        <tr r="DD124" s="1"/>
        <tr r="DD124" s="1"/>
      </tp>
      <tp t="e">
        <v>#N/A</v>
        <stp/>
        <stp>LAST</stp>
        <stp>.NDXP250502P19480</stp>
        <tr r="DB185" s="1"/>
        <tr r="DB185" s="1"/>
      </tp>
      <tp t="e">
        <v>#N/A</v>
        <stp/>
        <stp>LAST</stp>
        <stp>.NDXP250502P19460</stp>
        <tr r="DB186" s="1"/>
        <tr r="DB186" s="1"/>
      </tp>
      <tp t="e">
        <v>#N/A</v>
        <stp/>
        <stp>LAST</stp>
        <stp>.NDXP250502P19440</stp>
        <tr r="DB187" s="1"/>
        <tr r="DB187" s="1"/>
      </tp>
      <tp t="e">
        <v>#N/A</v>
        <stp/>
        <stp>LAST</stp>
        <stp>.NDXP250502P20440</stp>
        <tr r="DB137" s="1"/>
      </tp>
      <tp t="e">
        <v>#N/A</v>
        <stp/>
        <stp>LAST</stp>
        <stp>.NDXP250502P19420</stp>
        <tr r="DB188" s="1"/>
        <tr r="DB188" s="1"/>
      </tp>
      <tp t="e">
        <v>#N/A</v>
        <stp/>
        <stp>LAST</stp>
        <stp>.NDXP250502P20420</stp>
        <tr r="DB138" s="1"/>
      </tp>
      <tp t="e">
        <v>#N/A</v>
        <stp/>
        <stp>LAST</stp>
        <stp>.NDXP250502P19400</stp>
        <tr r="DB189" s="1"/>
        <tr r="DB189" s="1"/>
      </tp>
      <tp t="e">
        <v>#N/A</v>
        <stp/>
        <stp>LAST</stp>
        <stp>.NDXP250502P20400</stp>
        <tr r="DB139" s="1"/>
        <tr r="DB139" s="1"/>
      </tp>
      <tp t="e">
        <v>#N/A</v>
        <stp/>
        <stp>LAST</stp>
        <stp>.NDXP250502C19480</stp>
        <tr r="DA185" s="1"/>
        <tr r="DA185" s="1"/>
      </tp>
      <tp t="e">
        <v>#N/A</v>
        <stp/>
        <stp>LAST</stp>
        <stp>.NDXP250502C19440</stp>
        <tr r="DA187" s="1"/>
        <tr r="DA187" s="1"/>
      </tp>
      <tp t="e">
        <v>#N/A</v>
        <stp/>
        <stp>LAST</stp>
        <stp>.NDXP250502C20440</stp>
        <tr r="DA137" s="1"/>
      </tp>
      <tp t="e">
        <v>#N/A</v>
        <stp/>
        <stp>LAST</stp>
        <stp>.NDXP250502C19460</stp>
        <tr r="DA186" s="1"/>
        <tr r="DA186" s="1"/>
      </tp>
      <tp t="e">
        <v>#N/A</v>
        <stp/>
        <stp>LAST</stp>
        <stp>.NDXP250502C19400</stp>
        <tr r="DA189" s="1"/>
        <tr r="DA189" s="1"/>
      </tp>
      <tp t="e">
        <v>#N/A</v>
        <stp/>
        <stp>LAST</stp>
        <stp>.NDXP250502C20400</stp>
        <tr r="DA139" s="1"/>
        <tr r="DA139" s="1"/>
      </tp>
      <tp t="e">
        <v>#N/A</v>
        <stp/>
        <stp>LAST</stp>
        <stp>.NDXP250502C19420</stp>
        <tr r="DA188" s="1"/>
        <tr r="DA188" s="1"/>
      </tp>
      <tp t="e">
        <v>#N/A</v>
        <stp/>
        <stp>LAST</stp>
        <stp>.NDXP250502C20420</stp>
        <tr r="DA138" s="1"/>
      </tp>
      <tp t="e">
        <v>#N/A</v>
        <stp/>
        <stp>ASK</stp>
        <stp>.SPXW250502C5750</stp>
        <tr r="DC97" s="1"/>
        <tr r="DC97" s="1"/>
      </tp>
      <tp t="e">
        <v>#N/A</v>
        <stp/>
        <stp>ASK</stp>
        <stp>.SPXW250502P5750</stp>
        <tr r="DD97" s="1"/>
        <tr r="DD97" s="1"/>
      </tp>
      <tp t="e">
        <v>#N/A</v>
        <stp/>
        <stp>ASK</stp>
        <stp>.SPXW250502C5740</stp>
        <tr r="DC98" s="1"/>
        <tr r="DC98" s="1"/>
      </tp>
      <tp t="e">
        <v>#N/A</v>
        <stp/>
        <stp>ASK</stp>
        <stp>.SPXW250502P5740</stp>
        <tr r="DD98" s="1"/>
        <tr r="DD98" s="1"/>
      </tp>
      <tp t="e">
        <v>#N/A</v>
        <stp/>
        <stp>ASK</stp>
        <stp>.SPXW250502C5770</stp>
        <tr r="DC95" s="1"/>
        <tr r="DC95" s="1"/>
      </tp>
      <tp t="e">
        <v>#N/A</v>
        <stp/>
        <stp>ASK</stp>
        <stp>.SPXW250502P5770</stp>
        <tr r="DD95" s="1"/>
        <tr r="DD95" s="1"/>
      </tp>
      <tp t="e">
        <v>#N/A</v>
        <stp/>
        <stp>DELTA</stp>
        <stp>.NDX250516P19880</stp>
        <tr r="CI165" s="1"/>
      </tp>
      <tp t="e">
        <v>#N/A</v>
        <stp/>
        <stp>ASK</stp>
        <stp>.SPXW250502C5760</stp>
        <tr r="DC96" s="1"/>
        <tr r="DC96" s="1"/>
      </tp>
      <tp t="e">
        <v>#N/A</v>
        <stp/>
        <stp>ASK</stp>
        <stp>.SPXW250502P5760</stp>
        <tr r="DD96" s="1"/>
        <tr r="DD96" s="1"/>
      </tp>
      <tp t="e">
        <v>#N/A</v>
        <stp/>
        <stp>ASK</stp>
        <stp>.SPXW250502C5710</stp>
        <tr r="DC101" s="1"/>
        <tr r="DC101" s="1"/>
      </tp>
      <tp t="e">
        <v>#N/A</v>
        <stp/>
        <stp>ASK</stp>
        <stp>.SPXW250502P5710</stp>
        <tr r="DD101" s="1"/>
        <tr r="DD101" s="1"/>
      </tp>
      <tp t="e">
        <v>#N/A</v>
        <stp/>
        <stp>ASK</stp>
        <stp>.SPXW250502C5700</stp>
        <tr r="DC102" s="1"/>
        <tr r="DC102" s="1"/>
      </tp>
      <tp t="e">
        <v>#N/A</v>
        <stp/>
        <stp>ASK</stp>
        <stp>.SPXW250502P5700</stp>
        <tr r="DD102" s="1"/>
        <tr r="DD102" s="1"/>
      </tp>
      <tp t="e">
        <v>#N/A</v>
        <stp/>
        <stp>ASK</stp>
        <stp>.SPXW250502C5730</stp>
        <tr r="DC99" s="1"/>
        <tr r="DC99" s="1"/>
      </tp>
      <tp t="e">
        <v>#N/A</v>
        <stp/>
        <stp>ASK</stp>
        <stp>.SPXW250502P5730</stp>
        <tr r="DD99" s="1"/>
        <tr r="DD99" s="1"/>
      </tp>
      <tp t="e">
        <v>#N/A</v>
        <stp/>
        <stp>ASK</stp>
        <stp>.SPXW250502C5720</stp>
        <tr r="DC100" s="1"/>
        <tr r="DC100" s="1"/>
      </tp>
      <tp t="e">
        <v>#N/A</v>
        <stp/>
        <stp>ASK</stp>
        <stp>.SPXW250502P5720</stp>
        <tr r="DD100" s="1"/>
        <tr r="DD100" s="1"/>
      </tp>
      <tp t="e">
        <v>#N/A</v>
        <stp/>
        <stp>DELTA</stp>
        <stp>.NDX250516P19820</stp>
        <tr r="CI168" s="1"/>
      </tp>
      <tp t="e">
        <v>#N/A</v>
        <stp/>
        <stp>DELTA</stp>
        <stp>.NDX250516P19800</stp>
        <tr r="CI169" s="1"/>
        <tr r="CI169" s="1"/>
      </tp>
      <tp t="e">
        <v>#N/A</v>
        <stp/>
        <stp>ASK</stp>
        <stp>.SPXW250502C5790</stp>
        <tr r="DC93" s="1"/>
        <tr r="DC93" s="1"/>
      </tp>
      <tp t="e">
        <v>#N/A</v>
        <stp/>
        <stp>ASK</stp>
        <stp>.SPXW250502P5790</stp>
        <tr r="DD93" s="1"/>
        <tr r="DD93" s="1"/>
      </tp>
      <tp t="e">
        <v>#N/A</v>
        <stp/>
        <stp>DELTA</stp>
        <stp>.NDX250516P19860</stp>
        <tr r="CI166" s="1"/>
      </tp>
      <tp t="e">
        <v>#N/A</v>
        <stp/>
        <stp>ASK</stp>
        <stp>.SPXW250502C5780</stp>
        <tr r="DC94" s="1"/>
        <tr r="DC94" s="1"/>
      </tp>
      <tp t="e">
        <v>#N/A</v>
        <stp/>
        <stp>ASK</stp>
        <stp>.SPXW250502P5780</stp>
        <tr r="DD94" s="1"/>
        <tr r="DD94" s="1"/>
      </tp>
      <tp t="e">
        <v>#N/A</v>
        <stp/>
        <stp>DELTA</stp>
        <stp>.NDX250516P19840</stp>
        <tr r="CI167" s="1"/>
      </tp>
      <tp t="e">
        <v>#N/A</v>
        <stp/>
        <stp>DELTA</stp>
        <stp>.NDX250516C19880</stp>
        <tr r="CH165" s="1"/>
      </tp>
      <tp t="e">
        <v>#N/A</v>
        <stp/>
        <stp>DELTA</stp>
        <stp>.NDX250516C19800</stp>
        <tr r="CH169" s="1"/>
        <tr r="CH169" s="1"/>
      </tp>
      <tp t="e">
        <v>#N/A</v>
        <stp/>
        <stp>DELTA</stp>
        <stp>.NDX250516C19820</stp>
        <tr r="CH168" s="1"/>
      </tp>
      <tp t="e">
        <v>#N/A</v>
        <stp/>
        <stp>DELTA</stp>
        <stp>.NDX250516C19840</stp>
        <tr r="CH167" s="1"/>
      </tp>
      <tp t="e">
        <v>#N/A</v>
        <stp/>
        <stp>DELTA</stp>
        <stp>.NDX250516C19860</stp>
        <tr r="CH166" s="1"/>
      </tp>
      <tp t="e">
        <v>#N/A</v>
        <stp/>
        <stp>LAST</stp>
        <stp>.NDXP250502P19780</stp>
        <tr r="DB170" s="1"/>
        <tr r="DB170" s="1"/>
      </tp>
      <tp t="e">
        <v>#N/A</v>
        <stp/>
        <stp>LAST</stp>
        <stp>.NDXP250502P19760</stp>
        <tr r="DB171" s="1"/>
        <tr r="DB171" s="1"/>
      </tp>
      <tp t="e">
        <v>#N/A</v>
        <stp/>
        <stp>LAST</stp>
        <stp>.NDXP250502P19740</stp>
        <tr r="DB172" s="1"/>
        <tr r="DB172" s="1"/>
      </tp>
      <tp t="e">
        <v>#N/A</v>
        <stp/>
        <stp>LAST</stp>
        <stp>.NDXP250502P19720</stp>
        <tr r="DB173" s="1"/>
        <tr r="DB173" s="1"/>
      </tp>
      <tp t="e">
        <v>#N/A</v>
        <stp/>
        <stp>LAST</stp>
        <stp>.NDXP250502P19700</stp>
        <tr r="DB174" s="1"/>
        <tr r="DB174" s="1"/>
      </tp>
      <tp t="e">
        <v>#N/A</v>
        <stp/>
        <stp>LAST</stp>
        <stp>.NDXP250502C19780</stp>
        <tr r="DA170" s="1"/>
        <tr r="DA170" s="1"/>
      </tp>
      <tp t="e">
        <v>#N/A</v>
        <stp/>
        <stp>LAST</stp>
        <stp>.NDXP250502C19740</stp>
        <tr r="DA172" s="1"/>
        <tr r="DA172" s="1"/>
      </tp>
      <tp t="e">
        <v>#N/A</v>
        <stp/>
        <stp>LAST</stp>
        <stp>.NDXP250502C19760</stp>
        <tr r="DA171" s="1"/>
        <tr r="DA171" s="1"/>
      </tp>
      <tp t="e">
        <v>#N/A</v>
        <stp/>
        <stp>LAST</stp>
        <stp>.NDXP250502C19700</stp>
        <tr r="DA174" s="1"/>
        <tr r="DA174" s="1"/>
      </tp>
      <tp t="e">
        <v>#N/A</v>
        <stp/>
        <stp>LAST</stp>
        <stp>.NDXP250502C19720</stp>
        <tr r="DA173" s="1"/>
        <tr r="DA173" s="1"/>
      </tp>
      <tp t="e">
        <v>#N/A</v>
        <stp/>
        <stp>ASK</stp>
        <stp>.SPXW250502C5650</stp>
        <tr r="DC107" s="1"/>
        <tr r="DC107" s="1"/>
      </tp>
      <tp t="e">
        <v>#N/A</v>
        <stp/>
        <stp>ASK</stp>
        <stp>.SPXW250502P5650</stp>
        <tr r="DD107" s="1"/>
        <tr r="DD107" s="1"/>
      </tp>
      <tp t="e">
        <v>#N/A</v>
        <stp/>
        <stp>ASK</stp>
        <stp>.SPXW250502C5640</stp>
        <tr r="DC108" s="1"/>
        <tr r="DC108" s="1"/>
      </tp>
      <tp t="e">
        <v>#N/A</v>
        <stp/>
        <stp>ASK</stp>
        <stp>.SPXW250502P5640</stp>
        <tr r="DD108" s="1"/>
        <tr r="DD108" s="1"/>
      </tp>
      <tp t="e">
        <v>#N/A</v>
        <stp/>
        <stp>ASK</stp>
        <stp>.SPXW250502C5670</stp>
        <tr r="DC105" s="1"/>
        <tr r="DC105" s="1"/>
      </tp>
      <tp t="e">
        <v>#N/A</v>
        <stp/>
        <stp>ASK</stp>
        <stp>.SPXW250502P5670</stp>
        <tr r="DD105" s="1"/>
        <tr r="DD105" s="1"/>
      </tp>
      <tp t="e">
        <v>#N/A</v>
        <stp/>
        <stp>DELTA</stp>
        <stp>.NDX250516P19980</stp>
        <tr r="CI160" s="1"/>
      </tp>
      <tp t="e">
        <v>#N/A</v>
        <stp/>
        <stp>ASK</stp>
        <stp>.SPXW250502C5660</stp>
        <tr r="DC106" s="1"/>
        <tr r="DC106" s="1"/>
      </tp>
      <tp t="e">
        <v>#N/A</v>
        <stp/>
        <stp>ASK</stp>
        <stp>.SPXW250502P5660</stp>
        <tr r="DD106" s="1"/>
        <tr r="DD106" s="1"/>
      </tp>
      <tp t="e">
        <v>#N/A</v>
        <stp/>
        <stp>ASK</stp>
        <stp>.SPXW250502C5610</stp>
        <tr r="DC111" s="1"/>
        <tr r="DC111" s="1"/>
      </tp>
      <tp t="e">
        <v>#N/A</v>
        <stp/>
        <stp>ASK</stp>
        <stp>.SPXW250502P5610</stp>
        <tr r="DD111" s="1"/>
        <tr r="DD111" s="1"/>
      </tp>
      <tp t="e">
        <v>#N/A</v>
        <stp/>
        <stp>ASK</stp>
        <stp>.SPXW250502C5600</stp>
        <tr r="DC112" s="1"/>
        <tr r="DC112" s="1"/>
      </tp>
      <tp t="e">
        <v>#N/A</v>
        <stp/>
        <stp>ASK</stp>
        <stp>.SPXW250502P5600</stp>
        <tr r="DD112" s="1"/>
        <tr r="DD112" s="1"/>
      </tp>
      <tp t="e">
        <v>#N/A</v>
        <stp/>
        <stp>ASK</stp>
        <stp>.SPXW250502C5630</stp>
        <tr r="DC109" s="1"/>
        <tr r="DC109" s="1"/>
      </tp>
      <tp t="e">
        <v>#N/A</v>
        <stp/>
        <stp>ASK</stp>
        <stp>.SPXW250502P5630</stp>
        <tr r="DD109" s="1"/>
        <tr r="DD109" s="1"/>
      </tp>
      <tp t="e">
        <v>#N/A</v>
        <stp/>
        <stp>ASK</stp>
        <stp>.SPXW250502C5620</stp>
        <tr r="DC110" s="1"/>
        <tr r="DC110" s="1"/>
      </tp>
      <tp t="e">
        <v>#N/A</v>
        <stp/>
        <stp>ASK</stp>
        <stp>.SPXW250502P5620</stp>
        <tr r="DD110" s="1"/>
        <tr r="DD110" s="1"/>
      </tp>
      <tp t="e">
        <v>#N/A</v>
        <stp/>
        <stp>DELTA</stp>
        <stp>.NDX250516P19920</stp>
        <tr r="CI163" s="1"/>
      </tp>
      <tp t="e">
        <v>#N/A</v>
        <stp/>
        <stp>DELTA</stp>
        <stp>.NDX250516P19900</stp>
        <tr r="CI164" s="1"/>
        <tr r="CI164" s="1"/>
      </tp>
      <tp t="e">
        <v>#N/A</v>
        <stp/>
        <stp>ASK</stp>
        <stp>.SPXW250502C5690</stp>
        <tr r="DC103" s="1"/>
        <tr r="DC103" s="1"/>
      </tp>
      <tp t="e">
        <v>#N/A</v>
        <stp/>
        <stp>ASK</stp>
        <stp>.SPXW250502P5690</stp>
        <tr r="DD103" s="1"/>
        <tr r="DD103" s="1"/>
      </tp>
      <tp t="e">
        <v>#N/A</v>
        <stp/>
        <stp>DELTA</stp>
        <stp>.NDX250516P19960</stp>
        <tr r="CI161" s="1"/>
      </tp>
      <tp t="e">
        <v>#N/A</v>
        <stp/>
        <stp>ASK</stp>
        <stp>.SPXW250502C5680</stp>
        <tr r="DC104" s="1"/>
        <tr r="DC104" s="1"/>
      </tp>
      <tp t="e">
        <v>#N/A</v>
        <stp/>
        <stp>ASK</stp>
        <stp>.SPXW250502P5680</stp>
        <tr r="DD104" s="1"/>
        <tr r="DD104" s="1"/>
      </tp>
      <tp t="e">
        <v>#N/A</v>
        <stp/>
        <stp>DELTA</stp>
        <stp>.NDX250516P19940</stp>
        <tr r="CI162" s="1"/>
      </tp>
      <tp t="e">
        <v>#N/A</v>
        <stp/>
        <stp>DELTA</stp>
        <stp>.NDX250516C19980</stp>
        <tr r="CH160" s="1"/>
      </tp>
      <tp t="e">
        <v>#N/A</v>
        <stp/>
        <stp>DELTA</stp>
        <stp>.NDX250516C19900</stp>
        <tr r="CH164" s="1"/>
        <tr r="CH164" s="1"/>
      </tp>
      <tp t="e">
        <v>#N/A</v>
        <stp/>
        <stp>DELTA</stp>
        <stp>.NDX250516C19920</stp>
        <tr r="CH163" s="1"/>
      </tp>
      <tp t="e">
        <v>#N/A</v>
        <stp/>
        <stp>DELTA</stp>
        <stp>.NDX250516C19940</stp>
        <tr r="CH162" s="1"/>
      </tp>
      <tp t="e">
        <v>#N/A</v>
        <stp/>
        <stp>DELTA</stp>
        <stp>.NDX250516C19960</stp>
        <tr r="CH161" s="1"/>
      </tp>
      <tp t="e">
        <v>#N/A</v>
        <stp/>
        <stp>LAST</stp>
        <stp>.NDXP250502P19680</stp>
        <tr r="DB175" s="1"/>
        <tr r="DB175" s="1"/>
      </tp>
      <tp t="e">
        <v>#N/A</v>
        <stp/>
        <stp>LAST</stp>
        <stp>.NDXP250502P19660</stp>
        <tr r="DB176" s="1"/>
        <tr r="DB176" s="1"/>
      </tp>
      <tp t="e">
        <v>#N/A</v>
        <stp/>
        <stp>LAST</stp>
        <stp>.NDXP250502P19640</stp>
        <tr r="DB177" s="1"/>
        <tr r="DB177" s="1"/>
      </tp>
      <tp t="e">
        <v>#N/A</v>
        <stp/>
        <stp>LAST</stp>
        <stp>.NDXP250502P19620</stp>
        <tr r="DB178" s="1"/>
        <tr r="DB178" s="1"/>
      </tp>
      <tp t="e">
        <v>#N/A</v>
        <stp/>
        <stp>LAST</stp>
        <stp>.NDXP250502P19600</stp>
        <tr r="DB179" s="1"/>
        <tr r="DB179" s="1"/>
      </tp>
      <tp t="e">
        <v>#N/A</v>
        <stp/>
        <stp>LAST</stp>
        <stp>.NDXP250502C19680</stp>
        <tr r="DA175" s="1"/>
        <tr r="DA175" s="1"/>
      </tp>
      <tp t="e">
        <v>#N/A</v>
        <stp/>
        <stp>LAST</stp>
        <stp>.NDXP250502C19640</stp>
        <tr r="DA177" s="1"/>
        <tr r="DA177" s="1"/>
      </tp>
      <tp t="e">
        <v>#N/A</v>
        <stp/>
        <stp>LAST</stp>
        <stp>.NDXP250502C19660</stp>
        <tr r="DA176" s="1"/>
        <tr r="DA176" s="1"/>
      </tp>
      <tp t="e">
        <v>#N/A</v>
        <stp/>
        <stp>LAST</stp>
        <stp>.NDXP250502C19600</stp>
        <tr r="DA179" s="1"/>
        <tr r="DA179" s="1"/>
      </tp>
      <tp t="e">
        <v>#N/A</v>
        <stp/>
        <stp>LAST</stp>
        <stp>.NDXP250502C19620</stp>
        <tr r="DA178" s="1"/>
        <tr r="DA178" s="1"/>
      </tp>
      <tp t="e">
        <v>#N/A</v>
        <stp/>
        <stp>LAST</stp>
        <stp>.NDXP250502P20180</stp>
        <tr r="DB150" s="1"/>
        <tr r="DB150" s="1"/>
      </tp>
      <tp t="e">
        <v>#N/A</v>
        <stp/>
        <stp>LAST</stp>
        <stp>.NDXP250502P20160</stp>
        <tr r="DB151" s="1"/>
        <tr r="DB151" s="1"/>
      </tp>
      <tp t="e">
        <v>#N/A</v>
        <stp/>
        <stp>LAST</stp>
        <stp>.NDXP250502P20140</stp>
        <tr r="DB152" s="1"/>
        <tr r="DB152" s="1"/>
      </tp>
      <tp t="e">
        <v>#N/A</v>
        <stp/>
        <stp>LAST</stp>
        <stp>.NDXP250502P20120</stp>
        <tr r="DB153" s="1"/>
        <tr r="DB153" s="1"/>
      </tp>
      <tp t="e">
        <v>#N/A</v>
        <stp/>
        <stp>LAST</stp>
        <stp>.NDXP250502P20100</stp>
        <tr r="DB154" s="1"/>
        <tr r="DB154" s="1"/>
      </tp>
      <tp t="e">
        <v>#N/A</v>
        <stp/>
        <stp>LAST</stp>
        <stp>.NDXP250502C20180</stp>
        <tr r="DA150" s="1"/>
        <tr r="DA150" s="1"/>
      </tp>
      <tp t="e">
        <v>#N/A</v>
        <stp/>
        <stp>LAST</stp>
        <stp>.NDXP250502C20140</stp>
        <tr r="DA152" s="1"/>
        <tr r="DA152" s="1"/>
      </tp>
      <tp t="e">
        <v>#N/A</v>
        <stp/>
        <stp>LAST</stp>
        <stp>.NDXP250502C20160</stp>
        <tr r="DA151" s="1"/>
        <tr r="DA151" s="1"/>
      </tp>
      <tp t="e">
        <v>#N/A</v>
        <stp/>
        <stp>LAST</stp>
        <stp>.NDXP250502C20100</stp>
        <tr r="DA154" s="1"/>
        <tr r="DA154" s="1"/>
      </tp>
      <tp t="e">
        <v>#N/A</v>
        <stp/>
        <stp>LAST</stp>
        <stp>.NDXP250502C20120</stp>
        <tr r="DA153" s="1"/>
        <tr r="DA153" s="1"/>
      </tp>
      <tp t="e">
        <v>#N/A</v>
        <stp/>
        <stp>LAST</stp>
        <stp>.NDXP250502P20080</stp>
        <tr r="DB155" s="1"/>
        <tr r="DB155" s="1"/>
      </tp>
      <tp t="e">
        <v>#N/A</v>
        <stp/>
        <stp>LAST</stp>
        <stp>.NDXP250502P20060</stp>
        <tr r="DB156" s="1"/>
        <tr r="DB156" s="1"/>
      </tp>
      <tp t="e">
        <v>#N/A</v>
        <stp/>
        <stp>LAST</stp>
        <stp>.NDXP250502P20040</stp>
        <tr r="DB157" s="1"/>
        <tr r="DB157" s="1"/>
      </tp>
      <tp t="e">
        <v>#N/A</v>
        <stp/>
        <stp>LAST</stp>
        <stp>.NDXP250502P20020</stp>
        <tr r="DB158" s="1"/>
        <tr r="DB158" s="1"/>
      </tp>
      <tp t="e">
        <v>#N/A</v>
        <stp/>
        <stp>LAST</stp>
        <stp>.NDXP250502P20000</stp>
        <tr r="DB159" s="1"/>
        <tr r="DB159" s="1"/>
      </tp>
      <tp t="e">
        <v>#N/A</v>
        <stp/>
        <stp>LAST</stp>
        <stp>.NDXP250502C20080</stp>
        <tr r="DA155" s="1"/>
        <tr r="DA155" s="1"/>
      </tp>
      <tp t="e">
        <v>#N/A</v>
        <stp/>
        <stp>LAST</stp>
        <stp>.NDXP250502C20040</stp>
        <tr r="DA157" s="1"/>
        <tr r="DA157" s="1"/>
      </tp>
      <tp t="e">
        <v>#N/A</v>
        <stp/>
        <stp>LAST</stp>
        <stp>.NDXP250502C20060</stp>
        <tr r="DA156" s="1"/>
        <tr r="DA156" s="1"/>
      </tp>
      <tp t="e">
        <v>#N/A</v>
        <stp/>
        <stp>LAST</stp>
        <stp>.NDXP250502C20000</stp>
        <tr r="DA159" s="1"/>
        <tr r="DA159" s="1"/>
      </tp>
      <tp t="e">
        <v>#N/A</v>
        <stp/>
        <stp>LAST</stp>
        <stp>.NDXP250502C20020</stp>
        <tr r="DA158" s="1"/>
        <tr r="DA158" s="1"/>
      </tp>
      <tp t="e">
        <v>#N/A</v>
        <stp/>
        <stp>LAST</stp>
        <stp>.NDXP250502P20380</stp>
        <tr r="DB140" s="1"/>
        <tr r="DB140" s="1"/>
      </tp>
      <tp t="e">
        <v>#N/A</v>
        <stp/>
        <stp>LAST</stp>
        <stp>.NDXP250502P20360</stp>
        <tr r="DB141" s="1"/>
        <tr r="DB141" s="1"/>
      </tp>
      <tp t="e">
        <v>#N/A</v>
        <stp/>
        <stp>LAST</stp>
        <stp>.NDXP250502P20340</stp>
        <tr r="DB142" s="1"/>
        <tr r="DB142" s="1"/>
      </tp>
      <tp t="e">
        <v>#N/A</v>
        <stp/>
        <stp>LAST</stp>
        <stp>.NDXP250502P20320</stp>
        <tr r="DB143" s="1"/>
        <tr r="DB143" s="1"/>
      </tp>
      <tp t="e">
        <v>#N/A</v>
        <stp/>
        <stp>LAST</stp>
        <stp>.NDXP250502P20300</stp>
        <tr r="DB144" s="1"/>
        <tr r="DB144" s="1"/>
      </tp>
      <tp t="e">
        <v>#N/A</v>
        <stp/>
        <stp>LAST</stp>
        <stp>.NDXP250502C20380</stp>
        <tr r="DA140" s="1"/>
        <tr r="DA140" s="1"/>
      </tp>
      <tp t="e">
        <v>#N/A</v>
        <stp/>
        <stp>LAST</stp>
        <stp>.NDXP250502C20340</stp>
        <tr r="DA142" s="1"/>
        <tr r="DA142" s="1"/>
      </tp>
      <tp t="e">
        <v>#N/A</v>
        <stp/>
        <stp>LAST</stp>
        <stp>.NDXP250502C20360</stp>
        <tr r="DA141" s="1"/>
        <tr r="DA141" s="1"/>
      </tp>
      <tp t="e">
        <v>#N/A</v>
        <stp/>
        <stp>LAST</stp>
        <stp>.NDXP250502C20300</stp>
        <tr r="DA144" s="1"/>
        <tr r="DA144" s="1"/>
      </tp>
      <tp t="e">
        <v>#N/A</v>
        <stp/>
        <stp>LAST</stp>
        <stp>.NDXP250502C20320</stp>
        <tr r="DA143" s="1"/>
        <tr r="DA143" s="1"/>
      </tp>
      <tp t="e">
        <v>#N/A</v>
        <stp/>
        <stp>LAST</stp>
        <stp>.NDXP250502P20280</stp>
        <tr r="DB145" s="1"/>
        <tr r="DB145" s="1"/>
      </tp>
      <tp t="e">
        <v>#N/A</v>
        <stp/>
        <stp>LAST</stp>
        <stp>.NDXP250502P20260</stp>
        <tr r="DB146" s="1"/>
        <tr r="DB146" s="1"/>
      </tp>
      <tp t="e">
        <v>#N/A</v>
        <stp/>
        <stp>LAST</stp>
        <stp>.NDXP250502P20240</stp>
        <tr r="DB147" s="1"/>
        <tr r="DB147" s="1"/>
      </tp>
      <tp t="e">
        <v>#N/A</v>
        <stp/>
        <stp>LAST</stp>
        <stp>.NDXP250502P20220</stp>
        <tr r="DB148" s="1"/>
        <tr r="DB148" s="1"/>
      </tp>
      <tp t="e">
        <v>#N/A</v>
        <stp/>
        <stp>LAST</stp>
        <stp>.NDXP250502P20200</stp>
        <tr r="DB149" s="1"/>
        <tr r="DB149" s="1"/>
      </tp>
      <tp t="e">
        <v>#N/A</v>
        <stp/>
        <stp>LAST</stp>
        <stp>.NDXP250502C20280</stp>
        <tr r="DA145" s="1"/>
        <tr r="DA145" s="1"/>
      </tp>
      <tp t="e">
        <v>#N/A</v>
        <stp/>
        <stp>LAST</stp>
        <stp>.NDXP250502C20240</stp>
        <tr r="DA147" s="1"/>
        <tr r="DA147" s="1"/>
      </tp>
      <tp t="e">
        <v>#N/A</v>
        <stp/>
        <stp>LAST</stp>
        <stp>.NDXP250502C20260</stp>
        <tr r="DA146" s="1"/>
        <tr r="DA146" s="1"/>
      </tp>
      <tp t="e">
        <v>#N/A</v>
        <stp/>
        <stp>LAST</stp>
        <stp>.NDXP250502C20200</stp>
        <tr r="DA149" s="1"/>
        <tr r="DA149" s="1"/>
      </tp>
      <tp t="e">
        <v>#N/A</v>
        <stp/>
        <stp>LAST</stp>
        <stp>.NDXP250502C20220</stp>
        <tr r="DA148" s="1"/>
        <tr r="DA148" s="1"/>
      </tp>
      <tp t="e">
        <v>#N/A</v>
        <stp/>
        <stp>DELTA</stp>
        <stp>.NDX250516P20280</stp>
        <tr r="CI145" s="1"/>
      </tp>
      <tp t="e">
        <v>#N/A</v>
        <stp/>
        <stp>DELTA</stp>
        <stp>.NDX250516P20220</stp>
        <tr r="CI148" s="1"/>
      </tp>
      <tp t="e">
        <v>#N/A</v>
        <stp/>
        <stp>DELTA</stp>
        <stp>.NDX250516P20200</stp>
        <tr r="CI149" s="1"/>
        <tr r="CI149" s="1"/>
      </tp>
      <tp t="e">
        <v>#N/A</v>
        <stp/>
        <stp>DELTA</stp>
        <stp>.NDX250516P20260</stp>
        <tr r="CI146" s="1"/>
      </tp>
      <tp t="e">
        <v>#N/A</v>
        <stp/>
        <stp>DELTA</stp>
        <stp>.NDX250516P20240</stp>
        <tr r="CI147" s="1"/>
      </tp>
      <tp t="e">
        <v>#N/A</v>
        <stp/>
        <stp>DELTA</stp>
        <stp>.NDX250516C20280</stp>
        <tr r="CH145" s="1"/>
      </tp>
      <tp t="e">
        <v>#N/A</v>
        <stp/>
        <stp>DELTA</stp>
        <stp>.NDX250516C20200</stp>
        <tr r="CH149" s="1"/>
        <tr r="CH149" s="1"/>
      </tp>
      <tp t="e">
        <v>#N/A</v>
        <stp/>
        <stp>DELTA</stp>
        <stp>.NDX250516C20220</stp>
        <tr r="CH148" s="1"/>
      </tp>
      <tp t="e">
        <v>#N/A</v>
        <stp/>
        <stp>DELTA</stp>
        <stp>.NDX250516C20240</stp>
        <tr r="CH147" s="1"/>
      </tp>
      <tp t="e">
        <v>#N/A</v>
        <stp/>
        <stp>DELTA</stp>
        <stp>.NDX250516C20260</stp>
        <tr r="CH146" s="1"/>
      </tp>
      <tp t="e">
        <v>#N/A</v>
        <stp/>
        <stp>DELTA</stp>
        <stp>.NDX250516P20380</stp>
        <tr r="CI140" s="1"/>
      </tp>
      <tp t="e">
        <v>#N/A</v>
        <stp/>
        <stp>DELTA</stp>
        <stp>.NDX250516P20320</stp>
        <tr r="CI143" s="1"/>
      </tp>
      <tp t="e">
        <v>#N/A</v>
        <stp/>
        <stp>DELTA</stp>
        <stp>.NDX250516P20300</stp>
        <tr r="CI144" s="1"/>
        <tr r="CI144" s="1"/>
      </tp>
      <tp t="e">
        <v>#N/A</v>
        <stp/>
        <stp>DELTA</stp>
        <stp>.NDX250516P20360</stp>
        <tr r="CI141" s="1"/>
      </tp>
      <tp t="e">
        <v>#N/A</v>
        <stp/>
        <stp>DELTA</stp>
        <stp>.NDX250516P20340</stp>
        <tr r="CI142" s="1"/>
      </tp>
      <tp t="e">
        <v>#N/A</v>
        <stp/>
        <stp>DELTA</stp>
        <stp>.NDX250516C20380</stp>
        <tr r="CH140" s="1"/>
      </tp>
      <tp t="e">
        <v>#N/A</v>
        <stp/>
        <stp>DELTA</stp>
        <stp>.NDX250516C20300</stp>
        <tr r="CH144" s="1"/>
        <tr r="CH144" s="1"/>
      </tp>
      <tp t="e">
        <v>#N/A</v>
        <stp/>
        <stp>DELTA</stp>
        <stp>.NDX250516C20320</stp>
        <tr r="CH143" s="1"/>
      </tp>
      <tp t="e">
        <v>#N/A</v>
        <stp/>
        <stp>DELTA</stp>
        <stp>.NDX250516C20340</stp>
        <tr r="CH142" s="1"/>
      </tp>
      <tp t="e">
        <v>#N/A</v>
        <stp/>
        <stp>DELTA</stp>
        <stp>.NDX250516C20360</stp>
        <tr r="CH141" s="1"/>
      </tp>
      <tp t="e">
        <v>#N/A</v>
        <stp/>
        <stp>DELTA</stp>
        <stp>.NDX250516P20080</stp>
        <tr r="CI155" s="1"/>
      </tp>
      <tp t="e">
        <v>#N/A</v>
        <stp/>
        <stp>DELTA</stp>
        <stp>.NDX250516P20020</stp>
        <tr r="CI158" s="1"/>
      </tp>
      <tp t="e">
        <v>#N/A</v>
        <stp/>
        <stp>DELTA</stp>
        <stp>.NDX250516P20000</stp>
        <tr r="CI159" s="1"/>
        <tr r="CI159" s="1"/>
      </tp>
      <tp t="e">
        <v>#N/A</v>
        <stp/>
        <stp>DELTA</stp>
        <stp>.NDX250516P20060</stp>
        <tr r="CI156" s="1"/>
      </tp>
      <tp t="e">
        <v>#N/A</v>
        <stp/>
        <stp>DELTA</stp>
        <stp>.NDX250516P20040</stp>
        <tr r="CI157" s="1"/>
      </tp>
      <tp t="e">
        <v>#N/A</v>
        <stp/>
        <stp>DELTA</stp>
        <stp>.NDX250516C20080</stp>
        <tr r="CH155" s="1"/>
      </tp>
      <tp t="e">
        <v>#N/A</v>
        <stp/>
        <stp>DELTA</stp>
        <stp>.NDX250516C20000</stp>
        <tr r="CH159" s="1"/>
        <tr r="CH159" s="1"/>
      </tp>
      <tp t="e">
        <v>#N/A</v>
        <stp/>
        <stp>DELTA</stp>
        <stp>.NDX250516C20020</stp>
        <tr r="CH158" s="1"/>
      </tp>
      <tp t="e">
        <v>#N/A</v>
        <stp/>
        <stp>DELTA</stp>
        <stp>.NDX250516C20040</stp>
        <tr r="CH157" s="1"/>
      </tp>
      <tp t="e">
        <v>#N/A</v>
        <stp/>
        <stp>DELTA</stp>
        <stp>.NDX250516C20060</stp>
        <tr r="CH156" s="1"/>
      </tp>
      <tp t="e">
        <v>#N/A</v>
        <stp/>
        <stp>DELTA</stp>
        <stp>.NDX250516P20180</stp>
        <tr r="CI150" s="1"/>
      </tp>
      <tp t="e">
        <v>#N/A</v>
        <stp/>
        <stp>DELTA</stp>
        <stp>.NDX250516P20120</stp>
        <tr r="CI153" s="1"/>
      </tp>
      <tp t="e">
        <v>#N/A</v>
        <stp/>
        <stp>DELTA</stp>
        <stp>.NDX250516P20100</stp>
        <tr r="CI154" s="1"/>
        <tr r="CI154" s="1"/>
      </tp>
      <tp t="e">
        <v>#N/A</v>
        <stp/>
        <stp>DELTA</stp>
        <stp>.NDX250516P20160</stp>
        <tr r="CI151" s="1"/>
      </tp>
      <tp t="e">
        <v>#N/A</v>
        <stp/>
        <stp>DELTA</stp>
        <stp>.NDX250516P20140</stp>
        <tr r="CI152" s="1"/>
      </tp>
      <tp t="e">
        <v>#N/A</v>
        <stp/>
        <stp>DELTA</stp>
        <stp>.NDX250516C20180</stp>
        <tr r="CH150" s="1"/>
      </tp>
      <tp t="e">
        <v>#N/A</v>
        <stp/>
        <stp>DELTA</stp>
        <stp>.NDX250516C20100</stp>
        <tr r="CH154" s="1"/>
        <tr r="CH154" s="1"/>
      </tp>
      <tp t="e">
        <v>#N/A</v>
        <stp/>
        <stp>DELTA</stp>
        <stp>.NDX250516C20120</stp>
        <tr r="CH153" s="1"/>
      </tp>
      <tp t="e">
        <v>#N/A</v>
        <stp/>
        <stp>DELTA</stp>
        <stp>.NDX250516C20140</stp>
        <tr r="CH152" s="1"/>
      </tp>
      <tp t="e">
        <v>#N/A</v>
        <stp/>
        <stp>DELTA</stp>
        <stp>.NDX250516C20160</stp>
        <tr r="CH151" s="1"/>
      </tp>
      <tp t="e">
        <v>#N/A</v>
        <stp/>
        <stp>DELTA</stp>
        <stp>.NDX250516P19680</stp>
        <tr r="CI175" s="1"/>
      </tp>
      <tp t="e">
        <v>#N/A</v>
        <stp/>
        <stp>DELTA</stp>
        <stp>.NDX250516P19620</stp>
        <tr r="CI178" s="1"/>
      </tp>
      <tp t="e">
        <v>#N/A</v>
        <stp/>
        <stp>DELTA</stp>
        <stp>.NDX250516P19600</stp>
        <tr r="CI179" s="1"/>
        <tr r="CI179" s="1"/>
      </tp>
      <tp t="e">
        <v>#N/A</v>
        <stp/>
        <stp>DELTA</stp>
        <stp>.NDX250516P19660</stp>
        <tr r="CI176" s="1"/>
      </tp>
      <tp t="e">
        <v>#N/A</v>
        <stp/>
        <stp>DELTA</stp>
        <stp>.NDX250516P19640</stp>
        <tr r="CI177" s="1"/>
      </tp>
      <tp t="e">
        <v>#N/A</v>
        <stp/>
        <stp>DELTA</stp>
        <stp>.NDX250516C19680</stp>
        <tr r="CH175" s="1"/>
      </tp>
      <tp t="e">
        <v>#N/A</v>
        <stp/>
        <stp>DELTA</stp>
        <stp>.NDX250516C19600</stp>
        <tr r="CH179" s="1"/>
        <tr r="CH179" s="1"/>
      </tp>
      <tp t="e">
        <v>#N/A</v>
        <stp/>
        <stp>DELTA</stp>
        <stp>.NDX250516C19620</stp>
        <tr r="CH178" s="1"/>
      </tp>
      <tp t="e">
        <v>#N/A</v>
        <stp/>
        <stp>DELTA</stp>
        <stp>.NDX250516C19640</stp>
        <tr r="CH177" s="1"/>
      </tp>
      <tp t="e">
        <v>#N/A</v>
        <stp/>
        <stp>DELTA</stp>
        <stp>.NDX250516C19660</stp>
        <tr r="CH176" s="1"/>
      </tp>
      <tp t="e">
        <v>#N/A</v>
        <stp/>
        <stp>LAST</stp>
        <stp>.NDXP250502P19980</stp>
        <tr r="DB160" s="1"/>
        <tr r="DB160" s="1"/>
      </tp>
      <tp t="e">
        <v>#N/A</v>
        <stp/>
        <stp>LAST</stp>
        <stp>.NDXP250502P19960</stp>
        <tr r="DB161" s="1"/>
        <tr r="DB161" s="1"/>
      </tp>
      <tp t="e">
        <v>#N/A</v>
        <stp/>
        <stp>LAST</stp>
        <stp>.NDXP250502P19940</stp>
        <tr r="DB162" s="1"/>
        <tr r="DB162" s="1"/>
      </tp>
      <tp t="e">
        <v>#N/A</v>
        <stp/>
        <stp>LAST</stp>
        <stp>.NDXP250502P19920</stp>
        <tr r="DB163" s="1"/>
        <tr r="DB163" s="1"/>
      </tp>
      <tp t="e">
        <v>#N/A</v>
        <stp/>
        <stp>LAST</stp>
        <stp>.NDXP250502P19900</stp>
        <tr r="DB164" s="1"/>
        <tr r="DB164" s="1"/>
      </tp>
      <tp t="e">
        <v>#N/A</v>
        <stp/>
        <stp>LAST</stp>
        <stp>.NDXP250502C19980</stp>
        <tr r="DA160" s="1"/>
        <tr r="DA160" s="1"/>
      </tp>
      <tp t="e">
        <v>#N/A</v>
        <stp/>
        <stp>LAST</stp>
        <stp>.NDXP250502C19940</stp>
        <tr r="DA162" s="1"/>
        <tr r="DA162" s="1"/>
      </tp>
      <tp t="e">
        <v>#N/A</v>
        <stp/>
        <stp>LAST</stp>
        <stp>.NDXP250502C19960</stp>
        <tr r="DA161" s="1"/>
        <tr r="DA161" s="1"/>
      </tp>
      <tp t="e">
        <v>#N/A</v>
        <stp/>
        <stp>LAST</stp>
        <stp>.NDXP250502C19900</stp>
        <tr r="DA164" s="1"/>
        <tr r="DA164" s="1"/>
      </tp>
      <tp t="e">
        <v>#N/A</v>
        <stp/>
        <stp>LAST</stp>
        <stp>.NDXP250502C19920</stp>
        <tr r="DA163" s="1"/>
        <tr r="DA163" s="1"/>
      </tp>
      <tp t="e">
        <v>#N/A</v>
        <stp/>
        <stp>ASK</stp>
        <stp>.SPXW250502C5850</stp>
        <tr r="DC87" s="1"/>
        <tr r="DC87" s="1"/>
      </tp>
      <tp t="e">
        <v>#N/A</v>
        <stp/>
        <stp>ASK</stp>
        <stp>.SPXW250502P5850</stp>
        <tr r="DD87" s="1"/>
        <tr r="DD87" s="1"/>
      </tp>
      <tp t="e">
        <v>#N/A</v>
        <stp/>
        <stp>ASK</stp>
        <stp>.SPXW250502C5840</stp>
        <tr r="DC88" s="1"/>
        <tr r="DC88" s="1"/>
      </tp>
      <tp t="e">
        <v>#N/A</v>
        <stp/>
        <stp>ASK</stp>
        <stp>.SPXW250502P5840</stp>
        <tr r="DD88" s="1"/>
        <tr r="DD88" s="1"/>
      </tp>
      <tp t="e">
        <v>#N/A</v>
        <stp/>
        <stp>ASK</stp>
        <stp>.SPXW250502C5870</stp>
        <tr r="DC85" s="1"/>
        <tr r="DC85" s="1"/>
      </tp>
      <tp t="e">
        <v>#N/A</v>
        <stp/>
        <stp>ASK</stp>
        <stp>.SPXW250502P5870</stp>
        <tr r="DD85" s="1"/>
        <tr r="DD85" s="1"/>
      </tp>
      <tp t="e">
        <v>#N/A</v>
        <stp/>
        <stp>DELTA</stp>
        <stp>.NDX250516P19780</stp>
        <tr r="CI170" s="1"/>
      </tp>
      <tp t="e">
        <v>#N/A</v>
        <stp/>
        <stp>ASK</stp>
        <stp>.SPXW250502C5860</stp>
        <tr r="DC86" s="1"/>
        <tr r="DC86" s="1"/>
      </tp>
      <tp t="e">
        <v>#N/A</v>
        <stp/>
        <stp>ASK</stp>
        <stp>.SPXW250502P5860</stp>
        <tr r="DD86" s="1"/>
        <tr r="DD86" s="1"/>
      </tp>
      <tp t="e">
        <v>#N/A</v>
        <stp/>
        <stp>ASK</stp>
        <stp>.SPXW250502C5810</stp>
        <tr r="DC91" s="1"/>
        <tr r="DC91" s="1"/>
      </tp>
      <tp t="e">
        <v>#N/A</v>
        <stp/>
        <stp>ASK</stp>
        <stp>.SPXW250502P5810</stp>
        <tr r="DD91" s="1"/>
        <tr r="DD91" s="1"/>
      </tp>
      <tp t="e">
        <v>#N/A</v>
        <stp/>
        <stp>ASK</stp>
        <stp>.SPXW250502C5800</stp>
        <tr r="DC92" s="1"/>
        <tr r="DC92" s="1"/>
      </tp>
      <tp t="e">
        <v>#N/A</v>
        <stp/>
        <stp>ASK</stp>
        <stp>.SPXW250502P5800</stp>
        <tr r="DD92" s="1"/>
        <tr r="DD92" s="1"/>
      </tp>
      <tp t="e">
        <v>#N/A</v>
        <stp/>
        <stp>ASK</stp>
        <stp>.SPXW250502C5830</stp>
        <tr r="DC89" s="1"/>
        <tr r="DC89" s="1"/>
      </tp>
      <tp t="e">
        <v>#N/A</v>
        <stp/>
        <stp>ASK</stp>
        <stp>.SPXW250502P5830</stp>
        <tr r="DD89" s="1"/>
        <tr r="DD89" s="1"/>
      </tp>
      <tp t="e">
        <v>#N/A</v>
        <stp/>
        <stp>ASK</stp>
        <stp>.SPXW250502C5820</stp>
        <tr r="DC90" s="1"/>
        <tr r="DC90" s="1"/>
      </tp>
      <tp t="e">
        <v>#N/A</v>
        <stp/>
        <stp>ASK</stp>
        <stp>.SPXW250502P5820</stp>
        <tr r="DD90" s="1"/>
        <tr r="DD90" s="1"/>
      </tp>
      <tp t="e">
        <v>#N/A</v>
        <stp/>
        <stp>DELTA</stp>
        <stp>.NDX250516P19720</stp>
        <tr r="CI173" s="1"/>
      </tp>
      <tp t="e">
        <v>#N/A</v>
        <stp/>
        <stp>DELTA</stp>
        <stp>.NDX250516P19700</stp>
        <tr r="CI174" s="1"/>
        <tr r="CI174" s="1"/>
      </tp>
      <tp t="e">
        <v>#N/A</v>
        <stp/>
        <stp>DELTA</stp>
        <stp>.NDX250516P19760</stp>
        <tr r="CI171" s="1"/>
      </tp>
      <tp t="e">
        <v>#N/A</v>
        <stp/>
        <stp>DELTA</stp>
        <stp>.NDX250516P19740</stp>
        <tr r="CI172" s="1"/>
      </tp>
      <tp t="e">
        <v>#N/A</v>
        <stp/>
        <stp>DELTA</stp>
        <stp>.NDX250516C19780</stp>
        <tr r="CH170" s="1"/>
      </tp>
      <tp t="e">
        <v>#N/A</v>
        <stp/>
        <stp>DELTA</stp>
        <stp>.NDX250516C19700</stp>
        <tr r="CH174" s="1"/>
        <tr r="CH174" s="1"/>
      </tp>
      <tp t="e">
        <v>#N/A</v>
        <stp/>
        <stp>DELTA</stp>
        <stp>.NDX250516C19720</stp>
        <tr r="CH173" s="1"/>
      </tp>
      <tp t="e">
        <v>#N/A</v>
        <stp/>
        <stp>DELTA</stp>
        <stp>.NDX250516C19740</stp>
        <tr r="CH172" s="1"/>
      </tp>
      <tp t="e">
        <v>#N/A</v>
        <stp/>
        <stp>DELTA</stp>
        <stp>.NDX250516C19760</stp>
        <tr r="CH171" s="1"/>
      </tp>
      <tp t="e">
        <v>#N/A</v>
        <stp/>
        <stp>LAST</stp>
        <stp>.NDXP250502P19880</stp>
        <tr r="DB165" s="1"/>
        <tr r="DB165" s="1"/>
      </tp>
      <tp t="e">
        <v>#N/A</v>
        <stp/>
        <stp>LAST</stp>
        <stp>.NDXP250502P19860</stp>
        <tr r="DB166" s="1"/>
        <tr r="DB166" s="1"/>
      </tp>
      <tp t="e">
        <v>#N/A</v>
        <stp/>
        <stp>LAST</stp>
        <stp>.NDXP250502P19840</stp>
        <tr r="DB167" s="1"/>
        <tr r="DB167" s="1"/>
      </tp>
      <tp t="e">
        <v>#N/A</v>
        <stp/>
        <stp>LAST</stp>
        <stp>.NDXP250502P19820</stp>
        <tr r="DB168" s="1"/>
        <tr r="DB168" s="1"/>
      </tp>
      <tp t="e">
        <v>#N/A</v>
        <stp/>
        <stp>LAST</stp>
        <stp>.NDXP250502P19800</stp>
        <tr r="DB169" s="1"/>
        <tr r="DB169" s="1"/>
      </tp>
      <tp t="e">
        <v>#N/A</v>
        <stp/>
        <stp>LAST</stp>
        <stp>.NDXP250502C19880</stp>
        <tr r="DA165" s="1"/>
        <tr r="DA165" s="1"/>
      </tp>
      <tp t="e">
        <v>#N/A</v>
        <stp/>
        <stp>LAST</stp>
        <stp>.NDXP250502C19840</stp>
        <tr r="DA167" s="1"/>
        <tr r="DA167" s="1"/>
      </tp>
      <tp t="e">
        <v>#N/A</v>
        <stp/>
        <stp>LAST</stp>
        <stp>.NDXP250502C19860</stp>
        <tr r="DA166" s="1"/>
        <tr r="DA166" s="1"/>
      </tp>
      <tp t="e">
        <v>#N/A</v>
        <stp/>
        <stp>LAST</stp>
        <stp>.NDXP250502C19800</stp>
        <tr r="DA169" s="1"/>
        <tr r="DA169" s="1"/>
      </tp>
      <tp t="e">
        <v>#N/A</v>
        <stp/>
        <stp>LAST</stp>
        <stp>.NDXP250502C19820</stp>
        <tr r="DA168" s="1"/>
        <tr r="DA168" s="1"/>
      </tp>
      <tp t="e">
        <v>#N/A</v>
        <stp/>
        <stp>DELTA</stp>
        <stp>.NDX250516P19480</stp>
        <tr r="CI185" s="1"/>
      </tp>
      <tp t="e">
        <v>#N/A</v>
        <stp/>
        <stp>DELTA</stp>
        <stp>.NDX250516P20420</stp>
        <tr r="CI138" s="1"/>
      </tp>
      <tp t="e">
        <v>#N/A</v>
        <stp/>
        <stp>DELTA</stp>
        <stp>.NDX250516P19420</stp>
        <tr r="CI188" s="1"/>
      </tp>
      <tp t="e">
        <v>#N/A</v>
        <stp/>
        <stp>DELTA</stp>
        <stp>.NDX250516P20400</stp>
        <tr r="CI139" s="1"/>
        <tr r="CI139" s="1"/>
      </tp>
      <tp t="e">
        <v>#N/A</v>
        <stp/>
        <stp>DELTA</stp>
        <stp>.NDX250516P19400</stp>
        <tr r="CI189" s="1"/>
        <tr r="CI189" s="1"/>
      </tp>
      <tp t="e">
        <v>#N/A</v>
        <stp/>
        <stp>DELTA</stp>
        <stp>.NDX250516P19460</stp>
        <tr r="CI186" s="1"/>
      </tp>
      <tp t="e">
        <v>#N/A</v>
        <stp/>
        <stp>DELTA</stp>
        <stp>.NDX250516P20440</stp>
        <tr r="CI137" s="1"/>
      </tp>
      <tp t="e">
        <v>#N/A</v>
        <stp/>
        <stp>DELTA</stp>
        <stp>.NDX250516P19440</stp>
        <tr r="CI187" s="1"/>
      </tp>
      <tp t="e">
        <v>#N/A</v>
        <stp/>
        <stp>DELTA</stp>
        <stp>.NDX250516C19480</stp>
        <tr r="CH185" s="1"/>
      </tp>
      <tp t="e">
        <v>#N/A</v>
        <stp/>
        <stp>DELTA</stp>
        <stp>.NDX250516C20400</stp>
        <tr r="CH139" s="1"/>
        <tr r="CH139" s="1"/>
      </tp>
      <tp t="e">
        <v>#N/A</v>
        <stp/>
        <stp>DELTA</stp>
        <stp>.NDX250516C19400</stp>
        <tr r="CH189" s="1"/>
        <tr r="CH189" s="1"/>
      </tp>
      <tp t="e">
        <v>#N/A</v>
        <stp/>
        <stp>DELTA</stp>
        <stp>.NDX250516C20420</stp>
        <tr r="CH138" s="1"/>
      </tp>
      <tp t="e">
        <v>#N/A</v>
        <stp/>
        <stp>DELTA</stp>
        <stp>.NDX250516C19420</stp>
        <tr r="CH188" s="1"/>
      </tp>
      <tp t="e">
        <v>#N/A</v>
        <stp/>
        <stp>DELTA</stp>
        <stp>.NDX250516C20440</stp>
        <tr r="CH137" s="1"/>
      </tp>
      <tp t="e">
        <v>#N/A</v>
        <stp/>
        <stp>DELTA</stp>
        <stp>.NDX250516C19440</stp>
        <tr r="CH187" s="1"/>
      </tp>
      <tp t="e">
        <v>#N/A</v>
        <stp/>
        <stp>DELTA</stp>
        <stp>.NDX250516C19460</stp>
        <tr r="CH186" s="1"/>
      </tp>
      <tp t="e">
        <v>#N/A</v>
        <stp/>
        <stp>DELTA</stp>
        <stp>.NDX250516P19580</stp>
        <tr r="CI180" s="1"/>
      </tp>
      <tp t="e">
        <v>#N/A</v>
        <stp/>
        <stp>DELTA</stp>
        <stp>.NDX250516P19520</stp>
        <tr r="CI183" s="1"/>
      </tp>
      <tp t="e">
        <v>#N/A</v>
        <stp/>
        <stp>DELTA</stp>
        <stp>.NDX250516P19500</stp>
        <tr r="CI184" s="1"/>
        <tr r="CI184" s="1"/>
      </tp>
      <tp t="e">
        <v>#N/A</v>
        <stp/>
        <stp>DELTA</stp>
        <stp>.NDX250516P19560</stp>
        <tr r="CI181" s="1"/>
      </tp>
      <tp t="e">
        <v>#N/A</v>
        <stp/>
        <stp>DELTA</stp>
        <stp>.NDX250516P19540</stp>
        <tr r="CI182" s="1"/>
      </tp>
      <tp t="e">
        <v>#N/A</v>
        <stp/>
        <stp>DELTA</stp>
        <stp>.NDX250516C19580</stp>
        <tr r="CH180" s="1"/>
      </tp>
      <tp t="e">
        <v>#N/A</v>
        <stp/>
        <stp>DELTA</stp>
        <stp>.NDX250516C19500</stp>
        <tr r="CH184" s="1"/>
        <tr r="CH184" s="1"/>
      </tp>
      <tp t="e">
        <v>#N/A</v>
        <stp/>
        <stp>DELTA</stp>
        <stp>.NDX250516C19520</stp>
        <tr r="CH183" s="1"/>
      </tp>
      <tp t="e">
        <v>#N/A</v>
        <stp/>
        <stp>DELTA</stp>
        <stp>.NDX250516C19540</stp>
        <tr r="CH182" s="1"/>
      </tp>
      <tp t="e">
        <v>#N/A</v>
        <stp/>
        <stp>DELTA</stp>
        <stp>.NDX250516C19560</stp>
        <tr r="CH181" s="1"/>
      </tp>
      <tp t="e">
        <v>#N/A</v>
        <stp/>
        <stp>VOLUME</stp>
        <stp>.SPY250718P582</stp>
        <tr r="M5" s="2"/>
      </tp>
      <tp t="e">
        <v>#N/A</v>
        <stp/>
        <stp>VOLUME</stp>
        <stp>.SPY250718C582</stp>
        <tr r="M5" s="2"/>
      </tp>
      <tp t="e">
        <v>#N/A</v>
        <stp/>
        <stp>VOLUME</stp>
        <stp>.SPY250718P580</stp>
        <tr r="M7" s="2"/>
      </tp>
      <tp t="e">
        <v>#N/A</v>
        <stp/>
        <stp>VOLUME</stp>
        <stp>.SPY250718C580</stp>
        <tr r="M7" s="2"/>
      </tp>
      <tp t="e">
        <v>#N/A</v>
        <stp/>
        <stp>VOLUME</stp>
        <stp>.SPY250718P581</stp>
        <tr r="M6" s="2"/>
      </tp>
      <tp t="e">
        <v>#N/A</v>
        <stp/>
        <stp>VOLUME</stp>
        <stp>.SPY250718C581</stp>
        <tr r="M6" s="2"/>
      </tp>
      <tp t="e">
        <v>#N/A</v>
        <stp/>
        <stp>VOLUME</stp>
        <stp>.SPY250731P582</stp>
        <tr r="N5" s="2"/>
      </tp>
      <tp t="e">
        <v>#N/A</v>
        <stp/>
        <stp>VOLUME</stp>
        <stp>.SPY250731C582</stp>
        <tr r="N5" s="2"/>
      </tp>
      <tp t="e">
        <v>#N/A</v>
        <stp/>
        <stp>VOLUME</stp>
        <stp>.SPY250731P581</stp>
        <tr r="N6" s="2"/>
      </tp>
      <tp t="e">
        <v>#N/A</v>
        <stp/>
        <stp>VOLUME</stp>
        <stp>.SPY250731C581</stp>
        <tr r="N6" s="2"/>
      </tp>
      <tp t="e">
        <v>#N/A</v>
        <stp/>
        <stp>VOLUME</stp>
        <stp>.SPY250731P580</stp>
        <tr r="N7" s="2"/>
      </tp>
      <tp t="e">
        <v>#N/A</v>
        <stp/>
        <stp>VOLUME</stp>
        <stp>.SPY250731C580</stp>
        <tr r="N7" s="2"/>
      </tp>
      <tp t="e">
        <v>#N/A</v>
        <stp/>
        <stp>VOLUME</stp>
        <stp>.SPY250731P567</stp>
        <tr r="N20" s="2"/>
      </tp>
      <tp t="e">
        <v>#N/A</v>
        <stp/>
        <stp>VOLUME</stp>
        <stp>.SPY250731C567</stp>
        <tr r="N20" s="2"/>
      </tp>
      <tp t="e">
        <v>#N/A</v>
        <stp/>
        <stp>VOLUME</stp>
        <stp>.SPY250731P566</stp>
        <tr r="N21" s="2"/>
      </tp>
      <tp t="e">
        <v>#N/A</v>
        <stp/>
        <stp>VOLUME</stp>
        <stp>.SPY250731C566</stp>
        <tr r="N21" s="2"/>
      </tp>
      <tp t="e">
        <v>#N/A</v>
        <stp/>
        <stp>VOLUME</stp>
        <stp>.SPY250731P565</stp>
        <tr r="N22" s="2"/>
      </tp>
      <tp t="e">
        <v>#N/A</v>
        <stp/>
        <stp>VOLUME</stp>
        <stp>.SPY250731C565</stp>
        <tr r="N22" s="2"/>
      </tp>
      <tp t="e">
        <v>#N/A</v>
        <stp/>
        <stp>VOLUME</stp>
        <stp>.SPY250731P564</stp>
        <tr r="N23" s="2"/>
      </tp>
      <tp t="e">
        <v>#N/A</v>
        <stp/>
        <stp>VOLUME</stp>
        <stp>.SPY250731C564</stp>
        <tr r="N23" s="2"/>
      </tp>
      <tp t="e">
        <v>#N/A</v>
        <stp/>
        <stp>VOLUME</stp>
        <stp>.SPY250731P563</stp>
        <tr r="N24" s="2"/>
      </tp>
      <tp t="e">
        <v>#N/A</v>
        <stp/>
        <stp>VOLUME</stp>
        <stp>.SPY250731C563</stp>
        <tr r="N24" s="2"/>
      </tp>
      <tp t="e">
        <v>#N/A</v>
        <stp/>
        <stp>VOLUME</stp>
        <stp>.SPY250731P562</stp>
        <tr r="N25" s="2"/>
      </tp>
      <tp t="e">
        <v>#N/A</v>
        <stp/>
        <stp>VOLUME</stp>
        <stp>.SPY250731C562</stp>
        <tr r="N25" s="2"/>
      </tp>
      <tp t="e">
        <v>#N/A</v>
        <stp/>
        <stp>VOLUME</stp>
        <stp>.SPY250718P548</stp>
        <tr r="M39" s="2"/>
      </tp>
      <tp t="e">
        <v>#N/A</v>
        <stp/>
        <stp>VOLUME</stp>
        <stp>.SPY250731P561</stp>
        <tr r="N26" s="2"/>
      </tp>
      <tp t="e">
        <v>#N/A</v>
        <stp/>
        <stp>VOLUME</stp>
        <stp>.SPY250718C548</stp>
        <tr r="M39" s="2"/>
      </tp>
      <tp t="e">
        <v>#N/A</v>
        <stp/>
        <stp>VOLUME</stp>
        <stp>.SPY250731C561</stp>
        <tr r="N26" s="2"/>
      </tp>
      <tp t="e">
        <v>#N/A</v>
        <stp/>
        <stp>VOLUME</stp>
        <stp>.SPY250718P549</stp>
        <tr r="M38" s="2"/>
      </tp>
      <tp t="e">
        <v>#N/A</v>
        <stp/>
        <stp>VOLUME</stp>
        <stp>.SPY250731P560</stp>
        <tr r="N27" s="2"/>
      </tp>
      <tp t="e">
        <v>#N/A</v>
        <stp/>
        <stp>VOLUME</stp>
        <stp>.SPY250718C549</stp>
        <tr r="M38" s="2"/>
      </tp>
      <tp t="e">
        <v>#N/A</v>
        <stp/>
        <stp>VOLUME</stp>
        <stp>.SPY250731C560</stp>
        <tr r="N27" s="2"/>
      </tp>
      <tp t="e">
        <v>#N/A</v>
        <stp/>
        <stp>VOLUME</stp>
        <stp>.SPY250731P569</stp>
        <tr r="N18" s="2"/>
      </tp>
      <tp t="e">
        <v>#N/A</v>
        <stp/>
        <stp>VOLUME</stp>
        <stp>.SPY250731C569</stp>
        <tr r="N18" s="2"/>
      </tp>
      <tp t="e">
        <v>#N/A</v>
        <stp/>
        <stp>VOLUME</stp>
        <stp>.SPY250731P568</stp>
        <tr r="N19" s="2"/>
      </tp>
      <tp t="e">
        <v>#N/A</v>
        <stp/>
        <stp>VOLUME</stp>
        <stp>.SPY250731C568</stp>
        <tr r="N19" s="2"/>
      </tp>
      <tp t="e">
        <v>#N/A</v>
        <stp/>
        <stp>VOLUME</stp>
        <stp>.SPY250731P577</stp>
        <tr r="N10" s="2"/>
      </tp>
      <tp t="e">
        <v>#N/A</v>
        <stp/>
        <stp>VOLUME</stp>
        <stp>.SPY250731C577</stp>
        <tr r="N10" s="2"/>
      </tp>
      <tp t="e">
        <v>#N/A</v>
        <stp/>
        <stp>VOLUME</stp>
        <stp>.SPY250731P576</stp>
        <tr r="N11" s="2"/>
      </tp>
      <tp t="e">
        <v>#N/A</v>
        <stp/>
        <stp>VOLUME</stp>
        <stp>.SPY250731C576</stp>
        <tr r="N11" s="2"/>
      </tp>
      <tp t="e">
        <v>#N/A</v>
        <stp/>
        <stp>VOLUME</stp>
        <stp>.SPY250731P575</stp>
        <tr r="N12" s="2"/>
      </tp>
      <tp t="e">
        <v>#N/A</v>
        <stp/>
        <stp>VOLUME</stp>
        <stp>.SPY250731C575</stp>
        <tr r="N12" s="2"/>
      </tp>
      <tp t="e">
        <v>#N/A</v>
        <stp/>
        <stp>VOLUME</stp>
        <stp>.SPY250731P574</stp>
        <tr r="N13" s="2"/>
      </tp>
      <tp t="e">
        <v>#N/A</v>
        <stp/>
        <stp>VOLUME</stp>
        <stp>.SPY250731C574</stp>
        <tr r="N13" s="2"/>
      </tp>
      <tp t="e">
        <v>#N/A</v>
        <stp/>
        <stp>VOLUME</stp>
        <stp>.SPY250731P573</stp>
        <tr r="N14" s="2"/>
      </tp>
      <tp t="e">
        <v>#N/A</v>
        <stp/>
        <stp>VOLUME</stp>
        <stp>.SPY250731C573</stp>
        <tr r="N14" s="2"/>
      </tp>
      <tp t="e">
        <v>#N/A</v>
        <stp/>
        <stp>VOLUME</stp>
        <stp>.SPY250731P572</stp>
        <tr r="N15" s="2"/>
      </tp>
      <tp t="e">
        <v>#N/A</v>
        <stp/>
        <stp>VOLUME</stp>
        <stp>.SPY250731C572</stp>
        <tr r="N15" s="2"/>
      </tp>
      <tp t="e">
        <v>#N/A</v>
        <stp/>
        <stp>VOLUME</stp>
        <stp>.SPY250718P558</stp>
        <tr r="M29" s="2"/>
      </tp>
      <tp t="e">
        <v>#N/A</v>
        <stp/>
        <stp>VOLUME</stp>
        <stp>.SPY250731P571</stp>
        <tr r="N16" s="2"/>
      </tp>
      <tp t="e">
        <v>#N/A</v>
        <stp/>
        <stp>VOLUME</stp>
        <stp>.SPY250718C558</stp>
        <tr r="M29" s="2"/>
      </tp>
      <tp t="e">
        <v>#N/A</v>
        <stp/>
        <stp>VOLUME</stp>
        <stp>.SPY250731C571</stp>
        <tr r="N16" s="2"/>
      </tp>
      <tp t="e">
        <v>#N/A</v>
        <stp/>
        <stp>VOLUME</stp>
        <stp>.SPY250718P559</stp>
        <tr r="M28" s="2"/>
      </tp>
      <tp t="e">
        <v>#N/A</v>
        <stp/>
        <stp>VOLUME</stp>
        <stp>.SPY250731P570</stp>
        <tr r="N17" s="2"/>
      </tp>
      <tp t="e">
        <v>#N/A</v>
        <stp/>
        <stp>VOLUME</stp>
        <stp>.SPY250718C559</stp>
        <tr r="M28" s="2"/>
      </tp>
      <tp t="e">
        <v>#N/A</v>
        <stp/>
        <stp>VOLUME</stp>
        <stp>.SPY250731C570</stp>
        <tr r="N17" s="2"/>
      </tp>
      <tp t="e">
        <v>#N/A</v>
        <stp/>
        <stp>VOLUME</stp>
        <stp>.SPY250718P556</stp>
        <tr r="M31" s="2"/>
      </tp>
      <tp t="e">
        <v>#N/A</v>
        <stp/>
        <stp>VOLUME</stp>
        <stp>.SPY250718C556</stp>
        <tr r="M31" s="2"/>
      </tp>
      <tp t="e">
        <v>#N/A</v>
        <stp/>
        <stp>VOLUME</stp>
        <stp>.SPY250718P557</stp>
        <tr r="M30" s="2"/>
      </tp>
      <tp t="e">
        <v>#N/A</v>
        <stp/>
        <stp>VOLUME</stp>
        <stp>.SPY250718C557</stp>
        <tr r="M30" s="2"/>
      </tp>
      <tp t="e">
        <v>#N/A</v>
        <stp/>
        <stp>VOLUME</stp>
        <stp>.SPY250718P554</stp>
        <tr r="M33" s="2"/>
      </tp>
      <tp t="e">
        <v>#N/A</v>
        <stp/>
        <stp>VOLUME</stp>
        <stp>.SPY250718C554</stp>
        <tr r="M33" s="2"/>
      </tp>
      <tp t="e">
        <v>#N/A</v>
        <stp/>
        <stp>VOLUME</stp>
        <stp>.SPY250718P555</stp>
        <tr r="M32" s="2"/>
      </tp>
      <tp t="e">
        <v>#N/A</v>
        <stp/>
        <stp>VOLUME</stp>
        <stp>.SPY250718C555</stp>
        <tr r="M32" s="2"/>
      </tp>
      <tp t="e">
        <v>#N/A</v>
        <stp/>
        <stp>VOLUME</stp>
        <stp>.SPY250718P552</stp>
        <tr r="M35" s="2"/>
      </tp>
      <tp t="e">
        <v>#N/A</v>
        <stp/>
        <stp>VOLUME</stp>
        <stp>.SPY250718C552</stp>
        <tr r="M35" s="2"/>
      </tp>
      <tp t="e">
        <v>#N/A</v>
        <stp/>
        <stp>VOLUME</stp>
        <stp>.SPY250718P553</stp>
        <tr r="M34" s="2"/>
      </tp>
      <tp t="e">
        <v>#N/A</v>
        <stp/>
        <stp>VOLUME</stp>
        <stp>.SPY250718C553</stp>
        <tr r="M34" s="2"/>
      </tp>
      <tp t="e">
        <v>#N/A</v>
        <stp/>
        <stp>VOLUME</stp>
        <stp>.SPY250718P550</stp>
        <tr r="M37" s="2"/>
      </tp>
      <tp t="e">
        <v>#N/A</v>
        <stp/>
        <stp>VOLUME</stp>
        <stp>.SPY250731P579</stp>
        <tr r="N8" s="2"/>
      </tp>
      <tp t="e">
        <v>#N/A</v>
        <stp/>
        <stp>VOLUME</stp>
        <stp>.SPY250718C550</stp>
        <tr r="M37" s="2"/>
      </tp>
      <tp t="e">
        <v>#N/A</v>
        <stp/>
        <stp>VOLUME</stp>
        <stp>.SPY250731C579</stp>
        <tr r="N8" s="2"/>
      </tp>
      <tp t="e">
        <v>#N/A</v>
        <stp/>
        <stp>VOLUME</stp>
        <stp>.SPY250718P551</stp>
        <tr r="M36" s="2"/>
      </tp>
      <tp t="e">
        <v>#N/A</v>
        <stp/>
        <stp>VOLUME</stp>
        <stp>.SPY250731P578</stp>
        <tr r="N9" s="2"/>
      </tp>
      <tp t="e">
        <v>#N/A</v>
        <stp/>
        <stp>VOLUME</stp>
        <stp>.SPY250718C551</stp>
        <tr r="M36" s="2"/>
      </tp>
      <tp t="e">
        <v>#N/A</v>
        <stp/>
        <stp>VOLUME</stp>
        <stp>.SPY250731C578</stp>
        <tr r="N9" s="2"/>
      </tp>
      <tp t="e">
        <v>#N/A</v>
        <stp/>
        <stp>VOLUME</stp>
        <stp>.SPY250718P568</stp>
        <tr r="M19" s="2"/>
      </tp>
      <tp t="e">
        <v>#N/A</v>
        <stp/>
        <stp>VOLUME</stp>
        <stp>.SPY250718C568</stp>
        <tr r="M19" s="2"/>
      </tp>
      <tp t="e">
        <v>#N/A</v>
        <stp/>
        <stp>VOLUME</stp>
        <stp>.SPY250718P569</stp>
        <tr r="M18" s="2"/>
      </tp>
      <tp t="e">
        <v>#N/A</v>
        <stp/>
        <stp>VOLUME</stp>
        <stp>.SPY250718C569</stp>
        <tr r="M18" s="2"/>
      </tp>
      <tp t="e">
        <v>#N/A</v>
        <stp/>
        <stp>VOLUME</stp>
        <stp>.SPY250718P566</stp>
        <tr r="M21" s="2"/>
      </tp>
      <tp t="e">
        <v>#N/A</v>
        <stp/>
        <stp>VOLUME</stp>
        <stp>.SPY250718C566</stp>
        <tr r="M21" s="2"/>
      </tp>
      <tp t="e">
        <v>#N/A</v>
        <stp/>
        <stp>VOLUME</stp>
        <stp>.SPY250718P567</stp>
        <tr r="M20" s="2"/>
      </tp>
      <tp t="e">
        <v>#N/A</v>
        <stp/>
        <stp>VOLUME</stp>
        <stp>.SPY250718C567</stp>
        <tr r="M20" s="2"/>
      </tp>
      <tp t="e">
        <v>#N/A</v>
        <stp/>
        <stp>VOLUME</stp>
        <stp>.SPY250718P564</stp>
        <tr r="M23" s="2"/>
      </tp>
      <tp t="e">
        <v>#N/A</v>
        <stp/>
        <stp>VOLUME</stp>
        <stp>.SPY250718C564</stp>
        <tr r="M23" s="2"/>
      </tp>
      <tp t="e">
        <v>#N/A</v>
        <stp/>
        <stp>VOLUME</stp>
        <stp>.SPY250718P565</stp>
        <tr r="M22" s="2"/>
      </tp>
      <tp t="e">
        <v>#N/A</v>
        <stp/>
        <stp>VOLUME</stp>
        <stp>.SPY250718C565</stp>
        <tr r="M22" s="2"/>
      </tp>
      <tp t="e">
        <v>#N/A</v>
        <stp/>
        <stp>VOLUME</stp>
        <stp>.SPY250718P562</stp>
        <tr r="M25" s="2"/>
      </tp>
      <tp t="e">
        <v>#N/A</v>
        <stp/>
        <stp>VOLUME</stp>
        <stp>.SPY250718C562</stp>
        <tr r="M25" s="2"/>
      </tp>
      <tp t="e">
        <v>#N/A</v>
        <stp/>
        <stp>VOLUME</stp>
        <stp>.SPY250718P563</stp>
        <tr r="M24" s="2"/>
      </tp>
      <tp t="e">
        <v>#N/A</v>
        <stp/>
        <stp>VOLUME</stp>
        <stp>.SPY250718C563</stp>
        <tr r="M24" s="2"/>
      </tp>
      <tp t="e">
        <v>#N/A</v>
        <stp/>
        <stp>VOLUME</stp>
        <stp>.SPY250718P560</stp>
        <tr r="M27" s="2"/>
      </tp>
      <tp t="e">
        <v>#N/A</v>
        <stp/>
        <stp>VOLUME</stp>
        <stp>.SPY250731P549</stp>
        <tr r="N38" s="2"/>
      </tp>
      <tp t="e">
        <v>#N/A</v>
        <stp/>
        <stp>VOLUME</stp>
        <stp>.SPY250718C560</stp>
        <tr r="M27" s="2"/>
      </tp>
      <tp t="e">
        <v>#N/A</v>
        <stp/>
        <stp>VOLUME</stp>
        <stp>.SPY250731C549</stp>
        <tr r="N38" s="2"/>
      </tp>
      <tp t="e">
        <v>#N/A</v>
        <stp/>
        <stp>VOLUME</stp>
        <stp>.SPY250718P561</stp>
        <tr r="M26" s="2"/>
      </tp>
      <tp t="e">
        <v>#N/A</v>
        <stp/>
        <stp>VOLUME</stp>
        <stp>.SPY250731P548</stp>
        <tr r="N39" s="2"/>
      </tp>
      <tp t="e">
        <v>#N/A</v>
        <stp/>
        <stp>VOLUME</stp>
        <stp>.SPY250718C561</stp>
        <tr r="M26" s="2"/>
      </tp>
      <tp t="e">
        <v>#N/A</v>
        <stp/>
        <stp>VOLUME</stp>
        <stp>.SPY250731C548</stp>
        <tr r="N39" s="2"/>
      </tp>
      <tp t="e">
        <v>#N/A</v>
        <stp/>
        <stp>VOLUME</stp>
        <stp>.SPY250731P557</stp>
        <tr r="N30" s="2"/>
      </tp>
      <tp t="e">
        <v>#N/A</v>
        <stp/>
        <stp>VOLUME</stp>
        <stp>.SPY250731C557</stp>
        <tr r="N30" s="2"/>
      </tp>
      <tp t="e">
        <v>#N/A</v>
        <stp/>
        <stp>VOLUME</stp>
        <stp>.SPY250731P556</stp>
        <tr r="N31" s="2"/>
      </tp>
      <tp t="e">
        <v>#N/A</v>
        <stp/>
        <stp>VOLUME</stp>
        <stp>.SPY250731C556</stp>
        <tr r="N31" s="2"/>
      </tp>
      <tp t="e">
        <v>#N/A</v>
        <stp/>
        <stp>VOLUME</stp>
        <stp>.SPY250731P555</stp>
        <tr r="N32" s="2"/>
      </tp>
      <tp t="e">
        <v>#N/A</v>
        <stp/>
        <stp>VOLUME</stp>
        <stp>.SPY250731C555</stp>
        <tr r="N32" s="2"/>
      </tp>
      <tp t="e">
        <v>#N/A</v>
        <stp/>
        <stp>VOLUME</stp>
        <stp>.SPY250731P554</stp>
        <tr r="N33" s="2"/>
      </tp>
      <tp t="e">
        <v>#N/A</v>
        <stp/>
        <stp>VOLUME</stp>
        <stp>.SPY250731C554</stp>
        <tr r="N33" s="2"/>
      </tp>
      <tp t="e">
        <v>#N/A</v>
        <stp/>
        <stp>VOLUME</stp>
        <stp>.SPY250731P553</stp>
        <tr r="N34" s="2"/>
      </tp>
      <tp t="e">
        <v>#N/A</v>
        <stp/>
        <stp>VOLUME</stp>
        <stp>.SPY250731C553</stp>
        <tr r="N34" s="2"/>
      </tp>
      <tp t="e">
        <v>#N/A</v>
        <stp/>
        <stp>VOLUME</stp>
        <stp>.SPY250731P552</stp>
        <tr r="N35" s="2"/>
      </tp>
      <tp t="e">
        <v>#N/A</v>
        <stp/>
        <stp>VOLUME</stp>
        <stp>.SPY250731C552</stp>
        <tr r="N35" s="2"/>
      </tp>
      <tp t="e">
        <v>#N/A</v>
        <stp/>
        <stp>VOLUME</stp>
        <stp>.SPY250718P578</stp>
        <tr r="M9" s="2"/>
      </tp>
      <tp t="e">
        <v>#N/A</v>
        <stp/>
        <stp>VOLUME</stp>
        <stp>.SPY250731P551</stp>
        <tr r="N36" s="2"/>
      </tp>
      <tp t="e">
        <v>#N/A</v>
        <stp/>
        <stp>VOLUME</stp>
        <stp>.SPY250718C578</stp>
        <tr r="M9" s="2"/>
      </tp>
      <tp t="e">
        <v>#N/A</v>
        <stp/>
        <stp>VOLUME</stp>
        <stp>.SPY250731C551</stp>
        <tr r="N36" s="2"/>
      </tp>
      <tp t="e">
        <v>#N/A</v>
        <stp/>
        <stp>VOLUME</stp>
        <stp>.SPY250718P579</stp>
        <tr r="M8" s="2"/>
      </tp>
      <tp t="e">
        <v>#N/A</v>
        <stp/>
        <stp>VOLUME</stp>
        <stp>.SPY250731P550</stp>
        <tr r="N37" s="2"/>
      </tp>
      <tp t="e">
        <v>#N/A</v>
        <stp/>
        <stp>VOLUME</stp>
        <stp>.SPY250718C579</stp>
        <tr r="M8" s="2"/>
      </tp>
      <tp t="e">
        <v>#N/A</v>
        <stp/>
        <stp>VOLUME</stp>
        <stp>.SPY250731C550</stp>
        <tr r="N37" s="2"/>
      </tp>
      <tp t="e">
        <v>#N/A</v>
        <stp/>
        <stp>VOLUME</stp>
        <stp>.SPY250718P576</stp>
        <tr r="M11" s="2"/>
      </tp>
      <tp t="e">
        <v>#N/A</v>
        <stp/>
        <stp>VOLUME</stp>
        <stp>.SPY250718C576</stp>
        <tr r="M11" s="2"/>
      </tp>
      <tp t="e">
        <v>#N/A</v>
        <stp/>
        <stp>VOLUME</stp>
        <stp>.SPY250718P577</stp>
        <tr r="M10" s="2"/>
      </tp>
      <tp t="e">
        <v>#N/A</v>
        <stp/>
        <stp>VOLUME</stp>
        <stp>.SPY250718C577</stp>
        <tr r="M10" s="2"/>
      </tp>
      <tp t="e">
        <v>#N/A</v>
        <stp/>
        <stp>VOLUME</stp>
        <stp>.SPY250718P574</stp>
        <tr r="M13" s="2"/>
      </tp>
      <tp t="e">
        <v>#N/A</v>
        <stp/>
        <stp>VOLUME</stp>
        <stp>.SPY250718C574</stp>
        <tr r="M13" s="2"/>
      </tp>
      <tp t="e">
        <v>#N/A</v>
        <stp/>
        <stp>VOLUME</stp>
        <stp>.SPY250718P575</stp>
        <tr r="M12" s="2"/>
      </tp>
      <tp t="e">
        <v>#N/A</v>
        <stp/>
        <stp>VOLUME</stp>
        <stp>.SPY250718C575</stp>
        <tr r="M12" s="2"/>
      </tp>
      <tp t="e">
        <v>#N/A</v>
        <stp/>
        <stp>VOLUME</stp>
        <stp>.SPY250718P572</stp>
        <tr r="M15" s="2"/>
      </tp>
      <tp t="e">
        <v>#N/A</v>
        <stp/>
        <stp>VOLUME</stp>
        <stp>.SPY250718C572</stp>
        <tr r="M15" s="2"/>
      </tp>
      <tp t="e">
        <v>#N/A</v>
        <stp/>
        <stp>VOLUME</stp>
        <stp>.SPY250718P573</stp>
        <tr r="M14" s="2"/>
      </tp>
      <tp t="e">
        <v>#N/A</v>
        <stp/>
        <stp>VOLUME</stp>
        <stp>.SPY250718C573</stp>
        <tr r="M14" s="2"/>
      </tp>
      <tp t="e">
        <v>#N/A</v>
        <stp/>
        <stp>VOLUME</stp>
        <stp>.SPY250718P570</stp>
        <tr r="M17" s="2"/>
      </tp>
      <tp t="e">
        <v>#N/A</v>
        <stp/>
        <stp>VOLUME</stp>
        <stp>.SPY250731P559</stp>
        <tr r="N28" s="2"/>
      </tp>
      <tp t="e">
        <v>#N/A</v>
        <stp/>
        <stp>VOLUME</stp>
        <stp>.SPY250718C570</stp>
        <tr r="M17" s="2"/>
      </tp>
      <tp t="e">
        <v>#N/A</v>
        <stp/>
        <stp>VOLUME</stp>
        <stp>.SPY250731C559</stp>
        <tr r="N28" s="2"/>
      </tp>
      <tp t="e">
        <v>#N/A</v>
        <stp/>
        <stp>VOLUME</stp>
        <stp>.SPY250718P571</stp>
        <tr r="M16" s="2"/>
      </tp>
      <tp t="e">
        <v>#N/A</v>
        <stp/>
        <stp>VOLUME</stp>
        <stp>.SPY250731P558</stp>
        <tr r="N29" s="2"/>
      </tp>
      <tp t="e">
        <v>#N/A</v>
        <stp/>
        <stp>VOLUME</stp>
        <stp>.SPY250718C571</stp>
        <tr r="M16" s="2"/>
      </tp>
      <tp t="e">
        <v>#N/A</v>
        <stp/>
        <stp>VOLUME</stp>
        <stp>.SPY250731C558</stp>
        <tr r="N29" s="2"/>
      </tp>
      <tp t="e">
        <v>#N/A</v>
        <stp/>
        <stp>DELTA</stp>
        <stp>.SPXW250502P5690</stp>
        <tr r="CE103" s="1"/>
        <tr r="CE103" s="1"/>
      </tp>
      <tp t="e">
        <v>#N/A</v>
        <stp/>
        <stp>DELTA</stp>
        <stp>.SPXW250509P5620</stp>
        <tr r="CG110" s="1"/>
        <tr r="CG110" s="1"/>
      </tp>
      <tp t="e">
        <v>#N/A</v>
        <stp/>
        <stp>DELTA</stp>
        <stp>.SPXW250502C5690</stp>
        <tr r="CD103" s="1"/>
        <tr r="CD103" s="1"/>
      </tp>
      <tp t="e">
        <v>#N/A</v>
        <stp/>
        <stp>DELTA</stp>
        <stp>.SPXW250509C5620</stp>
        <tr r="CF110" s="1"/>
        <tr r="CF110" s="1"/>
      </tp>
      <tp t="e">
        <v>#N/A</v>
        <stp/>
        <stp>DELTA</stp>
        <stp>.SPXW250502P5680</stp>
        <tr r="CE104" s="1"/>
        <tr r="CE104" s="1"/>
      </tp>
      <tp t="e">
        <v>#N/A</v>
        <stp/>
        <stp>DELTA</stp>
        <stp>.SPXW250509P5630</stp>
        <tr r="CG109" s="1"/>
        <tr r="CG109" s="1"/>
      </tp>
      <tp t="e">
        <v>#N/A</v>
        <stp/>
        <stp>DELTA</stp>
        <stp>.SPXW250502C5680</stp>
        <tr r="CD104" s="1"/>
        <tr r="CD104" s="1"/>
      </tp>
      <tp t="e">
        <v>#N/A</v>
        <stp/>
        <stp>DELTA</stp>
        <stp>.SPXW250509C5630</stp>
        <tr r="CF109" s="1"/>
        <tr r="CF109" s="1"/>
      </tp>
      <tp t="e">
        <v>#N/A</v>
        <stp/>
        <stp>DELTA</stp>
        <stp>.SPXW250509P5600</stp>
        <tr r="CG112" s="1"/>
        <tr r="CG112" s="1"/>
      </tp>
      <tp t="e">
        <v>#N/A</v>
        <stp/>
        <stp>DELTA</stp>
        <stp>.SPXW250509C5600</stp>
        <tr r="CF112" s="1"/>
        <tr r="CF112" s="1"/>
      </tp>
      <tp t="e">
        <v>#N/A</v>
        <stp/>
        <stp>DELTA</stp>
        <stp>.SPXW250509P5610</stp>
        <tr r="CG111" s="1"/>
        <tr r="CG111" s="1"/>
      </tp>
      <tp t="e">
        <v>#N/A</v>
        <stp/>
        <stp>DELTA</stp>
        <stp>.SPXW250509C5610</stp>
        <tr r="CF111" s="1"/>
        <tr r="CF111" s="1"/>
      </tp>
      <tp t="e">
        <v>#N/A</v>
        <stp/>
        <stp>DELTA</stp>
        <stp>.SPXW250509P5660</stp>
        <tr r="CG106" s="1"/>
        <tr r="CG106" s="1"/>
      </tp>
      <tp t="e">
        <v>#N/A</v>
        <stp/>
        <stp>DELTA</stp>
        <stp>.SPXW250516P5790</stp>
        <tr r="CI93" s="1"/>
        <tr r="CI93" s="1"/>
      </tp>
      <tp t="e">
        <v>#N/A</v>
        <stp/>
        <stp>DELTA</stp>
        <stp>.SPXW250509C5660</stp>
        <tr r="CF106" s="1"/>
        <tr r="CF106" s="1"/>
      </tp>
      <tp t="e">
        <v>#N/A</v>
        <stp/>
        <stp>DELTA</stp>
        <stp>.SPXW250516C5790</stp>
        <tr r="CH93" s="1"/>
        <tr r="CH93" s="1"/>
      </tp>
      <tp t="e">
        <v>#N/A</v>
        <stp/>
        <stp>DELTA</stp>
        <stp>.SPXW250509P5670</stp>
        <tr r="CG105" s="1"/>
        <tr r="CG105" s="1"/>
      </tp>
      <tp t="e">
        <v>#N/A</v>
        <stp/>
        <stp>DELTA</stp>
        <stp>.SPXW250516P5780</stp>
        <tr r="CI94" s="1"/>
        <tr r="CI94" s="1"/>
      </tp>
      <tp t="e">
        <v>#N/A</v>
        <stp/>
        <stp>DELTA</stp>
        <stp>.SPXW250509C5670</stp>
        <tr r="CF105" s="1"/>
        <tr r="CF105" s="1"/>
      </tp>
      <tp t="e">
        <v>#N/A</v>
        <stp/>
        <stp>DELTA</stp>
        <stp>.SPXW250516C5780</stp>
        <tr r="CH94" s="1"/>
        <tr r="CH94" s="1"/>
      </tp>
      <tp t="e">
        <v>#N/A</v>
        <stp/>
        <stp>DELTA</stp>
        <stp>.SPXW250509P5640</stp>
        <tr r="CG108" s="1"/>
        <tr r="CG108" s="1"/>
      </tp>
      <tp t="e">
        <v>#N/A</v>
        <stp/>
        <stp>DELTA</stp>
        <stp>.SPXW250509C5640</stp>
        <tr r="CF108" s="1"/>
        <tr r="CF108" s="1"/>
      </tp>
      <tp t="e">
        <v>#N/A</v>
        <stp/>
        <stp>DELTA</stp>
        <stp>.SPXW250509P5650</stp>
        <tr r="CG107" s="1"/>
        <tr r="CG107" s="1"/>
      </tp>
      <tp t="e">
        <v>#N/A</v>
        <stp/>
        <stp>DELTA</stp>
        <stp>.SPXW250509C5650</stp>
        <tr r="CF107" s="1"/>
        <tr r="CF107" s="1"/>
      </tp>
      <tp t="e">
        <v>#N/A</v>
        <stp/>
        <stp>DELTA</stp>
        <stp>.SPXW250502P5610</stp>
        <tr r="CE111" s="1"/>
        <tr r="CE111" s="1"/>
      </tp>
      <tp t="e">
        <v>#N/A</v>
        <stp/>
        <stp>DELTA</stp>
        <stp>.SPXW250516P5750</stp>
        <tr r="CI97" s="1"/>
        <tr r="CI97" s="1"/>
      </tp>
      <tp t="e">
        <v>#N/A</v>
        <stp/>
        <stp>DELTA</stp>
        <stp>.SPXW250502C5610</stp>
        <tr r="CD111" s="1"/>
        <tr r="CD111" s="1"/>
      </tp>
      <tp t="e">
        <v>#N/A</v>
        <stp/>
        <stp>DELTA</stp>
        <stp>.SPXW250516C5750</stp>
        <tr r="CH97" s="1"/>
        <tr r="CH97" s="1"/>
      </tp>
      <tp t="e">
        <v>#N/A</v>
        <stp/>
        <stp>DELTA</stp>
        <stp>.SPXW250502P5600</stp>
        <tr r="CE112" s="1"/>
        <tr r="CE112" s="1"/>
      </tp>
      <tp t="e">
        <v>#N/A</v>
        <stp/>
        <stp>DELTA</stp>
        <stp>.SPXW250516P5740</stp>
        <tr r="CI98" s="1"/>
        <tr r="CI98" s="1"/>
      </tp>
      <tp t="e">
        <v>#N/A</v>
        <stp/>
        <stp>DELTA</stp>
        <stp>.SPXW250502C5600</stp>
        <tr r="CD112" s="1"/>
        <tr r="CD112" s="1"/>
      </tp>
      <tp t="e">
        <v>#N/A</v>
        <stp/>
        <stp>DELTA</stp>
        <stp>.SPXW250516C5740</stp>
        <tr r="CH98" s="1"/>
        <tr r="CH98" s="1"/>
      </tp>
      <tp t="e">
        <v>#N/A</v>
        <stp/>
        <stp>DELTA</stp>
        <stp>.SPXW250502P5630</stp>
        <tr r="CE109" s="1"/>
        <tr r="CE109" s="1"/>
      </tp>
      <tp t="e">
        <v>#N/A</v>
        <stp/>
        <stp>DELTA</stp>
        <stp>.SPXW250509P5680</stp>
        <tr r="CG104" s="1"/>
        <tr r="CG104" s="1"/>
      </tp>
      <tp t="e">
        <v>#N/A</v>
        <stp/>
        <stp>DELTA</stp>
        <stp>.SPXW250516P5770</stp>
        <tr r="CI95" s="1"/>
        <tr r="CI95" s="1"/>
      </tp>
      <tp t="e">
        <v>#N/A</v>
        <stp/>
        <stp>DELTA</stp>
        <stp>.SPXW250502C5630</stp>
        <tr r="CD109" s="1"/>
        <tr r="CD109" s="1"/>
      </tp>
      <tp t="e">
        <v>#N/A</v>
        <stp/>
        <stp>DELTA</stp>
        <stp>.SPXW250509C5680</stp>
        <tr r="CF104" s="1"/>
        <tr r="CF104" s="1"/>
      </tp>
      <tp t="e">
        <v>#N/A</v>
        <stp/>
        <stp>DELTA</stp>
        <stp>.SPXW250516C5770</stp>
        <tr r="CH95" s="1"/>
        <tr r="CH95" s="1"/>
      </tp>
      <tp t="e">
        <v>#N/A</v>
        <stp/>
        <stp>DELTA</stp>
        <stp>.SPXW250502P5620</stp>
        <tr r="CE110" s="1"/>
        <tr r="CE110" s="1"/>
      </tp>
      <tp t="e">
        <v>#N/A</v>
        <stp/>
        <stp>DELTA</stp>
        <stp>.SPXW250509P5690</stp>
        <tr r="CG103" s="1"/>
        <tr r="CG103" s="1"/>
      </tp>
      <tp t="e">
        <v>#N/A</v>
        <stp/>
        <stp>DELTA</stp>
        <stp>.SPXW250516P5760</stp>
        <tr r="CI96" s="1"/>
        <tr r="CI96" s="1"/>
      </tp>
      <tp t="e">
        <v>#N/A</v>
        <stp/>
        <stp>DELTA</stp>
        <stp>.SPXW250502C5620</stp>
        <tr r="CD110" s="1"/>
        <tr r="CD110" s="1"/>
      </tp>
      <tp t="e">
        <v>#N/A</v>
        <stp/>
        <stp>DELTA</stp>
        <stp>.SPXW250509C5690</stp>
        <tr r="CF103" s="1"/>
        <tr r="CF103" s="1"/>
      </tp>
      <tp t="e">
        <v>#N/A</v>
        <stp/>
        <stp>DELTA</stp>
        <stp>.SPXW250516C5760</stp>
        <tr r="CH96" s="1"/>
        <tr r="CH96" s="1"/>
      </tp>
      <tp t="e">
        <v>#N/A</v>
        <stp/>
        <stp>DELTA</stp>
        <stp>.SPXW250502P5650</stp>
        <tr r="CE107" s="1"/>
        <tr r="CE107" s="1"/>
      </tp>
      <tp t="e">
        <v>#N/A</v>
        <stp/>
        <stp>DELTA</stp>
        <stp>.SPXW250516P5710</stp>
        <tr r="CI101" s="1"/>
        <tr r="CI101" s="1"/>
      </tp>
      <tp t="e">
        <v>#N/A</v>
        <stp/>
        <stp>DELTA</stp>
        <stp>.SPXW250502C5650</stp>
        <tr r="CD107" s="1"/>
        <tr r="CD107" s="1"/>
      </tp>
      <tp t="e">
        <v>#N/A</v>
        <stp/>
        <stp>DELTA</stp>
        <stp>.SPXW250516C5710</stp>
        <tr r="CH101" s="1"/>
        <tr r="CH101" s="1"/>
      </tp>
      <tp t="e">
        <v>#N/A</v>
        <stp/>
        <stp>DELTA</stp>
        <stp>.SPXW250502P5640</stp>
        <tr r="CE108" s="1"/>
        <tr r="CE108" s="1"/>
      </tp>
      <tp t="e">
        <v>#N/A</v>
        <stp/>
        <stp>DELTA</stp>
        <stp>.SPXW250516P5700</stp>
        <tr r="CI102" s="1"/>
        <tr r="CI102" s="1"/>
      </tp>
      <tp t="e">
        <v>#N/A</v>
        <stp/>
        <stp>DELTA</stp>
        <stp>.SPXW250502C5640</stp>
        <tr r="CD108" s="1"/>
        <tr r="CD108" s="1"/>
      </tp>
      <tp t="e">
        <v>#N/A</v>
        <stp/>
        <stp>DELTA</stp>
        <stp>.SPXW250516C5700</stp>
        <tr r="CH102" s="1"/>
        <tr r="CH102" s="1"/>
      </tp>
      <tp t="e">
        <v>#N/A</v>
        <stp/>
        <stp>DELTA</stp>
        <stp>.SPXW250502P5670</stp>
        <tr r="CE105" s="1"/>
        <tr r="CE105" s="1"/>
      </tp>
      <tp t="e">
        <v>#N/A</v>
        <stp/>
        <stp>DELTA</stp>
        <stp>.SPXW250516P5730</stp>
        <tr r="CI99" s="1"/>
        <tr r="CI99" s="1"/>
      </tp>
      <tp t="e">
        <v>#N/A</v>
        <stp/>
        <stp>DELTA</stp>
        <stp>.SPXW250502C5670</stp>
        <tr r="CD105" s="1"/>
        <tr r="CD105" s="1"/>
      </tp>
      <tp t="e">
        <v>#N/A</v>
        <stp/>
        <stp>DELTA</stp>
        <stp>.SPXW250516C5730</stp>
        <tr r="CH99" s="1"/>
        <tr r="CH99" s="1"/>
      </tp>
      <tp t="e">
        <v>#N/A</v>
        <stp/>
        <stp>DELTA</stp>
        <stp>.SPXW250502P5660</stp>
        <tr r="CE106" s="1"/>
        <tr r="CE106" s="1"/>
      </tp>
      <tp t="e">
        <v>#N/A</v>
        <stp/>
        <stp>DELTA</stp>
        <stp>.SPXW250516P5720</stp>
        <tr r="CI100" s="1"/>
        <tr r="CI100" s="1"/>
      </tp>
      <tp t="e">
        <v>#N/A</v>
        <stp/>
        <stp>DELTA</stp>
        <stp>.SPXW250502C5660</stp>
        <tr r="CD106" s="1"/>
        <tr r="CD106" s="1"/>
      </tp>
      <tp t="e">
        <v>#N/A</v>
        <stp/>
        <stp>DELTA</stp>
        <stp>.SPXW250516C5720</stp>
        <tr r="CH100" s="1"/>
        <tr r="CH100" s="1"/>
      </tp>
      <tp t="e">
        <v>#N/A</v>
        <stp/>
        <stp>VOLUME</stp>
        <stp>.SPY250606P580</stp>
        <tr r="J7" s="2"/>
      </tp>
      <tp t="e">
        <v>#N/A</v>
        <stp/>
        <stp>VOLUME</stp>
        <stp>.SPY250606C580</stp>
        <tr r="J7" s="2"/>
      </tp>
      <tp t="e">
        <v>#N/A</v>
        <stp/>
        <stp>VOLUME</stp>
        <stp>.SPY250606P581</stp>
        <tr r="J6" s="2"/>
      </tp>
      <tp t="e">
        <v>#N/A</v>
        <stp/>
        <stp>VOLUME</stp>
        <stp>.SPY250606C581</stp>
        <tr r="J6" s="2"/>
      </tp>
      <tp t="e">
        <v>#N/A</v>
        <stp/>
        <stp>VOLUME</stp>
        <stp>.SPY250606P582</stp>
        <tr r="J5" s="2"/>
      </tp>
      <tp t="e">
        <v>#N/A</v>
        <stp/>
        <stp>VOLUME</stp>
        <stp>.SPY250606C582</stp>
        <tr r="J5" s="2"/>
      </tp>
      <tp t="e">
        <v>#N/A</v>
        <stp/>
        <stp>VOLUME</stp>
        <stp>.SPY250630P582</stp>
        <tr r="L5" s="2"/>
      </tp>
      <tp t="e">
        <v>#N/A</v>
        <stp/>
        <stp>VOLUME</stp>
        <stp>.SPY250630C582</stp>
        <tr r="L5" s="2"/>
      </tp>
      <tp t="e">
        <v>#N/A</v>
        <stp/>
        <stp>VOLUME</stp>
        <stp>.SPY250630P580</stp>
        <tr r="L7" s="2"/>
      </tp>
      <tp t="e">
        <v>#N/A</v>
        <stp/>
        <stp>VOLUME</stp>
        <stp>.SPY250630C580</stp>
        <tr r="L7" s="2"/>
      </tp>
      <tp t="e">
        <v>#N/A</v>
        <stp/>
        <stp>VOLUME</stp>
        <stp>.SPY250630P581</stp>
        <tr r="L6" s="2"/>
      </tp>
      <tp t="e">
        <v>#N/A</v>
        <stp/>
        <stp>VOLUME</stp>
        <stp>.SPY250630C581</stp>
        <tr r="L6" s="2"/>
      </tp>
      <tp t="e">
        <v>#N/A</v>
        <stp/>
        <stp>VOLUME</stp>
        <stp>.SPY250620P582</stp>
        <tr r="K5" s="2"/>
      </tp>
      <tp t="e">
        <v>#N/A</v>
        <stp/>
        <stp>VOLUME</stp>
        <stp>.SPY250620C582</stp>
        <tr r="K5" s="2"/>
      </tp>
      <tp t="e">
        <v>#N/A</v>
        <stp/>
        <stp>VOLUME</stp>
        <stp>.SPY250620P580</stp>
        <tr r="K7" s="2"/>
      </tp>
      <tp t="e">
        <v>#N/A</v>
        <stp/>
        <stp>VOLUME</stp>
        <stp>.SPY250620C580</stp>
        <tr r="K7" s="2"/>
      </tp>
      <tp t="e">
        <v>#N/A</v>
        <stp/>
        <stp>VOLUME</stp>
        <stp>.SPY250620P581</stp>
        <tr r="K6" s="2"/>
      </tp>
      <tp t="e">
        <v>#N/A</v>
        <stp/>
        <stp>VOLUME</stp>
        <stp>.SPY250620C581</stp>
        <tr r="K6" s="2"/>
      </tp>
      <tp t="e">
        <v>#N/A</v>
        <stp/>
        <stp>VOLUME</stp>
        <stp>.SPY250606P550</stp>
        <tr r="J37" s="2"/>
      </tp>
      <tp t="e">
        <v>#N/A</v>
        <stp/>
        <stp>VOLUME</stp>
        <stp>.SPY250620P576</stp>
        <tr r="K11" s="2"/>
      </tp>
      <tp t="e">
        <v>#N/A</v>
        <stp/>
        <stp>VOLUME</stp>
        <stp>.SPY250630P566</stp>
        <tr r="L21" s="2"/>
      </tp>
      <tp t="e">
        <v>#N/A</v>
        <stp/>
        <stp>VOLUME</stp>
        <stp>.SPY250606C550</stp>
        <tr r="J37" s="2"/>
      </tp>
      <tp t="e">
        <v>#N/A</v>
        <stp/>
        <stp>VOLUME</stp>
        <stp>.SPY250620C576</stp>
        <tr r="K11" s="2"/>
      </tp>
      <tp t="e">
        <v>#N/A</v>
        <stp/>
        <stp>VOLUME</stp>
        <stp>.SPY250630C566</stp>
        <tr r="L21" s="2"/>
      </tp>
      <tp t="e">
        <v>#N/A</v>
        <stp/>
        <stp>VOLUME</stp>
        <stp>.SPY250606P551</stp>
        <tr r="J36" s="2"/>
      </tp>
      <tp t="e">
        <v>#N/A</v>
        <stp/>
        <stp>VOLUME</stp>
        <stp>.SPY250620P577</stp>
        <tr r="K10" s="2"/>
      </tp>
      <tp t="e">
        <v>#N/A</v>
        <stp/>
        <stp>VOLUME</stp>
        <stp>.SPY250630P567</stp>
        <tr r="L20" s="2"/>
      </tp>
      <tp t="e">
        <v>#N/A</v>
        <stp/>
        <stp>VOLUME</stp>
        <stp>.SPY250606C551</stp>
        <tr r="J36" s="2"/>
      </tp>
      <tp t="e">
        <v>#N/A</v>
        <stp/>
        <stp>VOLUME</stp>
        <stp>.SPY250620C577</stp>
        <tr r="K10" s="2"/>
      </tp>
      <tp t="e">
        <v>#N/A</v>
        <stp/>
        <stp>VOLUME</stp>
        <stp>.SPY250630C567</stp>
        <tr r="L20" s="2"/>
      </tp>
      <tp t="e">
        <v>#N/A</v>
        <stp/>
        <stp>VOLUME</stp>
        <stp>.SPY250606P552</stp>
        <tr r="J35" s="2"/>
      </tp>
      <tp t="e">
        <v>#N/A</v>
        <stp/>
        <stp>VOLUME</stp>
        <stp>.SPY250620P574</stp>
        <tr r="K13" s="2"/>
      </tp>
      <tp t="e">
        <v>#N/A</v>
        <stp/>
        <stp>VOLUME</stp>
        <stp>.SPY250630P564</stp>
        <tr r="L23" s="2"/>
      </tp>
      <tp t="e">
        <v>#N/A</v>
        <stp/>
        <stp>VOLUME</stp>
        <stp>.SPY250606C552</stp>
        <tr r="J35" s="2"/>
      </tp>
      <tp t="e">
        <v>#N/A</v>
        <stp/>
        <stp>VOLUME</stp>
        <stp>.SPY250620C574</stp>
        <tr r="K13" s="2"/>
      </tp>
      <tp t="e">
        <v>#N/A</v>
        <stp/>
        <stp>VOLUME</stp>
        <stp>.SPY250630C564</stp>
        <tr r="L23" s="2"/>
      </tp>
      <tp t="e">
        <v>#N/A</v>
        <stp/>
        <stp>VOLUME</stp>
        <stp>.SPY250606P553</stp>
        <tr r="J34" s="2"/>
      </tp>
      <tp t="e">
        <v>#N/A</v>
        <stp/>
        <stp>VOLUME</stp>
        <stp>.SPY250620P575</stp>
        <tr r="K12" s="2"/>
      </tp>
      <tp t="e">
        <v>#N/A</v>
        <stp/>
        <stp>VOLUME</stp>
        <stp>.SPY250630P565</stp>
        <tr r="L22" s="2"/>
      </tp>
      <tp t="e">
        <v>#N/A</v>
        <stp/>
        <stp>VOLUME</stp>
        <stp>.SPY250606C553</stp>
        <tr r="J34" s="2"/>
      </tp>
      <tp t="e">
        <v>#N/A</v>
        <stp/>
        <stp>VOLUME</stp>
        <stp>.SPY250620C575</stp>
        <tr r="K12" s="2"/>
      </tp>
      <tp t="e">
        <v>#N/A</v>
        <stp/>
        <stp>VOLUME</stp>
        <stp>.SPY250630C565</stp>
        <tr r="L22" s="2"/>
      </tp>
      <tp t="e">
        <v>#N/A</v>
        <stp/>
        <stp>VOLUME</stp>
        <stp>.SPY250606P554</stp>
        <tr r="J33" s="2"/>
      </tp>
      <tp t="e">
        <v>#N/A</v>
        <stp/>
        <stp>VOLUME</stp>
        <stp>.SPY250620P572</stp>
        <tr r="K15" s="2"/>
      </tp>
      <tp t="e">
        <v>#N/A</v>
        <stp/>
        <stp>VOLUME</stp>
        <stp>.SPY250630P562</stp>
        <tr r="L25" s="2"/>
      </tp>
      <tp t="e">
        <v>#N/A</v>
        <stp/>
        <stp>VOLUME</stp>
        <stp>.SPY250606C554</stp>
        <tr r="J33" s="2"/>
      </tp>
      <tp t="e">
        <v>#N/A</v>
        <stp/>
        <stp>VOLUME</stp>
        <stp>.SPY250620C572</stp>
        <tr r="K15" s="2"/>
      </tp>
      <tp t="e">
        <v>#N/A</v>
        <stp/>
        <stp>VOLUME</stp>
        <stp>.SPY250630C562</stp>
        <tr r="L25" s="2"/>
      </tp>
      <tp t="e">
        <v>#N/A</v>
        <stp/>
        <stp>VOLUME</stp>
        <stp>.SPY250606P555</stp>
        <tr r="J32" s="2"/>
      </tp>
      <tp t="e">
        <v>#N/A</v>
        <stp/>
        <stp>VOLUME</stp>
        <stp>.SPY250620P573</stp>
        <tr r="K14" s="2"/>
      </tp>
      <tp t="e">
        <v>#N/A</v>
        <stp/>
        <stp>VOLUME</stp>
        <stp>.SPY250630P563</stp>
        <tr r="L24" s="2"/>
      </tp>
      <tp t="e">
        <v>#N/A</v>
        <stp/>
        <stp>VOLUME</stp>
        <stp>.SPY250606C555</stp>
        <tr r="J32" s="2"/>
      </tp>
      <tp t="e">
        <v>#N/A</v>
        <stp/>
        <stp>VOLUME</stp>
        <stp>.SPY250620C573</stp>
        <tr r="K14" s="2"/>
      </tp>
      <tp t="e">
        <v>#N/A</v>
        <stp/>
        <stp>VOLUME</stp>
        <stp>.SPY250630C563</stp>
        <tr r="L24" s="2"/>
      </tp>
      <tp t="e">
        <v>#N/A</v>
        <stp/>
        <stp>VOLUME</stp>
        <stp>.SPY250606P556</stp>
        <tr r="J31" s="2"/>
      </tp>
      <tp t="e">
        <v>#N/A</v>
        <stp/>
        <stp>VOLUME</stp>
        <stp>.SPY250620P570</stp>
        <tr r="K17" s="2"/>
      </tp>
      <tp t="e">
        <v>#N/A</v>
        <stp/>
        <stp>VOLUME</stp>
        <stp>.SPY250630P560</stp>
        <tr r="L27" s="2"/>
      </tp>
      <tp t="e">
        <v>#N/A</v>
        <stp/>
        <stp>VOLUME</stp>
        <stp>.SPY250606C556</stp>
        <tr r="J31" s="2"/>
      </tp>
      <tp t="e">
        <v>#N/A</v>
        <stp/>
        <stp>VOLUME</stp>
        <stp>.SPY250620C570</stp>
        <tr r="K17" s="2"/>
      </tp>
      <tp t="e">
        <v>#N/A</v>
        <stp/>
        <stp>VOLUME</stp>
        <stp>.SPY250630C560</stp>
        <tr r="L27" s="2"/>
      </tp>
      <tp t="e">
        <v>#N/A</v>
        <stp/>
        <stp>VOLUME</stp>
        <stp>.SPY250606P557</stp>
        <tr r="J30" s="2"/>
      </tp>
      <tp t="e">
        <v>#N/A</v>
        <stp/>
        <stp>VOLUME</stp>
        <stp>.SPY250620P571</stp>
        <tr r="K16" s="2"/>
      </tp>
      <tp t="e">
        <v>#N/A</v>
        <stp/>
        <stp>VOLUME</stp>
        <stp>.SPY250630P561</stp>
        <tr r="L26" s="2"/>
      </tp>
      <tp t="e">
        <v>#N/A</v>
        <stp/>
        <stp>VOLUME</stp>
        <stp>.SPY250606C557</stp>
        <tr r="J30" s="2"/>
      </tp>
      <tp t="e">
        <v>#N/A</v>
        <stp/>
        <stp>VOLUME</stp>
        <stp>.SPY250620C571</stp>
        <tr r="K16" s="2"/>
      </tp>
      <tp t="e">
        <v>#N/A</v>
        <stp/>
        <stp>VOLUME</stp>
        <stp>.SPY250630C561</stp>
        <tr r="L26" s="2"/>
      </tp>
      <tp t="e">
        <v>#N/A</v>
        <stp/>
        <stp>VOLUME</stp>
        <stp>.SPY250606P558</stp>
        <tr r="J29" s="2"/>
      </tp>
      <tp t="e">
        <v>#N/A</v>
        <stp/>
        <stp>VOLUME</stp>
        <stp>.SPY250606C558</stp>
        <tr r="J29" s="2"/>
      </tp>
      <tp t="e">
        <v>#N/A</v>
        <stp/>
        <stp>VOLUME</stp>
        <stp>.SPY250606P559</stp>
        <tr r="J28" s="2"/>
      </tp>
      <tp t="e">
        <v>#N/A</v>
        <stp/>
        <stp>VOLUME</stp>
        <stp>.SPY250606C559</stp>
        <tr r="J28" s="2"/>
      </tp>
      <tp t="e">
        <v>#N/A</v>
        <stp/>
        <stp>VOLUME</stp>
        <stp>.SPY250620P578</stp>
        <tr r="K9" s="2"/>
      </tp>
      <tp t="e">
        <v>#N/A</v>
        <stp/>
        <stp>VOLUME</stp>
        <stp>.SPY250630P568</stp>
        <tr r="L19" s="2"/>
      </tp>
      <tp t="e">
        <v>#N/A</v>
        <stp/>
        <stp>VOLUME</stp>
        <stp>.SPY250620C578</stp>
        <tr r="K9" s="2"/>
      </tp>
      <tp t="e">
        <v>#N/A</v>
        <stp/>
        <stp>VOLUME</stp>
        <stp>.SPY250630C568</stp>
        <tr r="L19" s="2"/>
      </tp>
      <tp t="e">
        <v>#N/A</v>
        <stp/>
        <stp>VOLUME</stp>
        <stp>.SPY250620P579</stp>
        <tr r="K8" s="2"/>
      </tp>
      <tp t="e">
        <v>#N/A</v>
        <stp/>
        <stp>VOLUME</stp>
        <stp>.SPY250630P569</stp>
        <tr r="L18" s="2"/>
      </tp>
      <tp t="e">
        <v>#N/A</v>
        <stp/>
        <stp>VOLUME</stp>
        <stp>.SPY250620C579</stp>
        <tr r="K8" s="2"/>
      </tp>
      <tp t="e">
        <v>#N/A</v>
        <stp/>
        <stp>VOLUME</stp>
        <stp>.SPY250630C569</stp>
        <tr r="L18" s="2"/>
      </tp>
      <tp t="e">
        <v>#N/A</v>
        <stp/>
        <stp>VOLUME</stp>
        <stp>.SPY250620P566</stp>
        <tr r="K21" s="2"/>
      </tp>
      <tp t="e">
        <v>#N/A</v>
        <stp/>
        <stp>VOLUME</stp>
        <stp>.SPY250630P576</stp>
        <tr r="L11" s="2"/>
      </tp>
      <tp t="e">
        <v>#N/A</v>
        <stp/>
        <stp>VOLUME</stp>
        <stp>.SPY250620C566</stp>
        <tr r="K21" s="2"/>
      </tp>
      <tp t="e">
        <v>#N/A</v>
        <stp/>
        <stp>VOLUME</stp>
        <stp>.SPY250630C576</stp>
        <tr r="L11" s="2"/>
      </tp>
      <tp t="e">
        <v>#N/A</v>
        <stp/>
        <stp>VOLUME</stp>
        <stp>.SPY250620P567</stp>
        <tr r="K20" s="2"/>
      </tp>
      <tp t="e">
        <v>#N/A</v>
        <stp/>
        <stp>VOLUME</stp>
        <stp>.SPY250630P577</stp>
        <tr r="L10" s="2"/>
      </tp>
      <tp t="e">
        <v>#N/A</v>
        <stp/>
        <stp>VOLUME</stp>
        <stp>.SPY250620C567</stp>
        <tr r="K20" s="2"/>
      </tp>
      <tp t="e">
        <v>#N/A</v>
        <stp/>
        <stp>VOLUME</stp>
        <stp>.SPY250630C577</stp>
        <tr r="L10" s="2"/>
      </tp>
      <tp t="e">
        <v>#N/A</v>
        <stp/>
        <stp>VOLUME</stp>
        <stp>.SPY250620P564</stp>
        <tr r="K23" s="2"/>
      </tp>
      <tp t="e">
        <v>#N/A</v>
        <stp/>
        <stp>VOLUME</stp>
        <stp>.SPY250630P574</stp>
        <tr r="L13" s="2"/>
      </tp>
      <tp t="e">
        <v>#N/A</v>
        <stp/>
        <stp>VOLUME</stp>
        <stp>.SPY250620C564</stp>
        <tr r="K23" s="2"/>
      </tp>
      <tp t="e">
        <v>#N/A</v>
        <stp/>
        <stp>VOLUME</stp>
        <stp>.SPY250630C574</stp>
        <tr r="L13" s="2"/>
      </tp>
      <tp t="e">
        <v>#N/A</v>
        <stp/>
        <stp>VOLUME</stp>
        <stp>.SPY250620P565</stp>
        <tr r="K22" s="2"/>
      </tp>
      <tp t="e">
        <v>#N/A</v>
        <stp/>
        <stp>VOLUME</stp>
        <stp>.SPY250630P575</stp>
        <tr r="L12" s="2"/>
      </tp>
      <tp t="e">
        <v>#N/A</v>
        <stp/>
        <stp>VOLUME</stp>
        <stp>.SPY250620C565</stp>
        <tr r="K22" s="2"/>
      </tp>
      <tp t="e">
        <v>#N/A</v>
        <stp/>
        <stp>VOLUME</stp>
        <stp>.SPY250630C575</stp>
        <tr r="L12" s="2"/>
      </tp>
      <tp t="e">
        <v>#N/A</v>
        <stp/>
        <stp>VOLUME</stp>
        <stp>.SPY250620P562</stp>
        <tr r="K25" s="2"/>
      </tp>
      <tp t="e">
        <v>#N/A</v>
        <stp/>
        <stp>VOLUME</stp>
        <stp>.SPY250630P572</stp>
        <tr r="L15" s="2"/>
      </tp>
      <tp t="e">
        <v>#N/A</v>
        <stp/>
        <stp>VOLUME</stp>
        <stp>.SPY250620C562</stp>
        <tr r="K25" s="2"/>
      </tp>
      <tp t="e">
        <v>#N/A</v>
        <stp/>
        <stp>VOLUME</stp>
        <stp>.SPY250630C572</stp>
        <tr r="L15" s="2"/>
      </tp>
      <tp t="e">
        <v>#N/A</v>
        <stp/>
        <stp>VOLUME</stp>
        <stp>.SPY250620P563</stp>
        <tr r="K24" s="2"/>
      </tp>
      <tp t="e">
        <v>#N/A</v>
        <stp/>
        <stp>VOLUME</stp>
        <stp>.SPY250630P573</stp>
        <tr r="L14" s="2"/>
      </tp>
      <tp t="e">
        <v>#N/A</v>
        <stp/>
        <stp>VOLUME</stp>
        <stp>.SPY250620C563</stp>
        <tr r="K24" s="2"/>
      </tp>
      <tp t="e">
        <v>#N/A</v>
        <stp/>
        <stp>VOLUME</stp>
        <stp>.SPY250630C573</stp>
        <tr r="L14" s="2"/>
      </tp>
      <tp t="e">
        <v>#N/A</v>
        <stp/>
        <stp>VOLUME</stp>
        <stp>.SPY250620P560</stp>
        <tr r="K27" s="2"/>
      </tp>
      <tp t="e">
        <v>#N/A</v>
        <stp/>
        <stp>VOLUME</stp>
        <stp>.SPY250630P570</stp>
        <tr r="L17" s="2"/>
      </tp>
      <tp t="e">
        <v>#N/A</v>
        <stp/>
        <stp>VOLUME</stp>
        <stp>.SPY250620C560</stp>
        <tr r="K27" s="2"/>
      </tp>
      <tp t="e">
        <v>#N/A</v>
        <stp/>
        <stp>VOLUME</stp>
        <stp>.SPY250630C570</stp>
        <tr r="L17" s="2"/>
      </tp>
      <tp t="e">
        <v>#N/A</v>
        <stp/>
        <stp>VOLUME</stp>
        <stp>.SPY250620P561</stp>
        <tr r="K26" s="2"/>
      </tp>
      <tp t="e">
        <v>#N/A</v>
        <stp/>
        <stp>VOLUME</stp>
        <stp>.SPY250630P571</stp>
        <tr r="L16" s="2"/>
      </tp>
      <tp t="e">
        <v>#N/A</v>
        <stp/>
        <stp>VOLUME</stp>
        <stp>.SPY250620C561</stp>
        <tr r="K26" s="2"/>
      </tp>
      <tp t="e">
        <v>#N/A</v>
        <stp/>
        <stp>VOLUME</stp>
        <stp>.SPY250630C571</stp>
        <tr r="L16" s="2"/>
      </tp>
      <tp t="e">
        <v>#N/A</v>
        <stp/>
        <stp>VOLUME</stp>
        <stp>.SPY250606P548</stp>
        <tr r="J39" s="2"/>
      </tp>
      <tp t="e">
        <v>#N/A</v>
        <stp/>
        <stp>VOLUME</stp>
        <stp>.SPY250606C548</stp>
        <tr r="J39" s="2"/>
      </tp>
      <tp t="e">
        <v>#N/A</v>
        <stp/>
        <stp>VOLUME</stp>
        <stp>.SPY250606P549</stp>
        <tr r="J38" s="2"/>
      </tp>
      <tp t="e">
        <v>#N/A</v>
        <stp/>
        <stp>VOLUME</stp>
        <stp>.SPY250606C549</stp>
        <tr r="J38" s="2"/>
      </tp>
      <tp t="e">
        <v>#N/A</v>
        <stp/>
        <stp>VOLUME</stp>
        <stp>.SPY250620P568</stp>
        <tr r="K19" s="2"/>
      </tp>
      <tp t="e">
        <v>#N/A</v>
        <stp/>
        <stp>VOLUME</stp>
        <stp>.SPY250630P578</stp>
        <tr r="L9" s="2"/>
      </tp>
      <tp t="e">
        <v>#N/A</v>
        <stp/>
        <stp>VOLUME</stp>
        <stp>.SPY250620C568</stp>
        <tr r="K19" s="2"/>
      </tp>
      <tp t="e">
        <v>#N/A</v>
        <stp/>
        <stp>VOLUME</stp>
        <stp>.SPY250630C578</stp>
        <tr r="L9" s="2"/>
      </tp>
      <tp t="e">
        <v>#N/A</v>
        <stp/>
        <stp>VOLUME</stp>
        <stp>.SPY250620P569</stp>
        <tr r="K18" s="2"/>
      </tp>
      <tp t="e">
        <v>#N/A</v>
        <stp/>
        <stp>VOLUME</stp>
        <stp>.SPY250630P579</stp>
        <tr r="L8" s="2"/>
      </tp>
      <tp t="e">
        <v>#N/A</v>
        <stp/>
        <stp>VOLUME</stp>
        <stp>.SPY250620C569</stp>
        <tr r="K18" s="2"/>
      </tp>
      <tp t="e">
        <v>#N/A</v>
        <stp/>
        <stp>VOLUME</stp>
        <stp>.SPY250630C579</stp>
        <tr r="L8" s="2"/>
      </tp>
      <tp t="e">
        <v>#N/A</v>
        <stp/>
        <stp>VOLUME</stp>
        <stp>.SPY250606P570</stp>
        <tr r="J17" s="2"/>
      </tp>
      <tp t="e">
        <v>#N/A</v>
        <stp/>
        <stp>VOLUME</stp>
        <stp>.SPY250620P556</stp>
        <tr r="K31" s="2"/>
      </tp>
      <tp t="e">
        <v>#N/A</v>
        <stp/>
        <stp>VOLUME</stp>
        <stp>.SPY250606C570</stp>
        <tr r="J17" s="2"/>
      </tp>
      <tp t="e">
        <v>#N/A</v>
        <stp/>
        <stp>VOLUME</stp>
        <stp>.SPY250620C556</stp>
        <tr r="K31" s="2"/>
      </tp>
      <tp t="e">
        <v>#N/A</v>
        <stp/>
        <stp>VOLUME</stp>
        <stp>.SPY250606P571</stp>
        <tr r="J16" s="2"/>
      </tp>
      <tp t="e">
        <v>#N/A</v>
        <stp/>
        <stp>VOLUME</stp>
        <stp>.SPY250620P557</stp>
        <tr r="K30" s="2"/>
      </tp>
      <tp t="e">
        <v>#N/A</v>
        <stp/>
        <stp>VOLUME</stp>
        <stp>.SPY250606C571</stp>
        <tr r="J16" s="2"/>
      </tp>
      <tp t="e">
        <v>#N/A</v>
        <stp/>
        <stp>VOLUME</stp>
        <stp>.SPY250620C557</stp>
        <tr r="K30" s="2"/>
      </tp>
      <tp t="e">
        <v>#N/A</v>
        <stp/>
        <stp>VOLUME</stp>
        <stp>.SPY250606P572</stp>
        <tr r="J15" s="2"/>
      </tp>
      <tp t="e">
        <v>#N/A</v>
        <stp/>
        <stp>VOLUME</stp>
        <stp>.SPY250620P554</stp>
        <tr r="K33" s="2"/>
      </tp>
      <tp t="e">
        <v>#N/A</v>
        <stp/>
        <stp>VOLUME</stp>
        <stp>.SPY250606C572</stp>
        <tr r="J15" s="2"/>
      </tp>
      <tp t="e">
        <v>#N/A</v>
        <stp/>
        <stp>VOLUME</stp>
        <stp>.SPY250620C554</stp>
        <tr r="K33" s="2"/>
      </tp>
      <tp t="e">
        <v>#N/A</v>
        <stp/>
        <stp>VOLUME</stp>
        <stp>.SPY250606P573</stp>
        <tr r="J14" s="2"/>
      </tp>
      <tp t="e">
        <v>#N/A</v>
        <stp/>
        <stp>VOLUME</stp>
        <stp>.SPY250620P555</stp>
        <tr r="K32" s="2"/>
      </tp>
      <tp t="e">
        <v>#N/A</v>
        <stp/>
        <stp>VOLUME</stp>
        <stp>.SPY250606C573</stp>
        <tr r="J14" s="2"/>
      </tp>
      <tp t="e">
        <v>#N/A</v>
        <stp/>
        <stp>VOLUME</stp>
        <stp>.SPY250620C555</stp>
        <tr r="K32" s="2"/>
      </tp>
      <tp t="e">
        <v>#N/A</v>
        <stp/>
        <stp>VOLUME</stp>
        <stp>.SPY250606P574</stp>
        <tr r="J13" s="2"/>
      </tp>
      <tp t="e">
        <v>#N/A</v>
        <stp/>
        <stp>VOLUME</stp>
        <stp>.SPY250620P552</stp>
        <tr r="K35" s="2"/>
      </tp>
      <tp t="e">
        <v>#N/A</v>
        <stp/>
        <stp>VOLUME</stp>
        <stp>.SPY250606C574</stp>
        <tr r="J13" s="2"/>
      </tp>
      <tp t="e">
        <v>#N/A</v>
        <stp/>
        <stp>VOLUME</stp>
        <stp>.SPY250620C552</stp>
        <tr r="K35" s="2"/>
      </tp>
      <tp t="e">
        <v>#N/A</v>
        <stp/>
        <stp>VOLUME</stp>
        <stp>.SPY250606P575</stp>
        <tr r="J12" s="2"/>
      </tp>
      <tp t="e">
        <v>#N/A</v>
        <stp/>
        <stp>VOLUME</stp>
        <stp>.SPY250620P553</stp>
        <tr r="K34" s="2"/>
      </tp>
      <tp t="e">
        <v>#N/A</v>
        <stp/>
        <stp>VOLUME</stp>
        <stp>.SPY250606C575</stp>
        <tr r="J12" s="2"/>
      </tp>
      <tp t="e">
        <v>#N/A</v>
        <stp/>
        <stp>VOLUME</stp>
        <stp>.SPY250620C553</stp>
        <tr r="K34" s="2"/>
      </tp>
      <tp t="e">
        <v>#N/A</v>
        <stp/>
        <stp>VOLUME</stp>
        <stp>.SPY250606P576</stp>
        <tr r="J11" s="2"/>
      </tp>
      <tp t="e">
        <v>#N/A</v>
        <stp/>
        <stp>VOLUME</stp>
        <stp>.SPY250620P550</stp>
        <tr r="K37" s="2"/>
      </tp>
      <tp t="e">
        <v>#N/A</v>
        <stp/>
        <stp>VOLUME</stp>
        <stp>.SPY250606C576</stp>
        <tr r="J11" s="2"/>
      </tp>
      <tp t="e">
        <v>#N/A</v>
        <stp/>
        <stp>VOLUME</stp>
        <stp>.SPY250620C550</stp>
        <tr r="K37" s="2"/>
      </tp>
      <tp t="e">
        <v>#N/A</v>
        <stp/>
        <stp>VOLUME</stp>
        <stp>.SPY250606P577</stp>
        <tr r="J10" s="2"/>
      </tp>
      <tp t="e">
        <v>#N/A</v>
        <stp/>
        <stp>VOLUME</stp>
        <stp>.SPY250620P551</stp>
        <tr r="K36" s="2"/>
      </tp>
      <tp t="e">
        <v>#N/A</v>
        <stp/>
        <stp>VOLUME</stp>
        <stp>.SPY250606C577</stp>
        <tr r="J10" s="2"/>
      </tp>
      <tp t="e">
        <v>#N/A</v>
        <stp/>
        <stp>VOLUME</stp>
        <stp>.SPY250620C551</stp>
        <tr r="K36" s="2"/>
      </tp>
      <tp t="e">
        <v>#N/A</v>
        <stp/>
        <stp>VOLUME</stp>
        <stp>.SPY250606P578</stp>
        <tr r="J9" s="2"/>
      </tp>
      <tp t="e">
        <v>#N/A</v>
        <stp/>
        <stp>VOLUME</stp>
        <stp>.SPY250606C578</stp>
        <tr r="J9" s="2"/>
      </tp>
      <tp t="e">
        <v>#N/A</v>
        <stp/>
        <stp>VOLUME</stp>
        <stp>.SPY250606P579</stp>
        <tr r="J8" s="2"/>
      </tp>
      <tp t="e">
        <v>#N/A</v>
        <stp/>
        <stp>VOLUME</stp>
        <stp>.SPY250606C579</stp>
        <tr r="J8" s="2"/>
      </tp>
      <tp t="e">
        <v>#N/A</v>
        <stp/>
        <stp>VOLUME</stp>
        <stp>.SPY250620P558</stp>
        <tr r="K29" s="2"/>
      </tp>
      <tp t="e">
        <v>#N/A</v>
        <stp/>
        <stp>VOLUME</stp>
        <stp>.SPY250630P548</stp>
        <tr r="L39" s="2"/>
      </tp>
      <tp t="e">
        <v>#N/A</v>
        <stp/>
        <stp>VOLUME</stp>
        <stp>.SPY250620C558</stp>
        <tr r="K29" s="2"/>
      </tp>
      <tp t="e">
        <v>#N/A</v>
        <stp/>
        <stp>VOLUME</stp>
        <stp>.SPY250630C548</stp>
        <tr r="L39" s="2"/>
      </tp>
      <tp t="e">
        <v>#N/A</v>
        <stp/>
        <stp>VOLUME</stp>
        <stp>.SPY250620P559</stp>
        <tr r="K28" s="2"/>
      </tp>
      <tp t="e">
        <v>#N/A</v>
        <stp/>
        <stp>VOLUME</stp>
        <stp>.SPY250630P549</stp>
        <tr r="L38" s="2"/>
      </tp>
      <tp t="e">
        <v>#N/A</v>
        <stp/>
        <stp>VOLUME</stp>
        <stp>.SPY250620C559</stp>
        <tr r="K28" s="2"/>
      </tp>
      <tp t="e">
        <v>#N/A</v>
        <stp/>
        <stp>VOLUME</stp>
        <stp>.SPY250630C549</stp>
        <tr r="L38" s="2"/>
      </tp>
      <tp t="e">
        <v>#N/A</v>
        <stp/>
        <stp>VOLUME</stp>
        <stp>.SPY250606P560</stp>
        <tr r="J27" s="2"/>
      </tp>
      <tp t="e">
        <v>#N/A</v>
        <stp/>
        <stp>VOLUME</stp>
        <stp>.SPY250630P556</stp>
        <tr r="L31" s="2"/>
      </tp>
      <tp t="e">
        <v>#N/A</v>
        <stp/>
        <stp>VOLUME</stp>
        <stp>.SPY250606C560</stp>
        <tr r="J27" s="2"/>
      </tp>
      <tp t="e">
        <v>#N/A</v>
        <stp/>
        <stp>VOLUME</stp>
        <stp>.SPY250630C556</stp>
        <tr r="L31" s="2"/>
      </tp>
      <tp t="e">
        <v>#N/A</v>
        <stp/>
        <stp>VOLUME</stp>
        <stp>.SPY250606P561</stp>
        <tr r="J26" s="2"/>
      </tp>
      <tp t="e">
        <v>#N/A</v>
        <stp/>
        <stp>VOLUME</stp>
        <stp>.SPY250630P557</stp>
        <tr r="L30" s="2"/>
      </tp>
      <tp t="e">
        <v>#N/A</v>
        <stp/>
        <stp>VOLUME</stp>
        <stp>.SPY250606C561</stp>
        <tr r="J26" s="2"/>
      </tp>
      <tp t="e">
        <v>#N/A</v>
        <stp/>
        <stp>VOLUME</stp>
        <stp>.SPY250630C557</stp>
        <tr r="L30" s="2"/>
      </tp>
      <tp t="e">
        <v>#N/A</v>
        <stp/>
        <stp>VOLUME</stp>
        <stp>.SPY250606P562</stp>
        <tr r="J25" s="2"/>
      </tp>
      <tp t="e">
        <v>#N/A</v>
        <stp/>
        <stp>VOLUME</stp>
        <stp>.SPY250630P554</stp>
        <tr r="L33" s="2"/>
      </tp>
      <tp t="e">
        <v>#N/A</v>
        <stp/>
        <stp>VOLUME</stp>
        <stp>.SPY250606C562</stp>
        <tr r="J25" s="2"/>
      </tp>
      <tp t="e">
        <v>#N/A</v>
        <stp/>
        <stp>VOLUME</stp>
        <stp>.SPY250630C554</stp>
        <tr r="L33" s="2"/>
      </tp>
      <tp t="e">
        <v>#N/A</v>
        <stp/>
        <stp>VOLUME</stp>
        <stp>.SPY250606P563</stp>
        <tr r="J24" s="2"/>
      </tp>
      <tp t="e">
        <v>#N/A</v>
        <stp/>
        <stp>VOLUME</stp>
        <stp>.SPY250630P555</stp>
        <tr r="L32" s="2"/>
      </tp>
      <tp t="e">
        <v>#N/A</v>
        <stp/>
        <stp>VOLUME</stp>
        <stp>.SPY250606C563</stp>
        <tr r="J24" s="2"/>
      </tp>
      <tp t="e">
        <v>#N/A</v>
        <stp/>
        <stp>VOLUME</stp>
        <stp>.SPY250630C555</stp>
        <tr r="L32" s="2"/>
      </tp>
      <tp t="e">
        <v>#N/A</v>
        <stp/>
        <stp>VOLUME</stp>
        <stp>.SPY250606P564</stp>
        <tr r="J23" s="2"/>
      </tp>
      <tp t="e">
        <v>#N/A</v>
        <stp/>
        <stp>VOLUME</stp>
        <stp>.SPY250630P552</stp>
        <tr r="L35" s="2"/>
      </tp>
      <tp t="e">
        <v>#N/A</v>
        <stp/>
        <stp>VOLUME</stp>
        <stp>.SPY250606C564</stp>
        <tr r="J23" s="2"/>
      </tp>
      <tp t="e">
        <v>#N/A</v>
        <stp/>
        <stp>VOLUME</stp>
        <stp>.SPY250630C552</stp>
        <tr r="L35" s="2"/>
      </tp>
      <tp t="e">
        <v>#N/A</v>
        <stp/>
        <stp>VOLUME</stp>
        <stp>.SPY250606P565</stp>
        <tr r="J22" s="2"/>
      </tp>
      <tp t="e">
        <v>#N/A</v>
        <stp/>
        <stp>VOLUME</stp>
        <stp>.SPY250630P553</stp>
        <tr r="L34" s="2"/>
      </tp>
      <tp t="e">
        <v>#N/A</v>
        <stp/>
        <stp>VOLUME</stp>
        <stp>.SPY250606C565</stp>
        <tr r="J22" s="2"/>
      </tp>
      <tp t="e">
        <v>#N/A</v>
        <stp/>
        <stp>VOLUME</stp>
        <stp>.SPY250630C553</stp>
        <tr r="L34" s="2"/>
      </tp>
      <tp t="e">
        <v>#N/A</v>
        <stp/>
        <stp>VOLUME</stp>
        <stp>.SPY250606P566</stp>
        <tr r="J21" s="2"/>
      </tp>
      <tp t="e">
        <v>#N/A</v>
        <stp/>
        <stp>VOLUME</stp>
        <stp>.SPY250630P550</stp>
        <tr r="L37" s="2"/>
      </tp>
      <tp t="e">
        <v>#N/A</v>
        <stp/>
        <stp>VOLUME</stp>
        <stp>.SPY250606C566</stp>
        <tr r="J21" s="2"/>
      </tp>
      <tp t="e">
        <v>#N/A</v>
        <stp/>
        <stp>VOLUME</stp>
        <stp>.SPY250630C550</stp>
        <tr r="L37" s="2"/>
      </tp>
      <tp t="e">
        <v>#N/A</v>
        <stp/>
        <stp>VOLUME</stp>
        <stp>.SPY250606P567</stp>
        <tr r="J20" s="2"/>
      </tp>
      <tp t="e">
        <v>#N/A</v>
        <stp/>
        <stp>VOLUME</stp>
        <stp>.SPY250630P551</stp>
        <tr r="L36" s="2"/>
      </tp>
      <tp t="e">
        <v>#N/A</v>
        <stp/>
        <stp>VOLUME</stp>
        <stp>.SPY250606C567</stp>
        <tr r="J20" s="2"/>
      </tp>
      <tp t="e">
        <v>#N/A</v>
        <stp/>
        <stp>VOLUME</stp>
        <stp>.SPY250630C551</stp>
        <tr r="L36" s="2"/>
      </tp>
      <tp t="e">
        <v>#N/A</v>
        <stp/>
        <stp>VOLUME</stp>
        <stp>.SPY250606P568</stp>
        <tr r="J19" s="2"/>
      </tp>
      <tp t="e">
        <v>#N/A</v>
        <stp/>
        <stp>VOLUME</stp>
        <stp>.SPY250606C568</stp>
        <tr r="J19" s="2"/>
      </tp>
      <tp t="e">
        <v>#N/A</v>
        <stp/>
        <stp>VOLUME</stp>
        <stp>.SPY250606P569</stp>
        <tr r="J18" s="2"/>
      </tp>
      <tp t="e">
        <v>#N/A</v>
        <stp/>
        <stp>VOLUME</stp>
        <stp>.SPY250606C569</stp>
        <tr r="J18" s="2"/>
      </tp>
      <tp t="e">
        <v>#N/A</v>
        <stp/>
        <stp>VOLUME</stp>
        <stp>.SPY250620P548</stp>
        <tr r="K39" s="2"/>
      </tp>
      <tp t="e">
        <v>#N/A</v>
        <stp/>
        <stp>VOLUME</stp>
        <stp>.SPY250630P558</stp>
        <tr r="L29" s="2"/>
      </tp>
      <tp t="e">
        <v>#N/A</v>
        <stp/>
        <stp>VOLUME</stp>
        <stp>.SPY250620C548</stp>
        <tr r="K39" s="2"/>
      </tp>
      <tp t="e">
        <v>#N/A</v>
        <stp/>
        <stp>VOLUME</stp>
        <stp>.SPY250630C558</stp>
        <tr r="L29" s="2"/>
      </tp>
      <tp t="e">
        <v>#N/A</v>
        <stp/>
        <stp>VOLUME</stp>
        <stp>.SPY250620P549</stp>
        <tr r="K38" s="2"/>
      </tp>
      <tp t="e">
        <v>#N/A</v>
        <stp/>
        <stp>VOLUME</stp>
        <stp>.SPY250630P559</stp>
        <tr r="L28" s="2"/>
      </tp>
      <tp t="e">
        <v>#N/A</v>
        <stp/>
        <stp>VOLUME</stp>
        <stp>.SPY250620C549</stp>
        <tr r="K38" s="2"/>
      </tp>
      <tp t="e">
        <v>#N/A</v>
        <stp/>
        <stp>VOLUME</stp>
        <stp>.SPY250630C559</stp>
        <tr r="L28" s="2"/>
      </tp>
      <tp t="e">
        <v>#N/A</v>
        <stp/>
        <stp>DELTA</stp>
        <stp>.SPXW250502P5790</stp>
        <tr r="CE93" s="1"/>
        <tr r="CE93" s="1"/>
      </tp>
      <tp t="e">
        <v>#N/A</v>
        <stp/>
        <stp>DELTA</stp>
        <stp>.SPXW250509P5720</stp>
        <tr r="CG100" s="1"/>
      </tp>
      <tp t="e">
        <v>#N/A</v>
        <stp/>
        <stp>DELTA</stp>
        <stp>.SPXW250502C5790</stp>
        <tr r="CD93" s="1"/>
        <tr r="CD93" s="1"/>
      </tp>
      <tp t="e">
        <v>#N/A</v>
        <stp/>
        <stp>DELTA</stp>
        <stp>.SPXW250509C5720</stp>
        <tr r="CF100" s="1"/>
      </tp>
      <tp t="e">
        <v>#N/A</v>
        <stp/>
        <stp>DELTA</stp>
        <stp>.SPXW250502P5780</stp>
        <tr r="CE94" s="1"/>
        <tr r="CE94" s="1"/>
      </tp>
      <tp t="e">
        <v>#N/A</v>
        <stp/>
        <stp>DELTA</stp>
        <stp>.SPXW250509P5730</stp>
        <tr r="CG99" s="1"/>
        <tr r="CG99" s="1"/>
      </tp>
      <tp t="e">
        <v>#N/A</v>
        <stp/>
        <stp>DELTA</stp>
        <stp>.SPXW250502C5780</stp>
        <tr r="CD94" s="1"/>
        <tr r="CD94" s="1"/>
      </tp>
      <tp t="e">
        <v>#N/A</v>
        <stp/>
        <stp>DELTA</stp>
        <stp>.SPXW250509C5730</stp>
        <tr r="CF99" s="1"/>
        <tr r="CF99" s="1"/>
      </tp>
      <tp t="e">
        <v>#N/A</v>
        <stp/>
        <stp>DELTA</stp>
        <stp>.SPXW250509P5700</stp>
        <tr r="CG102" s="1"/>
        <tr r="CG102" s="1"/>
      </tp>
      <tp t="e">
        <v>#N/A</v>
        <stp/>
        <stp>DELTA</stp>
        <stp>.SPXW250509C5700</stp>
        <tr r="CF102" s="1"/>
        <tr r="CF102" s="1"/>
      </tp>
      <tp t="e">
        <v>#N/A</v>
        <stp/>
        <stp>DELTA</stp>
        <stp>.SPXW250509P5710</stp>
        <tr r="CG101" s="1"/>
        <tr r="CG101" s="1"/>
      </tp>
      <tp t="e">
        <v>#N/A</v>
        <stp/>
        <stp>DELTA</stp>
        <stp>.SPXW250509C5710</stp>
        <tr r="CF101" s="1"/>
        <tr r="CF101" s="1"/>
      </tp>
      <tp t="e">
        <v>#N/A</v>
        <stp/>
        <stp>DELTA</stp>
        <stp>.SPXW250509P5760</stp>
        <tr r="CG96" s="1"/>
        <tr r="CG96" s="1"/>
      </tp>
      <tp t="e">
        <v>#N/A</v>
        <stp/>
        <stp>DELTA</stp>
        <stp>.SPXW250516P5690</stp>
        <tr r="CI103" s="1"/>
        <tr r="CI103" s="1"/>
      </tp>
      <tp t="e">
        <v>#N/A</v>
        <stp/>
        <stp>DELTA</stp>
        <stp>.SPXW250509C5760</stp>
        <tr r="CF96" s="1"/>
        <tr r="CF96" s="1"/>
      </tp>
      <tp t="e">
        <v>#N/A</v>
        <stp/>
        <stp>DELTA</stp>
        <stp>.SPXW250516C5690</stp>
        <tr r="CH103" s="1"/>
        <tr r="CH103" s="1"/>
      </tp>
      <tp t="e">
        <v>#N/A</v>
        <stp/>
        <stp>DELTA</stp>
        <stp>.SPXW250509P5770</stp>
        <tr r="CG95" s="1"/>
        <tr r="CG95" s="1"/>
      </tp>
      <tp t="e">
        <v>#N/A</v>
        <stp/>
        <stp>DELTA</stp>
        <stp>.SPXW250516P5680</stp>
        <tr r="CI104" s="1"/>
        <tr r="CI104" s="1"/>
      </tp>
      <tp t="e">
        <v>#N/A</v>
        <stp/>
        <stp>DELTA</stp>
        <stp>.SPXW250509C5770</stp>
        <tr r="CF95" s="1"/>
        <tr r="CF95" s="1"/>
      </tp>
      <tp t="e">
        <v>#N/A</v>
        <stp/>
        <stp>DELTA</stp>
        <stp>.SPXW250516C5680</stp>
        <tr r="CH104" s="1"/>
        <tr r="CH104" s="1"/>
      </tp>
      <tp t="e">
        <v>#N/A</v>
        <stp/>
        <stp>DELTA</stp>
        <stp>.SPXW250509P5740</stp>
        <tr r="CG98" s="1"/>
        <tr r="CG98" s="1"/>
      </tp>
      <tp t="e">
        <v>#N/A</v>
        <stp/>
        <stp>DELTA</stp>
        <stp>.SPXW250509C5740</stp>
        <tr r="CF98" s="1"/>
        <tr r="CF98" s="1"/>
      </tp>
      <tp t="e">
        <v>#N/A</v>
        <stp/>
        <stp>DELTA</stp>
        <stp>.SPXW250509P5750</stp>
        <tr r="CG97" s="1"/>
        <tr r="CG97" s="1"/>
      </tp>
      <tp t="e">
        <v>#N/A</v>
        <stp/>
        <stp>DELTA</stp>
        <stp>.SPXW250509C5750</stp>
        <tr r="CF97" s="1"/>
        <tr r="CF97" s="1"/>
      </tp>
      <tp t="e">
        <v>#N/A</v>
        <stp/>
        <stp>DELTA</stp>
        <stp>.SPXW250502P5710</stp>
        <tr r="CE101" s="1"/>
        <tr r="CE101" s="1"/>
      </tp>
      <tp t="e">
        <v>#N/A</v>
        <stp/>
        <stp>DELTA</stp>
        <stp>.SPXW250516P5650</stp>
        <tr r="CI107" s="1"/>
        <tr r="CI107" s="1"/>
      </tp>
      <tp t="e">
        <v>#N/A</v>
        <stp/>
        <stp>DELTA</stp>
        <stp>.SPXW250502C5710</stp>
        <tr r="CD101" s="1"/>
        <tr r="CD101" s="1"/>
      </tp>
      <tp t="e">
        <v>#N/A</v>
        <stp/>
        <stp>DELTA</stp>
        <stp>.SPXW250516C5650</stp>
        <tr r="CH107" s="1"/>
        <tr r="CH107" s="1"/>
      </tp>
      <tp t="e">
        <v>#N/A</v>
        <stp/>
        <stp>DELTA</stp>
        <stp>.SPXW250502P5700</stp>
        <tr r="CE102" s="1"/>
        <tr r="CE102" s="1"/>
      </tp>
      <tp t="e">
        <v>#N/A</v>
        <stp/>
        <stp>DELTA</stp>
        <stp>.SPXW250516P5640</stp>
        <tr r="CI108" s="1"/>
        <tr r="CI108" s="1"/>
      </tp>
      <tp t="e">
        <v>#N/A</v>
        <stp/>
        <stp>DELTA</stp>
        <stp>.SPXW250502C5700</stp>
        <tr r="CD102" s="1"/>
        <tr r="CD102" s="1"/>
      </tp>
      <tp t="e">
        <v>#N/A</v>
        <stp/>
        <stp>DELTA</stp>
        <stp>.SPXW250516C5640</stp>
        <tr r="CH108" s="1"/>
        <tr r="CH108" s="1"/>
      </tp>
      <tp t="e">
        <v>#N/A</v>
        <stp/>
        <stp>DELTA</stp>
        <stp>.SPXW250502P5730</stp>
        <tr r="CE99" s="1"/>
        <tr r="CE99" s="1"/>
      </tp>
      <tp t="e">
        <v>#N/A</v>
        <stp/>
        <stp>DELTA</stp>
        <stp>.SPXW250509P5780</stp>
        <tr r="CG94" s="1"/>
        <tr r="CG94" s="1"/>
      </tp>
      <tp t="e">
        <v>#N/A</v>
        <stp/>
        <stp>DELTA</stp>
        <stp>.SPXW250516P5670</stp>
        <tr r="CI105" s="1"/>
        <tr r="CI105" s="1"/>
      </tp>
      <tp t="e">
        <v>#N/A</v>
        <stp/>
        <stp>DELTA</stp>
        <stp>.SPXW250502C5730</stp>
        <tr r="CD99" s="1"/>
        <tr r="CD99" s="1"/>
      </tp>
      <tp t="e">
        <v>#N/A</v>
        <stp/>
        <stp>DELTA</stp>
        <stp>.SPXW250509C5780</stp>
        <tr r="CF94" s="1"/>
        <tr r="CF94" s="1"/>
      </tp>
      <tp t="e">
        <v>#N/A</v>
        <stp/>
        <stp>DELTA</stp>
        <stp>.SPXW250516C5670</stp>
        <tr r="CH105" s="1"/>
        <tr r="CH105" s="1"/>
      </tp>
      <tp t="e">
        <v>#N/A</v>
        <stp/>
        <stp>DELTA</stp>
        <stp>.SPXW250502P5720</stp>
        <tr r="CE100" s="1"/>
        <tr r="CE100" s="1"/>
      </tp>
      <tp t="e">
        <v>#N/A</v>
        <stp/>
        <stp>DELTA</stp>
        <stp>.SPXW250509P5790</stp>
        <tr r="CG93" s="1"/>
        <tr r="CG93" s="1"/>
      </tp>
      <tp t="e">
        <v>#N/A</v>
        <stp/>
        <stp>DELTA</stp>
        <stp>.SPXW250516P5660</stp>
        <tr r="CI106" s="1"/>
        <tr r="CI106" s="1"/>
      </tp>
      <tp t="e">
        <v>#N/A</v>
        <stp/>
        <stp>DELTA</stp>
        <stp>.SPXW250502C5720</stp>
        <tr r="CD100" s="1"/>
        <tr r="CD100" s="1"/>
      </tp>
      <tp t="e">
        <v>#N/A</v>
        <stp/>
        <stp>DELTA</stp>
        <stp>.SPXW250509C5790</stp>
        <tr r="CF93" s="1"/>
        <tr r="CF93" s="1"/>
      </tp>
      <tp t="e">
        <v>#N/A</v>
        <stp/>
        <stp>DELTA</stp>
        <stp>.SPXW250516C5660</stp>
        <tr r="CH106" s="1"/>
        <tr r="CH106" s="1"/>
      </tp>
      <tp t="e">
        <v>#N/A</v>
        <stp/>
        <stp>DELTA</stp>
        <stp>.SPXW250502P5750</stp>
        <tr r="CE97" s="1"/>
        <tr r="CE97" s="1"/>
      </tp>
      <tp t="e">
        <v>#N/A</v>
        <stp/>
        <stp>DELTA</stp>
        <stp>.SPXW250516P5610</stp>
        <tr r="CI111" s="1"/>
        <tr r="CI111" s="1"/>
      </tp>
      <tp t="e">
        <v>#N/A</v>
        <stp/>
        <stp>DELTA</stp>
        <stp>.SPXW250502C5750</stp>
        <tr r="CD97" s="1"/>
        <tr r="CD97" s="1"/>
      </tp>
      <tp t="e">
        <v>#N/A</v>
        <stp/>
        <stp>DELTA</stp>
        <stp>.SPXW250516C5610</stp>
        <tr r="CH111" s="1"/>
        <tr r="CH111" s="1"/>
      </tp>
      <tp t="e">
        <v>#N/A</v>
        <stp/>
        <stp>DELTA</stp>
        <stp>.SPXW250502P5740</stp>
        <tr r="CE98" s="1"/>
        <tr r="CE98" s="1"/>
      </tp>
      <tp t="e">
        <v>#N/A</v>
        <stp/>
        <stp>DELTA</stp>
        <stp>.SPXW250516P5600</stp>
        <tr r="CI112" s="1"/>
        <tr r="CI112" s="1"/>
      </tp>
      <tp t="e">
        <v>#N/A</v>
        <stp/>
        <stp>DELTA</stp>
        <stp>.SPXW250502C5740</stp>
        <tr r="CD98" s="1"/>
        <tr r="CD98" s="1"/>
      </tp>
      <tp t="e">
        <v>#N/A</v>
        <stp/>
        <stp>DELTA</stp>
        <stp>.SPXW250516C5600</stp>
        <tr r="CH112" s="1"/>
        <tr r="CH112" s="1"/>
      </tp>
      <tp t="e">
        <v>#N/A</v>
        <stp/>
        <stp>DELTA</stp>
        <stp>.SPXW250502P5770</stp>
        <tr r="CE95" s="1"/>
        <tr r="CE95" s="1"/>
      </tp>
      <tp t="e">
        <v>#N/A</v>
        <stp/>
        <stp>DELTA</stp>
        <stp>.SPXW250516P5630</stp>
        <tr r="CI109" s="1"/>
        <tr r="CI109" s="1"/>
      </tp>
      <tp t="e">
        <v>#N/A</v>
        <stp/>
        <stp>DELTA</stp>
        <stp>.SPXW250502C5770</stp>
        <tr r="CD95" s="1"/>
        <tr r="CD95" s="1"/>
      </tp>
      <tp t="e">
        <v>#N/A</v>
        <stp/>
        <stp>DELTA</stp>
        <stp>.SPXW250516C5630</stp>
        <tr r="CH109" s="1"/>
        <tr r="CH109" s="1"/>
      </tp>
      <tp t="e">
        <v>#N/A</v>
        <stp/>
        <stp>DELTA</stp>
        <stp>.SPXW250502P5760</stp>
        <tr r="CE96" s="1"/>
        <tr r="CE96" s="1"/>
      </tp>
      <tp t="e">
        <v>#N/A</v>
        <stp/>
        <stp>DELTA</stp>
        <stp>.SPXW250516P5620</stp>
        <tr r="CI110" s="1"/>
        <tr r="CI110" s="1"/>
      </tp>
      <tp t="e">
        <v>#N/A</v>
        <stp/>
        <stp>DELTA</stp>
        <stp>.SPXW250502C5760</stp>
        <tr r="CD96" s="1"/>
        <tr r="CD96" s="1"/>
      </tp>
      <tp t="e">
        <v>#N/A</v>
        <stp/>
        <stp>DELTA</stp>
        <stp>.SPXW250516C5620</stp>
        <tr r="CH110" s="1"/>
        <tr r="CH110" s="1"/>
      </tp>
      <tp t="e">
        <v>#N/A</v>
        <stp/>
        <stp>VOLUME</stp>
        <stp>.SPY250516P580</stp>
        <tr r="BF6" s="1"/>
        <tr r="BF6" s="1"/>
      </tp>
      <tp t="e">
        <v>#N/A</v>
        <stp/>
        <stp>VOLUME</stp>
        <stp>.SPY250516C580</stp>
        <tr r="BE6" s="1"/>
        <tr r="BE6" s="1"/>
      </tp>
      <tp t="e">
        <v>#N/A</v>
        <stp/>
        <stp>VOLUME</stp>
        <stp>.SPY250516P581</stp>
        <tr r="BF5" s="1"/>
        <tr r="BF5" s="1"/>
      </tp>
      <tp t="e">
        <v>#N/A</v>
        <stp/>
        <stp>VOLUME</stp>
        <stp>.SPY250516C581</stp>
        <tr r="BE5" s="1"/>
        <tr r="BE5" s="1"/>
      </tp>
      <tp t="e">
        <v>#N/A</v>
        <stp/>
        <stp>VOLUME</stp>
        <stp>.SPY250516P582</stp>
        <tr r="BF4" s="1"/>
        <tr r="BF4" s="1"/>
      </tp>
      <tp t="e">
        <v>#N/A</v>
        <stp/>
        <stp>VOLUME</stp>
        <stp>.SPY250516C582</stp>
        <tr r="BE4" s="1"/>
        <tr r="BE4" s="1"/>
      </tp>
      <tp t="e">
        <v>#N/A</v>
        <stp/>
        <stp>VOLUME</stp>
        <stp>.SPY250506P580</stp>
        <tr r="C7" s="2"/>
      </tp>
      <tp t="e">
        <v>#N/A</v>
        <stp/>
        <stp>VOLUME</stp>
        <stp>.SPY250507P581</stp>
        <tr r="D6" s="2"/>
      </tp>
      <tp t="e">
        <v>#N/A</v>
        <stp/>
        <stp>VOLUME</stp>
        <stp>.SPY250506C580</stp>
        <tr r="C7" s="2"/>
      </tp>
      <tp t="e">
        <v>#N/A</v>
        <stp/>
        <stp>VOLUME</stp>
        <stp>.SPY250507C581</stp>
        <tr r="D6" s="2"/>
      </tp>
      <tp t="e">
        <v>#N/A</v>
        <stp/>
        <stp>VOLUME</stp>
        <stp>.SPY250505P582</stp>
        <tr r="B5" s="2"/>
      </tp>
      <tp t="e">
        <v>#N/A</v>
        <stp/>
        <stp>VOLUME</stp>
        <stp>.SPY250506P581</stp>
        <tr r="C6" s="2"/>
      </tp>
      <tp t="e">
        <v>#N/A</v>
        <stp/>
        <stp>VOLUME</stp>
        <stp>.SPY250507P580</stp>
        <tr r="D7" s="2"/>
      </tp>
      <tp t="e">
        <v>#N/A</v>
        <stp/>
        <stp>VOLUME</stp>
        <stp>.SPY250505C582</stp>
        <tr r="B5" s="2"/>
      </tp>
      <tp t="e">
        <v>#N/A</v>
        <stp/>
        <stp>VOLUME</stp>
        <stp>.SPY250506C581</stp>
        <tr r="C6" s="2"/>
      </tp>
      <tp t="e">
        <v>#N/A</v>
        <stp/>
        <stp>VOLUME</stp>
        <stp>.SPY250507C580</stp>
        <tr r="D7" s="2"/>
      </tp>
      <tp t="e">
        <v>#N/A</v>
        <stp/>
        <stp>VOLUME</stp>
        <stp>.SPY250505P581</stp>
        <tr r="B6" s="2"/>
      </tp>
      <tp t="e">
        <v>#N/A</v>
        <stp/>
        <stp>VOLUME</stp>
        <stp>.SPY250506P582</stp>
        <tr r="C5" s="2"/>
      </tp>
      <tp t="e">
        <v>#N/A</v>
        <stp/>
        <stp>VOLUME</stp>
        <stp>.SPY250505C581</stp>
        <tr r="B6" s="2"/>
      </tp>
      <tp t="e">
        <v>#N/A</v>
        <stp/>
        <stp>VOLUME</stp>
        <stp>.SPY250506C582</stp>
        <tr r="C5" s="2"/>
      </tp>
      <tp t="e">
        <v>#N/A</v>
        <stp/>
        <stp>VOLUME</stp>
        <stp>.SPY250505P580</stp>
        <tr r="B7" s="2"/>
      </tp>
      <tp t="e">
        <v>#N/A</v>
        <stp/>
        <stp>VOLUME</stp>
        <stp>.SPY250507P582</stp>
        <tr r="D5" s="2"/>
      </tp>
      <tp t="e">
        <v>#N/A</v>
        <stp/>
        <stp>VOLUME</stp>
        <stp>.SPY250505C580</stp>
        <tr r="B7" s="2"/>
      </tp>
      <tp t="e">
        <v>#N/A</v>
        <stp/>
        <stp>VOLUME</stp>
        <stp>.SPY250507C582</stp>
        <tr r="D5" s="2"/>
      </tp>
      <tp t="e">
        <v>#N/A</v>
        <stp/>
        <stp>VOLUME</stp>
        <stp>.SPY250502P580</stp>
        <tr r="BB6" s="1"/>
        <tr r="BB6" s="1"/>
      </tp>
      <tp t="e">
        <v>#N/A</v>
        <stp/>
        <stp>VOLUME</stp>
        <stp>.SPY250502C580</stp>
        <tr r="BA6" s="1"/>
        <tr r="BA6" s="1"/>
      </tp>
      <tp t="e">
        <v>#N/A</v>
        <stp/>
        <stp>VOLUME</stp>
        <stp>.SPY250502P581</stp>
        <tr r="BB5" s="1"/>
        <tr r="BB5" s="1"/>
      </tp>
      <tp t="e">
        <v>#N/A</v>
        <stp/>
        <stp>VOLUME</stp>
        <stp>.SPY250502C581</stp>
        <tr r="BA5" s="1"/>
        <tr r="BA5" s="1"/>
      </tp>
      <tp t="e">
        <v>#N/A</v>
        <stp/>
        <stp>VOLUME</stp>
        <stp>.SPY250502P582</stp>
        <tr r="BB4" s="1"/>
        <tr r="BB4" s="1"/>
      </tp>
      <tp t="e">
        <v>#N/A</v>
        <stp/>
        <stp>VOLUME</stp>
        <stp>.SPY250502C582</stp>
        <tr r="BA4" s="1"/>
        <tr r="BA4" s="1"/>
      </tp>
      <tp t="e">
        <v>#N/A</v>
        <stp/>
        <stp>VOLUME</stp>
        <stp>.SPY250508P582</stp>
        <tr r="E5" s="2"/>
      </tp>
      <tp t="e">
        <v>#N/A</v>
        <stp/>
        <stp>VOLUME</stp>
        <stp>.SPY250508C582</stp>
        <tr r="E5" s="2"/>
      </tp>
      <tp t="e">
        <v>#N/A</v>
        <stp/>
        <stp>VOLUME</stp>
        <stp>.SPY250509P582</stp>
        <tr r="BD4" s="1"/>
        <tr r="BD4" s="1"/>
      </tp>
      <tp t="e">
        <v>#N/A</v>
        <stp/>
        <stp>VOLUME</stp>
        <stp>.SPY250509C582</stp>
        <tr r="BC4" s="1"/>
        <tr r="BC4" s="1"/>
      </tp>
      <tp t="e">
        <v>#N/A</v>
        <stp/>
        <stp>VOLUME</stp>
        <stp>.SPY250508P580</stp>
        <tr r="E7" s="2"/>
      </tp>
      <tp t="e">
        <v>#N/A</v>
        <stp/>
        <stp>VOLUME</stp>
        <stp>.SPY250509P581</stp>
        <tr r="BD5" s="1"/>
        <tr r="BD5" s="1"/>
      </tp>
      <tp t="e">
        <v>#N/A</v>
        <stp/>
        <stp>VOLUME</stp>
        <stp>.SPY250508C580</stp>
        <tr r="E7" s="2"/>
      </tp>
      <tp t="e">
        <v>#N/A</v>
        <stp/>
        <stp>VOLUME</stp>
        <stp>.SPY250509C581</stp>
        <tr r="BC5" s="1"/>
        <tr r="BC5" s="1"/>
      </tp>
      <tp t="e">
        <v>#N/A</v>
        <stp/>
        <stp>VOLUME</stp>
        <stp>.SPY250508P581</stp>
        <tr r="E6" s="2"/>
      </tp>
      <tp t="e">
        <v>#N/A</v>
        <stp/>
        <stp>VOLUME</stp>
        <stp>.SPY250509P580</stp>
        <tr r="BD6" s="1"/>
        <tr r="BD6" s="1"/>
      </tp>
      <tp t="e">
        <v>#N/A</v>
        <stp/>
        <stp>VOLUME</stp>
        <stp>.SPY250508C581</stp>
        <tr r="E6" s="2"/>
      </tp>
      <tp t="e">
        <v>#N/A</v>
        <stp/>
        <stp>VOLUME</stp>
        <stp>.SPY250509C580</stp>
        <tr r="BC6" s="1"/>
        <tr r="BC6" s="1"/>
      </tp>
      <tp t="e">
        <v>#N/A</v>
        <stp/>
        <stp>VOLUME</stp>
        <stp>.SPY250530P582</stp>
        <tr r="I5" s="2"/>
      </tp>
      <tp t="e">
        <v>#N/A</v>
        <stp/>
        <stp>VOLUME</stp>
        <stp>.SPY250530C582</stp>
        <tr r="I5" s="2"/>
      </tp>
      <tp t="e">
        <v>#N/A</v>
        <stp/>
        <stp>VOLUME</stp>
        <stp>.SPY250530P580</stp>
        <tr r="I7" s="2"/>
      </tp>
      <tp t="e">
        <v>#N/A</v>
        <stp/>
        <stp>VOLUME</stp>
        <stp>.SPY250530C580</stp>
        <tr r="I7" s="2"/>
      </tp>
      <tp t="e">
        <v>#N/A</v>
        <stp/>
        <stp>VOLUME</stp>
        <stp>.SPY250530P581</stp>
        <tr r="I6" s="2"/>
      </tp>
      <tp t="e">
        <v>#N/A</v>
        <stp/>
        <stp>VOLUME</stp>
        <stp>.SPY250530C581</stp>
        <tr r="I6" s="2"/>
      </tp>
      <tp t="e">
        <v>#N/A</v>
        <stp/>
        <stp>VOLUME</stp>
        <stp>.SPY250523P581</stp>
        <tr r="H6" s="2"/>
      </tp>
      <tp t="e">
        <v>#N/A</v>
        <stp/>
        <stp>VOLUME</stp>
        <stp>.SPY250523C581</stp>
        <tr r="H6" s="2"/>
      </tp>
      <tp t="e">
        <v>#N/A</v>
        <stp/>
        <stp>VOLUME</stp>
        <stp>.SPY250523P580</stp>
        <tr r="H7" s="2"/>
      </tp>
      <tp t="e">
        <v>#N/A</v>
        <stp/>
        <stp>VOLUME</stp>
        <stp>.SPY250523C580</stp>
        <tr r="H7" s="2"/>
      </tp>
      <tp t="e">
        <v>#N/A</v>
        <stp/>
        <stp>VOLUME</stp>
        <stp>.SPY250523P582</stp>
        <tr r="H5" s="2"/>
      </tp>
      <tp t="e">
        <v>#N/A</v>
        <stp/>
        <stp>VOLUME</stp>
        <stp>.SPY250523C582</stp>
        <tr r="H5" s="2"/>
      </tp>
      <tp t="e">
        <v>#N/A</v>
        <stp/>
        <stp>VOLUME</stp>
        <stp>.SPY250502P554</stp>
        <tr r="BB32" s="1"/>
        <tr r="BB32" s="1"/>
      </tp>
      <tp t="e">
        <v>#N/A</v>
        <stp/>
        <stp>VOLUME</stp>
        <stp>.SPY250505P553</stp>
        <tr r="B34" s="2"/>
      </tp>
      <tp t="e">
        <v>#N/A</v>
        <stp/>
        <stp>VOLUME</stp>
        <stp>.SPY250506P550</stp>
        <tr r="C37" s="2"/>
      </tp>
      <tp t="e">
        <v>#N/A</v>
        <stp/>
        <stp>VOLUME</stp>
        <stp>.SPY250507P551</stp>
        <tr r="D36" s="2"/>
      </tp>
      <tp t="e">
        <v>#N/A</v>
        <stp/>
        <stp>VOLUME</stp>
        <stp>.SPY250523P575</stp>
        <tr r="H12" s="2"/>
      </tp>
      <tp t="e">
        <v>#N/A</v>
        <stp/>
        <stp>VOLUME</stp>
        <stp>.SPY250530P566</stp>
        <tr r="I21" s="2"/>
      </tp>
      <tp t="e">
        <v>#N/A</v>
        <stp/>
        <stp>VOLUME</stp>
        <stp>.SPY250502C554</stp>
        <tr r="BA32" s="1"/>
        <tr r="BA32" s="1"/>
      </tp>
      <tp t="e">
        <v>#N/A</v>
        <stp/>
        <stp>VOLUME</stp>
        <stp>.SPY250505C553</stp>
        <tr r="B34" s="2"/>
      </tp>
      <tp t="e">
        <v>#N/A</v>
        <stp/>
        <stp>VOLUME</stp>
        <stp>.SPY250506C550</stp>
        <tr r="C37" s="2"/>
      </tp>
      <tp t="e">
        <v>#N/A</v>
        <stp/>
        <stp>VOLUME</stp>
        <stp>.SPY250507C551</stp>
        <tr r="D36" s="2"/>
      </tp>
      <tp t="e">
        <v>#N/A</v>
        <stp/>
        <stp>VOLUME</stp>
        <stp>.SPY250523C575</stp>
        <tr r="H12" s="2"/>
      </tp>
      <tp t="e">
        <v>#N/A</v>
        <stp/>
        <stp>VOLUME</stp>
        <stp>.SPY250530C566</stp>
        <tr r="I21" s="2"/>
      </tp>
      <tp t="e">
        <v>#N/A</v>
        <stp/>
        <stp>VOLUME</stp>
        <stp>.SPY250502P555</stp>
        <tr r="BB31" s="1"/>
        <tr r="BB31" s="1"/>
      </tp>
      <tp t="e">
        <v>#N/A</v>
        <stp/>
        <stp>VOLUME</stp>
        <stp>.SPY250505P552</stp>
        <tr r="B35" s="2"/>
      </tp>
      <tp t="e">
        <v>#N/A</v>
        <stp/>
        <stp>VOLUME</stp>
        <stp>.SPY250506P551</stp>
        <tr r="C36" s="2"/>
      </tp>
      <tp t="e">
        <v>#N/A</v>
        <stp/>
        <stp>VOLUME</stp>
        <stp>.SPY250507P550</stp>
        <tr r="D37" s="2"/>
      </tp>
      <tp t="e">
        <v>#N/A</v>
        <stp/>
        <stp>VOLUME</stp>
        <stp>.SPY250523P574</stp>
        <tr r="H13" s="2"/>
      </tp>
      <tp t="e">
        <v>#N/A</v>
        <stp/>
        <stp>VOLUME</stp>
        <stp>.SPY250530P567</stp>
        <tr r="I20" s="2"/>
      </tp>
      <tp t="e">
        <v>#N/A</v>
        <stp/>
        <stp>VOLUME</stp>
        <stp>.SPY250502C555</stp>
        <tr r="BA31" s="1"/>
        <tr r="BA31" s="1"/>
      </tp>
      <tp t="e">
        <v>#N/A</v>
        <stp/>
        <stp>VOLUME</stp>
        <stp>.SPY250505C552</stp>
        <tr r="B35" s="2"/>
      </tp>
      <tp t="e">
        <v>#N/A</v>
        <stp/>
        <stp>VOLUME</stp>
        <stp>.SPY250506C551</stp>
        <tr r="C36" s="2"/>
      </tp>
      <tp t="e">
        <v>#N/A</v>
        <stp/>
        <stp>VOLUME</stp>
        <stp>.SPY250507C550</stp>
        <tr r="D37" s="2"/>
      </tp>
      <tp t="e">
        <v>#N/A</v>
        <stp/>
        <stp>VOLUME</stp>
        <stp>.SPY250523C574</stp>
        <tr r="H13" s="2"/>
      </tp>
      <tp t="e">
        <v>#N/A</v>
        <stp/>
        <stp>VOLUME</stp>
        <stp>.SPY250530C567</stp>
        <tr r="I20" s="2"/>
      </tp>
      <tp t="e">
        <v>#N/A</v>
        <stp/>
        <stp>VOLUME</stp>
        <stp>.SPY250502P556</stp>
        <tr r="BB30" s="1"/>
        <tr r="BB30" s="1"/>
      </tp>
      <tp t="e">
        <v>#N/A</v>
        <stp/>
        <stp>VOLUME</stp>
        <stp>.SPY250505P551</stp>
        <tr r="B36" s="2"/>
      </tp>
      <tp t="e">
        <v>#N/A</v>
        <stp/>
        <stp>VOLUME</stp>
        <stp>.SPY250506P552</stp>
        <tr r="C35" s="2"/>
      </tp>
      <tp t="e">
        <v>#N/A</v>
        <stp/>
        <stp>VOLUME</stp>
        <stp>.SPY250507P553</stp>
        <tr r="D34" s="2"/>
      </tp>
      <tp t="e">
        <v>#N/A</v>
        <stp/>
        <stp>VOLUME</stp>
        <stp>.SPY250523P577</stp>
        <tr r="H10" s="2"/>
      </tp>
      <tp t="e">
        <v>#N/A</v>
        <stp/>
        <stp>VOLUME</stp>
        <stp>.SPY250530P564</stp>
        <tr r="I23" s="2"/>
      </tp>
      <tp t="e">
        <v>#N/A</v>
        <stp/>
        <stp>VOLUME</stp>
        <stp>.SPY250502C556</stp>
        <tr r="BA30" s="1"/>
        <tr r="BA30" s="1"/>
      </tp>
      <tp t="e">
        <v>#N/A</v>
        <stp/>
        <stp>VOLUME</stp>
        <stp>.SPY250505C551</stp>
        <tr r="B36" s="2"/>
      </tp>
      <tp t="e">
        <v>#N/A</v>
        <stp/>
        <stp>VOLUME</stp>
        <stp>.SPY250506C552</stp>
        <tr r="C35" s="2"/>
      </tp>
      <tp t="e">
        <v>#N/A</v>
        <stp/>
        <stp>VOLUME</stp>
        <stp>.SPY250507C553</stp>
        <tr r="D34" s="2"/>
      </tp>
      <tp t="e">
        <v>#N/A</v>
        <stp/>
        <stp>VOLUME</stp>
        <stp>.SPY250523C577</stp>
        <tr r="H10" s="2"/>
      </tp>
      <tp t="e">
        <v>#N/A</v>
        <stp/>
        <stp>VOLUME</stp>
        <stp>.SPY250530C564</stp>
        <tr r="I23" s="2"/>
      </tp>
      <tp t="e">
        <v>#N/A</v>
        <stp/>
        <stp>VOLUME</stp>
        <stp>.SPY250502P557</stp>
        <tr r="BB29" s="1"/>
        <tr r="BB29" s="1"/>
      </tp>
      <tp t="e">
        <v>#N/A</v>
        <stp/>
        <stp>VOLUME</stp>
        <stp>.SPY250505P550</stp>
        <tr r="B37" s="2"/>
      </tp>
      <tp t="e">
        <v>#N/A</v>
        <stp/>
        <stp>VOLUME</stp>
        <stp>.SPY250506P553</stp>
        <tr r="C34" s="2"/>
      </tp>
      <tp t="e">
        <v>#N/A</v>
        <stp/>
        <stp>VOLUME</stp>
        <stp>.SPY250507P552</stp>
        <tr r="D35" s="2"/>
      </tp>
      <tp t="e">
        <v>#N/A</v>
        <stp/>
        <stp>VOLUME</stp>
        <stp>.SPY250523P576</stp>
        <tr r="H11" s="2"/>
      </tp>
      <tp t="e">
        <v>#N/A</v>
        <stp/>
        <stp>VOLUME</stp>
        <stp>.SPY250530P565</stp>
        <tr r="I22" s="2"/>
      </tp>
      <tp t="e">
        <v>#N/A</v>
        <stp/>
        <stp>VOLUME</stp>
        <stp>.SPY250502C557</stp>
        <tr r="BA29" s="1"/>
        <tr r="BA29" s="1"/>
      </tp>
      <tp t="e">
        <v>#N/A</v>
        <stp/>
        <stp>VOLUME</stp>
        <stp>.SPY250505C550</stp>
        <tr r="B37" s="2"/>
      </tp>
      <tp t="e">
        <v>#N/A</v>
        <stp/>
        <stp>VOLUME</stp>
        <stp>.SPY250506C553</stp>
        <tr r="C34" s="2"/>
      </tp>
      <tp t="e">
        <v>#N/A</v>
        <stp/>
        <stp>VOLUME</stp>
        <stp>.SPY250507C552</stp>
        <tr r="D35" s="2"/>
      </tp>
      <tp t="e">
        <v>#N/A</v>
        <stp/>
        <stp>VOLUME</stp>
        <stp>.SPY250523C576</stp>
        <tr r="H11" s="2"/>
      </tp>
      <tp t="e">
        <v>#N/A</v>
        <stp/>
        <stp>VOLUME</stp>
        <stp>.SPY250530C565</stp>
        <tr r="I22" s="2"/>
      </tp>
      <tp t="e">
        <v>#N/A</v>
        <stp/>
        <stp>VOLUME</stp>
        <stp>.SPY250502P550</stp>
        <tr r="BB36" s="1"/>
        <tr r="BB36" s="1"/>
      </tp>
      <tp t="e">
        <v>#N/A</v>
        <stp/>
        <stp>VOLUME</stp>
        <stp>.SPY250505P557</stp>
        <tr r="B30" s="2"/>
      </tp>
      <tp t="e">
        <v>#N/A</v>
        <stp/>
        <stp>VOLUME</stp>
        <stp>.SPY250506P554</stp>
        <tr r="C33" s="2"/>
      </tp>
      <tp t="e">
        <v>#N/A</v>
        <stp/>
        <stp>VOLUME</stp>
        <stp>.SPY250507P555</stp>
        <tr r="D32" s="2"/>
      </tp>
      <tp t="e">
        <v>#N/A</v>
        <stp/>
        <stp>VOLUME</stp>
        <stp>.SPY250523P571</stp>
        <tr r="H16" s="2"/>
      </tp>
      <tp t="e">
        <v>#N/A</v>
        <stp/>
        <stp>VOLUME</stp>
        <stp>.SPY250530P562</stp>
        <tr r="I25" s="2"/>
      </tp>
      <tp t="e">
        <v>#N/A</v>
        <stp/>
        <stp>VOLUME</stp>
        <stp>.SPY250502C550</stp>
        <tr r="BA36" s="1"/>
        <tr r="BA36" s="1"/>
      </tp>
      <tp t="e">
        <v>#N/A</v>
        <stp/>
        <stp>VOLUME</stp>
        <stp>.SPY250505C557</stp>
        <tr r="B30" s="2"/>
      </tp>
      <tp t="e">
        <v>#N/A</v>
        <stp/>
        <stp>VOLUME</stp>
        <stp>.SPY250506C554</stp>
        <tr r="C33" s="2"/>
      </tp>
      <tp t="e">
        <v>#N/A</v>
        <stp/>
        <stp>VOLUME</stp>
        <stp>.SPY250507C555</stp>
        <tr r="D32" s="2"/>
      </tp>
      <tp t="e">
        <v>#N/A</v>
        <stp/>
        <stp>VOLUME</stp>
        <stp>.SPY250523C571</stp>
        <tr r="H16" s="2"/>
      </tp>
      <tp t="e">
        <v>#N/A</v>
        <stp/>
        <stp>VOLUME</stp>
        <stp>.SPY250530C562</stp>
        <tr r="I25" s="2"/>
      </tp>
      <tp t="e">
        <v>#N/A</v>
        <stp/>
        <stp>VOLUME</stp>
        <stp>.SPY250502P551</stp>
        <tr r="BB35" s="1"/>
        <tr r="BB35" s="1"/>
      </tp>
      <tp t="e">
        <v>#N/A</v>
        <stp/>
        <stp>VOLUME</stp>
        <stp>.SPY250505P556</stp>
        <tr r="B31" s="2"/>
      </tp>
      <tp t="e">
        <v>#N/A</v>
        <stp/>
        <stp>VOLUME</stp>
        <stp>.SPY250506P555</stp>
        <tr r="C32" s="2"/>
      </tp>
      <tp t="e">
        <v>#N/A</v>
        <stp/>
        <stp>VOLUME</stp>
        <stp>.SPY250507P554</stp>
        <tr r="D33" s="2"/>
      </tp>
      <tp t="e">
        <v>#N/A</v>
        <stp/>
        <stp>VOLUME</stp>
        <stp>.SPY250523P570</stp>
        <tr r="H17" s="2"/>
      </tp>
      <tp t="e">
        <v>#N/A</v>
        <stp/>
        <stp>VOLUME</stp>
        <stp>.SPY250530P563</stp>
        <tr r="I24" s="2"/>
      </tp>
      <tp t="e">
        <v>#N/A</v>
        <stp/>
        <stp>VOLUME</stp>
        <stp>.SPY250502C551</stp>
        <tr r="BA35" s="1"/>
        <tr r="BA35" s="1"/>
      </tp>
      <tp t="e">
        <v>#N/A</v>
        <stp/>
        <stp>VOLUME</stp>
        <stp>.SPY250505C556</stp>
        <tr r="B31" s="2"/>
      </tp>
      <tp t="e">
        <v>#N/A</v>
        <stp/>
        <stp>VOLUME</stp>
        <stp>.SPY250506C555</stp>
        <tr r="C32" s="2"/>
      </tp>
      <tp t="e">
        <v>#N/A</v>
        <stp/>
        <stp>VOLUME</stp>
        <stp>.SPY250507C554</stp>
        <tr r="D33" s="2"/>
      </tp>
      <tp t="e">
        <v>#N/A</v>
        <stp/>
        <stp>VOLUME</stp>
        <stp>.SPY250523C570</stp>
        <tr r="H17" s="2"/>
      </tp>
      <tp t="e">
        <v>#N/A</v>
        <stp/>
        <stp>VOLUME</stp>
        <stp>.SPY250530C563</stp>
        <tr r="I24" s="2"/>
      </tp>
      <tp t="e">
        <v>#N/A</v>
        <stp/>
        <stp>VOLUME</stp>
        <stp>.SPY250502P552</stp>
        <tr r="BB34" s="1"/>
        <tr r="BB34" s="1"/>
      </tp>
      <tp t="e">
        <v>#N/A</v>
        <stp/>
        <stp>VOLUME</stp>
        <stp>.SPY250505P555</stp>
        <tr r="B32" s="2"/>
      </tp>
      <tp t="e">
        <v>#N/A</v>
        <stp/>
        <stp>VOLUME</stp>
        <stp>.SPY250506P556</stp>
        <tr r="C31" s="2"/>
      </tp>
      <tp t="e">
        <v>#N/A</v>
        <stp/>
        <stp>VOLUME</stp>
        <stp>.SPY250507P557</stp>
        <tr r="D30" s="2"/>
      </tp>
      <tp t="e">
        <v>#N/A</v>
        <stp/>
        <stp>VOLUME</stp>
        <stp>.SPY250508P558</stp>
        <tr r="E29" s="2"/>
      </tp>
      <tp t="e">
        <v>#N/A</v>
        <stp/>
        <stp>VOLUME</stp>
        <stp>.SPY250509P559</stp>
        <tr r="BD27" s="1"/>
        <tr r="BD27" s="1"/>
      </tp>
      <tp t="e">
        <v>#N/A</v>
        <stp/>
        <stp>VOLUME</stp>
        <stp>.SPY250523P573</stp>
        <tr r="H14" s="2"/>
      </tp>
      <tp t="e">
        <v>#N/A</v>
        <stp/>
        <stp>VOLUME</stp>
        <stp>.SPY250530P560</stp>
        <tr r="I27" s="2"/>
      </tp>
      <tp t="e">
        <v>#N/A</v>
        <stp/>
        <stp>VOLUME</stp>
        <stp>.SPY250502C552</stp>
        <tr r="BA34" s="1"/>
        <tr r="BA34" s="1"/>
      </tp>
      <tp t="e">
        <v>#N/A</v>
        <stp/>
        <stp>VOLUME</stp>
        <stp>.SPY250505C555</stp>
        <tr r="B32" s="2"/>
      </tp>
      <tp t="e">
        <v>#N/A</v>
        <stp/>
        <stp>VOLUME</stp>
        <stp>.SPY250506C556</stp>
        <tr r="C31" s="2"/>
      </tp>
      <tp t="e">
        <v>#N/A</v>
        <stp/>
        <stp>VOLUME</stp>
        <stp>.SPY250507C557</stp>
        <tr r="D30" s="2"/>
      </tp>
      <tp t="e">
        <v>#N/A</v>
        <stp/>
        <stp>VOLUME</stp>
        <stp>.SPY250508C558</stp>
        <tr r="E29" s="2"/>
      </tp>
      <tp t="e">
        <v>#N/A</v>
        <stp/>
        <stp>VOLUME</stp>
        <stp>.SPY250509C559</stp>
        <tr r="BC27" s="1"/>
        <tr r="BC27" s="1"/>
      </tp>
      <tp t="e">
        <v>#N/A</v>
        <stp/>
        <stp>VOLUME</stp>
        <stp>.SPY250523C573</stp>
        <tr r="H14" s="2"/>
      </tp>
      <tp t="e">
        <v>#N/A</v>
        <stp/>
        <stp>VOLUME</stp>
        <stp>.SPY250530C560</stp>
        <tr r="I27" s="2"/>
      </tp>
      <tp t="e">
        <v>#N/A</v>
        <stp/>
        <stp>VOLUME</stp>
        <stp>.SPY250502P553</stp>
        <tr r="BB33" s="1"/>
        <tr r="BB33" s="1"/>
      </tp>
      <tp t="e">
        <v>#N/A</v>
        <stp/>
        <stp>VOLUME</stp>
        <stp>.SPY250505P554</stp>
        <tr r="B33" s="2"/>
      </tp>
      <tp t="e">
        <v>#N/A</v>
        <stp/>
        <stp>VOLUME</stp>
        <stp>.SPY250506P557</stp>
        <tr r="C30" s="2"/>
      </tp>
      <tp t="e">
        <v>#N/A</v>
        <stp/>
        <stp>VOLUME</stp>
        <stp>.SPY250507P556</stp>
        <tr r="D31" s="2"/>
      </tp>
      <tp t="e">
        <v>#N/A</v>
        <stp/>
        <stp>VOLUME</stp>
        <stp>.SPY250508P559</stp>
        <tr r="E28" s="2"/>
      </tp>
      <tp t="e">
        <v>#N/A</v>
        <stp/>
        <stp>VOLUME</stp>
        <stp>.SPY250509P558</stp>
        <tr r="BD28" s="1"/>
        <tr r="BD28" s="1"/>
      </tp>
      <tp t="e">
        <v>#N/A</v>
        <stp/>
        <stp>VOLUME</stp>
        <stp>.SPY250523P572</stp>
        <tr r="H15" s="2"/>
      </tp>
      <tp t="e">
        <v>#N/A</v>
        <stp/>
        <stp>VOLUME</stp>
        <stp>.SPY250530P561</stp>
        <tr r="I26" s="2"/>
      </tp>
      <tp t="e">
        <v>#N/A</v>
        <stp/>
        <stp>VOLUME</stp>
        <stp>.SPY250502C553</stp>
        <tr r="BA33" s="1"/>
        <tr r="BA33" s="1"/>
      </tp>
      <tp t="e">
        <v>#N/A</v>
        <stp/>
        <stp>VOLUME</stp>
        <stp>.SPY250505C554</stp>
        <tr r="B33" s="2"/>
      </tp>
      <tp t="e">
        <v>#N/A</v>
        <stp/>
        <stp>VOLUME</stp>
        <stp>.SPY250506C557</stp>
        <tr r="C30" s="2"/>
      </tp>
      <tp t="e">
        <v>#N/A</v>
        <stp/>
        <stp>VOLUME</stp>
        <stp>.SPY250507C556</stp>
        <tr r="D31" s="2"/>
      </tp>
      <tp t="e">
        <v>#N/A</v>
        <stp/>
        <stp>VOLUME</stp>
        <stp>.SPY250508C559</stp>
        <tr r="E28" s="2"/>
      </tp>
      <tp t="e">
        <v>#N/A</v>
        <stp/>
        <stp>VOLUME</stp>
        <stp>.SPY250509C558</stp>
        <tr r="BC28" s="1"/>
        <tr r="BC28" s="1"/>
      </tp>
      <tp t="e">
        <v>#N/A</v>
        <stp/>
        <stp>VOLUME</stp>
        <stp>.SPY250523C572</stp>
        <tr r="H15" s="2"/>
      </tp>
      <tp t="e">
        <v>#N/A</v>
        <stp/>
        <stp>VOLUME</stp>
        <stp>.SPY250530C561</stp>
        <tr r="I26" s="2"/>
      </tp>
      <tp t="e">
        <v>#N/A</v>
        <stp/>
        <stp>VOLUME</stp>
        <stp>.SPY250506P558</stp>
        <tr r="C29" s="2"/>
      </tp>
      <tp t="e">
        <v>#N/A</v>
        <stp/>
        <stp>VOLUME</stp>
        <stp>.SPY250507P559</stp>
        <tr r="D28" s="2"/>
      </tp>
      <tp t="e">
        <v>#N/A</v>
        <stp/>
        <stp>VOLUME</stp>
        <stp>.SPY250508P556</stp>
        <tr r="E31" s="2"/>
      </tp>
      <tp t="e">
        <v>#N/A</v>
        <stp/>
        <stp>VOLUME</stp>
        <stp>.SPY250509P557</stp>
        <tr r="BD29" s="1"/>
        <tr r="BD29" s="1"/>
      </tp>
      <tp t="e">
        <v>#N/A</v>
        <stp/>
        <stp>VOLUME</stp>
        <stp>.SPY250516P548</stp>
        <tr r="BF38" s="1"/>
        <tr r="BF38" s="1"/>
      </tp>
      <tp t="e">
        <v>#N/A</v>
        <stp/>
        <stp>VOLUME</stp>
        <stp>.SPY250506C558</stp>
        <tr r="C29" s="2"/>
      </tp>
      <tp t="e">
        <v>#N/A</v>
        <stp/>
        <stp>VOLUME</stp>
        <stp>.SPY250507C559</stp>
        <tr r="D28" s="2"/>
      </tp>
      <tp t="e">
        <v>#N/A</v>
        <stp/>
        <stp>VOLUME</stp>
        <stp>.SPY250508C556</stp>
        <tr r="E31" s="2"/>
      </tp>
      <tp t="e">
        <v>#N/A</v>
        <stp/>
        <stp>VOLUME</stp>
        <stp>.SPY250509C557</stp>
        <tr r="BC29" s="1"/>
        <tr r="BC29" s="1"/>
      </tp>
      <tp t="e">
        <v>#N/A</v>
        <stp/>
        <stp>VOLUME</stp>
        <stp>.SPY250516C548</stp>
        <tr r="BE38" s="1"/>
        <tr r="BE38" s="1"/>
      </tp>
      <tp t="e">
        <v>#N/A</v>
        <stp/>
        <stp>VOLUME</stp>
        <stp>.SPY250506P559</stp>
        <tr r="C28" s="2"/>
      </tp>
      <tp t="e">
        <v>#N/A</v>
        <stp/>
        <stp>VOLUME</stp>
        <stp>.SPY250507P558</stp>
        <tr r="D29" s="2"/>
      </tp>
      <tp t="e">
        <v>#N/A</v>
        <stp/>
        <stp>VOLUME</stp>
        <stp>.SPY250508P557</stp>
        <tr r="E30" s="2"/>
      </tp>
      <tp t="e">
        <v>#N/A</v>
        <stp/>
        <stp>VOLUME</stp>
        <stp>.SPY250509P556</stp>
        <tr r="BD30" s="1"/>
        <tr r="BD30" s="1"/>
      </tp>
      <tp t="e">
        <v>#N/A</v>
        <stp/>
        <stp>VOLUME</stp>
        <stp>.SPY250516P549</stp>
        <tr r="BF37" s="1"/>
        <tr r="BF37" s="1"/>
      </tp>
      <tp t="e">
        <v>#N/A</v>
        <stp/>
        <stp>VOLUME</stp>
        <stp>.SPY250506C559</stp>
        <tr r="C28" s="2"/>
      </tp>
      <tp t="e">
        <v>#N/A</v>
        <stp/>
        <stp>VOLUME</stp>
        <stp>.SPY250507C558</stp>
        <tr r="D29" s="2"/>
      </tp>
      <tp t="e">
        <v>#N/A</v>
        <stp/>
        <stp>VOLUME</stp>
        <stp>.SPY250508C557</stp>
        <tr r="E30" s="2"/>
      </tp>
      <tp t="e">
        <v>#N/A</v>
        <stp/>
        <stp>VOLUME</stp>
        <stp>.SPY250509C556</stp>
        <tr r="BC30" s="1"/>
        <tr r="BC30" s="1"/>
      </tp>
      <tp t="e">
        <v>#N/A</v>
        <stp/>
        <stp>VOLUME</stp>
        <stp>.SPY250516C549</stp>
        <tr r="BE37" s="1"/>
        <tr r="BE37" s="1"/>
      </tp>
      <tp t="e">
        <v>#N/A</v>
        <stp/>
        <stp>VOLUME</stp>
        <stp>.SPY250505P559</stp>
        <tr r="B28" s="2"/>
      </tp>
      <tp t="e">
        <v>#N/A</v>
        <stp/>
        <stp>VOLUME</stp>
        <stp>.SPY250508P554</stp>
        <tr r="E33" s="2"/>
      </tp>
      <tp t="e">
        <v>#N/A</v>
        <stp/>
        <stp>VOLUME</stp>
        <stp>.SPY250509P555</stp>
        <tr r="BD31" s="1"/>
        <tr r="BD31" s="1"/>
      </tp>
      <tp t="e">
        <v>#N/A</v>
        <stp/>
        <stp>VOLUME</stp>
        <stp>.SPY250505C559</stp>
        <tr r="B28" s="2"/>
      </tp>
      <tp t="e">
        <v>#N/A</v>
        <stp/>
        <stp>VOLUME</stp>
        <stp>.SPY250508C554</stp>
        <tr r="E33" s="2"/>
      </tp>
      <tp t="e">
        <v>#N/A</v>
        <stp/>
        <stp>VOLUME</stp>
        <stp>.SPY250509C555</stp>
        <tr r="BC31" s="1"/>
        <tr r="BC31" s="1"/>
      </tp>
      <tp t="e">
        <v>#N/A</v>
        <stp/>
        <stp>VOLUME</stp>
        <stp>.SPY250505P558</stp>
        <tr r="B29" s="2"/>
      </tp>
      <tp t="e">
        <v>#N/A</v>
        <stp/>
        <stp>VOLUME</stp>
        <stp>.SPY250508P555</stp>
        <tr r="E32" s="2"/>
      </tp>
      <tp t="e">
        <v>#N/A</v>
        <stp/>
        <stp>VOLUME</stp>
        <stp>.SPY250509P554</stp>
        <tr r="BD32" s="1"/>
        <tr r="BD32" s="1"/>
      </tp>
      <tp t="e">
        <v>#N/A</v>
        <stp/>
        <stp>VOLUME</stp>
        <stp>.SPY250505C558</stp>
        <tr r="B29" s="2"/>
      </tp>
      <tp t="e">
        <v>#N/A</v>
        <stp/>
        <stp>VOLUME</stp>
        <stp>.SPY250508C555</stp>
        <tr r="E32" s="2"/>
      </tp>
      <tp t="e">
        <v>#N/A</v>
        <stp/>
        <stp>VOLUME</stp>
        <stp>.SPY250509C554</stp>
        <tr r="BC32" s="1"/>
        <tr r="BC32" s="1"/>
      </tp>
      <tp t="e">
        <v>#N/A</v>
        <stp/>
        <stp>VOLUME</stp>
        <stp>.SPY250502P558</stp>
        <tr r="BB28" s="1"/>
        <tr r="BB28" s="1"/>
      </tp>
      <tp t="e">
        <v>#N/A</v>
        <stp/>
        <stp>VOLUME</stp>
        <stp>.SPY250508P552</stp>
        <tr r="E35" s="2"/>
      </tp>
      <tp t="e">
        <v>#N/A</v>
        <stp/>
        <stp>VOLUME</stp>
        <stp>.SPY250509P553</stp>
        <tr r="BD33" s="1"/>
        <tr r="BD33" s="1"/>
      </tp>
      <tp t="e">
        <v>#N/A</v>
        <stp/>
        <stp>VOLUME</stp>
        <stp>.SPY250523P579</stp>
        <tr r="H8" s="2"/>
      </tp>
      <tp t="e">
        <v>#N/A</v>
        <stp/>
        <stp>VOLUME</stp>
        <stp>.SPY250502C558</stp>
        <tr r="BA28" s="1"/>
        <tr r="BA28" s="1"/>
      </tp>
      <tp t="e">
        <v>#N/A</v>
        <stp/>
        <stp>VOLUME</stp>
        <stp>.SPY250508C552</stp>
        <tr r="E35" s="2"/>
      </tp>
      <tp t="e">
        <v>#N/A</v>
        <stp/>
        <stp>VOLUME</stp>
        <stp>.SPY250509C553</stp>
        <tr r="BC33" s="1"/>
        <tr r="BC33" s="1"/>
      </tp>
      <tp t="e">
        <v>#N/A</v>
        <stp/>
        <stp>VOLUME</stp>
        <stp>.SPY250523C579</stp>
        <tr r="H8" s="2"/>
      </tp>
      <tp t="e">
        <v>#N/A</v>
        <stp/>
        <stp>VOLUME</stp>
        <stp>.SPY250502P559</stp>
        <tr r="BB27" s="1"/>
        <tr r="BB27" s="1"/>
      </tp>
      <tp t="e">
        <v>#N/A</v>
        <stp/>
        <stp>VOLUME</stp>
        <stp>.SPY250508P553</stp>
        <tr r="E34" s="2"/>
      </tp>
      <tp t="e">
        <v>#N/A</v>
        <stp/>
        <stp>VOLUME</stp>
        <stp>.SPY250509P552</stp>
        <tr r="BD34" s="1"/>
        <tr r="BD34" s="1"/>
      </tp>
      <tp t="e">
        <v>#N/A</v>
        <stp/>
        <stp>VOLUME</stp>
        <stp>.SPY250523P578</stp>
        <tr r="H9" s="2"/>
      </tp>
      <tp t="e">
        <v>#N/A</v>
        <stp/>
        <stp>VOLUME</stp>
        <stp>.SPY250502C559</stp>
        <tr r="BA27" s="1"/>
        <tr r="BA27" s="1"/>
      </tp>
      <tp t="e">
        <v>#N/A</v>
        <stp/>
        <stp>VOLUME</stp>
        <stp>.SPY250508C553</stp>
        <tr r="E34" s="2"/>
      </tp>
      <tp t="e">
        <v>#N/A</v>
        <stp/>
        <stp>VOLUME</stp>
        <stp>.SPY250509C552</stp>
        <tr r="BC34" s="1"/>
        <tr r="BC34" s="1"/>
      </tp>
      <tp t="e">
        <v>#N/A</v>
        <stp/>
        <stp>VOLUME</stp>
        <stp>.SPY250523C578</stp>
        <tr r="H9" s="2"/>
      </tp>
      <tp t="e">
        <v>#N/A</v>
        <stp/>
        <stp>VOLUME</stp>
        <stp>.SPY250508P550</stp>
        <tr r="E37" s="2"/>
      </tp>
      <tp t="e">
        <v>#N/A</v>
        <stp/>
        <stp>VOLUME</stp>
        <stp>.SPY250509P551</stp>
        <tr r="BD35" s="1"/>
        <tr r="BD35" s="1"/>
      </tp>
      <tp t="e">
        <v>#N/A</v>
        <stp/>
        <stp>VOLUME</stp>
        <stp>.SPY250530P568</stp>
        <tr r="I19" s="2"/>
      </tp>
      <tp t="e">
        <v>#N/A</v>
        <stp/>
        <stp>VOLUME</stp>
        <stp>.SPY250508C550</stp>
        <tr r="E37" s="2"/>
      </tp>
      <tp t="e">
        <v>#N/A</v>
        <stp/>
        <stp>VOLUME</stp>
        <stp>.SPY250509C551</stp>
        <tr r="BC35" s="1"/>
        <tr r="BC35" s="1"/>
      </tp>
      <tp t="e">
        <v>#N/A</v>
        <stp/>
        <stp>VOLUME</stp>
        <stp>.SPY250530C568</stp>
        <tr r="I19" s="2"/>
      </tp>
      <tp t="e">
        <v>#N/A</v>
        <stp/>
        <stp>VOLUME</stp>
        <stp>.SPY250508P551</stp>
        <tr r="E36" s="2"/>
      </tp>
      <tp t="e">
        <v>#N/A</v>
        <stp/>
        <stp>VOLUME</stp>
        <stp>.SPY250509P550</stp>
        <tr r="BD36" s="1"/>
        <tr r="BD36" s="1"/>
      </tp>
      <tp t="e">
        <v>#N/A</v>
        <stp/>
        <stp>VOLUME</stp>
        <stp>.SPY250530P569</stp>
        <tr r="I18" s="2"/>
      </tp>
      <tp t="e">
        <v>#N/A</v>
        <stp/>
        <stp>VOLUME</stp>
        <stp>.SPY250508C551</stp>
        <tr r="E36" s="2"/>
      </tp>
      <tp t="e">
        <v>#N/A</v>
        <stp/>
        <stp>VOLUME</stp>
        <stp>.SPY250509C550</stp>
        <tr r="BC36" s="1"/>
        <tr r="BC36" s="1"/>
      </tp>
      <tp t="e">
        <v>#N/A</v>
        <stp/>
        <stp>VOLUME</stp>
        <stp>.SPY250530C569</stp>
        <tr r="I18" s="2"/>
      </tp>
      <tp t="e">
        <v>#N/A</v>
        <stp/>
        <stp>VOLUME</stp>
        <stp>.SPY250516P550</stp>
        <tr r="BF36" s="1"/>
        <tr r="BF36" s="1"/>
      </tp>
      <tp t="e">
        <v>#N/A</v>
        <stp/>
        <stp>VOLUME</stp>
        <stp>.SPY250523P565</stp>
        <tr r="H22" s="2"/>
      </tp>
      <tp t="e">
        <v>#N/A</v>
        <stp/>
        <stp>VOLUME</stp>
        <stp>.SPY250530P576</stp>
        <tr r="I11" s="2"/>
      </tp>
      <tp t="e">
        <v>#N/A</v>
        <stp/>
        <stp>VOLUME</stp>
        <stp>.SPY250516C550</stp>
        <tr r="BE36" s="1"/>
        <tr r="BE36" s="1"/>
      </tp>
      <tp t="e">
        <v>#N/A</v>
        <stp/>
        <stp>VOLUME</stp>
        <stp>.SPY250523C565</stp>
        <tr r="H22" s="2"/>
      </tp>
      <tp t="e">
        <v>#N/A</v>
        <stp/>
        <stp>VOLUME</stp>
        <stp>.SPY250530C576</stp>
        <tr r="I11" s="2"/>
      </tp>
      <tp t="e">
        <v>#N/A</v>
        <stp/>
        <stp>VOLUME</stp>
        <stp>.SPY250516P551</stp>
        <tr r="BF35" s="1"/>
        <tr r="BF35" s="1"/>
      </tp>
      <tp t="e">
        <v>#N/A</v>
        <stp/>
        <stp>VOLUME</stp>
        <stp>.SPY250523P564</stp>
        <tr r="H23" s="2"/>
      </tp>
      <tp t="e">
        <v>#N/A</v>
        <stp/>
        <stp>VOLUME</stp>
        <stp>.SPY250530P577</stp>
        <tr r="I10" s="2"/>
      </tp>
      <tp t="e">
        <v>#N/A</v>
        <stp/>
        <stp>VOLUME</stp>
        <stp>.SPY250516C551</stp>
        <tr r="BE35" s="1"/>
        <tr r="BE35" s="1"/>
      </tp>
      <tp t="e">
        <v>#N/A</v>
        <stp/>
        <stp>VOLUME</stp>
        <stp>.SPY250523C564</stp>
        <tr r="H23" s="2"/>
      </tp>
      <tp t="e">
        <v>#N/A</v>
        <stp/>
        <stp>VOLUME</stp>
        <stp>.SPY250530C577</stp>
        <tr r="I10" s="2"/>
      </tp>
      <tp t="e">
        <v>#N/A</v>
        <stp/>
        <stp>VOLUME</stp>
        <stp>.SPY250516P552</stp>
        <tr r="BF34" s="1"/>
        <tr r="BF34" s="1"/>
      </tp>
      <tp t="e">
        <v>#N/A</v>
        <stp/>
        <stp>VOLUME</stp>
        <stp>.SPY250523P567</stp>
        <tr r="H20" s="2"/>
      </tp>
      <tp t="e">
        <v>#N/A</v>
        <stp/>
        <stp>VOLUME</stp>
        <stp>.SPY250530P574</stp>
        <tr r="I13" s="2"/>
      </tp>
      <tp t="e">
        <v>#N/A</v>
        <stp/>
        <stp>VOLUME</stp>
        <stp>.SPY250516C552</stp>
        <tr r="BE34" s="1"/>
        <tr r="BE34" s="1"/>
      </tp>
      <tp t="e">
        <v>#N/A</v>
        <stp/>
        <stp>VOLUME</stp>
        <stp>.SPY250523C567</stp>
        <tr r="H20" s="2"/>
      </tp>
      <tp t="e">
        <v>#N/A</v>
        <stp/>
        <stp>VOLUME</stp>
        <stp>.SPY250530C574</stp>
        <tr r="I13" s="2"/>
      </tp>
      <tp t="e">
        <v>#N/A</v>
        <stp/>
        <stp>VOLUME</stp>
        <stp>.SPY250516P553</stp>
        <tr r="BF33" s="1"/>
        <tr r="BF33" s="1"/>
      </tp>
      <tp t="e">
        <v>#N/A</v>
        <stp/>
        <stp>VOLUME</stp>
        <stp>.SPY250523P566</stp>
        <tr r="H21" s="2"/>
      </tp>
      <tp t="e">
        <v>#N/A</v>
        <stp/>
        <stp>VOLUME</stp>
        <stp>.SPY250530P575</stp>
        <tr r="I12" s="2"/>
      </tp>
      <tp t="e">
        <v>#N/A</v>
        <stp/>
        <stp>VOLUME</stp>
        <stp>.SPY250516C553</stp>
        <tr r="BE33" s="1"/>
        <tr r="BE33" s="1"/>
      </tp>
      <tp t="e">
        <v>#N/A</v>
        <stp/>
        <stp>VOLUME</stp>
        <stp>.SPY250523C566</stp>
        <tr r="H21" s="2"/>
      </tp>
      <tp t="e">
        <v>#N/A</v>
        <stp/>
        <stp>VOLUME</stp>
        <stp>.SPY250530C575</stp>
        <tr r="I12" s="2"/>
      </tp>
      <tp t="e">
        <v>#N/A</v>
        <stp/>
        <stp>VOLUME</stp>
        <stp>.SPY250516P554</stp>
        <tr r="BF32" s="1"/>
        <tr r="BF32" s="1"/>
      </tp>
      <tp t="e">
        <v>#N/A</v>
        <stp/>
        <stp>VOLUME</stp>
        <stp>.SPY250523P561</stp>
        <tr r="H26" s="2"/>
      </tp>
      <tp t="e">
        <v>#N/A</v>
        <stp/>
        <stp>VOLUME</stp>
        <stp>.SPY250530P572</stp>
        <tr r="I15" s="2"/>
      </tp>
      <tp t="e">
        <v>#N/A</v>
        <stp/>
        <stp>VOLUME</stp>
        <stp>.SPY250516C554</stp>
        <tr r="BE32" s="1"/>
        <tr r="BE32" s="1"/>
      </tp>
      <tp t="e">
        <v>#N/A</v>
        <stp/>
        <stp>VOLUME</stp>
        <stp>.SPY250523C561</stp>
        <tr r="H26" s="2"/>
      </tp>
      <tp t="e">
        <v>#N/A</v>
        <stp/>
        <stp>VOLUME</stp>
        <stp>.SPY250530C572</stp>
        <tr r="I15" s="2"/>
      </tp>
      <tp t="e">
        <v>#N/A</v>
        <stp/>
        <stp>VOLUME</stp>
        <stp>.SPY250516P555</stp>
        <tr r="BF31" s="1"/>
        <tr r="BF31" s="1"/>
      </tp>
      <tp t="e">
        <v>#N/A</v>
        <stp/>
        <stp>VOLUME</stp>
        <stp>.SPY250523P560</stp>
        <tr r="H27" s="2"/>
      </tp>
      <tp t="e">
        <v>#N/A</v>
        <stp/>
        <stp>VOLUME</stp>
        <stp>.SPY250530P573</stp>
        <tr r="I14" s="2"/>
      </tp>
      <tp t="e">
        <v>#N/A</v>
        <stp/>
        <stp>VOLUME</stp>
        <stp>.SPY250516C555</stp>
        <tr r="BE31" s="1"/>
        <tr r="BE31" s="1"/>
      </tp>
      <tp t="e">
        <v>#N/A</v>
        <stp/>
        <stp>VOLUME</stp>
        <stp>.SPY250523C560</stp>
        <tr r="H27" s="2"/>
      </tp>
      <tp t="e">
        <v>#N/A</v>
        <stp/>
        <stp>VOLUME</stp>
        <stp>.SPY250530C573</stp>
        <tr r="I14" s="2"/>
      </tp>
      <tp t="e">
        <v>#N/A</v>
        <stp/>
        <stp>VOLUME</stp>
        <stp>.SPY250508P548</stp>
        <tr r="E39" s="2"/>
      </tp>
      <tp t="e">
        <v>#N/A</v>
        <stp/>
        <stp>VOLUME</stp>
        <stp>.SPY250509P549</stp>
        <tr r="BD37" s="1"/>
        <tr r="BD37" s="1"/>
      </tp>
      <tp t="e">
        <v>#N/A</v>
        <stp/>
        <stp>VOLUME</stp>
        <stp>.SPY250516P556</stp>
        <tr r="BF30" s="1"/>
        <tr r="BF30" s="1"/>
      </tp>
      <tp t="e">
        <v>#N/A</v>
        <stp/>
        <stp>VOLUME</stp>
        <stp>.SPY250523P563</stp>
        <tr r="H24" s="2"/>
      </tp>
      <tp t="e">
        <v>#N/A</v>
        <stp/>
        <stp>VOLUME</stp>
        <stp>.SPY250530P570</stp>
        <tr r="I17" s="2"/>
      </tp>
      <tp t="e">
        <v>#N/A</v>
        <stp/>
        <stp>VOLUME</stp>
        <stp>.SPY250508C548</stp>
        <tr r="E39" s="2"/>
      </tp>
      <tp t="e">
        <v>#N/A</v>
        <stp/>
        <stp>VOLUME</stp>
        <stp>.SPY250509C549</stp>
        <tr r="BC37" s="1"/>
        <tr r="BC37" s="1"/>
      </tp>
      <tp t="e">
        <v>#N/A</v>
        <stp/>
        <stp>VOLUME</stp>
        <stp>.SPY250516C556</stp>
        <tr r="BE30" s="1"/>
        <tr r="BE30" s="1"/>
      </tp>
      <tp t="e">
        <v>#N/A</v>
        <stp/>
        <stp>VOLUME</stp>
        <stp>.SPY250523C563</stp>
        <tr r="H24" s="2"/>
      </tp>
      <tp t="e">
        <v>#N/A</v>
        <stp/>
        <stp>VOLUME</stp>
        <stp>.SPY250530C570</stp>
        <tr r="I17" s="2"/>
      </tp>
      <tp t="e">
        <v>#N/A</v>
        <stp/>
        <stp>VOLUME</stp>
        <stp>.SPY250508P549</stp>
        <tr r="E38" s="2"/>
      </tp>
      <tp t="e">
        <v>#N/A</v>
        <stp/>
        <stp>VOLUME</stp>
        <stp>.SPY250509P548</stp>
        <tr r="BD38" s="1"/>
        <tr r="BD38" s="1"/>
      </tp>
      <tp t="e">
        <v>#N/A</v>
        <stp/>
        <stp>VOLUME</stp>
        <stp>.SPY250516P557</stp>
        <tr r="BF29" s="1"/>
        <tr r="BF29" s="1"/>
      </tp>
      <tp t="e">
        <v>#N/A</v>
        <stp/>
        <stp>VOLUME</stp>
        <stp>.SPY250523P562</stp>
        <tr r="H25" s="2"/>
      </tp>
      <tp t="e">
        <v>#N/A</v>
        <stp/>
        <stp>VOLUME</stp>
        <stp>.SPY250530P571</stp>
        <tr r="I16" s="2"/>
      </tp>
      <tp t="e">
        <v>#N/A</v>
        <stp/>
        <stp>VOLUME</stp>
        <stp>.SPY250508C549</stp>
        <tr r="E38" s="2"/>
      </tp>
      <tp t="e">
        <v>#N/A</v>
        <stp/>
        <stp>VOLUME</stp>
        <stp>.SPY250509C548</stp>
        <tr r="BC38" s="1"/>
        <tr r="BC38" s="1"/>
      </tp>
      <tp t="e">
        <v>#N/A</v>
        <stp/>
        <stp>VOLUME</stp>
        <stp>.SPY250516C557</stp>
        <tr r="BE29" s="1"/>
        <tr r="BE29" s="1"/>
      </tp>
      <tp t="e">
        <v>#N/A</v>
        <stp/>
        <stp>VOLUME</stp>
        <stp>.SPY250523C562</stp>
        <tr r="H25" s="2"/>
      </tp>
      <tp t="e">
        <v>#N/A</v>
        <stp/>
        <stp>VOLUME</stp>
        <stp>.SPY250530C571</stp>
        <tr r="I16" s="2"/>
      </tp>
      <tp t="e">
        <v>#N/A</v>
        <stp/>
        <stp>VOLUME</stp>
        <stp>.SPY250506P548</stp>
        <tr r="C39" s="2"/>
      </tp>
      <tp t="e">
        <v>#N/A</v>
        <stp/>
        <stp>VOLUME</stp>
        <stp>.SPY250507P549</stp>
        <tr r="D38" s="2"/>
      </tp>
      <tp t="e">
        <v>#N/A</v>
        <stp/>
        <stp>VOLUME</stp>
        <stp>.SPY250516P558</stp>
        <tr r="BF28" s="1"/>
        <tr r="BF28" s="1"/>
      </tp>
      <tp t="e">
        <v>#N/A</v>
        <stp/>
        <stp>VOLUME</stp>
        <stp>.SPY250506C548</stp>
        <tr r="C39" s="2"/>
      </tp>
      <tp t="e">
        <v>#N/A</v>
        <stp/>
        <stp>VOLUME</stp>
        <stp>.SPY250507C549</stp>
        <tr r="D38" s="2"/>
      </tp>
      <tp t="e">
        <v>#N/A</v>
        <stp/>
        <stp>VOLUME</stp>
        <stp>.SPY250516C558</stp>
        <tr r="BE28" s="1"/>
        <tr r="BE28" s="1"/>
      </tp>
      <tp t="e">
        <v>#N/A</v>
        <stp/>
        <stp>VOLUME</stp>
        <stp>.SPY250506P549</stp>
        <tr r="C38" s="2"/>
      </tp>
      <tp t="e">
        <v>#N/A</v>
        <stp/>
        <stp>VOLUME</stp>
        <stp>.SPY250507P548</stp>
        <tr r="D39" s="2"/>
      </tp>
      <tp t="e">
        <v>#N/A</v>
        <stp/>
        <stp>VOLUME</stp>
        <stp>.SPY250516P559</stp>
        <tr r="BF27" s="1"/>
        <tr r="BF27" s="1"/>
      </tp>
      <tp t="e">
        <v>#N/A</v>
        <stp/>
        <stp>VOLUME</stp>
        <stp>.SPY250506C549</stp>
        <tr r="C38" s="2"/>
      </tp>
      <tp t="e">
        <v>#N/A</v>
        <stp/>
        <stp>VOLUME</stp>
        <stp>.SPY250507C548</stp>
        <tr r="D39" s="2"/>
      </tp>
      <tp t="e">
        <v>#N/A</v>
        <stp/>
        <stp>VOLUME</stp>
        <stp>.SPY250516C559</stp>
        <tr r="BE27" s="1"/>
        <tr r="BE27" s="1"/>
      </tp>
      <tp t="e">
        <v>#N/A</v>
        <stp/>
        <stp>VOLUME</stp>
        <stp>.SPY250505P549</stp>
        <tr r="B38" s="2"/>
      </tp>
      <tp t="e">
        <v>#N/A</v>
        <stp/>
        <stp>VOLUME</stp>
        <stp>.SPY250505C549</stp>
        <tr r="B38" s="2"/>
      </tp>
      <tp t="e">
        <v>#N/A</v>
        <stp/>
        <stp>VOLUME</stp>
        <stp>.SPY250505P548</stp>
        <tr r="B39" s="2"/>
      </tp>
      <tp t="e">
        <v>#N/A</v>
        <stp/>
        <stp>VOLUME</stp>
        <stp>.SPY250505C548</stp>
        <tr r="B39" s="2"/>
      </tp>
      <tp t="e">
        <v>#N/A</v>
        <stp/>
        <stp>VOLUME</stp>
        <stp>.SPY250502P548</stp>
        <tr r="BB38" s="1"/>
        <tr r="BB38" s="1"/>
      </tp>
      <tp t="e">
        <v>#N/A</v>
        <stp/>
        <stp>VOLUME</stp>
        <stp>.SPY250523P569</stp>
        <tr r="H18" s="2"/>
      </tp>
      <tp t="e">
        <v>#N/A</v>
        <stp/>
        <stp>VOLUME</stp>
        <stp>.SPY250502C548</stp>
        <tr r="BA38" s="1"/>
        <tr r="BA38" s="1"/>
      </tp>
      <tp t="e">
        <v>#N/A</v>
        <stp/>
        <stp>VOLUME</stp>
        <stp>.SPY250523C569</stp>
        <tr r="H18" s="2"/>
      </tp>
      <tp t="e">
        <v>#N/A</v>
        <stp/>
        <stp>VOLUME</stp>
        <stp>.SPY250502P549</stp>
        <tr r="BB37" s="1"/>
        <tr r="BB37" s="1"/>
      </tp>
      <tp t="e">
        <v>#N/A</v>
        <stp/>
        <stp>VOLUME</stp>
        <stp>.SPY250523P568</stp>
        <tr r="H19" s="2"/>
      </tp>
      <tp t="e">
        <v>#N/A</v>
        <stp/>
        <stp>VOLUME</stp>
        <stp>.SPY250502C549</stp>
        <tr r="BA37" s="1"/>
        <tr r="BA37" s="1"/>
      </tp>
      <tp t="e">
        <v>#N/A</v>
        <stp/>
        <stp>VOLUME</stp>
        <stp>.SPY250523C568</stp>
        <tr r="H19" s="2"/>
      </tp>
      <tp t="e">
        <v>#N/A</v>
        <stp/>
        <stp>VOLUME</stp>
        <stp>.SPY250530P578</stp>
        <tr r="I9" s="2"/>
      </tp>
      <tp t="e">
        <v>#N/A</v>
        <stp/>
        <stp>VOLUME</stp>
        <stp>.SPY250530C578</stp>
        <tr r="I9" s="2"/>
      </tp>
      <tp t="e">
        <v>#N/A</v>
        <stp/>
        <stp>VOLUME</stp>
        <stp>.SPY250530P579</stp>
        <tr r="I8" s="2"/>
      </tp>
      <tp t="e">
        <v>#N/A</v>
        <stp/>
        <stp>VOLUME</stp>
        <stp>.SPY250530C579</stp>
        <tr r="I8" s="2"/>
      </tp>
      <tp t="e">
        <v>#N/A</v>
        <stp/>
        <stp>VOLUME</stp>
        <stp>.SPY250502P574</stp>
        <tr r="BB12" s="1"/>
        <tr r="BB12" s="1"/>
      </tp>
      <tp t="e">
        <v>#N/A</v>
        <stp/>
        <stp>VOLUME</stp>
        <stp>.SPY250505P573</stp>
        <tr r="B14" s="2"/>
      </tp>
      <tp t="e">
        <v>#N/A</v>
        <stp/>
        <stp>VOLUME</stp>
        <stp>.SPY250506P570</stp>
        <tr r="C17" s="2"/>
      </tp>
      <tp t="e">
        <v>#N/A</v>
        <stp/>
        <stp>VOLUME</stp>
        <stp>.SPY250507P571</stp>
        <tr r="D16" s="2"/>
      </tp>
      <tp t="e">
        <v>#N/A</v>
        <stp/>
        <stp>VOLUME</stp>
        <stp>.SPY250516P560</stp>
        <tr r="BF26" s="1"/>
        <tr r="BF26" s="1"/>
      </tp>
      <tp t="e">
        <v>#N/A</v>
        <stp/>
        <stp>VOLUME</stp>
        <stp>.SPY250523P555</stp>
        <tr r="H32" s="2"/>
      </tp>
      <tp t="e">
        <v>#N/A</v>
        <stp/>
        <stp>VOLUME</stp>
        <stp>.SPY250502C574</stp>
        <tr r="BA12" s="1"/>
        <tr r="BA12" s="1"/>
      </tp>
      <tp t="e">
        <v>#N/A</v>
        <stp/>
        <stp>VOLUME</stp>
        <stp>.SPY250505C573</stp>
        <tr r="B14" s="2"/>
      </tp>
      <tp t="e">
        <v>#N/A</v>
        <stp/>
        <stp>VOLUME</stp>
        <stp>.SPY250506C570</stp>
        <tr r="C17" s="2"/>
      </tp>
      <tp t="e">
        <v>#N/A</v>
        <stp/>
        <stp>VOLUME</stp>
        <stp>.SPY250507C571</stp>
        <tr r="D16" s="2"/>
      </tp>
      <tp t="e">
        <v>#N/A</v>
        <stp/>
        <stp>VOLUME</stp>
        <stp>.SPY250516C560</stp>
        <tr r="BE26" s="1"/>
        <tr r="BE26" s="1"/>
      </tp>
      <tp t="e">
        <v>#N/A</v>
        <stp/>
        <stp>VOLUME</stp>
        <stp>.SPY250523C555</stp>
        <tr r="H32" s="2"/>
      </tp>
      <tp t="e">
        <v>#N/A</v>
        <stp/>
        <stp>VOLUME</stp>
        <stp>.SPY250502P575</stp>
        <tr r="BB11" s="1"/>
        <tr r="BB11" s="1"/>
      </tp>
      <tp t="e">
        <v>#N/A</v>
        <stp/>
        <stp>VOLUME</stp>
        <stp>.SPY250505P572</stp>
        <tr r="B15" s="2"/>
      </tp>
      <tp t="e">
        <v>#N/A</v>
        <stp/>
        <stp>VOLUME</stp>
        <stp>.SPY250506P571</stp>
        <tr r="C16" s="2"/>
      </tp>
      <tp t="e">
        <v>#N/A</v>
        <stp/>
        <stp>VOLUME</stp>
        <stp>.SPY250507P570</stp>
        <tr r="D17" s="2"/>
      </tp>
      <tp t="e">
        <v>#N/A</v>
        <stp/>
        <stp>VOLUME</stp>
        <stp>.SPY250516P561</stp>
        <tr r="BF25" s="1"/>
        <tr r="BF25" s="1"/>
      </tp>
      <tp t="e">
        <v>#N/A</v>
        <stp/>
        <stp>VOLUME</stp>
        <stp>.SPY250523P554</stp>
        <tr r="H33" s="2"/>
      </tp>
      <tp t="e">
        <v>#N/A</v>
        <stp/>
        <stp>VOLUME</stp>
        <stp>.SPY250502C575</stp>
        <tr r="BA11" s="1"/>
        <tr r="BA11" s="1"/>
      </tp>
      <tp t="e">
        <v>#N/A</v>
        <stp/>
        <stp>VOLUME</stp>
        <stp>.SPY250505C572</stp>
        <tr r="B15" s="2"/>
      </tp>
      <tp t="e">
        <v>#N/A</v>
        <stp/>
        <stp>VOLUME</stp>
        <stp>.SPY250506C571</stp>
        <tr r="C16" s="2"/>
      </tp>
      <tp t="e">
        <v>#N/A</v>
        <stp/>
        <stp>VOLUME</stp>
        <stp>.SPY250507C570</stp>
        <tr r="D17" s="2"/>
      </tp>
      <tp t="e">
        <v>#N/A</v>
        <stp/>
        <stp>VOLUME</stp>
        <stp>.SPY250516C561</stp>
        <tr r="BE25" s="1"/>
        <tr r="BE25" s="1"/>
      </tp>
      <tp t="e">
        <v>#N/A</v>
        <stp/>
        <stp>VOLUME</stp>
        <stp>.SPY250523C554</stp>
        <tr r="H33" s="2"/>
      </tp>
      <tp t="e">
        <v>#N/A</v>
        <stp/>
        <stp>VOLUME</stp>
        <stp>.SPY250502P576</stp>
        <tr r="BB10" s="1"/>
        <tr r="BB10" s="1"/>
      </tp>
      <tp t="e">
        <v>#N/A</v>
        <stp/>
        <stp>VOLUME</stp>
        <stp>.SPY250505P571</stp>
        <tr r="B16" s="2"/>
      </tp>
      <tp t="e">
        <v>#N/A</v>
        <stp/>
        <stp>VOLUME</stp>
        <stp>.SPY250506P572</stp>
        <tr r="C15" s="2"/>
      </tp>
      <tp t="e">
        <v>#N/A</v>
        <stp/>
        <stp>VOLUME</stp>
        <stp>.SPY250507P573</stp>
        <tr r="D14" s="2"/>
      </tp>
      <tp t="e">
        <v>#N/A</v>
        <stp/>
        <stp>VOLUME</stp>
        <stp>.SPY250516P562</stp>
        <tr r="BF24" s="1"/>
        <tr r="BF24" s="1"/>
      </tp>
      <tp t="e">
        <v>#N/A</v>
        <stp/>
        <stp>VOLUME</stp>
        <stp>.SPY250523P557</stp>
        <tr r="H30" s="2"/>
      </tp>
      <tp t="e">
        <v>#N/A</v>
        <stp/>
        <stp>VOLUME</stp>
        <stp>.SPY250502C576</stp>
        <tr r="BA10" s="1"/>
        <tr r="BA10" s="1"/>
      </tp>
      <tp t="e">
        <v>#N/A</v>
        <stp/>
        <stp>VOLUME</stp>
        <stp>.SPY250505C571</stp>
        <tr r="B16" s="2"/>
      </tp>
      <tp t="e">
        <v>#N/A</v>
        <stp/>
        <stp>VOLUME</stp>
        <stp>.SPY250506C572</stp>
        <tr r="C15" s="2"/>
      </tp>
      <tp t="e">
        <v>#N/A</v>
        <stp/>
        <stp>VOLUME</stp>
        <stp>.SPY250507C573</stp>
        <tr r="D14" s="2"/>
      </tp>
      <tp t="e">
        <v>#N/A</v>
        <stp/>
        <stp>VOLUME</stp>
        <stp>.SPY250516C562</stp>
        <tr r="BE24" s="1"/>
        <tr r="BE24" s="1"/>
      </tp>
      <tp t="e">
        <v>#N/A</v>
        <stp/>
        <stp>VOLUME</stp>
        <stp>.SPY250523C557</stp>
        <tr r="H30" s="2"/>
      </tp>
      <tp t="e">
        <v>#N/A</v>
        <stp/>
        <stp>VOLUME</stp>
        <stp>.SPY250502P577</stp>
        <tr r="BB9" s="1"/>
        <tr r="BB9" s="1"/>
      </tp>
      <tp t="e">
        <v>#N/A</v>
        <stp/>
        <stp>VOLUME</stp>
        <stp>.SPY250505P570</stp>
        <tr r="B17" s="2"/>
      </tp>
      <tp t="e">
        <v>#N/A</v>
        <stp/>
        <stp>VOLUME</stp>
        <stp>.SPY250506P573</stp>
        <tr r="C14" s="2"/>
      </tp>
      <tp t="e">
        <v>#N/A</v>
        <stp/>
        <stp>VOLUME</stp>
        <stp>.SPY250507P572</stp>
        <tr r="D15" s="2"/>
      </tp>
      <tp t="e">
        <v>#N/A</v>
        <stp/>
        <stp>VOLUME</stp>
        <stp>.SPY250516P563</stp>
        <tr r="BF23" s="1"/>
        <tr r="BF23" s="1"/>
      </tp>
      <tp t="e">
        <v>#N/A</v>
        <stp/>
        <stp>VOLUME</stp>
        <stp>.SPY250523P556</stp>
        <tr r="H31" s="2"/>
      </tp>
      <tp t="e">
        <v>#N/A</v>
        <stp/>
        <stp>VOLUME</stp>
        <stp>.SPY250502C577</stp>
        <tr r="BA9" s="1"/>
        <tr r="BA9" s="1"/>
      </tp>
      <tp t="e">
        <v>#N/A</v>
        <stp/>
        <stp>VOLUME</stp>
        <stp>.SPY250505C570</stp>
        <tr r="B17" s="2"/>
      </tp>
      <tp t="e">
        <v>#N/A</v>
        <stp/>
        <stp>VOLUME</stp>
        <stp>.SPY250506C573</stp>
        <tr r="C14" s="2"/>
      </tp>
      <tp t="e">
        <v>#N/A</v>
        <stp/>
        <stp>VOLUME</stp>
        <stp>.SPY250507C572</stp>
        <tr r="D15" s="2"/>
      </tp>
      <tp t="e">
        <v>#N/A</v>
        <stp/>
        <stp>VOLUME</stp>
        <stp>.SPY250516C563</stp>
        <tr r="BE23" s="1"/>
        <tr r="BE23" s="1"/>
      </tp>
      <tp t="e">
        <v>#N/A</v>
        <stp/>
        <stp>VOLUME</stp>
        <stp>.SPY250523C556</stp>
        <tr r="H31" s="2"/>
      </tp>
      <tp t="e">
        <v>#N/A</v>
        <stp/>
        <stp>VOLUME</stp>
        <stp>.SPY250502P570</stp>
        <tr r="BB16" s="1"/>
        <tr r="BB16" s="1"/>
      </tp>
      <tp t="e">
        <v>#N/A</v>
        <stp/>
        <stp>VOLUME</stp>
        <stp>.SPY250505P577</stp>
        <tr r="B10" s="2"/>
      </tp>
      <tp t="e">
        <v>#N/A</v>
        <stp/>
        <stp>VOLUME</stp>
        <stp>.SPY250506P574</stp>
        <tr r="C13" s="2"/>
      </tp>
      <tp t="e">
        <v>#N/A</v>
        <stp/>
        <stp>VOLUME</stp>
        <stp>.SPY250507P575</stp>
        <tr r="D12" s="2"/>
      </tp>
      <tp t="e">
        <v>#N/A</v>
        <stp/>
        <stp>VOLUME</stp>
        <stp>.SPY250516P564</stp>
        <tr r="BF22" s="1"/>
        <tr r="BF22" s="1"/>
      </tp>
      <tp t="e">
        <v>#N/A</v>
        <stp/>
        <stp>VOLUME</stp>
        <stp>.SPY250523P551</stp>
        <tr r="H36" s="2"/>
      </tp>
      <tp t="e">
        <v>#N/A</v>
        <stp/>
        <stp>VOLUME</stp>
        <stp>.SPY250502C570</stp>
        <tr r="BA16" s="1"/>
        <tr r="BA16" s="1"/>
      </tp>
      <tp t="e">
        <v>#N/A</v>
        <stp/>
        <stp>VOLUME</stp>
        <stp>.SPY250505C577</stp>
        <tr r="B10" s="2"/>
      </tp>
      <tp t="e">
        <v>#N/A</v>
        <stp/>
        <stp>VOLUME</stp>
        <stp>.SPY250506C574</stp>
        <tr r="C13" s="2"/>
      </tp>
      <tp t="e">
        <v>#N/A</v>
        <stp/>
        <stp>VOLUME</stp>
        <stp>.SPY250507C575</stp>
        <tr r="D12" s="2"/>
      </tp>
      <tp t="e">
        <v>#N/A</v>
        <stp/>
        <stp>VOLUME</stp>
        <stp>.SPY250516C564</stp>
        <tr r="BE22" s="1"/>
        <tr r="BE22" s="1"/>
      </tp>
      <tp t="e">
        <v>#N/A</v>
        <stp/>
        <stp>VOLUME</stp>
        <stp>.SPY250523C551</stp>
        <tr r="H36" s="2"/>
      </tp>
      <tp t="e">
        <v>#N/A</v>
        <stp/>
        <stp>VOLUME</stp>
        <stp>.SPY250502P571</stp>
        <tr r="BB15" s="1"/>
        <tr r="BB15" s="1"/>
      </tp>
      <tp t="e">
        <v>#N/A</v>
        <stp/>
        <stp>VOLUME</stp>
        <stp>.SPY250505P576</stp>
        <tr r="B11" s="2"/>
      </tp>
      <tp t="e">
        <v>#N/A</v>
        <stp/>
        <stp>VOLUME</stp>
        <stp>.SPY250506P575</stp>
        <tr r="C12" s="2"/>
      </tp>
      <tp t="e">
        <v>#N/A</v>
        <stp/>
        <stp>VOLUME</stp>
        <stp>.SPY250507P574</stp>
        <tr r="D13" s="2"/>
      </tp>
      <tp t="e">
        <v>#N/A</v>
        <stp/>
        <stp>VOLUME</stp>
        <stp>.SPY250516P565</stp>
        <tr r="BF21" s="1"/>
        <tr r="BF21" s="1"/>
      </tp>
      <tp t="e">
        <v>#N/A</v>
        <stp/>
        <stp>VOLUME</stp>
        <stp>.SPY250523P550</stp>
        <tr r="H37" s="2"/>
      </tp>
      <tp t="e">
        <v>#N/A</v>
        <stp/>
        <stp>VOLUME</stp>
        <stp>.SPY250502C571</stp>
        <tr r="BA15" s="1"/>
        <tr r="BA15" s="1"/>
      </tp>
      <tp t="e">
        <v>#N/A</v>
        <stp/>
        <stp>VOLUME</stp>
        <stp>.SPY250505C576</stp>
        <tr r="B11" s="2"/>
      </tp>
      <tp t="e">
        <v>#N/A</v>
        <stp/>
        <stp>VOLUME</stp>
        <stp>.SPY250506C575</stp>
        <tr r="C12" s="2"/>
      </tp>
      <tp t="e">
        <v>#N/A</v>
        <stp/>
        <stp>VOLUME</stp>
        <stp>.SPY250507C574</stp>
        <tr r="D13" s="2"/>
      </tp>
      <tp t="e">
        <v>#N/A</v>
        <stp/>
        <stp>VOLUME</stp>
        <stp>.SPY250516C565</stp>
        <tr r="BE21" s="1"/>
        <tr r="BE21" s="1"/>
      </tp>
      <tp t="e">
        <v>#N/A</v>
        <stp/>
        <stp>VOLUME</stp>
        <stp>.SPY250523C550</stp>
        <tr r="H37" s="2"/>
      </tp>
      <tp t="e">
        <v>#N/A</v>
        <stp/>
        <stp>VOLUME</stp>
        <stp>.SPY250502P572</stp>
        <tr r="BB14" s="1"/>
        <tr r="BB14" s="1"/>
      </tp>
      <tp t="e">
        <v>#N/A</v>
        <stp/>
        <stp>VOLUME</stp>
        <stp>.SPY250505P575</stp>
        <tr r="B12" s="2"/>
      </tp>
      <tp t="e">
        <v>#N/A</v>
        <stp/>
        <stp>VOLUME</stp>
        <stp>.SPY250506P576</stp>
        <tr r="C11" s="2"/>
      </tp>
      <tp t="e">
        <v>#N/A</v>
        <stp/>
        <stp>VOLUME</stp>
        <stp>.SPY250507P577</stp>
        <tr r="D10" s="2"/>
      </tp>
      <tp t="e">
        <v>#N/A</v>
        <stp/>
        <stp>VOLUME</stp>
        <stp>.SPY250508P578</stp>
        <tr r="E9" s="2"/>
      </tp>
      <tp t="e">
        <v>#N/A</v>
        <stp/>
        <stp>VOLUME</stp>
        <stp>.SPY250509P579</stp>
        <tr r="BD7" s="1"/>
        <tr r="BD7" s="1"/>
      </tp>
      <tp t="e">
        <v>#N/A</v>
        <stp/>
        <stp>VOLUME</stp>
        <stp>.SPY250516P566</stp>
        <tr r="BF20" s="1"/>
        <tr r="BF20" s="1"/>
      </tp>
      <tp t="e">
        <v>#N/A</v>
        <stp/>
        <stp>VOLUME</stp>
        <stp>.SPY250523P553</stp>
        <tr r="H34" s="2"/>
      </tp>
      <tp t="e">
        <v>#N/A</v>
        <stp/>
        <stp>VOLUME</stp>
        <stp>.SPY250502C572</stp>
        <tr r="BA14" s="1"/>
        <tr r="BA14" s="1"/>
      </tp>
      <tp t="e">
        <v>#N/A</v>
        <stp/>
        <stp>VOLUME</stp>
        <stp>.SPY250505C575</stp>
        <tr r="B12" s="2"/>
      </tp>
      <tp t="e">
        <v>#N/A</v>
        <stp/>
        <stp>VOLUME</stp>
        <stp>.SPY250506C576</stp>
        <tr r="C11" s="2"/>
      </tp>
      <tp t="e">
        <v>#N/A</v>
        <stp/>
        <stp>VOLUME</stp>
        <stp>.SPY250507C577</stp>
        <tr r="D10" s="2"/>
      </tp>
      <tp t="e">
        <v>#N/A</v>
        <stp/>
        <stp>VOLUME</stp>
        <stp>.SPY250508C578</stp>
        <tr r="E9" s="2"/>
      </tp>
      <tp t="e">
        <v>#N/A</v>
        <stp/>
        <stp>VOLUME</stp>
        <stp>.SPY250509C579</stp>
        <tr r="BC7" s="1"/>
        <tr r="BC7" s="1"/>
      </tp>
      <tp t="e">
        <v>#N/A</v>
        <stp/>
        <stp>VOLUME</stp>
        <stp>.SPY250516C566</stp>
        <tr r="BE20" s="1"/>
        <tr r="BE20" s="1"/>
      </tp>
      <tp t="e">
        <v>#N/A</v>
        <stp/>
        <stp>VOLUME</stp>
        <stp>.SPY250523C553</stp>
        <tr r="H34" s="2"/>
      </tp>
      <tp t="e">
        <v>#N/A</v>
        <stp/>
        <stp>VOLUME</stp>
        <stp>.SPY250502P573</stp>
        <tr r="BB13" s="1"/>
        <tr r="BB13" s="1"/>
      </tp>
      <tp t="e">
        <v>#N/A</v>
        <stp/>
        <stp>VOLUME</stp>
        <stp>.SPY250505P574</stp>
        <tr r="B13" s="2"/>
      </tp>
      <tp t="e">
        <v>#N/A</v>
        <stp/>
        <stp>VOLUME</stp>
        <stp>.SPY250506P577</stp>
        <tr r="C10" s="2"/>
      </tp>
      <tp t="e">
        <v>#N/A</v>
        <stp/>
        <stp>VOLUME</stp>
        <stp>.SPY250507P576</stp>
        <tr r="D11" s="2"/>
      </tp>
      <tp t="e">
        <v>#N/A</v>
        <stp/>
        <stp>VOLUME</stp>
        <stp>.SPY250508P579</stp>
        <tr r="E8" s="2"/>
      </tp>
      <tp t="e">
        <v>#N/A</v>
        <stp/>
        <stp>VOLUME</stp>
        <stp>.SPY250509P578</stp>
        <tr r="BD8" s="1"/>
        <tr r="BD8" s="1"/>
      </tp>
      <tp t="e">
        <v>#N/A</v>
        <stp/>
        <stp>VOLUME</stp>
        <stp>.SPY250516P567</stp>
        <tr r="BF19" s="1"/>
        <tr r="BF19" s="1"/>
      </tp>
      <tp t="e">
        <v>#N/A</v>
        <stp/>
        <stp>VOLUME</stp>
        <stp>.SPY250523P552</stp>
        <tr r="H35" s="2"/>
      </tp>
      <tp t="e">
        <v>#N/A</v>
        <stp/>
        <stp>VOLUME</stp>
        <stp>.SPY250502C573</stp>
        <tr r="BA13" s="1"/>
        <tr r="BA13" s="1"/>
      </tp>
      <tp t="e">
        <v>#N/A</v>
        <stp/>
        <stp>VOLUME</stp>
        <stp>.SPY250505C574</stp>
        <tr r="B13" s="2"/>
      </tp>
      <tp t="e">
        <v>#N/A</v>
        <stp/>
        <stp>VOLUME</stp>
        <stp>.SPY250506C577</stp>
        <tr r="C10" s="2"/>
      </tp>
      <tp t="e">
        <v>#N/A</v>
        <stp/>
        <stp>VOLUME</stp>
        <stp>.SPY250507C576</stp>
        <tr r="D11" s="2"/>
      </tp>
      <tp t="e">
        <v>#N/A</v>
        <stp/>
        <stp>VOLUME</stp>
        <stp>.SPY250508C579</stp>
        <tr r="E8" s="2"/>
      </tp>
      <tp t="e">
        <v>#N/A</v>
        <stp/>
        <stp>VOLUME</stp>
        <stp>.SPY250509C578</stp>
        <tr r="BC8" s="1"/>
        <tr r="BC8" s="1"/>
      </tp>
      <tp t="e">
        <v>#N/A</v>
        <stp/>
        <stp>VOLUME</stp>
        <stp>.SPY250516C567</stp>
        <tr r="BE19" s="1"/>
        <tr r="BE19" s="1"/>
      </tp>
      <tp t="e">
        <v>#N/A</v>
        <stp/>
        <stp>VOLUME</stp>
        <stp>.SPY250523C552</stp>
        <tr r="H35" s="2"/>
      </tp>
      <tp t="e">
        <v>#N/A</v>
        <stp/>
        <stp>VOLUME</stp>
        <stp>.SPY250506P578</stp>
        <tr r="C9" s="2"/>
      </tp>
      <tp t="e">
        <v>#N/A</v>
        <stp/>
        <stp>VOLUME</stp>
        <stp>.SPY250507P579</stp>
        <tr r="D8" s="2"/>
      </tp>
      <tp t="e">
        <v>#N/A</v>
        <stp/>
        <stp>VOLUME</stp>
        <stp>.SPY250508P576</stp>
        <tr r="E11" s="2"/>
      </tp>
      <tp t="e">
        <v>#N/A</v>
        <stp/>
        <stp>VOLUME</stp>
        <stp>.SPY250509P577</stp>
        <tr r="BD9" s="1"/>
        <tr r="BD9" s="1"/>
      </tp>
      <tp t="e">
        <v>#N/A</v>
        <stp/>
        <stp>VOLUME</stp>
        <stp>.SPY250516P568</stp>
        <tr r="BF18" s="1"/>
        <tr r="BF18" s="1"/>
      </tp>
      <tp t="e">
        <v>#N/A</v>
        <stp/>
        <stp>VOLUME</stp>
        <stp>.SPY250506C578</stp>
        <tr r="C9" s="2"/>
      </tp>
      <tp t="e">
        <v>#N/A</v>
        <stp/>
        <stp>VOLUME</stp>
        <stp>.SPY250507C579</stp>
        <tr r="D8" s="2"/>
      </tp>
      <tp t="e">
        <v>#N/A</v>
        <stp/>
        <stp>VOLUME</stp>
        <stp>.SPY250508C576</stp>
        <tr r="E11" s="2"/>
      </tp>
      <tp t="e">
        <v>#N/A</v>
        <stp/>
        <stp>VOLUME</stp>
        <stp>.SPY250509C577</stp>
        <tr r="BC9" s="1"/>
        <tr r="BC9" s="1"/>
      </tp>
      <tp t="e">
        <v>#N/A</v>
        <stp/>
        <stp>VOLUME</stp>
        <stp>.SPY250516C568</stp>
        <tr r="BE18" s="1"/>
        <tr r="BE18" s="1"/>
      </tp>
      <tp t="e">
        <v>#N/A</v>
        <stp/>
        <stp>VOLUME</stp>
        <stp>.SPY250506P579</stp>
        <tr r="C8" s="2"/>
      </tp>
      <tp t="e">
        <v>#N/A</v>
        <stp/>
        <stp>VOLUME</stp>
        <stp>.SPY250507P578</stp>
        <tr r="D9" s="2"/>
      </tp>
      <tp t="e">
        <v>#N/A</v>
        <stp/>
        <stp>VOLUME</stp>
        <stp>.SPY250508P577</stp>
        <tr r="E10" s="2"/>
      </tp>
      <tp t="e">
        <v>#N/A</v>
        <stp/>
        <stp>VOLUME</stp>
        <stp>.SPY250509P576</stp>
        <tr r="BD10" s="1"/>
        <tr r="BD10" s="1"/>
      </tp>
      <tp t="e">
        <v>#N/A</v>
        <stp/>
        <stp>VOLUME</stp>
        <stp>.SPY250516P569</stp>
        <tr r="BF17" s="1"/>
        <tr r="BF17" s="1"/>
      </tp>
      <tp t="e">
        <v>#N/A</v>
        <stp/>
        <stp>VOLUME</stp>
        <stp>.SPY250506C579</stp>
        <tr r="C8" s="2"/>
      </tp>
      <tp t="e">
        <v>#N/A</v>
        <stp/>
        <stp>VOLUME</stp>
        <stp>.SPY250507C578</stp>
        <tr r="D9" s="2"/>
      </tp>
      <tp t="e">
        <v>#N/A</v>
        <stp/>
        <stp>VOLUME</stp>
        <stp>.SPY250508C577</stp>
        <tr r="E10" s="2"/>
      </tp>
      <tp t="e">
        <v>#N/A</v>
        <stp/>
        <stp>VOLUME</stp>
        <stp>.SPY250509C576</stp>
        <tr r="BC10" s="1"/>
        <tr r="BC10" s="1"/>
      </tp>
      <tp t="e">
        <v>#N/A</v>
        <stp/>
        <stp>VOLUME</stp>
        <stp>.SPY250516C569</stp>
        <tr r="BE17" s="1"/>
        <tr r="BE17" s="1"/>
      </tp>
      <tp t="e">
        <v>#N/A</v>
        <stp/>
        <stp>VOLUME</stp>
        <stp>.SPY250505P579</stp>
        <tr r="B8" s="2"/>
      </tp>
      <tp t="e">
        <v>#N/A</v>
        <stp/>
        <stp>VOLUME</stp>
        <stp>.SPY250508P574</stp>
        <tr r="E13" s="2"/>
      </tp>
      <tp t="e">
        <v>#N/A</v>
        <stp/>
        <stp>VOLUME</stp>
        <stp>.SPY250509P575</stp>
        <tr r="BD11" s="1"/>
        <tr r="BD11" s="1"/>
      </tp>
      <tp t="e">
        <v>#N/A</v>
        <stp/>
        <stp>VOLUME</stp>
        <stp>.SPY250505C579</stp>
        <tr r="B8" s="2"/>
      </tp>
      <tp t="e">
        <v>#N/A</v>
        <stp/>
        <stp>VOLUME</stp>
        <stp>.SPY250508C574</stp>
        <tr r="E13" s="2"/>
      </tp>
      <tp t="e">
        <v>#N/A</v>
        <stp/>
        <stp>VOLUME</stp>
        <stp>.SPY250509C575</stp>
        <tr r="BC11" s="1"/>
        <tr r="BC11" s="1"/>
      </tp>
      <tp t="e">
        <v>#N/A</v>
        <stp/>
        <stp>VOLUME</stp>
        <stp>.SPY250505P578</stp>
        <tr r="B9" s="2"/>
      </tp>
      <tp t="e">
        <v>#N/A</v>
        <stp/>
        <stp>VOLUME</stp>
        <stp>.SPY250508P575</stp>
        <tr r="E12" s="2"/>
      </tp>
      <tp t="e">
        <v>#N/A</v>
        <stp/>
        <stp>VOLUME</stp>
        <stp>.SPY250509P574</stp>
        <tr r="BD12" s="1"/>
        <tr r="BD12" s="1"/>
      </tp>
      <tp t="e">
        <v>#N/A</v>
        <stp/>
        <stp>VOLUME</stp>
        <stp>.SPY250505C578</stp>
        <tr r="B9" s="2"/>
      </tp>
      <tp t="e">
        <v>#N/A</v>
        <stp/>
        <stp>VOLUME</stp>
        <stp>.SPY250508C575</stp>
        <tr r="E12" s="2"/>
      </tp>
      <tp t="e">
        <v>#N/A</v>
        <stp/>
        <stp>VOLUME</stp>
        <stp>.SPY250509C574</stp>
        <tr r="BC12" s="1"/>
        <tr r="BC12" s="1"/>
      </tp>
      <tp t="e">
        <v>#N/A</v>
        <stp/>
        <stp>VOLUME</stp>
        <stp>.SPY250502P578</stp>
        <tr r="BB8" s="1"/>
        <tr r="BB8" s="1"/>
      </tp>
      <tp t="e">
        <v>#N/A</v>
        <stp/>
        <stp>VOLUME</stp>
        <stp>.SPY250508P572</stp>
        <tr r="E15" s="2"/>
      </tp>
      <tp t="e">
        <v>#N/A</v>
        <stp/>
        <stp>VOLUME</stp>
        <stp>.SPY250509P573</stp>
        <tr r="BD13" s="1"/>
        <tr r="BD13" s="1"/>
      </tp>
      <tp t="e">
        <v>#N/A</v>
        <stp/>
        <stp>VOLUME</stp>
        <stp>.SPY250523P559</stp>
        <tr r="H28" s="2"/>
      </tp>
      <tp t="e">
        <v>#N/A</v>
        <stp/>
        <stp>VOLUME</stp>
        <stp>.SPY250502C578</stp>
        <tr r="BA8" s="1"/>
        <tr r="BA8" s="1"/>
      </tp>
      <tp t="e">
        <v>#N/A</v>
        <stp/>
        <stp>VOLUME</stp>
        <stp>.SPY250508C572</stp>
        <tr r="E15" s="2"/>
      </tp>
      <tp t="e">
        <v>#N/A</v>
        <stp/>
        <stp>VOLUME</stp>
        <stp>.SPY250509C573</stp>
        <tr r="BC13" s="1"/>
        <tr r="BC13" s="1"/>
      </tp>
      <tp t="e">
        <v>#N/A</v>
        <stp/>
        <stp>VOLUME</stp>
        <stp>.SPY250523C559</stp>
        <tr r="H28" s="2"/>
      </tp>
      <tp t="e">
        <v>#N/A</v>
        <stp/>
        <stp>VOLUME</stp>
        <stp>.SPY250502P579</stp>
        <tr r="BB7" s="1"/>
        <tr r="BB7" s="1"/>
      </tp>
      <tp t="e">
        <v>#N/A</v>
        <stp/>
        <stp>VOLUME</stp>
        <stp>.SPY250508P573</stp>
        <tr r="E14" s="2"/>
      </tp>
      <tp t="e">
        <v>#N/A</v>
        <stp/>
        <stp>VOLUME</stp>
        <stp>.SPY250509P572</stp>
        <tr r="BD14" s="1"/>
        <tr r="BD14" s="1"/>
      </tp>
      <tp t="e">
        <v>#N/A</v>
        <stp/>
        <stp>VOLUME</stp>
        <stp>.SPY250523P558</stp>
        <tr r="H29" s="2"/>
      </tp>
      <tp t="e">
        <v>#N/A</v>
        <stp/>
        <stp>VOLUME</stp>
        <stp>.SPY250502C579</stp>
        <tr r="BA7" s="1"/>
        <tr r="BA7" s="1"/>
      </tp>
      <tp t="e">
        <v>#N/A</v>
        <stp/>
        <stp>VOLUME</stp>
        <stp>.SPY250508C573</stp>
        <tr r="E14" s="2"/>
      </tp>
      <tp t="e">
        <v>#N/A</v>
        <stp/>
        <stp>VOLUME</stp>
        <stp>.SPY250509C572</stp>
        <tr r="BC14" s="1"/>
        <tr r="BC14" s="1"/>
      </tp>
      <tp t="e">
        <v>#N/A</v>
        <stp/>
        <stp>VOLUME</stp>
        <stp>.SPY250523C558</stp>
        <tr r="H29" s="2"/>
      </tp>
      <tp t="e">
        <v>#N/A</v>
        <stp/>
        <stp>VOLUME</stp>
        <stp>.SPY250508P570</stp>
        <tr r="E17" s="2"/>
      </tp>
      <tp t="e">
        <v>#N/A</v>
        <stp/>
        <stp>VOLUME</stp>
        <stp>.SPY250509P571</stp>
        <tr r="BD15" s="1"/>
        <tr r="BD15" s="1"/>
      </tp>
      <tp t="e">
        <v>#N/A</v>
        <stp/>
        <stp>VOLUME</stp>
        <stp>.SPY250530P548</stp>
        <tr r="I39" s="2"/>
      </tp>
      <tp t="e">
        <v>#N/A</v>
        <stp/>
        <stp>VOLUME</stp>
        <stp>.SPY250508C570</stp>
        <tr r="E17" s="2"/>
      </tp>
      <tp t="e">
        <v>#N/A</v>
        <stp/>
        <stp>VOLUME</stp>
        <stp>.SPY250509C571</stp>
        <tr r="BC15" s="1"/>
        <tr r="BC15" s="1"/>
      </tp>
      <tp t="e">
        <v>#N/A</v>
        <stp/>
        <stp>VOLUME</stp>
        <stp>.SPY250530C548</stp>
        <tr r="I39" s="2"/>
      </tp>
      <tp t="e">
        <v>#N/A</v>
        <stp/>
        <stp>VOLUME</stp>
        <stp>.SPY250508P571</stp>
        <tr r="E16" s="2"/>
      </tp>
      <tp t="e">
        <v>#N/A</v>
        <stp/>
        <stp>VOLUME</stp>
        <stp>.SPY250509P570</stp>
        <tr r="BD16" s="1"/>
        <tr r="BD16" s="1"/>
      </tp>
      <tp t="e">
        <v>#N/A</v>
        <stp/>
        <stp>VOLUME</stp>
        <stp>.SPY250530P549</stp>
        <tr r="I38" s="2"/>
      </tp>
      <tp t="e">
        <v>#N/A</v>
        <stp/>
        <stp>VOLUME</stp>
        <stp>.SPY250508C571</stp>
        <tr r="E16" s="2"/>
      </tp>
      <tp t="e">
        <v>#N/A</v>
        <stp/>
        <stp>VOLUME</stp>
        <stp>.SPY250509C570</stp>
        <tr r="BC16" s="1"/>
        <tr r="BC16" s="1"/>
      </tp>
      <tp t="e">
        <v>#N/A</v>
        <stp/>
        <stp>VOLUME</stp>
        <stp>.SPY250530C549</stp>
        <tr r="I38" s="2"/>
      </tp>
      <tp t="e">
        <v>#N/A</v>
        <stp/>
        <stp>VOLUME</stp>
        <stp>.SPY250502P564</stp>
        <tr r="BB22" s="1"/>
        <tr r="BB22" s="1"/>
      </tp>
      <tp t="e">
        <v>#N/A</v>
        <stp/>
        <stp>VOLUME</stp>
        <stp>.SPY250505P563</stp>
        <tr r="B24" s="2"/>
      </tp>
      <tp t="e">
        <v>#N/A</v>
        <stp/>
        <stp>VOLUME</stp>
        <stp>.SPY250506P560</stp>
        <tr r="C27" s="2"/>
      </tp>
      <tp t="e">
        <v>#N/A</v>
        <stp/>
        <stp>VOLUME</stp>
        <stp>.SPY250507P561</stp>
        <tr r="D26" s="2"/>
      </tp>
      <tp t="e">
        <v>#N/A</v>
        <stp/>
        <stp>VOLUME</stp>
        <stp>.SPY250516P570</stp>
        <tr r="BF16" s="1"/>
        <tr r="BF16" s="1"/>
      </tp>
      <tp t="e">
        <v>#N/A</v>
        <stp/>
        <stp>VOLUME</stp>
        <stp>.SPY250530P556</stp>
        <tr r="I31" s="2"/>
      </tp>
      <tp t="e">
        <v>#N/A</v>
        <stp/>
        <stp>VOLUME</stp>
        <stp>.SPY250502C564</stp>
        <tr r="BA22" s="1"/>
        <tr r="BA22" s="1"/>
      </tp>
      <tp t="e">
        <v>#N/A</v>
        <stp/>
        <stp>VOLUME</stp>
        <stp>.SPY250505C563</stp>
        <tr r="B24" s="2"/>
      </tp>
      <tp t="e">
        <v>#N/A</v>
        <stp/>
        <stp>VOLUME</stp>
        <stp>.SPY250506C560</stp>
        <tr r="C27" s="2"/>
      </tp>
      <tp t="e">
        <v>#N/A</v>
        <stp/>
        <stp>VOLUME</stp>
        <stp>.SPY250507C561</stp>
        <tr r="D26" s="2"/>
      </tp>
      <tp t="e">
        <v>#N/A</v>
        <stp/>
        <stp>VOLUME</stp>
        <stp>.SPY250516C570</stp>
        <tr r="BE16" s="1"/>
        <tr r="BE16" s="1"/>
      </tp>
      <tp t="e">
        <v>#N/A</v>
        <stp/>
        <stp>VOLUME</stp>
        <stp>.SPY250530C556</stp>
        <tr r="I31" s="2"/>
      </tp>
      <tp t="e">
        <v>#N/A</v>
        <stp/>
        <stp>VOLUME</stp>
        <stp>.SPY250502P565</stp>
        <tr r="BB21" s="1"/>
        <tr r="BB21" s="1"/>
      </tp>
      <tp t="e">
        <v>#N/A</v>
        <stp/>
        <stp>VOLUME</stp>
        <stp>.SPY250505P562</stp>
        <tr r="B25" s="2"/>
      </tp>
      <tp t="e">
        <v>#N/A</v>
        <stp/>
        <stp>VOLUME</stp>
        <stp>.SPY250506P561</stp>
        <tr r="C26" s="2"/>
      </tp>
      <tp t="e">
        <v>#N/A</v>
        <stp/>
        <stp>VOLUME</stp>
        <stp>.SPY250507P560</stp>
        <tr r="D27" s="2"/>
      </tp>
      <tp t="e">
        <v>#N/A</v>
        <stp/>
        <stp>VOLUME</stp>
        <stp>.SPY250516P571</stp>
        <tr r="BF15" s="1"/>
        <tr r="BF15" s="1"/>
      </tp>
      <tp t="e">
        <v>#N/A</v>
        <stp/>
        <stp>VOLUME</stp>
        <stp>.SPY250530P557</stp>
        <tr r="I30" s="2"/>
      </tp>
      <tp t="e">
        <v>#N/A</v>
        <stp/>
        <stp>VOLUME</stp>
        <stp>.SPY250502C565</stp>
        <tr r="BA21" s="1"/>
        <tr r="BA21" s="1"/>
      </tp>
      <tp t="e">
        <v>#N/A</v>
        <stp/>
        <stp>VOLUME</stp>
        <stp>.SPY250505C562</stp>
        <tr r="B25" s="2"/>
      </tp>
      <tp t="e">
        <v>#N/A</v>
        <stp/>
        <stp>VOLUME</stp>
        <stp>.SPY250506C561</stp>
        <tr r="C26" s="2"/>
      </tp>
      <tp t="e">
        <v>#N/A</v>
        <stp/>
        <stp>VOLUME</stp>
        <stp>.SPY250507C560</stp>
        <tr r="D27" s="2"/>
      </tp>
      <tp t="e">
        <v>#N/A</v>
        <stp/>
        <stp>VOLUME</stp>
        <stp>.SPY250516C571</stp>
        <tr r="BE15" s="1"/>
        <tr r="BE15" s="1"/>
      </tp>
      <tp t="e">
        <v>#N/A</v>
        <stp/>
        <stp>VOLUME</stp>
        <stp>.SPY250530C557</stp>
        <tr r="I30" s="2"/>
      </tp>
      <tp t="e">
        <v>#N/A</v>
        <stp/>
        <stp>VOLUME</stp>
        <stp>.SPY250502P566</stp>
        <tr r="BB20" s="1"/>
        <tr r="BB20" s="1"/>
      </tp>
      <tp t="e">
        <v>#N/A</v>
        <stp/>
        <stp>VOLUME</stp>
        <stp>.SPY250505P561</stp>
        <tr r="B26" s="2"/>
      </tp>
      <tp t="e">
        <v>#N/A</v>
        <stp/>
        <stp>VOLUME</stp>
        <stp>.SPY250506P562</stp>
        <tr r="C25" s="2"/>
      </tp>
      <tp t="e">
        <v>#N/A</v>
        <stp/>
        <stp>VOLUME</stp>
        <stp>.SPY250507P563</stp>
        <tr r="D24" s="2"/>
      </tp>
      <tp t="e">
        <v>#N/A</v>
        <stp/>
        <stp>VOLUME</stp>
        <stp>.SPY250516P572</stp>
        <tr r="BF14" s="1"/>
        <tr r="BF14" s="1"/>
      </tp>
      <tp t="e">
        <v>#N/A</v>
        <stp/>
        <stp>VOLUME</stp>
        <stp>.SPY250530P554</stp>
        <tr r="I33" s="2"/>
      </tp>
      <tp t="e">
        <v>#N/A</v>
        <stp/>
        <stp>VOLUME</stp>
        <stp>.SPY250502C566</stp>
        <tr r="BA20" s="1"/>
        <tr r="BA20" s="1"/>
      </tp>
      <tp t="e">
        <v>#N/A</v>
        <stp/>
        <stp>VOLUME</stp>
        <stp>.SPY250505C561</stp>
        <tr r="B26" s="2"/>
      </tp>
      <tp t="e">
        <v>#N/A</v>
        <stp/>
        <stp>VOLUME</stp>
        <stp>.SPY250506C562</stp>
        <tr r="C25" s="2"/>
      </tp>
      <tp t="e">
        <v>#N/A</v>
        <stp/>
        <stp>VOLUME</stp>
        <stp>.SPY250507C563</stp>
        <tr r="D24" s="2"/>
      </tp>
      <tp t="e">
        <v>#N/A</v>
        <stp/>
        <stp>VOLUME</stp>
        <stp>.SPY250516C572</stp>
        <tr r="BE14" s="1"/>
        <tr r="BE14" s="1"/>
      </tp>
      <tp t="e">
        <v>#N/A</v>
        <stp/>
        <stp>VOLUME</stp>
        <stp>.SPY250530C554</stp>
        <tr r="I33" s="2"/>
      </tp>
      <tp t="e">
        <v>#N/A</v>
        <stp/>
        <stp>VOLUME</stp>
        <stp>.SPY250502P567</stp>
        <tr r="BB19" s="1"/>
        <tr r="BB19" s="1"/>
      </tp>
      <tp t="e">
        <v>#N/A</v>
        <stp/>
        <stp>VOLUME</stp>
        <stp>.SPY250505P560</stp>
        <tr r="B27" s="2"/>
      </tp>
      <tp t="e">
        <v>#N/A</v>
        <stp/>
        <stp>VOLUME</stp>
        <stp>.SPY250506P563</stp>
        <tr r="C24" s="2"/>
      </tp>
      <tp t="e">
        <v>#N/A</v>
        <stp/>
        <stp>VOLUME</stp>
        <stp>.SPY250507P562</stp>
        <tr r="D25" s="2"/>
      </tp>
      <tp t="e">
        <v>#N/A</v>
        <stp/>
        <stp>VOLUME</stp>
        <stp>.SPY250516P573</stp>
        <tr r="BF13" s="1"/>
        <tr r="BF13" s="1"/>
      </tp>
      <tp t="e">
        <v>#N/A</v>
        <stp/>
        <stp>VOLUME</stp>
        <stp>.SPY250530P555</stp>
        <tr r="I32" s="2"/>
      </tp>
      <tp t="e">
        <v>#N/A</v>
        <stp/>
        <stp>VOLUME</stp>
        <stp>.SPY250502C567</stp>
        <tr r="BA19" s="1"/>
        <tr r="BA19" s="1"/>
      </tp>
      <tp t="e">
        <v>#N/A</v>
        <stp/>
        <stp>VOLUME</stp>
        <stp>.SPY250505C560</stp>
        <tr r="B27" s="2"/>
      </tp>
      <tp t="e">
        <v>#N/A</v>
        <stp/>
        <stp>VOLUME</stp>
        <stp>.SPY250506C563</stp>
        <tr r="C24" s="2"/>
      </tp>
      <tp t="e">
        <v>#N/A</v>
        <stp/>
        <stp>VOLUME</stp>
        <stp>.SPY250507C562</stp>
        <tr r="D25" s="2"/>
      </tp>
      <tp t="e">
        <v>#N/A</v>
        <stp/>
        <stp>VOLUME</stp>
        <stp>.SPY250516C573</stp>
        <tr r="BE13" s="1"/>
        <tr r="BE13" s="1"/>
      </tp>
      <tp t="e">
        <v>#N/A</v>
        <stp/>
        <stp>VOLUME</stp>
        <stp>.SPY250530C555</stp>
        <tr r="I32" s="2"/>
      </tp>
      <tp t="e">
        <v>#N/A</v>
        <stp/>
        <stp>VOLUME</stp>
        <stp>.SPY250502P560</stp>
        <tr r="BB26" s="1"/>
        <tr r="BB26" s="1"/>
      </tp>
      <tp t="e">
        <v>#N/A</v>
        <stp/>
        <stp>VOLUME</stp>
        <stp>.SPY250505P567</stp>
        <tr r="B20" s="2"/>
      </tp>
      <tp t="e">
        <v>#N/A</v>
        <stp/>
        <stp>VOLUME</stp>
        <stp>.SPY250506P564</stp>
        <tr r="C23" s="2"/>
      </tp>
      <tp t="e">
        <v>#N/A</v>
        <stp/>
        <stp>VOLUME</stp>
        <stp>.SPY250507P565</stp>
        <tr r="D22" s="2"/>
      </tp>
      <tp t="e">
        <v>#N/A</v>
        <stp/>
        <stp>VOLUME</stp>
        <stp>.SPY250516P574</stp>
        <tr r="BF12" s="1"/>
        <tr r="BF12" s="1"/>
      </tp>
      <tp t="e">
        <v>#N/A</v>
        <stp/>
        <stp>VOLUME</stp>
        <stp>.SPY250530P552</stp>
        <tr r="I35" s="2"/>
      </tp>
      <tp t="e">
        <v>#N/A</v>
        <stp/>
        <stp>VOLUME</stp>
        <stp>.SPY250502C560</stp>
        <tr r="BA26" s="1"/>
        <tr r="BA26" s="1"/>
      </tp>
      <tp t="e">
        <v>#N/A</v>
        <stp/>
        <stp>VOLUME</stp>
        <stp>.SPY250505C567</stp>
        <tr r="B20" s="2"/>
      </tp>
      <tp t="e">
        <v>#N/A</v>
        <stp/>
        <stp>VOLUME</stp>
        <stp>.SPY250506C564</stp>
        <tr r="C23" s="2"/>
      </tp>
      <tp t="e">
        <v>#N/A</v>
        <stp/>
        <stp>VOLUME</stp>
        <stp>.SPY250507C565</stp>
        <tr r="D22" s="2"/>
      </tp>
      <tp t="e">
        <v>#N/A</v>
        <stp/>
        <stp>VOLUME</stp>
        <stp>.SPY250516C574</stp>
        <tr r="BE12" s="1"/>
        <tr r="BE12" s="1"/>
      </tp>
      <tp t="e">
        <v>#N/A</v>
        <stp/>
        <stp>VOLUME</stp>
        <stp>.SPY250530C552</stp>
        <tr r="I35" s="2"/>
      </tp>
      <tp t="e">
        <v>#N/A</v>
        <stp/>
        <stp>VOLUME</stp>
        <stp>.SPY250502P561</stp>
        <tr r="BB25" s="1"/>
        <tr r="BB25" s="1"/>
      </tp>
      <tp t="e">
        <v>#N/A</v>
        <stp/>
        <stp>VOLUME</stp>
        <stp>.SPY250505P566</stp>
        <tr r="B21" s="2"/>
      </tp>
      <tp t="e">
        <v>#N/A</v>
        <stp/>
        <stp>VOLUME</stp>
        <stp>.SPY250506P565</stp>
        <tr r="C22" s="2"/>
      </tp>
      <tp t="e">
        <v>#N/A</v>
        <stp/>
        <stp>VOLUME</stp>
        <stp>.SPY250507P564</stp>
        <tr r="D23" s="2"/>
      </tp>
      <tp t="e">
        <v>#N/A</v>
        <stp/>
        <stp>VOLUME</stp>
        <stp>.SPY250516P575</stp>
        <tr r="BF11" s="1"/>
        <tr r="BF11" s="1"/>
      </tp>
      <tp t="e">
        <v>#N/A</v>
        <stp/>
        <stp>VOLUME</stp>
        <stp>.SPY250530P553</stp>
        <tr r="I34" s="2"/>
      </tp>
      <tp t="e">
        <v>#N/A</v>
        <stp/>
        <stp>VOLUME</stp>
        <stp>.SPY250502C561</stp>
        <tr r="BA25" s="1"/>
        <tr r="BA25" s="1"/>
      </tp>
      <tp t="e">
        <v>#N/A</v>
        <stp/>
        <stp>VOLUME</stp>
        <stp>.SPY250505C566</stp>
        <tr r="B21" s="2"/>
      </tp>
      <tp t="e">
        <v>#N/A</v>
        <stp/>
        <stp>VOLUME</stp>
        <stp>.SPY250506C565</stp>
        <tr r="C22" s="2"/>
      </tp>
      <tp t="e">
        <v>#N/A</v>
        <stp/>
        <stp>VOLUME</stp>
        <stp>.SPY250507C564</stp>
        <tr r="D23" s="2"/>
      </tp>
      <tp t="e">
        <v>#N/A</v>
        <stp/>
        <stp>VOLUME</stp>
        <stp>.SPY250516C575</stp>
        <tr r="BE11" s="1"/>
        <tr r="BE11" s="1"/>
      </tp>
      <tp t="e">
        <v>#N/A</v>
        <stp/>
        <stp>VOLUME</stp>
        <stp>.SPY250530C553</stp>
        <tr r="I34" s="2"/>
      </tp>
      <tp t="e">
        <v>#N/A</v>
        <stp/>
        <stp>VOLUME</stp>
        <stp>.SPY250502P562</stp>
        <tr r="BB24" s="1"/>
        <tr r="BB24" s="1"/>
      </tp>
      <tp t="e">
        <v>#N/A</v>
        <stp/>
        <stp>VOLUME</stp>
        <stp>.SPY250505P565</stp>
        <tr r="B22" s="2"/>
      </tp>
      <tp t="e">
        <v>#N/A</v>
        <stp/>
        <stp>VOLUME</stp>
        <stp>.SPY250506P566</stp>
        <tr r="C21" s="2"/>
      </tp>
      <tp t="e">
        <v>#N/A</v>
        <stp/>
        <stp>VOLUME</stp>
        <stp>.SPY250507P567</stp>
        <tr r="D20" s="2"/>
      </tp>
      <tp t="e">
        <v>#N/A</v>
        <stp/>
        <stp>VOLUME</stp>
        <stp>.SPY250508P568</stp>
        <tr r="E19" s="2"/>
      </tp>
      <tp t="e">
        <v>#N/A</v>
        <stp/>
        <stp>VOLUME</stp>
        <stp>.SPY250509P569</stp>
        <tr r="BD17" s="1"/>
        <tr r="BD17" s="1"/>
      </tp>
      <tp t="e">
        <v>#N/A</v>
        <stp/>
        <stp>VOLUME</stp>
        <stp>.SPY250516P576</stp>
        <tr r="BF10" s="1"/>
        <tr r="BF10" s="1"/>
      </tp>
      <tp t="e">
        <v>#N/A</v>
        <stp/>
        <stp>VOLUME</stp>
        <stp>.SPY250530P550</stp>
        <tr r="I37" s="2"/>
      </tp>
      <tp t="e">
        <v>#N/A</v>
        <stp/>
        <stp>VOLUME</stp>
        <stp>.SPY250502C562</stp>
        <tr r="BA24" s="1"/>
        <tr r="BA24" s="1"/>
      </tp>
      <tp t="e">
        <v>#N/A</v>
        <stp/>
        <stp>VOLUME</stp>
        <stp>.SPY250505C565</stp>
        <tr r="B22" s="2"/>
      </tp>
      <tp t="e">
        <v>#N/A</v>
        <stp/>
        <stp>VOLUME</stp>
        <stp>.SPY250506C566</stp>
        <tr r="C21" s="2"/>
      </tp>
      <tp t="e">
        <v>#N/A</v>
        <stp/>
        <stp>VOLUME</stp>
        <stp>.SPY250507C567</stp>
        <tr r="D20" s="2"/>
      </tp>
      <tp t="e">
        <v>#N/A</v>
        <stp/>
        <stp>VOLUME</stp>
        <stp>.SPY250508C568</stp>
        <tr r="E19" s="2"/>
      </tp>
      <tp t="e">
        <v>#N/A</v>
        <stp/>
        <stp>VOLUME</stp>
        <stp>.SPY250509C569</stp>
        <tr r="BC17" s="1"/>
        <tr r="BC17" s="1"/>
      </tp>
      <tp t="e">
        <v>#N/A</v>
        <stp/>
        <stp>VOLUME</stp>
        <stp>.SPY250516C576</stp>
        <tr r="BE10" s="1"/>
        <tr r="BE10" s="1"/>
      </tp>
      <tp t="e">
        <v>#N/A</v>
        <stp/>
        <stp>VOLUME</stp>
        <stp>.SPY250530C550</stp>
        <tr r="I37" s="2"/>
      </tp>
      <tp t="e">
        <v>#N/A</v>
        <stp/>
        <stp>VOLUME</stp>
        <stp>.SPY250502P563</stp>
        <tr r="BB23" s="1"/>
        <tr r="BB23" s="1"/>
      </tp>
      <tp t="e">
        <v>#N/A</v>
        <stp/>
        <stp>VOLUME</stp>
        <stp>.SPY250505P564</stp>
        <tr r="B23" s="2"/>
      </tp>
      <tp t="e">
        <v>#N/A</v>
        <stp/>
        <stp>VOLUME</stp>
        <stp>.SPY250506P567</stp>
        <tr r="C20" s="2"/>
      </tp>
      <tp t="e">
        <v>#N/A</v>
        <stp/>
        <stp>VOLUME</stp>
        <stp>.SPY250507P566</stp>
        <tr r="D21" s="2"/>
      </tp>
      <tp t="e">
        <v>#N/A</v>
        <stp/>
        <stp>VOLUME</stp>
        <stp>.SPY250508P569</stp>
        <tr r="E18" s="2"/>
      </tp>
      <tp t="e">
        <v>#N/A</v>
        <stp/>
        <stp>VOLUME</stp>
        <stp>.SPY250509P568</stp>
        <tr r="BD18" s="1"/>
        <tr r="BD18" s="1"/>
      </tp>
      <tp t="e">
        <v>#N/A</v>
        <stp/>
        <stp>VOLUME</stp>
        <stp>.SPY250516P577</stp>
        <tr r="BF9" s="1"/>
        <tr r="BF9" s="1"/>
      </tp>
      <tp t="e">
        <v>#N/A</v>
        <stp/>
        <stp>VOLUME</stp>
        <stp>.SPY250530P551</stp>
        <tr r="I36" s="2"/>
      </tp>
      <tp t="e">
        <v>#N/A</v>
        <stp/>
        <stp>VOLUME</stp>
        <stp>.SPY250502C563</stp>
        <tr r="BA23" s="1"/>
        <tr r="BA23" s="1"/>
      </tp>
      <tp t="e">
        <v>#N/A</v>
        <stp/>
        <stp>VOLUME</stp>
        <stp>.SPY250505C564</stp>
        <tr r="B23" s="2"/>
      </tp>
      <tp t="e">
        <v>#N/A</v>
        <stp/>
        <stp>VOLUME</stp>
        <stp>.SPY250506C567</stp>
        <tr r="C20" s="2"/>
      </tp>
      <tp t="e">
        <v>#N/A</v>
        <stp/>
        <stp>VOLUME</stp>
        <stp>.SPY250507C566</stp>
        <tr r="D21" s="2"/>
      </tp>
      <tp t="e">
        <v>#N/A</v>
        <stp/>
        <stp>VOLUME</stp>
        <stp>.SPY250508C569</stp>
        <tr r="E18" s="2"/>
      </tp>
      <tp t="e">
        <v>#N/A</v>
        <stp/>
        <stp>VOLUME</stp>
        <stp>.SPY250509C568</stp>
        <tr r="BC18" s="1"/>
        <tr r="BC18" s="1"/>
      </tp>
      <tp t="e">
        <v>#N/A</v>
        <stp/>
        <stp>VOLUME</stp>
        <stp>.SPY250516C577</stp>
        <tr r="BE9" s="1"/>
        <tr r="BE9" s="1"/>
      </tp>
      <tp t="e">
        <v>#N/A</v>
        <stp/>
        <stp>VOLUME</stp>
        <stp>.SPY250530C551</stp>
        <tr r="I36" s="2"/>
      </tp>
      <tp t="e">
        <v>#N/A</v>
        <stp/>
        <stp>VOLUME</stp>
        <stp>.SPY250506P568</stp>
        <tr r="C19" s="2"/>
      </tp>
      <tp t="e">
        <v>#N/A</v>
        <stp/>
        <stp>VOLUME</stp>
        <stp>.SPY250507P569</stp>
        <tr r="D18" s="2"/>
      </tp>
      <tp t="e">
        <v>#N/A</v>
        <stp/>
        <stp>VOLUME</stp>
        <stp>.SPY250508P566</stp>
        <tr r="E21" s="2"/>
      </tp>
      <tp t="e">
        <v>#N/A</v>
        <stp/>
        <stp>VOLUME</stp>
        <stp>.SPY250509P567</stp>
        <tr r="BD19" s="1"/>
        <tr r="BD19" s="1"/>
      </tp>
      <tp t="e">
        <v>#N/A</v>
        <stp/>
        <stp>VOLUME</stp>
        <stp>.SPY250516P578</stp>
        <tr r="BF8" s="1"/>
        <tr r="BF8" s="1"/>
      </tp>
      <tp t="e">
        <v>#N/A</v>
        <stp/>
        <stp>VOLUME</stp>
        <stp>.SPY250506C568</stp>
        <tr r="C19" s="2"/>
      </tp>
      <tp t="e">
        <v>#N/A</v>
        <stp/>
        <stp>VOLUME</stp>
        <stp>.SPY250507C569</stp>
        <tr r="D18" s="2"/>
      </tp>
      <tp t="e">
        <v>#N/A</v>
        <stp/>
        <stp>VOLUME</stp>
        <stp>.SPY250508C566</stp>
        <tr r="E21" s="2"/>
      </tp>
      <tp t="e">
        <v>#N/A</v>
        <stp/>
        <stp>VOLUME</stp>
        <stp>.SPY250509C567</stp>
        <tr r="BC19" s="1"/>
        <tr r="BC19" s="1"/>
      </tp>
      <tp t="e">
        <v>#N/A</v>
        <stp/>
        <stp>VOLUME</stp>
        <stp>.SPY250516C578</stp>
        <tr r="BE8" s="1"/>
        <tr r="BE8" s="1"/>
      </tp>
      <tp t="e">
        <v>#N/A</v>
        <stp/>
        <stp>VOLUME</stp>
        <stp>.SPY250506P569</stp>
        <tr r="C18" s="2"/>
      </tp>
      <tp t="e">
        <v>#N/A</v>
        <stp/>
        <stp>VOLUME</stp>
        <stp>.SPY250507P568</stp>
        <tr r="D19" s="2"/>
      </tp>
      <tp t="e">
        <v>#N/A</v>
        <stp/>
        <stp>VOLUME</stp>
        <stp>.SPY250508P567</stp>
        <tr r="E20" s="2"/>
      </tp>
      <tp t="e">
        <v>#N/A</v>
        <stp/>
        <stp>VOLUME</stp>
        <stp>.SPY250509P566</stp>
        <tr r="BD20" s="1"/>
        <tr r="BD20" s="1"/>
      </tp>
      <tp t="e">
        <v>#N/A</v>
        <stp/>
        <stp>VOLUME</stp>
        <stp>.SPY250516P579</stp>
        <tr r="BF7" s="1"/>
      </tp>
      <tp t="e">
        <v>#N/A</v>
        <stp/>
        <stp>VOLUME</stp>
        <stp>.SPY250506C569</stp>
        <tr r="C18" s="2"/>
      </tp>
      <tp t="e">
        <v>#N/A</v>
        <stp/>
        <stp>VOLUME</stp>
        <stp>.SPY250507C568</stp>
        <tr r="D19" s="2"/>
      </tp>
      <tp t="e">
        <v>#N/A</v>
        <stp/>
        <stp>VOLUME</stp>
        <stp>.SPY250508C567</stp>
        <tr r="E20" s="2"/>
      </tp>
      <tp t="e">
        <v>#N/A</v>
        <stp/>
        <stp>VOLUME</stp>
        <stp>.SPY250509C566</stp>
        <tr r="BC20" s="1"/>
        <tr r="BC20" s="1"/>
      </tp>
      <tp t="e">
        <v>#N/A</v>
        <stp/>
        <stp>VOLUME</stp>
        <stp>.SPY250516C579</stp>
        <tr r="BE7" s="1"/>
        <tr r="BE7" s="1"/>
      </tp>
      <tp t="e">
        <v>#N/A</v>
        <stp/>
        <stp>VOLUME</stp>
        <stp>.SPY250505P569</stp>
        <tr r="B18" s="2"/>
      </tp>
      <tp t="e">
        <v>#N/A</v>
        <stp/>
        <stp>VOLUME</stp>
        <stp>.SPY250508P564</stp>
        <tr r="E23" s="2"/>
      </tp>
      <tp t="e">
        <v>#N/A</v>
        <stp/>
        <stp>VOLUME</stp>
        <stp>.SPY250509P565</stp>
        <tr r="BD21" s="1"/>
        <tr r="BD21" s="1"/>
      </tp>
      <tp t="e">
        <v>#N/A</v>
        <stp/>
        <stp>VOLUME</stp>
        <stp>.SPY250505C569</stp>
        <tr r="B18" s="2"/>
      </tp>
      <tp t="e">
        <v>#N/A</v>
        <stp/>
        <stp>VOLUME</stp>
        <stp>.SPY250508C564</stp>
        <tr r="E23" s="2"/>
      </tp>
      <tp t="e">
        <v>#N/A</v>
        <stp/>
        <stp>VOLUME</stp>
        <stp>.SPY250509C565</stp>
        <tr r="BC21" s="1"/>
        <tr r="BC21" s="1"/>
      </tp>
      <tp t="e">
        <v>#N/A</v>
        <stp/>
        <stp>VOLUME</stp>
        <stp>.SPY250505P568</stp>
        <tr r="B19" s="2"/>
      </tp>
      <tp t="e">
        <v>#N/A</v>
        <stp/>
        <stp>VOLUME</stp>
        <stp>.SPY250508P565</stp>
        <tr r="E22" s="2"/>
      </tp>
      <tp t="e">
        <v>#N/A</v>
        <stp/>
        <stp>VOLUME</stp>
        <stp>.SPY250509P564</stp>
        <tr r="BD22" s="1"/>
        <tr r="BD22" s="1"/>
      </tp>
      <tp t="e">
        <v>#N/A</v>
        <stp/>
        <stp>VOLUME</stp>
        <stp>.SPY250505C568</stp>
        <tr r="B19" s="2"/>
      </tp>
      <tp t="e">
        <v>#N/A</v>
        <stp/>
        <stp>VOLUME</stp>
        <stp>.SPY250508C565</stp>
        <tr r="E22" s="2"/>
      </tp>
      <tp t="e">
        <v>#N/A</v>
        <stp/>
        <stp>VOLUME</stp>
        <stp>.SPY250509C564</stp>
        <tr r="BC22" s="1"/>
        <tr r="BC22" s="1"/>
      </tp>
      <tp t="e">
        <v>#N/A</v>
        <stp/>
        <stp>VOLUME</stp>
        <stp>.SPY250502P568</stp>
        <tr r="BB18" s="1"/>
        <tr r="BB18" s="1"/>
      </tp>
      <tp t="e">
        <v>#N/A</v>
        <stp/>
        <stp>VOLUME</stp>
        <stp>.SPY250508P562</stp>
        <tr r="E25" s="2"/>
      </tp>
      <tp t="e">
        <v>#N/A</v>
        <stp/>
        <stp>VOLUME</stp>
        <stp>.SPY250509P563</stp>
        <tr r="BD23" s="1"/>
        <tr r="BD23" s="1"/>
      </tp>
      <tp t="e">
        <v>#N/A</v>
        <stp/>
        <stp>VOLUME</stp>
        <stp>.SPY250523P549</stp>
        <tr r="H38" s="2"/>
      </tp>
      <tp t="e">
        <v>#N/A</v>
        <stp/>
        <stp>VOLUME</stp>
        <stp>.SPY250502C568</stp>
        <tr r="BA18" s="1"/>
        <tr r="BA18" s="1"/>
      </tp>
      <tp t="e">
        <v>#N/A</v>
        <stp/>
        <stp>VOLUME</stp>
        <stp>.SPY250508C562</stp>
        <tr r="E25" s="2"/>
      </tp>
      <tp t="e">
        <v>#N/A</v>
        <stp/>
        <stp>VOLUME</stp>
        <stp>.SPY250509C563</stp>
        <tr r="BC23" s="1"/>
        <tr r="BC23" s="1"/>
      </tp>
      <tp t="e">
        <v>#N/A</v>
        <stp/>
        <stp>VOLUME</stp>
        <stp>.SPY250523C549</stp>
        <tr r="H38" s="2"/>
      </tp>
      <tp t="e">
        <v>#N/A</v>
        <stp/>
        <stp>VOLUME</stp>
        <stp>.SPY250502P569</stp>
        <tr r="BB17" s="1"/>
        <tr r="BB17" s="1"/>
      </tp>
      <tp t="e">
        <v>#N/A</v>
        <stp/>
        <stp>VOLUME</stp>
        <stp>.SPY250508P563</stp>
        <tr r="E24" s="2"/>
      </tp>
      <tp t="e">
        <v>#N/A</v>
        <stp/>
        <stp>VOLUME</stp>
        <stp>.SPY250509P562</stp>
        <tr r="BD24" s="1"/>
        <tr r="BD24" s="1"/>
      </tp>
      <tp t="e">
        <v>#N/A</v>
        <stp/>
        <stp>VOLUME</stp>
        <stp>.SPY250523P548</stp>
        <tr r="H39" s="2"/>
      </tp>
      <tp t="e">
        <v>#N/A</v>
        <stp/>
        <stp>VOLUME</stp>
        <stp>.SPY250502C569</stp>
        <tr r="BA17" s="1"/>
        <tr r="BA17" s="1"/>
      </tp>
      <tp t="e">
        <v>#N/A</v>
        <stp/>
        <stp>VOLUME</stp>
        <stp>.SPY250508C563</stp>
        <tr r="E24" s="2"/>
      </tp>
      <tp t="e">
        <v>#N/A</v>
        <stp/>
        <stp>VOLUME</stp>
        <stp>.SPY250509C562</stp>
        <tr r="BC24" s="1"/>
        <tr r="BC24" s="1"/>
      </tp>
      <tp t="e">
        <v>#N/A</v>
        <stp/>
        <stp>VOLUME</stp>
        <stp>.SPY250523C548</stp>
        <tr r="H39" s="2"/>
      </tp>
      <tp t="e">
        <v>#N/A</v>
        <stp/>
        <stp>VOLUME</stp>
        <stp>.SPY250508P560</stp>
        <tr r="E27" s="2"/>
      </tp>
      <tp t="e">
        <v>#N/A</v>
        <stp/>
        <stp>VOLUME</stp>
        <stp>.SPY250509P561</stp>
        <tr r="BD25" s="1"/>
        <tr r="BD25" s="1"/>
      </tp>
      <tp t="e">
        <v>#N/A</v>
        <stp/>
        <stp>VOLUME</stp>
        <stp>.SPY250530P558</stp>
        <tr r="I29" s="2"/>
      </tp>
      <tp t="e">
        <v>#N/A</v>
        <stp/>
        <stp>VOLUME</stp>
        <stp>.SPY250508C560</stp>
        <tr r="E27" s="2"/>
      </tp>
      <tp t="e">
        <v>#N/A</v>
        <stp/>
        <stp>VOLUME</stp>
        <stp>.SPY250509C561</stp>
        <tr r="BC25" s="1"/>
        <tr r="BC25" s="1"/>
      </tp>
      <tp t="e">
        <v>#N/A</v>
        <stp/>
        <stp>VOLUME</stp>
        <stp>.SPY250530C558</stp>
        <tr r="I29" s="2"/>
      </tp>
      <tp t="e">
        <v>#N/A</v>
        <stp/>
        <stp>VOLUME</stp>
        <stp>.SPY250508P561</stp>
        <tr r="E26" s="2"/>
      </tp>
      <tp t="e">
        <v>#N/A</v>
        <stp/>
        <stp>VOLUME</stp>
        <stp>.SPY250509P560</stp>
        <tr r="BD26" s="1"/>
        <tr r="BD26" s="1"/>
      </tp>
      <tp t="e">
        <v>#N/A</v>
        <stp/>
        <stp>VOLUME</stp>
        <stp>.SPY250530P559</stp>
        <tr r="I28" s="2"/>
      </tp>
      <tp t="e">
        <v>#N/A</v>
        <stp/>
        <stp>VOLUME</stp>
        <stp>.SPY250508C561</stp>
        <tr r="E26" s="2"/>
      </tp>
      <tp t="e">
        <v>#N/A</v>
        <stp/>
        <stp>VOLUME</stp>
        <stp>.SPY250509C560</stp>
        <tr r="BC26" s="1"/>
        <tr r="BC26" s="1"/>
      </tp>
      <tp t="e">
        <v>#N/A</v>
        <stp/>
        <stp>VOLUME</stp>
        <stp>.SPY250530C559</stp>
        <tr r="I28" s="2"/>
      </tp>
      <tp t="e">
        <v>#N/A</v>
        <stp/>
        <stp>DELTA</stp>
        <stp>.SPXW250502P5490</stp>
        <tr r="CE123" s="1"/>
        <tr r="CE123" s="1"/>
      </tp>
      <tp t="e">
        <v>#N/A</v>
        <stp/>
        <stp>DELTA</stp>
        <stp>.SPXW250509P5420</stp>
        <tr r="CG130" s="1"/>
        <tr r="CG130" s="1"/>
      </tp>
      <tp t="e">
        <v>#N/A</v>
        <stp/>
        <stp>DELTA</stp>
        <stp>.SPXW250502C5490</stp>
        <tr r="CD123" s="1"/>
        <tr r="CD123" s="1"/>
      </tp>
      <tp t="e">
        <v>#N/A</v>
        <stp/>
        <stp>DELTA</stp>
        <stp>.SPXW250509C5420</stp>
        <tr r="CF130" s="1"/>
        <tr r="CF130" s="1"/>
      </tp>
      <tp t="e">
        <v>#N/A</v>
        <stp/>
        <stp>DELTA</stp>
        <stp>.SPXW250502P5480</stp>
        <tr r="CE124" s="1"/>
        <tr r="CE124" s="1"/>
      </tp>
      <tp t="e">
        <v>#N/A</v>
        <stp/>
        <stp>DELTA</stp>
        <stp>.SPXW250509P5430</stp>
        <tr r="CG129" s="1"/>
        <tr r="CG129" s="1"/>
      </tp>
      <tp t="e">
        <v>#N/A</v>
        <stp/>
        <stp>DELTA</stp>
        <stp>.SPXW250502C5480</stp>
        <tr r="CD124" s="1"/>
        <tr r="CD124" s="1"/>
      </tp>
      <tp t="e">
        <v>#N/A</v>
        <stp/>
        <stp>DELTA</stp>
        <stp>.SPXW250509C5430</stp>
        <tr r="CF129" s="1"/>
        <tr r="CF129" s="1"/>
      </tp>
      <tp t="e">
        <v>#N/A</v>
        <stp/>
        <stp>DELTA</stp>
        <stp>.SPXW250509P5460</stp>
        <tr r="CG126" s="1"/>
        <tr r="CG126" s="1"/>
      </tp>
      <tp t="e">
        <v>#N/A</v>
        <stp/>
        <stp>DELTA</stp>
        <stp>.SPXW250516P5590</stp>
        <tr r="CI113" s="1"/>
        <tr r="CI113" s="1"/>
      </tp>
      <tp t="e">
        <v>#N/A</v>
        <stp/>
        <stp>DELTA</stp>
        <stp>.SPXW250509C5460</stp>
        <tr r="CF126" s="1"/>
        <tr r="CF126" s="1"/>
      </tp>
      <tp t="e">
        <v>#N/A</v>
        <stp/>
        <stp>DELTA</stp>
        <stp>.SPXW250516C5590</stp>
        <tr r="CH113" s="1"/>
        <tr r="CH113" s="1"/>
      </tp>
      <tp t="e">
        <v>#N/A</v>
        <stp/>
        <stp>DELTA</stp>
        <stp>.SPXW250509P5470</stp>
        <tr r="CG125" s="1"/>
        <tr r="CG125" s="1"/>
      </tp>
      <tp t="e">
        <v>#N/A</v>
        <stp/>
        <stp>DELTA</stp>
        <stp>.SPXW250516P5580</stp>
        <tr r="CI114" s="1"/>
        <tr r="CI114" s="1"/>
      </tp>
      <tp t="e">
        <v>#N/A</v>
        <stp/>
        <stp>DELTA</stp>
        <stp>.SPXW250509C5470</stp>
        <tr r="CF125" s="1"/>
        <tr r="CF125" s="1"/>
      </tp>
      <tp t="e">
        <v>#N/A</v>
        <stp/>
        <stp>DELTA</stp>
        <stp>.SPXW250516C5580</stp>
        <tr r="CH114" s="1"/>
        <tr r="CH114" s="1"/>
      </tp>
      <tp t="e">
        <v>#N/A</v>
        <stp/>
        <stp>DELTA</stp>
        <stp>.SPXW250509P5440</stp>
        <tr r="CG128" s="1"/>
        <tr r="CG128" s="1"/>
      </tp>
      <tp t="e">
        <v>#N/A</v>
        <stp/>
        <stp>DELTA</stp>
        <stp>.SPXW250509C5440</stp>
        <tr r="CF128" s="1"/>
        <tr r="CF128" s="1"/>
      </tp>
      <tp t="e">
        <v>#N/A</v>
        <stp/>
        <stp>DELTA</stp>
        <stp>.SPXW250509P5450</stp>
        <tr r="CG127" s="1"/>
        <tr r="CG127" s="1"/>
      </tp>
      <tp t="e">
        <v>#N/A</v>
        <stp/>
        <stp>DELTA</stp>
        <stp>.SPXW250509C5450</stp>
        <tr r="CF127" s="1"/>
        <tr r="CF127" s="1"/>
      </tp>
      <tp t="e">
        <v>#N/A</v>
        <stp/>
        <stp>DELTA</stp>
        <stp>.SPXW250516P5550</stp>
        <tr r="CI117" s="1"/>
        <tr r="CI117" s="1"/>
      </tp>
      <tp t="e">
        <v>#N/A</v>
        <stp/>
        <stp>DELTA</stp>
        <stp>.SPXW250516C5550</stp>
        <tr r="CH117" s="1"/>
        <tr r="CH117" s="1"/>
      </tp>
      <tp t="e">
        <v>#N/A</v>
        <stp/>
        <stp>DELTA</stp>
        <stp>.SPXW250516P5540</stp>
        <tr r="CI118" s="1"/>
        <tr r="CI118" s="1"/>
      </tp>
      <tp t="e">
        <v>#N/A</v>
        <stp/>
        <stp>DELTA</stp>
        <stp>.SPXW250516C5540</stp>
        <tr r="CH118" s="1"/>
        <tr r="CH118" s="1"/>
      </tp>
      <tp t="e">
        <v>#N/A</v>
        <stp/>
        <stp>DELTA</stp>
        <stp>.SPXW250502P5430</stp>
        <tr r="CE129" s="1"/>
        <tr r="CE129" s="1"/>
      </tp>
      <tp t="e">
        <v>#N/A</v>
        <stp/>
        <stp>DELTA</stp>
        <stp>.SPXW250509P5480</stp>
        <tr r="CG124" s="1"/>
        <tr r="CG124" s="1"/>
      </tp>
      <tp t="e">
        <v>#N/A</v>
        <stp/>
        <stp>DELTA</stp>
        <stp>.SPXW250516P5570</stp>
        <tr r="CI115" s="1"/>
        <tr r="CI115" s="1"/>
      </tp>
      <tp t="e">
        <v>#N/A</v>
        <stp/>
        <stp>DELTA</stp>
        <stp>.SPXW250502C5430</stp>
        <tr r="CD129" s="1"/>
        <tr r="CD129" s="1"/>
      </tp>
      <tp t="e">
        <v>#N/A</v>
        <stp/>
        <stp>DELTA</stp>
        <stp>.SPXW250509C5480</stp>
        <tr r="CF124" s="1"/>
        <tr r="CF124" s="1"/>
      </tp>
      <tp t="e">
        <v>#N/A</v>
        <stp/>
        <stp>DELTA</stp>
        <stp>.SPXW250516C5570</stp>
        <tr r="CH115" s="1"/>
        <tr r="CH115" s="1"/>
      </tp>
      <tp t="e">
        <v>#N/A</v>
        <stp/>
        <stp>DELTA</stp>
        <stp>.SPXW250502P5420</stp>
        <tr r="CE130" s="1"/>
        <tr r="CE130" s="1"/>
      </tp>
      <tp t="e">
        <v>#N/A</v>
        <stp/>
        <stp>DELTA</stp>
        <stp>.SPXW250509P5490</stp>
        <tr r="CG123" s="1"/>
        <tr r="CG123" s="1"/>
      </tp>
      <tp t="e">
        <v>#N/A</v>
        <stp/>
        <stp>DELTA</stp>
        <stp>.SPXW250516P5560</stp>
        <tr r="CI116" s="1"/>
        <tr r="CI116" s="1"/>
      </tp>
      <tp t="e">
        <v>#N/A</v>
        <stp/>
        <stp>DELTA</stp>
        <stp>.SPXW250502C5420</stp>
        <tr r="CD130" s="1"/>
        <tr r="CD130" s="1"/>
      </tp>
      <tp t="e">
        <v>#N/A</v>
        <stp/>
        <stp>DELTA</stp>
        <stp>.SPXW250509C5490</stp>
        <tr r="CF123" s="1"/>
        <tr r="CF123" s="1"/>
      </tp>
      <tp t="e">
        <v>#N/A</v>
        <stp/>
        <stp>DELTA</stp>
        <stp>.SPXW250516C5560</stp>
        <tr r="CH116" s="1"/>
        <tr r="CH116" s="1"/>
      </tp>
      <tp t="e">
        <v>#N/A</v>
        <stp/>
        <stp>DELTA</stp>
        <stp>.SPXW250502P5450</stp>
        <tr r="CE127" s="1"/>
        <tr r="CE127" s="1"/>
      </tp>
      <tp t="e">
        <v>#N/A</v>
        <stp/>
        <stp>DELTA</stp>
        <stp>.SPXW250516P5510</stp>
        <tr r="CI121" s="1"/>
        <tr r="CI121" s="1"/>
      </tp>
      <tp t="e">
        <v>#N/A</v>
        <stp/>
        <stp>DELTA</stp>
        <stp>.SPXW250502C5450</stp>
        <tr r="CD127" s="1"/>
        <tr r="CD127" s="1"/>
      </tp>
      <tp t="e">
        <v>#N/A</v>
        <stp/>
        <stp>DELTA</stp>
        <stp>.SPXW250516C5510</stp>
        <tr r="CH121" s="1"/>
        <tr r="CH121" s="1"/>
      </tp>
      <tp t="e">
        <v>#N/A</v>
        <stp/>
        <stp>DELTA</stp>
        <stp>.SPXW250502P5440</stp>
        <tr r="CE128" s="1"/>
        <tr r="CE128" s="1"/>
      </tp>
      <tp t="e">
        <v>#N/A</v>
        <stp/>
        <stp>DELTA</stp>
        <stp>.SPXW250516P5500</stp>
        <tr r="CI122" s="1"/>
        <tr r="CI122" s="1"/>
      </tp>
      <tp t="e">
        <v>#N/A</v>
        <stp/>
        <stp>DELTA</stp>
        <stp>.SPXW250502C5440</stp>
        <tr r="CD128" s="1"/>
        <tr r="CD128" s="1"/>
      </tp>
      <tp t="e">
        <v>#N/A</v>
        <stp/>
        <stp>DELTA</stp>
        <stp>.SPXW250516C5500</stp>
        <tr r="CH122" s="1"/>
        <tr r="CH122" s="1"/>
      </tp>
      <tp t="e">
        <v>#N/A</v>
        <stp/>
        <stp>DELTA</stp>
        <stp>.SPXW250502P5470</stp>
        <tr r="CE125" s="1"/>
        <tr r="CE125" s="1"/>
      </tp>
      <tp t="e">
        <v>#N/A</v>
        <stp/>
        <stp>DELTA</stp>
        <stp>.SPXW250516P5530</stp>
        <tr r="CI119" s="1"/>
        <tr r="CI119" s="1"/>
      </tp>
      <tp t="e">
        <v>#N/A</v>
        <stp/>
        <stp>DELTA</stp>
        <stp>.SPXW250502C5470</stp>
        <tr r="CD125" s="1"/>
        <tr r="CD125" s="1"/>
      </tp>
      <tp t="e">
        <v>#N/A</v>
        <stp/>
        <stp>DELTA</stp>
        <stp>.SPXW250516C5530</stp>
        <tr r="CH119" s="1"/>
        <tr r="CH119" s="1"/>
      </tp>
      <tp t="e">
        <v>#N/A</v>
        <stp/>
        <stp>DELTA</stp>
        <stp>.SPXW250502P5460</stp>
        <tr r="CE126" s="1"/>
        <tr r="CE126" s="1"/>
      </tp>
      <tp t="e">
        <v>#N/A</v>
        <stp/>
        <stp>DELTA</stp>
        <stp>.SPXW250516P5520</stp>
        <tr r="CI120" s="1"/>
        <tr r="CI120" s="1"/>
      </tp>
      <tp t="e">
        <v>#N/A</v>
        <stp/>
        <stp>DELTA</stp>
        <stp>.SPXW250502C5460</stp>
        <tr r="CD126" s="1"/>
        <tr r="CD126" s="1"/>
      </tp>
      <tp t="e">
        <v>#N/A</v>
        <stp/>
        <stp>DELTA</stp>
        <stp>.SPXW250516C5520</stp>
        <tr r="CH120" s="1"/>
        <tr r="CH120" s="1"/>
      </tp>
      <tp t="e">
        <v>#N/A</v>
        <stp/>
        <stp>DELTA</stp>
        <stp>.SPXW250502P5590</stp>
        <tr r="CE113" s="1"/>
        <tr r="CE113" s="1"/>
      </tp>
      <tp t="e">
        <v>#N/A</v>
        <stp/>
        <stp>DELTA</stp>
        <stp>.SPXW250509P5520</stp>
        <tr r="CG120" s="1"/>
        <tr r="CG120" s="1"/>
      </tp>
      <tp t="e">
        <v>#N/A</v>
        <stp/>
        <stp>DELTA</stp>
        <stp>.SPXW250502C5590</stp>
        <tr r="CD113" s="1"/>
        <tr r="CD113" s="1"/>
      </tp>
      <tp t="e">
        <v>#N/A</v>
        <stp/>
        <stp>DELTA</stp>
        <stp>.SPXW250509C5520</stp>
        <tr r="CF120" s="1"/>
        <tr r="CF120" s="1"/>
      </tp>
      <tp t="e">
        <v>#N/A</v>
        <stp/>
        <stp>DELTA</stp>
        <stp>.SPXW250502P5580</stp>
        <tr r="CE114" s="1"/>
        <tr r="CE114" s="1"/>
      </tp>
      <tp t="e">
        <v>#N/A</v>
        <stp/>
        <stp>DELTA</stp>
        <stp>.SPXW250509P5530</stp>
        <tr r="CG119" s="1"/>
        <tr r="CG119" s="1"/>
      </tp>
      <tp t="e">
        <v>#N/A</v>
        <stp/>
        <stp>DELTA</stp>
        <stp>.SPXW250502C5580</stp>
        <tr r="CD114" s="1"/>
        <tr r="CD114" s="1"/>
      </tp>
      <tp t="e">
        <v>#N/A</v>
        <stp/>
        <stp>DELTA</stp>
        <stp>.SPXW250509C5530</stp>
        <tr r="CF119" s="1"/>
        <tr r="CF119" s="1"/>
      </tp>
      <tp t="e">
        <v>#N/A</v>
        <stp/>
        <stp>DELTA</stp>
        <stp>.SPXW250509P5500</stp>
        <tr r="CG122" s="1"/>
        <tr r="CG122" s="1"/>
      </tp>
      <tp t="e">
        <v>#N/A</v>
        <stp/>
        <stp>DELTA</stp>
        <stp>.SPXW250509C5500</stp>
        <tr r="CF122" s="1"/>
        <tr r="CF122" s="1"/>
      </tp>
      <tp t="e">
        <v>#N/A</v>
        <stp/>
        <stp>DELTA</stp>
        <stp>.SPXW250509P5510</stp>
        <tr r="CG121" s="1"/>
        <tr r="CG121" s="1"/>
      </tp>
      <tp t="e">
        <v>#N/A</v>
        <stp/>
        <stp>DELTA</stp>
        <stp>.SPXW250509C5510</stp>
        <tr r="CF121" s="1"/>
        <tr r="CF121" s="1"/>
      </tp>
      <tp t="e">
        <v>#N/A</v>
        <stp/>
        <stp>DELTA</stp>
        <stp>.SPXW250509P5560</stp>
        <tr r="CG116" s="1"/>
        <tr r="CG116" s="1"/>
      </tp>
      <tp t="e">
        <v>#N/A</v>
        <stp/>
        <stp>DELTA</stp>
        <stp>.SPXW250516P5490</stp>
        <tr r="CI123" s="1"/>
        <tr r="CI123" s="1"/>
      </tp>
      <tp t="e">
        <v>#N/A</v>
        <stp/>
        <stp>DELTA</stp>
        <stp>.SPXW250509C5560</stp>
        <tr r="CF116" s="1"/>
        <tr r="CF116" s="1"/>
      </tp>
      <tp t="e">
        <v>#N/A</v>
        <stp/>
        <stp>DELTA</stp>
        <stp>.SPXW250516C5490</stp>
        <tr r="CH123" s="1"/>
        <tr r="CH123" s="1"/>
      </tp>
      <tp t="e">
        <v>#N/A</v>
        <stp/>
        <stp>DELTA</stp>
        <stp>.SPXW250509P5570</stp>
        <tr r="CG115" s="1"/>
        <tr r="CG115" s="1"/>
      </tp>
      <tp t="e">
        <v>#N/A</v>
        <stp/>
        <stp>DELTA</stp>
        <stp>.SPXW250516P5480</stp>
        <tr r="CI124" s="1"/>
        <tr r="CI124" s="1"/>
      </tp>
      <tp t="e">
        <v>#N/A</v>
        <stp/>
        <stp>DELTA</stp>
        <stp>.SPXW250509C5570</stp>
        <tr r="CF115" s="1"/>
        <tr r="CF115" s="1"/>
      </tp>
      <tp t="e">
        <v>#N/A</v>
        <stp/>
        <stp>DELTA</stp>
        <stp>.SPXW250516C5480</stp>
        <tr r="CH124" s="1"/>
        <tr r="CH124" s="1"/>
      </tp>
      <tp t="e">
        <v>#N/A</v>
        <stp/>
        <stp>DELTA</stp>
        <stp>.SPXW250509P5540</stp>
        <tr r="CG118" s="1"/>
        <tr r="CG118" s="1"/>
      </tp>
      <tp t="e">
        <v>#N/A</v>
        <stp/>
        <stp>DELTA</stp>
        <stp>.SPXW250509C5540</stp>
        <tr r="CF118" s="1"/>
        <tr r="CF118" s="1"/>
      </tp>
      <tp t="e">
        <v>#N/A</v>
        <stp/>
        <stp>DELTA</stp>
        <stp>.SPXW250509P5550</stp>
        <tr r="CG117" s="1"/>
        <tr r="CG117" s="1"/>
      </tp>
      <tp t="e">
        <v>#N/A</v>
        <stp/>
        <stp>DELTA</stp>
        <stp>.SPXW250509C5550</stp>
        <tr r="CF117" s="1"/>
        <tr r="CF117" s="1"/>
      </tp>
      <tp t="e">
        <v>#N/A</v>
        <stp/>
        <stp>DELTA</stp>
        <stp>.SPXW250502P5510</stp>
        <tr r="CE121" s="1"/>
        <tr r="CE121" s="1"/>
      </tp>
      <tp t="e">
        <v>#N/A</v>
        <stp/>
        <stp>DELTA</stp>
        <stp>.SPXW250516P5450</stp>
        <tr r="CI127" s="1"/>
        <tr r="CI127" s="1"/>
      </tp>
      <tp t="e">
        <v>#N/A</v>
        <stp/>
        <stp>DELTA</stp>
        <stp>.SPXW250502C5510</stp>
        <tr r="CD121" s="1"/>
        <tr r="CD121" s="1"/>
      </tp>
      <tp t="e">
        <v>#N/A</v>
        <stp/>
        <stp>DELTA</stp>
        <stp>.SPXW250516C5450</stp>
        <tr r="CH127" s="1"/>
        <tr r="CH127" s="1"/>
      </tp>
      <tp t="e">
        <v>#N/A</v>
        <stp/>
        <stp>DELTA</stp>
        <stp>.SPXW250502P5500</stp>
        <tr r="CE122" s="1"/>
        <tr r="CE122" s="1"/>
      </tp>
      <tp t="e">
        <v>#N/A</v>
        <stp/>
        <stp>DELTA</stp>
        <stp>.SPXW250516P5440</stp>
        <tr r="CI128" s="1"/>
        <tr r="CI128" s="1"/>
      </tp>
      <tp t="e">
        <v>#N/A</v>
        <stp/>
        <stp>DELTA</stp>
        <stp>.SPXW250502C5500</stp>
        <tr r="CD122" s="1"/>
        <tr r="CD122" s="1"/>
      </tp>
      <tp t="e">
        <v>#N/A</v>
        <stp/>
        <stp>DELTA</stp>
        <stp>.SPXW250516C5440</stp>
        <tr r="CH128" s="1"/>
        <tr r="CH128" s="1"/>
      </tp>
      <tp t="e">
        <v>#N/A</v>
        <stp/>
        <stp>DELTA</stp>
        <stp>.SPXW250502P5530</stp>
        <tr r="CE119" s="1"/>
        <tr r="CE119" s="1"/>
      </tp>
      <tp t="e">
        <v>#N/A</v>
        <stp/>
        <stp>DELTA</stp>
        <stp>.SPXW250509P5580</stp>
        <tr r="CG114" s="1"/>
        <tr r="CG114" s="1"/>
      </tp>
      <tp t="e">
        <v>#N/A</v>
        <stp/>
        <stp>DELTA</stp>
        <stp>.SPXW250516P5470</stp>
        <tr r="CI125" s="1"/>
        <tr r="CI125" s="1"/>
      </tp>
      <tp t="e">
        <v>#N/A</v>
        <stp/>
        <stp>DELTA</stp>
        <stp>.SPXW250502C5530</stp>
        <tr r="CD119" s="1"/>
        <tr r="CD119" s="1"/>
      </tp>
      <tp t="e">
        <v>#N/A</v>
        <stp/>
        <stp>DELTA</stp>
        <stp>.SPXW250509C5580</stp>
        <tr r="CF114" s="1"/>
        <tr r="CF114" s="1"/>
      </tp>
      <tp t="e">
        <v>#N/A</v>
        <stp/>
        <stp>DELTA</stp>
        <stp>.SPXW250516C5470</stp>
        <tr r="CH125" s="1"/>
        <tr r="CH125" s="1"/>
      </tp>
      <tp t="e">
        <v>#N/A</v>
        <stp/>
        <stp>DELTA</stp>
        <stp>.SPXW250502P5520</stp>
        <tr r="CE120" s="1"/>
        <tr r="CE120" s="1"/>
      </tp>
      <tp t="e">
        <v>#N/A</v>
        <stp/>
        <stp>DELTA</stp>
        <stp>.SPXW250509P5590</stp>
        <tr r="CG113" s="1"/>
        <tr r="CG113" s="1"/>
      </tp>
      <tp t="e">
        <v>#N/A</v>
        <stp/>
        <stp>DELTA</stp>
        <stp>.SPXW250516P5460</stp>
        <tr r="CI126" s="1"/>
        <tr r="CI126" s="1"/>
      </tp>
      <tp t="e">
        <v>#N/A</v>
        <stp/>
        <stp>DELTA</stp>
        <stp>.SPXW250502C5520</stp>
        <tr r="CD120" s="1"/>
        <tr r="CD120" s="1"/>
      </tp>
      <tp t="e">
        <v>#N/A</v>
        <stp/>
        <stp>DELTA</stp>
        <stp>.SPXW250509C5590</stp>
        <tr r="CF113" s="1"/>
        <tr r="CF113" s="1"/>
      </tp>
      <tp t="e">
        <v>#N/A</v>
        <stp/>
        <stp>DELTA</stp>
        <stp>.SPXW250516C5460</stp>
        <tr r="CH126" s="1"/>
        <tr r="CH126" s="1"/>
      </tp>
      <tp t="e">
        <v>#N/A</v>
        <stp/>
        <stp>DELTA</stp>
        <stp>.SPXW250502P5550</stp>
        <tr r="CE117" s="1"/>
        <tr r="CE117" s="1"/>
      </tp>
      <tp t="e">
        <v>#N/A</v>
        <stp/>
        <stp>DELTA</stp>
        <stp>.SPXW250502C5550</stp>
        <tr r="CD117" s="1"/>
        <tr r="CD117" s="1"/>
      </tp>
      <tp t="e">
        <v>#N/A</v>
        <stp/>
        <stp>DELTA</stp>
        <stp>.SPXW250502P5540</stp>
        <tr r="CE118" s="1"/>
        <tr r="CE118" s="1"/>
      </tp>
      <tp t="e">
        <v>#N/A</v>
        <stp/>
        <stp>DELTA</stp>
        <stp>.SPXW250502C5540</stp>
        <tr r="CD118" s="1"/>
        <tr r="CD118" s="1"/>
      </tp>
      <tp t="e">
        <v>#N/A</v>
        <stp/>
        <stp>DELTA</stp>
        <stp>.SPXW250502P5570</stp>
        <tr r="CE115" s="1"/>
        <tr r="CE115" s="1"/>
      </tp>
      <tp t="e">
        <v>#N/A</v>
        <stp/>
        <stp>DELTA</stp>
        <stp>.SPXW250516P5430</stp>
        <tr r="CI129" s="1"/>
        <tr r="CI129" s="1"/>
      </tp>
      <tp t="e">
        <v>#N/A</v>
        <stp/>
        <stp>DELTA</stp>
        <stp>.SPXW250502C5570</stp>
        <tr r="CD115" s="1"/>
        <tr r="CD115" s="1"/>
      </tp>
      <tp t="e">
        <v>#N/A</v>
        <stp/>
        <stp>DELTA</stp>
        <stp>.SPXW250516C5430</stp>
        <tr r="CH129" s="1"/>
        <tr r="CH129" s="1"/>
      </tp>
      <tp t="e">
        <v>#N/A</v>
        <stp/>
        <stp>DELTA</stp>
        <stp>.SPXW250502P5560</stp>
        <tr r="CE116" s="1"/>
        <tr r="CE116" s="1"/>
      </tp>
      <tp t="e">
        <v>#N/A</v>
        <stp/>
        <stp>DELTA</stp>
        <stp>.SPXW250516P5420</stp>
        <tr r="CI130" s="1"/>
        <tr r="CI130" s="1"/>
      </tp>
      <tp t="e">
        <v>#N/A</v>
        <stp/>
        <stp>DELTA</stp>
        <stp>.SPXW250502C5560</stp>
        <tr r="CD116" s="1"/>
        <tr r="CD116" s="1"/>
      </tp>
      <tp t="e">
        <v>#N/A</v>
        <stp/>
        <stp>DELTA</stp>
        <stp>.SPXW250516C5420</stp>
        <tr r="CH130" s="1"/>
        <tr r="CH130" s="1"/>
      </tp>
      <tp t="e">
        <v>#N/A</v>
        <stp/>
        <stp>VOLUME</stp>
        <stp>.SPY251219P582</stp>
        <tr r="W5" s="2"/>
      </tp>
      <tp t="e">
        <v>#N/A</v>
        <stp/>
        <stp>VOLUME</stp>
        <stp>.SPY251219C582</stp>
        <tr r="W5" s="2"/>
      </tp>
      <tp t="e">
        <v>#N/A</v>
        <stp/>
        <stp>VOLUME</stp>
        <stp>.SPY251219P581</stp>
        <tr r="W6" s="2"/>
      </tp>
      <tp t="e">
        <v>#N/A</v>
        <stp/>
        <stp>VOLUME</stp>
        <stp>.SPY251219C581</stp>
        <tr r="W6" s="2"/>
      </tp>
      <tp t="e">
        <v>#N/A</v>
        <stp/>
        <stp>VOLUME</stp>
        <stp>.SPY251219P580</stp>
        <tr r="W7" s="2"/>
      </tp>
      <tp t="e">
        <v>#N/A</v>
        <stp/>
        <stp>VOLUME</stp>
        <stp>.SPY251219C580</stp>
        <tr r="W7" s="2"/>
      </tp>
      <tp t="e">
        <v>#N/A</v>
        <stp/>
        <stp>VOLUME</stp>
        <stp>.SPY251231P582</stp>
        <tr r="X5" s="2"/>
      </tp>
      <tp t="e">
        <v>#N/A</v>
        <stp/>
        <stp>VOLUME</stp>
        <stp>.SPY251231C582</stp>
        <tr r="X5" s="2"/>
      </tp>
      <tp t="e">
        <v>#N/A</v>
        <stp/>
        <stp>VOLUME</stp>
        <stp>.SPY251231P581</stp>
        <tr r="X6" s="2"/>
      </tp>
      <tp t="e">
        <v>#N/A</v>
        <stp/>
        <stp>VOLUME</stp>
        <stp>.SPY251231C581</stp>
        <tr r="X6" s="2"/>
      </tp>
      <tp t="e">
        <v>#N/A</v>
        <stp/>
        <stp>VOLUME</stp>
        <stp>.SPY251231P580</stp>
        <tr r="X7" s="2"/>
      </tp>
      <tp t="e">
        <v>#N/A</v>
        <stp/>
        <stp>VOLUME</stp>
        <stp>.SPY251231C580</stp>
        <tr r="X7" s="2"/>
      </tp>
      <tp t="e">
        <v>#N/A</v>
        <stp/>
        <stp>VOLUME</stp>
        <stp>.SPY251231P567</stp>
        <tr r="X20" s="2"/>
      </tp>
      <tp t="e">
        <v>#N/A</v>
        <stp/>
        <stp>VOLUME</stp>
        <stp>.SPY251231C567</stp>
        <tr r="X20" s="2"/>
      </tp>
      <tp t="e">
        <v>#N/A</v>
        <stp/>
        <stp>VOLUME</stp>
        <stp>.SPY251231P566</stp>
        <tr r="X21" s="2"/>
      </tp>
      <tp t="e">
        <v>#N/A</v>
        <stp/>
        <stp>VOLUME</stp>
        <stp>.SPY251231C566</stp>
        <tr r="X21" s="2"/>
      </tp>
      <tp t="e">
        <v>#N/A</v>
        <stp/>
        <stp>VOLUME</stp>
        <stp>.SPY251231P565</stp>
        <tr r="X22" s="2"/>
      </tp>
      <tp t="e">
        <v>#N/A</v>
        <stp/>
        <stp>VOLUME</stp>
        <stp>.SPY251231C565</stp>
        <tr r="X22" s="2"/>
      </tp>
      <tp t="e">
        <v>#N/A</v>
        <stp/>
        <stp>VOLUME</stp>
        <stp>.SPY251231P564</stp>
        <tr r="X23" s="2"/>
      </tp>
      <tp t="e">
        <v>#N/A</v>
        <stp/>
        <stp>VOLUME</stp>
        <stp>.SPY251231C564</stp>
        <tr r="X23" s="2"/>
      </tp>
      <tp t="e">
        <v>#N/A</v>
        <stp/>
        <stp>VOLUME</stp>
        <stp>.SPY251231P563</stp>
        <tr r="X24" s="2"/>
      </tp>
      <tp t="e">
        <v>#N/A</v>
        <stp/>
        <stp>VOLUME</stp>
        <stp>.SPY251231C563</stp>
        <tr r="X24" s="2"/>
      </tp>
      <tp t="e">
        <v>#N/A</v>
        <stp/>
        <stp>VOLUME</stp>
        <stp>.SPY251231P562</stp>
        <tr r="X25" s="2"/>
      </tp>
      <tp t="e">
        <v>#N/A</v>
        <stp/>
        <stp>VOLUME</stp>
        <stp>.SPY251231C562</stp>
        <tr r="X25" s="2"/>
      </tp>
      <tp t="e">
        <v>#N/A</v>
        <stp/>
        <stp>VOLUME</stp>
        <stp>.SPY251219P549</stp>
        <tr r="W38" s="2"/>
      </tp>
      <tp t="e">
        <v>#N/A</v>
        <stp/>
        <stp>VOLUME</stp>
        <stp>.SPY251231P561</stp>
        <tr r="X26" s="2"/>
      </tp>
      <tp t="e">
        <v>#N/A</v>
        <stp/>
        <stp>VOLUME</stp>
        <stp>.SPY251219C549</stp>
        <tr r="W38" s="2"/>
      </tp>
      <tp t="e">
        <v>#N/A</v>
        <stp/>
        <stp>VOLUME</stp>
        <stp>.SPY251231C561</stp>
        <tr r="X26" s="2"/>
      </tp>
      <tp t="e">
        <v>#N/A</v>
        <stp/>
        <stp>VOLUME</stp>
        <stp>.SPY251219P548</stp>
        <tr r="W39" s="2"/>
      </tp>
      <tp t="e">
        <v>#N/A</v>
        <stp/>
        <stp>VOLUME</stp>
        <stp>.SPY251231P560</stp>
        <tr r="X27" s="2"/>
      </tp>
      <tp t="e">
        <v>#N/A</v>
        <stp/>
        <stp>VOLUME</stp>
        <stp>.SPY251219C548</stp>
        <tr r="W39" s="2"/>
      </tp>
      <tp t="e">
        <v>#N/A</v>
        <stp/>
        <stp>VOLUME</stp>
        <stp>.SPY251231C560</stp>
        <tr r="X27" s="2"/>
      </tp>
      <tp t="e">
        <v>#N/A</v>
        <stp/>
        <stp>VOLUME</stp>
        <stp>.SPY251231P569</stp>
        <tr r="X18" s="2"/>
      </tp>
      <tp t="e">
        <v>#N/A</v>
        <stp/>
        <stp>VOLUME</stp>
        <stp>.SPY251231C569</stp>
        <tr r="X18" s="2"/>
      </tp>
      <tp t="e">
        <v>#N/A</v>
        <stp/>
        <stp>VOLUME</stp>
        <stp>.SPY251231P568</stp>
        <tr r="X19" s="2"/>
      </tp>
      <tp t="e">
        <v>#N/A</v>
        <stp/>
        <stp>VOLUME</stp>
        <stp>.SPY251231C568</stp>
        <tr r="X19" s="2"/>
      </tp>
      <tp t="e">
        <v>#N/A</v>
        <stp/>
        <stp>VOLUME</stp>
        <stp>.SPY251231P577</stp>
        <tr r="X10" s="2"/>
      </tp>
      <tp t="e">
        <v>#N/A</v>
        <stp/>
        <stp>VOLUME</stp>
        <stp>.SPY251231C577</stp>
        <tr r="X10" s="2"/>
      </tp>
      <tp t="e">
        <v>#N/A</v>
        <stp/>
        <stp>VOLUME</stp>
        <stp>.SPY251231P576</stp>
        <tr r="X11" s="2"/>
      </tp>
      <tp t="e">
        <v>#N/A</v>
        <stp/>
        <stp>VOLUME</stp>
        <stp>.SPY251231C576</stp>
        <tr r="X11" s="2"/>
      </tp>
      <tp t="e">
        <v>#N/A</v>
        <stp/>
        <stp>VOLUME</stp>
        <stp>.SPY251231P575</stp>
        <tr r="X12" s="2"/>
      </tp>
      <tp t="e">
        <v>#N/A</v>
        <stp/>
        <stp>VOLUME</stp>
        <stp>.SPY251231C575</stp>
        <tr r="X12" s="2"/>
      </tp>
      <tp t="e">
        <v>#N/A</v>
        <stp/>
        <stp>VOLUME</stp>
        <stp>.SPY251231P574</stp>
        <tr r="X13" s="2"/>
      </tp>
      <tp t="e">
        <v>#N/A</v>
        <stp/>
        <stp>VOLUME</stp>
        <stp>.SPY251231C574</stp>
        <tr r="X13" s="2"/>
      </tp>
      <tp t="e">
        <v>#N/A</v>
        <stp/>
        <stp>VOLUME</stp>
        <stp>.SPY251231P573</stp>
        <tr r="X14" s="2"/>
      </tp>
      <tp t="e">
        <v>#N/A</v>
        <stp/>
        <stp>VOLUME</stp>
        <stp>.SPY251231C573</stp>
        <tr r="X14" s="2"/>
      </tp>
      <tp t="e">
        <v>#N/A</v>
        <stp/>
        <stp>VOLUME</stp>
        <stp>.SPY251231P572</stp>
        <tr r="X15" s="2"/>
      </tp>
      <tp t="e">
        <v>#N/A</v>
        <stp/>
        <stp>VOLUME</stp>
        <stp>.SPY251231C572</stp>
        <tr r="X15" s="2"/>
      </tp>
      <tp t="e">
        <v>#N/A</v>
        <stp/>
        <stp>VOLUME</stp>
        <stp>.SPY251219P559</stp>
        <tr r="W28" s="2"/>
      </tp>
      <tp t="e">
        <v>#N/A</v>
        <stp/>
        <stp>VOLUME</stp>
        <stp>.SPY251231P571</stp>
        <tr r="X16" s="2"/>
      </tp>
      <tp t="e">
        <v>#N/A</v>
        <stp/>
        <stp>VOLUME</stp>
        <stp>.SPY251219C559</stp>
        <tr r="W28" s="2"/>
      </tp>
      <tp t="e">
        <v>#N/A</v>
        <stp/>
        <stp>VOLUME</stp>
        <stp>.SPY251231C571</stp>
        <tr r="X16" s="2"/>
      </tp>
      <tp t="e">
        <v>#N/A</v>
        <stp/>
        <stp>VOLUME</stp>
        <stp>.SPY251219P558</stp>
        <tr r="W29" s="2"/>
      </tp>
      <tp t="e">
        <v>#N/A</v>
        <stp/>
        <stp>VOLUME</stp>
        <stp>.SPY251231P570</stp>
        <tr r="X17" s="2"/>
      </tp>
      <tp t="e">
        <v>#N/A</v>
        <stp/>
        <stp>VOLUME</stp>
        <stp>.SPY251219C558</stp>
        <tr r="W29" s="2"/>
      </tp>
      <tp t="e">
        <v>#N/A</v>
        <stp/>
        <stp>VOLUME</stp>
        <stp>.SPY251231C570</stp>
        <tr r="X17" s="2"/>
      </tp>
      <tp t="e">
        <v>#N/A</v>
        <stp/>
        <stp>VOLUME</stp>
        <stp>.SPY251219P557</stp>
        <tr r="W30" s="2"/>
      </tp>
      <tp t="e">
        <v>#N/A</v>
        <stp/>
        <stp>VOLUME</stp>
        <stp>.SPY251219C557</stp>
        <tr r="W30" s="2"/>
      </tp>
      <tp t="e">
        <v>#N/A</v>
        <stp/>
        <stp>VOLUME</stp>
        <stp>.SPY251219P556</stp>
        <tr r="W31" s="2"/>
      </tp>
      <tp t="e">
        <v>#N/A</v>
        <stp/>
        <stp>VOLUME</stp>
        <stp>.SPY251219C556</stp>
        <tr r="W31" s="2"/>
      </tp>
      <tp t="e">
        <v>#N/A</v>
        <stp/>
        <stp>VOLUME</stp>
        <stp>.SPY251219P555</stp>
        <tr r="W32" s="2"/>
      </tp>
      <tp t="e">
        <v>#N/A</v>
        <stp/>
        <stp>VOLUME</stp>
        <stp>.SPY251219C555</stp>
        <tr r="W32" s="2"/>
      </tp>
      <tp t="e">
        <v>#N/A</v>
        <stp/>
        <stp>VOLUME</stp>
        <stp>.SPY251219P554</stp>
        <tr r="W33" s="2"/>
      </tp>
      <tp t="e">
        <v>#N/A</v>
        <stp/>
        <stp>VOLUME</stp>
        <stp>.SPY251219C554</stp>
        <tr r="W33" s="2"/>
      </tp>
      <tp t="e">
        <v>#N/A</v>
        <stp/>
        <stp>VOLUME</stp>
        <stp>.SPY251219P553</stp>
        <tr r="W34" s="2"/>
      </tp>
      <tp t="e">
        <v>#N/A</v>
        <stp/>
        <stp>VOLUME</stp>
        <stp>.SPY251219C553</stp>
        <tr r="W34" s="2"/>
      </tp>
      <tp t="e">
        <v>#N/A</v>
        <stp/>
        <stp>VOLUME</stp>
        <stp>.SPY251219P552</stp>
        <tr r="W35" s="2"/>
      </tp>
      <tp t="e">
        <v>#N/A</v>
        <stp/>
        <stp>VOLUME</stp>
        <stp>.SPY251219C552</stp>
        <tr r="W35" s="2"/>
      </tp>
      <tp t="e">
        <v>#N/A</v>
        <stp/>
        <stp>VOLUME</stp>
        <stp>.SPY251219P551</stp>
        <tr r="W36" s="2"/>
      </tp>
      <tp t="e">
        <v>#N/A</v>
        <stp/>
        <stp>VOLUME</stp>
        <stp>.SPY251231P579</stp>
        <tr r="X8" s="2"/>
      </tp>
      <tp t="e">
        <v>#N/A</v>
        <stp/>
        <stp>VOLUME</stp>
        <stp>.SPY251219C551</stp>
        <tr r="W36" s="2"/>
      </tp>
      <tp t="e">
        <v>#N/A</v>
        <stp/>
        <stp>VOLUME</stp>
        <stp>.SPY251231C579</stp>
        <tr r="X8" s="2"/>
      </tp>
      <tp t="e">
        <v>#N/A</v>
        <stp/>
        <stp>VOLUME</stp>
        <stp>.SPY251219P550</stp>
        <tr r="W37" s="2"/>
      </tp>
      <tp t="e">
        <v>#N/A</v>
        <stp/>
        <stp>VOLUME</stp>
        <stp>.SPY251231P578</stp>
        <tr r="X9" s="2"/>
      </tp>
      <tp t="e">
        <v>#N/A</v>
        <stp/>
        <stp>VOLUME</stp>
        <stp>.SPY251219C550</stp>
        <tr r="W37" s="2"/>
      </tp>
      <tp t="e">
        <v>#N/A</v>
        <stp/>
        <stp>VOLUME</stp>
        <stp>.SPY251231C578</stp>
        <tr r="X9" s="2"/>
      </tp>
      <tp t="e">
        <v>#N/A</v>
        <stp/>
        <stp>VOLUME</stp>
        <stp>.SPY251219P569</stp>
        <tr r="W18" s="2"/>
      </tp>
      <tp t="e">
        <v>#N/A</v>
        <stp/>
        <stp>VOLUME</stp>
        <stp>.SPY251219C569</stp>
        <tr r="W18" s="2"/>
      </tp>
      <tp t="e">
        <v>#N/A</v>
        <stp/>
        <stp>VOLUME</stp>
        <stp>.SPY251219P568</stp>
        <tr r="W19" s="2"/>
      </tp>
      <tp t="e">
        <v>#N/A</v>
        <stp/>
        <stp>VOLUME</stp>
        <stp>.SPY251219C568</stp>
        <tr r="W19" s="2"/>
      </tp>
      <tp t="e">
        <v>#N/A</v>
        <stp/>
        <stp>VOLUME</stp>
        <stp>.SPY251219P567</stp>
        <tr r="W20" s="2"/>
      </tp>
      <tp t="e">
        <v>#N/A</v>
        <stp/>
        <stp>VOLUME</stp>
        <stp>.SPY251219C567</stp>
        <tr r="W20" s="2"/>
      </tp>
      <tp t="e">
        <v>#N/A</v>
        <stp/>
        <stp>VOLUME</stp>
        <stp>.SPY251219P566</stp>
        <tr r="W21" s="2"/>
      </tp>
      <tp t="e">
        <v>#N/A</v>
        <stp/>
        <stp>VOLUME</stp>
        <stp>.SPY251219C566</stp>
        <tr r="W21" s="2"/>
      </tp>
      <tp t="e">
        <v>#N/A</v>
        <stp/>
        <stp>VOLUME</stp>
        <stp>.SPY251219P565</stp>
        <tr r="W22" s="2"/>
      </tp>
      <tp t="e">
        <v>#N/A</v>
        <stp/>
        <stp>VOLUME</stp>
        <stp>.SPY251219C565</stp>
        <tr r="W22" s="2"/>
      </tp>
      <tp t="e">
        <v>#N/A</v>
        <stp/>
        <stp>VOLUME</stp>
        <stp>.SPY251219P564</stp>
        <tr r="W23" s="2"/>
      </tp>
      <tp t="e">
        <v>#N/A</v>
        <stp/>
        <stp>VOLUME</stp>
        <stp>.SPY251219C564</stp>
        <tr r="W23" s="2"/>
      </tp>
      <tp t="e">
        <v>#N/A</v>
        <stp/>
        <stp>VOLUME</stp>
        <stp>.SPY251219P563</stp>
        <tr r="W24" s="2"/>
      </tp>
      <tp t="e">
        <v>#N/A</v>
        <stp/>
        <stp>VOLUME</stp>
        <stp>.SPY251219C563</stp>
        <tr r="W24" s="2"/>
      </tp>
      <tp t="e">
        <v>#N/A</v>
        <stp/>
        <stp>VOLUME</stp>
        <stp>.SPY251219P562</stp>
        <tr r="W25" s="2"/>
      </tp>
      <tp t="e">
        <v>#N/A</v>
        <stp/>
        <stp>VOLUME</stp>
        <stp>.SPY251219C562</stp>
        <tr r="W25" s="2"/>
      </tp>
      <tp t="e">
        <v>#N/A</v>
        <stp/>
        <stp>VOLUME</stp>
        <stp>.SPY251219P561</stp>
        <tr r="W26" s="2"/>
      </tp>
      <tp t="e">
        <v>#N/A</v>
        <stp/>
        <stp>VOLUME</stp>
        <stp>.SPY251231P549</stp>
        <tr r="X38" s="2"/>
      </tp>
      <tp t="e">
        <v>#N/A</v>
        <stp/>
        <stp>VOLUME</stp>
        <stp>.SPY251219C561</stp>
        <tr r="W26" s="2"/>
      </tp>
      <tp t="e">
        <v>#N/A</v>
        <stp/>
        <stp>VOLUME</stp>
        <stp>.SPY251231C549</stp>
        <tr r="X38" s="2"/>
      </tp>
      <tp t="e">
        <v>#N/A</v>
        <stp/>
        <stp>VOLUME</stp>
        <stp>.SPY251219P560</stp>
        <tr r="W27" s="2"/>
      </tp>
      <tp t="e">
        <v>#N/A</v>
        <stp/>
        <stp>VOLUME</stp>
        <stp>.SPY251231P548</stp>
        <tr r="X39" s="2"/>
      </tp>
      <tp t="e">
        <v>#N/A</v>
        <stp/>
        <stp>VOLUME</stp>
        <stp>.SPY251219C560</stp>
        <tr r="W27" s="2"/>
      </tp>
      <tp t="e">
        <v>#N/A</v>
        <stp/>
        <stp>VOLUME</stp>
        <stp>.SPY251231C548</stp>
        <tr r="X39" s="2"/>
      </tp>
      <tp t="e">
        <v>#N/A</v>
        <stp/>
        <stp>VOLUME</stp>
        <stp>.SPY251231P557</stp>
        <tr r="X30" s="2"/>
      </tp>
      <tp t="e">
        <v>#N/A</v>
        <stp/>
        <stp>VOLUME</stp>
        <stp>.SPY251231C557</stp>
        <tr r="X30" s="2"/>
      </tp>
      <tp t="e">
        <v>#N/A</v>
        <stp/>
        <stp>VOLUME</stp>
        <stp>.SPY251231P556</stp>
        <tr r="X31" s="2"/>
      </tp>
      <tp t="e">
        <v>#N/A</v>
        <stp/>
        <stp>VOLUME</stp>
        <stp>.SPY251231C556</stp>
        <tr r="X31" s="2"/>
      </tp>
      <tp t="e">
        <v>#N/A</v>
        <stp/>
        <stp>VOLUME</stp>
        <stp>.SPY251231P555</stp>
        <tr r="X32" s="2"/>
      </tp>
      <tp t="e">
        <v>#N/A</v>
        <stp/>
        <stp>VOLUME</stp>
        <stp>.SPY251231C555</stp>
        <tr r="X32" s="2"/>
      </tp>
      <tp t="e">
        <v>#N/A</v>
        <stp/>
        <stp>VOLUME</stp>
        <stp>.SPY251231P554</stp>
        <tr r="X33" s="2"/>
      </tp>
      <tp t="e">
        <v>#N/A</v>
        <stp/>
        <stp>VOLUME</stp>
        <stp>.SPY251231C554</stp>
        <tr r="X33" s="2"/>
      </tp>
      <tp t="e">
        <v>#N/A</v>
        <stp/>
        <stp>VOLUME</stp>
        <stp>.SPY251231P553</stp>
        <tr r="X34" s="2"/>
      </tp>
      <tp t="e">
        <v>#N/A</v>
        <stp/>
        <stp>VOLUME</stp>
        <stp>.SPY251231C553</stp>
        <tr r="X34" s="2"/>
      </tp>
      <tp t="e">
        <v>#N/A</v>
        <stp/>
        <stp>VOLUME</stp>
        <stp>.SPY251231P552</stp>
        <tr r="X35" s="2"/>
      </tp>
      <tp t="e">
        <v>#N/A</v>
        <stp/>
        <stp>VOLUME</stp>
        <stp>.SPY251231C552</stp>
        <tr r="X35" s="2"/>
      </tp>
      <tp t="e">
        <v>#N/A</v>
        <stp/>
        <stp>VOLUME</stp>
        <stp>.SPY251219P579</stp>
        <tr r="W8" s="2"/>
      </tp>
      <tp t="e">
        <v>#N/A</v>
        <stp/>
        <stp>VOLUME</stp>
        <stp>.SPY251231P551</stp>
        <tr r="X36" s="2"/>
      </tp>
      <tp t="e">
        <v>#N/A</v>
        <stp/>
        <stp>VOLUME</stp>
        <stp>.SPY251219C579</stp>
        <tr r="W8" s="2"/>
      </tp>
      <tp t="e">
        <v>#N/A</v>
        <stp/>
        <stp>VOLUME</stp>
        <stp>.SPY251231C551</stp>
        <tr r="X36" s="2"/>
      </tp>
      <tp t="e">
        <v>#N/A</v>
        <stp/>
        <stp>VOLUME</stp>
        <stp>.SPY251219P578</stp>
        <tr r="W9" s="2"/>
      </tp>
      <tp t="e">
        <v>#N/A</v>
        <stp/>
        <stp>VOLUME</stp>
        <stp>.SPY251231P550</stp>
        <tr r="X37" s="2"/>
      </tp>
      <tp t="e">
        <v>#N/A</v>
        <stp/>
        <stp>VOLUME</stp>
        <stp>.SPY251219C578</stp>
        <tr r="W9" s="2"/>
      </tp>
      <tp t="e">
        <v>#N/A</v>
        <stp/>
        <stp>VOLUME</stp>
        <stp>.SPY251231C550</stp>
        <tr r="X37" s="2"/>
      </tp>
      <tp t="e">
        <v>#N/A</v>
        <stp/>
        <stp>VOLUME</stp>
        <stp>.SPY251219P577</stp>
        <tr r="W10" s="2"/>
      </tp>
      <tp t="e">
        <v>#N/A</v>
        <stp/>
        <stp>VOLUME</stp>
        <stp>.SPY251219C577</stp>
        <tr r="W10" s="2"/>
      </tp>
      <tp t="e">
        <v>#N/A</v>
        <stp/>
        <stp>VOLUME</stp>
        <stp>.SPY251219P576</stp>
        <tr r="W11" s="2"/>
      </tp>
      <tp t="e">
        <v>#N/A</v>
        <stp/>
        <stp>VOLUME</stp>
        <stp>.SPY251219C576</stp>
        <tr r="W11" s="2"/>
      </tp>
      <tp t="e">
        <v>#N/A</v>
        <stp/>
        <stp>VOLUME</stp>
        <stp>.SPY251219P575</stp>
        <tr r="W12" s="2"/>
      </tp>
      <tp t="e">
        <v>#N/A</v>
        <stp/>
        <stp>VOLUME</stp>
        <stp>.SPY251219C575</stp>
        <tr r="W12" s="2"/>
      </tp>
      <tp t="e">
        <v>#N/A</v>
        <stp/>
        <stp>VOLUME</stp>
        <stp>.SPY251219P574</stp>
        <tr r="W13" s="2"/>
      </tp>
      <tp t="e">
        <v>#N/A</v>
        <stp/>
        <stp>VOLUME</stp>
        <stp>.SPY251219C574</stp>
        <tr r="W13" s="2"/>
      </tp>
      <tp t="e">
        <v>#N/A</v>
        <stp/>
        <stp>VOLUME</stp>
        <stp>.SPY251219P573</stp>
        <tr r="W14" s="2"/>
      </tp>
      <tp t="e">
        <v>#N/A</v>
        <stp/>
        <stp>VOLUME</stp>
        <stp>.SPY251219C573</stp>
        <tr r="W14" s="2"/>
      </tp>
      <tp t="e">
        <v>#N/A</v>
        <stp/>
        <stp>VOLUME</stp>
        <stp>.SPY251219P572</stp>
        <tr r="W15" s="2"/>
      </tp>
      <tp t="e">
        <v>#N/A</v>
        <stp/>
        <stp>VOLUME</stp>
        <stp>.SPY251219C572</stp>
        <tr r="W15" s="2"/>
      </tp>
      <tp t="e">
        <v>#N/A</v>
        <stp/>
        <stp>VOLUME</stp>
        <stp>.SPY251219P571</stp>
        <tr r="W16" s="2"/>
      </tp>
      <tp t="e">
        <v>#N/A</v>
        <stp/>
        <stp>VOLUME</stp>
        <stp>.SPY251231P559</stp>
        <tr r="X28" s="2"/>
      </tp>
      <tp t="e">
        <v>#N/A</v>
        <stp/>
        <stp>VOLUME</stp>
        <stp>.SPY251219C571</stp>
        <tr r="W16" s="2"/>
      </tp>
      <tp t="e">
        <v>#N/A</v>
        <stp/>
        <stp>VOLUME</stp>
        <stp>.SPY251231C559</stp>
        <tr r="X28" s="2"/>
      </tp>
      <tp t="e">
        <v>#N/A</v>
        <stp/>
        <stp>VOLUME</stp>
        <stp>.SPY251219P570</stp>
        <tr r="W17" s="2"/>
      </tp>
      <tp t="e">
        <v>#N/A</v>
        <stp/>
        <stp>VOLUME</stp>
        <stp>.SPY251231P558</stp>
        <tr r="X29" s="2"/>
      </tp>
      <tp t="e">
        <v>#N/A</v>
        <stp/>
        <stp>VOLUME</stp>
        <stp>.SPY251219C570</stp>
        <tr r="W17" s="2"/>
      </tp>
      <tp t="e">
        <v>#N/A</v>
        <stp/>
        <stp>VOLUME</stp>
        <stp>.SPY251231C558</stp>
        <tr r="X29" s="2"/>
      </tp>
      <tp t="e">
        <v>#N/A</v>
        <stp/>
        <stp>VOLUME</stp>
        <stp>.QQQ250815P481</stp>
        <tr r="O67" s="2"/>
      </tp>
      <tp t="e">
        <v>#N/A</v>
        <stp/>
        <stp>VOLUME</stp>
        <stp>.QQQ250815C481</stp>
        <tr r="O67" s="2"/>
      </tp>
      <tp t="e">
        <v>#N/A</v>
        <stp/>
        <stp>VOLUME</stp>
        <stp>.QQQ250815P480</stp>
        <tr r="O68" s="2"/>
      </tp>
      <tp t="e">
        <v>#N/A</v>
        <stp/>
        <stp>VOLUME</stp>
        <stp>.QQQ250815C480</stp>
        <tr r="O68" s="2"/>
      </tp>
      <tp t="e">
        <v>#N/A</v>
        <stp/>
        <stp>VOLUME</stp>
        <stp>.QQQ250815P483</stp>
        <tr r="O65" s="2"/>
      </tp>
      <tp t="e">
        <v>#N/A</v>
        <stp/>
        <stp>VOLUME</stp>
        <stp>.QQQ250815C483</stp>
        <tr r="O65" s="2"/>
      </tp>
      <tp t="e">
        <v>#N/A</v>
        <stp/>
        <stp>VOLUME</stp>
        <stp>.QQQ250815P482</stp>
        <tr r="O66" s="2"/>
      </tp>
      <tp t="e">
        <v>#N/A</v>
        <stp/>
        <stp>VOLUME</stp>
        <stp>.QQQ250815C482</stp>
        <tr r="O66" s="2"/>
      </tp>
      <tp t="e">
        <v>#N/A</v>
        <stp/>
        <stp>VOLUME</stp>
        <stp>.QQQ250815P485</stp>
        <tr r="O63" s="2"/>
      </tp>
      <tp t="e">
        <v>#N/A</v>
        <stp/>
        <stp>VOLUME</stp>
        <stp>.QQQ250815C485</stp>
        <tr r="O63" s="2"/>
      </tp>
      <tp t="e">
        <v>#N/A</v>
        <stp/>
        <stp>VOLUME</stp>
        <stp>.QQQ250815P484</stp>
        <tr r="O64" s="2"/>
      </tp>
      <tp t="e">
        <v>#N/A</v>
        <stp/>
        <stp>VOLUME</stp>
        <stp>.QQQ250815C484</stp>
        <tr r="O64" s="2"/>
      </tp>
      <tp t="e">
        <v>#N/A</v>
        <stp/>
        <stp>VOLUME</stp>
        <stp>.QQQ250815P487</stp>
        <tr r="O61" s="2"/>
      </tp>
      <tp t="e">
        <v>#N/A</v>
        <stp/>
        <stp>VOLUME</stp>
        <stp>.QQQ250815C487</stp>
        <tr r="O61" s="2"/>
      </tp>
      <tp t="e">
        <v>#N/A</v>
        <stp/>
        <stp>VOLUME</stp>
        <stp>.QQQ250815P486</stp>
        <tr r="O62" s="2"/>
      </tp>
      <tp t="e">
        <v>#N/A</v>
        <stp/>
        <stp>VOLUME</stp>
        <stp>.QQQ250815C486</stp>
        <tr r="O62" s="2"/>
      </tp>
      <tp t="e">
        <v>#N/A</v>
        <stp/>
        <stp>VOLUME</stp>
        <stp>.QQQ250815P489</stp>
        <tr r="O59" s="2"/>
      </tp>
      <tp t="e">
        <v>#N/A</v>
        <stp/>
        <stp>VOLUME</stp>
        <stp>.QQQ250815C489</stp>
        <tr r="O59" s="2"/>
      </tp>
      <tp t="e">
        <v>#N/A</v>
        <stp/>
        <stp>VOLUME</stp>
        <stp>.QQQ250815P488</stp>
        <tr r="O60" s="2"/>
      </tp>
      <tp t="e">
        <v>#N/A</v>
        <stp/>
        <stp>VOLUME</stp>
        <stp>.QQQ250815C488</stp>
        <tr r="O60" s="2"/>
      </tp>
      <tp t="e">
        <v>#N/A</v>
        <stp/>
        <stp>VOLUME</stp>
        <stp>.QQQ250815P491</stp>
        <tr r="O57" s="2"/>
      </tp>
      <tp t="e">
        <v>#N/A</v>
        <stp/>
        <stp>VOLUME</stp>
        <stp>.QQQ250815C491</stp>
        <tr r="O57" s="2"/>
      </tp>
      <tp t="e">
        <v>#N/A</v>
        <stp/>
        <stp>VOLUME</stp>
        <stp>.QQQ250815P490</stp>
        <tr r="O58" s="2"/>
      </tp>
      <tp t="e">
        <v>#N/A</v>
        <stp/>
        <stp>VOLUME</stp>
        <stp>.QQQ250815C490</stp>
        <tr r="O58" s="2"/>
      </tp>
      <tp t="e">
        <v>#N/A</v>
        <stp/>
        <stp>VOLUME</stp>
        <stp>.QQQ250815P493</stp>
        <tr r="O55" s="2"/>
      </tp>
      <tp t="e">
        <v>#N/A</v>
        <stp/>
        <stp>VOLUME</stp>
        <stp>.QQQ250815C493</stp>
        <tr r="O55" s="2"/>
      </tp>
      <tp t="e">
        <v>#N/A</v>
        <stp/>
        <stp>VOLUME</stp>
        <stp>.QQQ250815P492</stp>
        <tr r="O56" s="2"/>
      </tp>
      <tp t="e">
        <v>#N/A</v>
        <stp/>
        <stp>VOLUME</stp>
        <stp>.QQQ250815C492</stp>
        <tr r="O56" s="2"/>
      </tp>
      <tp t="e">
        <v>#N/A</v>
        <stp/>
        <stp>VOLUME</stp>
        <stp>.QQQ250815P495</stp>
        <tr r="O53" s="2"/>
      </tp>
      <tp t="e">
        <v>#N/A</v>
        <stp/>
        <stp>VOLUME</stp>
        <stp>.QQQ250815C495</stp>
        <tr r="O53" s="2"/>
      </tp>
      <tp t="e">
        <v>#N/A</v>
        <stp/>
        <stp>VOLUME</stp>
        <stp>.QQQ250815P494</stp>
        <tr r="O54" s="2"/>
      </tp>
      <tp t="e">
        <v>#N/A</v>
        <stp/>
        <stp>VOLUME</stp>
        <stp>.QQQ250815C494</stp>
        <tr r="O54" s="2"/>
      </tp>
      <tp t="e">
        <v>#N/A</v>
        <stp/>
        <stp>VOLUME</stp>
        <stp>.QQQ250815P497</stp>
        <tr r="O51" s="2"/>
      </tp>
      <tp t="e">
        <v>#N/A</v>
        <stp/>
        <stp>VOLUME</stp>
        <stp>.QQQ250815C497</stp>
        <tr r="O51" s="2"/>
      </tp>
      <tp t="e">
        <v>#N/A</v>
        <stp/>
        <stp>VOLUME</stp>
        <stp>.QQQ250815P496</stp>
        <tr r="O52" s="2"/>
      </tp>
      <tp t="e">
        <v>#N/A</v>
        <stp/>
        <stp>VOLUME</stp>
        <stp>.QQQ250815C496</stp>
        <tr r="O52" s="2"/>
      </tp>
      <tp t="e">
        <v>#N/A</v>
        <stp/>
        <stp>VOLUME</stp>
        <stp>.QQQ250815P499</stp>
        <tr r="O49" s="2"/>
      </tp>
      <tp t="e">
        <v>#N/A</v>
        <stp/>
        <stp>VOLUME</stp>
        <stp>.QQQ250815C499</stp>
        <tr r="O49" s="2"/>
      </tp>
      <tp t="e">
        <v>#N/A</v>
        <stp/>
        <stp>VOLUME</stp>
        <stp>.QQQ250815P498</stp>
        <tr r="O50" s="2"/>
      </tp>
      <tp t="e">
        <v>#N/A</v>
        <stp/>
        <stp>VOLUME</stp>
        <stp>.QQQ250815C498</stp>
        <tr r="O50" s="2"/>
      </tp>
      <tp t="e">
        <v>#N/A</v>
        <stp/>
        <stp>VOLUME</stp>
        <stp>.QQQ250829P499</stp>
        <tr r="P49" s="2"/>
      </tp>
      <tp t="e">
        <v>#N/A</v>
        <stp/>
        <stp>VOLUME</stp>
        <stp>.QQQ250829C499</stp>
        <tr r="P49" s="2"/>
      </tp>
      <tp t="e">
        <v>#N/A</v>
        <stp/>
        <stp>VOLUME</stp>
        <stp>.QQQ250829P498</stp>
        <tr r="P50" s="2"/>
      </tp>
      <tp t="e">
        <v>#N/A</v>
        <stp/>
        <stp>VOLUME</stp>
        <stp>.QQQ250829C498</stp>
        <tr r="P50" s="2"/>
      </tp>
      <tp t="e">
        <v>#N/A</v>
        <stp/>
        <stp>VOLUME</stp>
        <stp>.QQQ250829P495</stp>
        <tr r="P53" s="2"/>
      </tp>
      <tp t="e">
        <v>#N/A</v>
        <stp/>
        <stp>VOLUME</stp>
        <stp>.QQQ250829C495</stp>
        <tr r="P53" s="2"/>
      </tp>
      <tp t="e">
        <v>#N/A</v>
        <stp/>
        <stp>VOLUME</stp>
        <stp>.QQQ250829P494</stp>
        <tr r="P54" s="2"/>
      </tp>
      <tp t="e">
        <v>#N/A</v>
        <stp/>
        <stp>VOLUME</stp>
        <stp>.QQQ250829C494</stp>
        <tr r="P54" s="2"/>
      </tp>
      <tp t="e">
        <v>#N/A</v>
        <stp/>
        <stp>VOLUME</stp>
        <stp>.QQQ250829P497</stp>
        <tr r="P51" s="2"/>
      </tp>
      <tp t="e">
        <v>#N/A</v>
        <stp/>
        <stp>VOLUME</stp>
        <stp>.QQQ250829C497</stp>
        <tr r="P51" s="2"/>
      </tp>
      <tp t="e">
        <v>#N/A</v>
        <stp/>
        <stp>VOLUME</stp>
        <stp>.QQQ250829P496</stp>
        <tr r="P52" s="2"/>
      </tp>
      <tp t="e">
        <v>#N/A</v>
        <stp/>
        <stp>VOLUME</stp>
        <stp>.QQQ250829C496</stp>
        <tr r="P52" s="2"/>
      </tp>
      <tp t="e">
        <v>#N/A</v>
        <stp/>
        <stp>VOLUME</stp>
        <stp>.QQQ250829P491</stp>
        <tr r="P57" s="2"/>
      </tp>
      <tp t="e">
        <v>#N/A</v>
        <stp/>
        <stp>VOLUME</stp>
        <stp>.QQQ250829C491</stp>
        <tr r="P57" s="2"/>
      </tp>
      <tp t="e">
        <v>#N/A</v>
        <stp/>
        <stp>VOLUME</stp>
        <stp>.QQQ250829P490</stp>
        <tr r="P58" s="2"/>
      </tp>
      <tp t="e">
        <v>#N/A</v>
        <stp/>
        <stp>VOLUME</stp>
        <stp>.QQQ250829C490</stp>
        <tr r="P58" s="2"/>
      </tp>
      <tp t="e">
        <v>#N/A</v>
        <stp/>
        <stp>VOLUME</stp>
        <stp>.QQQ250829P493</stp>
        <tr r="P55" s="2"/>
      </tp>
      <tp t="e">
        <v>#N/A</v>
        <stp/>
        <stp>VOLUME</stp>
        <stp>.QQQ250829C493</stp>
        <tr r="P55" s="2"/>
      </tp>
      <tp t="e">
        <v>#N/A</v>
        <stp/>
        <stp>VOLUME</stp>
        <stp>.QQQ250829P492</stp>
        <tr r="P56" s="2"/>
      </tp>
      <tp t="e">
        <v>#N/A</v>
        <stp/>
        <stp>VOLUME</stp>
        <stp>.QQQ250829C492</stp>
        <tr r="P56" s="2"/>
      </tp>
      <tp t="e">
        <v>#N/A</v>
        <stp/>
        <stp>VOLUME</stp>
        <stp>.QQQ250829P489</stp>
        <tr r="P59" s="2"/>
      </tp>
      <tp t="e">
        <v>#N/A</v>
        <stp/>
        <stp>VOLUME</stp>
        <stp>.QQQ250829C489</stp>
        <tr r="P59" s="2"/>
      </tp>
      <tp t="e">
        <v>#N/A</v>
        <stp/>
        <stp>VOLUME</stp>
        <stp>.QQQ250829P488</stp>
        <tr r="P60" s="2"/>
      </tp>
      <tp t="e">
        <v>#N/A</v>
        <stp/>
        <stp>VOLUME</stp>
        <stp>.SPY251121P582</stp>
        <tr r="U5" s="2"/>
      </tp>
      <tp t="e">
        <v>#N/A</v>
        <stp/>
        <stp>VOLUME</stp>
        <stp>.QQQ250829C488</stp>
        <tr r="P60" s="2"/>
      </tp>
      <tp t="e">
        <v>#N/A</v>
        <stp/>
        <stp>VOLUME</stp>
        <stp>.SPY251121C582</stp>
        <tr r="U5" s="2"/>
      </tp>
      <tp t="e">
        <v>#N/A</v>
        <stp/>
        <stp>VOLUME</stp>
        <stp>.SPY251121P581</stp>
        <tr r="U6" s="2"/>
      </tp>
      <tp t="e">
        <v>#N/A</v>
        <stp/>
        <stp>VOLUME</stp>
        <stp>.SPY251121C581</stp>
        <tr r="U6" s="2"/>
      </tp>
      <tp t="e">
        <v>#N/A</v>
        <stp/>
        <stp>VOLUME</stp>
        <stp>.SPY251121P580</stp>
        <tr r="U7" s="2"/>
      </tp>
      <tp t="e">
        <v>#N/A</v>
        <stp/>
        <stp>VOLUME</stp>
        <stp>.SPY251121C580</stp>
        <tr r="U7" s="2"/>
      </tp>
      <tp t="e">
        <v>#N/A</v>
        <stp/>
        <stp>VOLUME</stp>
        <stp>.QQQ250829P485</stp>
        <tr r="P63" s="2"/>
      </tp>
      <tp t="e">
        <v>#N/A</v>
        <stp/>
        <stp>VOLUME</stp>
        <stp>.QQQ250829C485</stp>
        <tr r="P63" s="2"/>
      </tp>
      <tp t="e">
        <v>#N/A</v>
        <stp/>
        <stp>VOLUME</stp>
        <stp>.QQQ250829P484</stp>
        <tr r="P64" s="2"/>
      </tp>
      <tp t="e">
        <v>#N/A</v>
        <stp/>
        <stp>VOLUME</stp>
        <stp>.QQQ250829C484</stp>
        <tr r="P64" s="2"/>
      </tp>
      <tp t="e">
        <v>#N/A</v>
        <stp/>
        <stp>VOLUME</stp>
        <stp>.QQQ250829P487</stp>
        <tr r="P61" s="2"/>
      </tp>
      <tp t="e">
        <v>#N/A</v>
        <stp/>
        <stp>VOLUME</stp>
        <stp>.QQQ250829C487</stp>
        <tr r="P61" s="2"/>
      </tp>
      <tp t="e">
        <v>#N/A</v>
        <stp/>
        <stp>VOLUME</stp>
        <stp>.QQQ250829P486</stp>
        <tr r="P62" s="2"/>
      </tp>
      <tp t="e">
        <v>#N/A</v>
        <stp/>
        <stp>VOLUME</stp>
        <stp>.QQQ250829C486</stp>
        <tr r="P62" s="2"/>
      </tp>
      <tp t="e">
        <v>#N/A</v>
        <stp/>
        <stp>VOLUME</stp>
        <stp>.QQQ250829P481</stp>
        <tr r="P67" s="2"/>
      </tp>
      <tp t="e">
        <v>#N/A</v>
        <stp/>
        <stp>VOLUME</stp>
        <stp>.SPY251128P582</stp>
        <tr r="V5" s="2"/>
      </tp>
      <tp t="e">
        <v>#N/A</v>
        <stp/>
        <stp>VOLUME</stp>
        <stp>.QQQ250829C481</stp>
        <tr r="P67" s="2"/>
      </tp>
      <tp t="e">
        <v>#N/A</v>
        <stp/>
        <stp>VOLUME</stp>
        <stp>.SPY251128C582</stp>
        <tr r="V5" s="2"/>
      </tp>
      <tp t="e">
        <v>#N/A</v>
        <stp/>
        <stp>VOLUME</stp>
        <stp>.QQQ250829P480</stp>
        <tr r="P68" s="2"/>
      </tp>
      <tp t="e">
        <v>#N/A</v>
        <stp/>
        <stp>VOLUME</stp>
        <stp>.QQQ250829C480</stp>
        <tr r="P68" s="2"/>
      </tp>
      <tp t="e">
        <v>#N/A</v>
        <stp/>
        <stp>VOLUME</stp>
        <stp>.QQQ250829P483</stp>
        <tr r="P65" s="2"/>
      </tp>
      <tp t="e">
        <v>#N/A</v>
        <stp/>
        <stp>VOLUME</stp>
        <stp>.SPY251128P580</stp>
        <tr r="V7" s="2"/>
      </tp>
      <tp t="e">
        <v>#N/A</v>
        <stp/>
        <stp>VOLUME</stp>
        <stp>.QQQ250829C483</stp>
        <tr r="P65" s="2"/>
      </tp>
      <tp t="e">
        <v>#N/A</v>
        <stp/>
        <stp>VOLUME</stp>
        <stp>.SPY251128C580</stp>
        <tr r="V7" s="2"/>
      </tp>
      <tp t="e">
        <v>#N/A</v>
        <stp/>
        <stp>VOLUME</stp>
        <stp>.QQQ250829P482</stp>
        <tr r="P66" s="2"/>
      </tp>
      <tp t="e">
        <v>#N/A</v>
        <stp/>
        <stp>VOLUME</stp>
        <stp>.SPY251128P581</stp>
        <tr r="V6" s="2"/>
      </tp>
      <tp t="e">
        <v>#N/A</v>
        <stp/>
        <stp>VOLUME</stp>
        <stp>.QQQ250829C482</stp>
        <tr r="P66" s="2"/>
      </tp>
      <tp t="e">
        <v>#N/A</v>
        <stp/>
        <stp>VOLUME</stp>
        <stp>.SPY251128C581</stp>
        <tr r="V6" s="2"/>
      </tp>
      <tp t="e">
        <v>#N/A</v>
        <stp/>
        <stp>VOLUME</stp>
        <stp>.QQQ250919P501</stp>
        <tr r="Q47" s="2"/>
      </tp>
      <tp t="e">
        <v>#N/A</v>
        <stp/>
        <stp>VOLUME</stp>
        <stp>.QQQ250919C501</stp>
        <tr r="Q47" s="2"/>
      </tp>
      <tp t="e">
        <v>#N/A</v>
        <stp/>
        <stp>VOLUME</stp>
        <stp>.QQQ250919P500</stp>
        <tr r="Q48" s="2"/>
      </tp>
      <tp t="e">
        <v>#N/A</v>
        <stp/>
        <stp>VOLUME</stp>
        <stp>.QQQ250919C500</stp>
        <tr r="Q48" s="2"/>
      </tp>
      <tp t="e">
        <v>#N/A</v>
        <stp/>
        <stp>VOLUME</stp>
        <stp>.QQQ250919P502</stp>
        <tr r="Q46" s="2"/>
      </tp>
      <tp t="e">
        <v>#N/A</v>
        <stp/>
        <stp>VOLUME</stp>
        <stp>.QQQ250919C502</stp>
        <tr r="Q46" s="2"/>
      </tp>
      <tp t="e">
        <v>#N/A</v>
        <stp/>
        <stp>VOLUME</stp>
        <stp>.QQQ250930P500</stp>
        <tr r="R48" s="2"/>
      </tp>
      <tp t="e">
        <v>#N/A</v>
        <stp/>
        <stp>VOLUME</stp>
        <stp>.QQQ250930C500</stp>
        <tr r="R48" s="2"/>
      </tp>
      <tp t="e">
        <v>#N/A</v>
        <stp/>
        <stp>VOLUME</stp>
        <stp>.QQQ250930P501</stp>
        <tr r="R47" s="2"/>
      </tp>
      <tp t="e">
        <v>#N/A</v>
        <stp/>
        <stp>VOLUME</stp>
        <stp>.QQQ250930C501</stp>
        <tr r="R47" s="2"/>
      </tp>
      <tp t="e">
        <v>#N/A</v>
        <stp/>
        <stp>VOLUME</stp>
        <stp>.QQQ250930P502</stp>
        <tr r="R46" s="2"/>
      </tp>
      <tp t="e">
        <v>#N/A</v>
        <stp/>
        <stp>VOLUME</stp>
        <stp>.QQQ250930C502</stp>
        <tr r="R46" s="2"/>
      </tp>
      <tp t="e">
        <v>#N/A</v>
        <stp/>
        <stp>VOLUME</stp>
        <stp>.SPY251121P577</stp>
        <tr r="U10" s="2"/>
      </tp>
      <tp t="e">
        <v>#N/A</v>
        <stp/>
        <stp>VOLUME</stp>
        <stp>.SPY251121C577</stp>
        <tr r="U10" s="2"/>
      </tp>
      <tp t="e">
        <v>#N/A</v>
        <stp/>
        <stp>VOLUME</stp>
        <stp>.SPY251121P576</stp>
        <tr r="U11" s="2"/>
      </tp>
      <tp t="e">
        <v>#N/A</v>
        <stp/>
        <stp>VOLUME</stp>
        <stp>.SPY251121C576</stp>
        <tr r="U11" s="2"/>
      </tp>
      <tp t="e">
        <v>#N/A</v>
        <stp/>
        <stp>VOLUME</stp>
        <stp>.SPY251121P575</stp>
        <tr r="U12" s="2"/>
      </tp>
      <tp t="e">
        <v>#N/A</v>
        <stp/>
        <stp>VOLUME</stp>
        <stp>.SPY251121C575</stp>
        <tr r="U12" s="2"/>
      </tp>
      <tp t="e">
        <v>#N/A</v>
        <stp/>
        <stp>VOLUME</stp>
        <stp>.SPY251121P574</stp>
        <tr r="U13" s="2"/>
      </tp>
      <tp t="e">
        <v>#N/A</v>
        <stp/>
        <stp>VOLUME</stp>
        <stp>.SPY251121C574</stp>
        <tr r="U13" s="2"/>
      </tp>
      <tp t="e">
        <v>#N/A</v>
        <stp/>
        <stp>VOLUME</stp>
        <stp>.QQQ250829P479</stp>
        <tr r="P69" s="2"/>
      </tp>
      <tp t="e">
        <v>#N/A</v>
        <stp/>
        <stp>VOLUME</stp>
        <stp>.SPY251121P573</stp>
        <tr r="U14" s="2"/>
      </tp>
      <tp t="e">
        <v>#N/A</v>
        <stp/>
        <stp>VOLUME</stp>
        <stp>.QQQ250829C479</stp>
        <tr r="P69" s="2"/>
      </tp>
      <tp t="e">
        <v>#N/A</v>
        <stp/>
        <stp>VOLUME</stp>
        <stp>.SPY251121C573</stp>
        <tr r="U14" s="2"/>
      </tp>
      <tp t="e">
        <v>#N/A</v>
        <stp/>
        <stp>VOLUME</stp>
        <stp>.QQQ250829P478</stp>
        <tr r="P70" s="2"/>
      </tp>
      <tp t="e">
        <v>#N/A</v>
        <stp/>
        <stp>VOLUME</stp>
        <stp>.SPY251121P572</stp>
        <tr r="U15" s="2"/>
      </tp>
      <tp t="e">
        <v>#N/A</v>
        <stp/>
        <stp>VOLUME</stp>
        <stp>.QQQ250829C478</stp>
        <tr r="P70" s="2"/>
      </tp>
      <tp t="e">
        <v>#N/A</v>
        <stp/>
        <stp>VOLUME</stp>
        <stp>.SPY251121C572</stp>
        <tr r="U15" s="2"/>
      </tp>
      <tp t="e">
        <v>#N/A</v>
        <stp/>
        <stp>VOLUME</stp>
        <stp>.SPY251121P571</stp>
        <tr r="U16" s="2"/>
      </tp>
      <tp t="e">
        <v>#N/A</v>
        <stp/>
        <stp>VOLUME</stp>
        <stp>.SPY251128P578</stp>
        <tr r="V9" s="2"/>
      </tp>
      <tp t="e">
        <v>#N/A</v>
        <stp/>
        <stp>VOLUME</stp>
        <stp>.SPY251121C571</stp>
        <tr r="U16" s="2"/>
      </tp>
      <tp t="e">
        <v>#N/A</v>
        <stp/>
        <stp>VOLUME</stp>
        <stp>.SPY251128C578</stp>
        <tr r="V9" s="2"/>
      </tp>
      <tp t="e">
        <v>#N/A</v>
        <stp/>
        <stp>VOLUME</stp>
        <stp>.SPY251121P570</stp>
        <tr r="U17" s="2"/>
      </tp>
      <tp t="e">
        <v>#N/A</v>
        <stp/>
        <stp>VOLUME</stp>
        <stp>.SPY251128P579</stp>
        <tr r="V8" s="2"/>
      </tp>
      <tp t="e">
        <v>#N/A</v>
        <stp/>
        <stp>VOLUME</stp>
        <stp>.SPY251121C570</stp>
        <tr r="U17" s="2"/>
      </tp>
      <tp t="e">
        <v>#N/A</v>
        <stp/>
        <stp>VOLUME</stp>
        <stp>.SPY251128C579</stp>
        <tr r="V8" s="2"/>
      </tp>
      <tp t="e">
        <v>#N/A</v>
        <stp/>
        <stp>VOLUME</stp>
        <stp>.QQQ250829P475</stp>
        <tr r="P73" s="2"/>
      </tp>
      <tp t="e">
        <v>#N/A</v>
        <stp/>
        <stp>VOLUME</stp>
        <stp>.SPY251128P576</stp>
        <tr r="V11" s="2"/>
      </tp>
      <tp t="e">
        <v>#N/A</v>
        <stp/>
        <stp>VOLUME</stp>
        <stp>.QQQ250829C475</stp>
        <tr r="P73" s="2"/>
      </tp>
      <tp t="e">
        <v>#N/A</v>
        <stp/>
        <stp>VOLUME</stp>
        <stp>.SPY251128C576</stp>
        <tr r="V11" s="2"/>
      </tp>
      <tp t="e">
        <v>#N/A</v>
        <stp/>
        <stp>VOLUME</stp>
        <stp>.QQQ250829P474</stp>
        <tr r="P74" s="2"/>
      </tp>
      <tp t="e">
        <v>#N/A</v>
        <stp/>
        <stp>VOLUME</stp>
        <stp>.SPY251128P577</stp>
        <tr r="V10" s="2"/>
      </tp>
      <tp t="e">
        <v>#N/A</v>
        <stp/>
        <stp>VOLUME</stp>
        <stp>.QQQ250829C474</stp>
        <tr r="P74" s="2"/>
      </tp>
      <tp t="e">
        <v>#N/A</v>
        <stp/>
        <stp>VOLUME</stp>
        <stp>.SPY251128C577</stp>
        <tr r="V10" s="2"/>
      </tp>
      <tp t="e">
        <v>#N/A</v>
        <stp/>
        <stp>VOLUME</stp>
        <stp>.QQQ250829P477</stp>
        <tr r="P71" s="2"/>
      </tp>
      <tp t="e">
        <v>#N/A</v>
        <stp/>
        <stp>VOLUME</stp>
        <stp>.SPY251128P574</stp>
        <tr r="V13" s="2"/>
      </tp>
      <tp t="e">
        <v>#N/A</v>
        <stp/>
        <stp>VOLUME</stp>
        <stp>.QQQ250829C477</stp>
        <tr r="P71" s="2"/>
      </tp>
      <tp t="e">
        <v>#N/A</v>
        <stp/>
        <stp>VOLUME</stp>
        <stp>.SPY251128C574</stp>
        <tr r="V13" s="2"/>
      </tp>
      <tp t="e">
        <v>#N/A</v>
        <stp/>
        <stp>VOLUME</stp>
        <stp>.QQQ250829P476</stp>
        <tr r="P72" s="2"/>
      </tp>
      <tp t="e">
        <v>#N/A</v>
        <stp/>
        <stp>VOLUME</stp>
        <stp>.SPY251128P575</stp>
        <tr r="V12" s="2"/>
      </tp>
      <tp t="e">
        <v>#N/A</v>
        <stp/>
        <stp>VOLUME</stp>
        <stp>.QQQ250829C476</stp>
        <tr r="P72" s="2"/>
      </tp>
      <tp t="e">
        <v>#N/A</v>
        <stp/>
        <stp>VOLUME</stp>
        <stp>.SPY251128C575</stp>
        <tr r="V12" s="2"/>
      </tp>
      <tp t="e">
        <v>#N/A</v>
        <stp/>
        <stp>VOLUME</stp>
        <stp>.QQQ250829P471</stp>
        <tr r="P77" s="2"/>
      </tp>
      <tp t="e">
        <v>#N/A</v>
        <stp/>
        <stp>VOLUME</stp>
        <stp>.SPY251128P572</stp>
        <tr r="V15" s="2"/>
      </tp>
      <tp t="e">
        <v>#N/A</v>
        <stp/>
        <stp>VOLUME</stp>
        <stp>.QQQ250829C471</stp>
        <tr r="P77" s="2"/>
      </tp>
      <tp t="e">
        <v>#N/A</v>
        <stp/>
        <stp>VOLUME</stp>
        <stp>.SPY251128C572</stp>
        <tr r="V15" s="2"/>
      </tp>
      <tp t="e">
        <v>#N/A</v>
        <stp/>
        <stp>VOLUME</stp>
        <stp>.QQQ250829P470</stp>
        <tr r="P78" s="2"/>
      </tp>
      <tp t="e">
        <v>#N/A</v>
        <stp/>
        <stp>VOLUME</stp>
        <stp>.SPY251128P573</stp>
        <tr r="V14" s="2"/>
      </tp>
      <tp t="e">
        <v>#N/A</v>
        <stp/>
        <stp>VOLUME</stp>
        <stp>.QQQ250829C470</stp>
        <tr r="P78" s="2"/>
      </tp>
      <tp t="e">
        <v>#N/A</v>
        <stp/>
        <stp>VOLUME</stp>
        <stp>.SPY251128C573</stp>
        <tr r="V14" s="2"/>
      </tp>
      <tp t="e">
        <v>#N/A</v>
        <stp/>
        <stp>VOLUME</stp>
        <stp>.QQQ250829P473</stp>
        <tr r="P75" s="2"/>
      </tp>
      <tp t="e">
        <v>#N/A</v>
        <stp/>
        <stp>VOLUME</stp>
        <stp>.SPY251121P579</stp>
        <tr r="U8" s="2"/>
      </tp>
      <tp t="e">
        <v>#N/A</v>
        <stp/>
        <stp>VOLUME</stp>
        <stp>.SPY251128P570</stp>
        <tr r="V17" s="2"/>
      </tp>
      <tp t="e">
        <v>#N/A</v>
        <stp/>
        <stp>VOLUME</stp>
        <stp>.QQQ250829C473</stp>
        <tr r="P75" s="2"/>
      </tp>
      <tp t="e">
        <v>#N/A</v>
        <stp/>
        <stp>VOLUME</stp>
        <stp>.SPY251121C579</stp>
        <tr r="U8" s="2"/>
      </tp>
      <tp t="e">
        <v>#N/A</v>
        <stp/>
        <stp>VOLUME</stp>
        <stp>.SPY251128C570</stp>
        <tr r="V17" s="2"/>
      </tp>
      <tp t="e">
        <v>#N/A</v>
        <stp/>
        <stp>VOLUME</stp>
        <stp>.QQQ250829P472</stp>
        <tr r="P76" s="2"/>
      </tp>
      <tp t="e">
        <v>#N/A</v>
        <stp/>
        <stp>VOLUME</stp>
        <stp>.SPY251121P578</stp>
        <tr r="U9" s="2"/>
      </tp>
      <tp t="e">
        <v>#N/A</v>
        <stp/>
        <stp>VOLUME</stp>
        <stp>.SPY251128P571</stp>
        <tr r="V16" s="2"/>
      </tp>
      <tp t="e">
        <v>#N/A</v>
        <stp/>
        <stp>VOLUME</stp>
        <stp>.QQQ250829C472</stp>
        <tr r="P76" s="2"/>
      </tp>
      <tp t="e">
        <v>#N/A</v>
        <stp/>
        <stp>VOLUME</stp>
        <stp>.SPY251121C578</stp>
        <tr r="U9" s="2"/>
      </tp>
      <tp t="e">
        <v>#N/A</v>
        <stp/>
        <stp>VOLUME</stp>
        <stp>.SPY251128C571</stp>
        <tr r="V16" s="2"/>
      </tp>
      <tp t="e">
        <v>#N/A</v>
        <stp/>
        <stp>VOLUME</stp>
        <stp>.SPY251121P567</stp>
        <tr r="U20" s="2"/>
      </tp>
      <tp t="e">
        <v>#N/A</v>
        <stp/>
        <stp>VOLUME</stp>
        <stp>.SPY251121C567</stp>
        <tr r="U20" s="2"/>
      </tp>
      <tp t="e">
        <v>#N/A</v>
        <stp/>
        <stp>VOLUME</stp>
        <stp>.SPY251121P566</stp>
        <tr r="U21" s="2"/>
      </tp>
      <tp t="e">
        <v>#N/A</v>
        <stp/>
        <stp>VOLUME</stp>
        <stp>.SPY251121C566</stp>
        <tr r="U21" s="2"/>
      </tp>
      <tp t="e">
        <v>#N/A</v>
        <stp/>
        <stp>VOLUME</stp>
        <stp>.SPY251121P565</stp>
        <tr r="U22" s="2"/>
      </tp>
      <tp t="e">
        <v>#N/A</v>
        <stp/>
        <stp>VOLUME</stp>
        <stp>.SPY251121C565</stp>
        <tr r="U22" s="2"/>
      </tp>
      <tp t="e">
        <v>#N/A</v>
        <stp/>
        <stp>VOLUME</stp>
        <stp>.SPY251121P564</stp>
        <tr r="U23" s="2"/>
      </tp>
      <tp t="e">
        <v>#N/A</v>
        <stp/>
        <stp>VOLUME</stp>
        <stp>.SPY251121C564</stp>
        <tr r="U23" s="2"/>
      </tp>
      <tp t="e">
        <v>#N/A</v>
        <stp/>
        <stp>VOLUME</stp>
        <stp>.QQQ250829P469</stp>
        <tr r="P79" s="2"/>
      </tp>
      <tp t="e">
        <v>#N/A</v>
        <stp/>
        <stp>VOLUME</stp>
        <stp>.SPY251121P563</stp>
        <tr r="U24" s="2"/>
      </tp>
      <tp t="e">
        <v>#N/A</v>
        <stp/>
        <stp>VOLUME</stp>
        <stp>.QQQ250829C469</stp>
        <tr r="P79" s="2"/>
      </tp>
      <tp t="e">
        <v>#N/A</v>
        <stp/>
        <stp>VOLUME</stp>
        <stp>.SPY251121C563</stp>
        <tr r="U24" s="2"/>
      </tp>
      <tp t="e">
        <v>#N/A</v>
        <stp/>
        <stp>VOLUME</stp>
        <stp>.QQQ250829P468</stp>
        <tr r="P80" s="2"/>
      </tp>
      <tp t="e">
        <v>#N/A</v>
        <stp/>
        <stp>VOLUME</stp>
        <stp>.SPY251121P562</stp>
        <tr r="U25" s="2"/>
      </tp>
      <tp t="e">
        <v>#N/A</v>
        <stp/>
        <stp>VOLUME</stp>
        <stp>.QQQ250829C468</stp>
        <tr r="P80" s="2"/>
      </tp>
      <tp t="e">
        <v>#N/A</v>
        <stp/>
        <stp>VOLUME</stp>
        <stp>.SPY251121C562</stp>
        <tr r="U25" s="2"/>
      </tp>
      <tp t="e">
        <v>#N/A</v>
        <stp/>
        <stp>VOLUME</stp>
        <stp>.SPY251121P561</stp>
        <tr r="U26" s="2"/>
      </tp>
      <tp t="e">
        <v>#N/A</v>
        <stp/>
        <stp>VOLUME</stp>
        <stp>.SPY251128P568</stp>
        <tr r="V19" s="2"/>
      </tp>
      <tp t="e">
        <v>#N/A</v>
        <stp/>
        <stp>VOLUME</stp>
        <stp>.SPY251121C561</stp>
        <tr r="U26" s="2"/>
      </tp>
      <tp t="e">
        <v>#N/A</v>
        <stp/>
        <stp>VOLUME</stp>
        <stp>.SPY251128C568</stp>
        <tr r="V19" s="2"/>
      </tp>
      <tp t="e">
        <v>#N/A</v>
        <stp/>
        <stp>VOLUME</stp>
        <stp>.SPY251121P560</stp>
        <tr r="U27" s="2"/>
      </tp>
      <tp t="e">
        <v>#N/A</v>
        <stp/>
        <stp>VOLUME</stp>
        <stp>.SPY251128P569</stp>
        <tr r="V18" s="2"/>
      </tp>
      <tp t="e">
        <v>#N/A</v>
        <stp/>
        <stp>VOLUME</stp>
        <stp>.SPY251121C560</stp>
        <tr r="U27" s="2"/>
      </tp>
      <tp t="e">
        <v>#N/A</v>
        <stp/>
        <stp>VOLUME</stp>
        <stp>.SPY251128C569</stp>
        <tr r="V18" s="2"/>
      </tp>
      <tp t="e">
        <v>#N/A</v>
        <stp/>
        <stp>VOLUME</stp>
        <stp>.SPY251128P566</stp>
        <tr r="V21" s="2"/>
      </tp>
      <tp t="e">
        <v>#N/A</v>
        <stp/>
        <stp>VOLUME</stp>
        <stp>.SPY251128C566</stp>
        <tr r="V21" s="2"/>
      </tp>
      <tp t="e">
        <v>#N/A</v>
        <stp/>
        <stp>VOLUME</stp>
        <stp>.SPY251128P567</stp>
        <tr r="V20" s="2"/>
      </tp>
      <tp t="e">
        <v>#N/A</v>
        <stp/>
        <stp>VOLUME</stp>
        <stp>.SPY251128C567</stp>
        <tr r="V20" s="2"/>
      </tp>
      <tp t="e">
        <v>#N/A</v>
        <stp/>
        <stp>VOLUME</stp>
        <stp>.SPY251128P564</stp>
        <tr r="V23" s="2"/>
      </tp>
      <tp t="e">
        <v>#N/A</v>
        <stp/>
        <stp>VOLUME</stp>
        <stp>.SPY251128C564</stp>
        <tr r="V23" s="2"/>
      </tp>
      <tp t="e">
        <v>#N/A</v>
        <stp/>
        <stp>VOLUME</stp>
        <stp>.SPY251128P565</stp>
        <tr r="V22" s="2"/>
      </tp>
      <tp t="e">
        <v>#N/A</v>
        <stp/>
        <stp>VOLUME</stp>
        <stp>.SPY251128C565</stp>
        <tr r="V22" s="2"/>
      </tp>
      <tp t="e">
        <v>#N/A</v>
        <stp/>
        <stp>VOLUME</stp>
        <stp>.SPY251128P562</stp>
        <tr r="V25" s="2"/>
      </tp>
      <tp t="e">
        <v>#N/A</v>
        <stp/>
        <stp>VOLUME</stp>
        <stp>.SPY251128C562</stp>
        <tr r="V25" s="2"/>
      </tp>
      <tp t="e">
        <v>#N/A</v>
        <stp/>
        <stp>VOLUME</stp>
        <stp>.SPY251128P563</stp>
        <tr r="V24" s="2"/>
      </tp>
      <tp t="e">
        <v>#N/A</v>
        <stp/>
        <stp>VOLUME</stp>
        <stp>.SPY251128C563</stp>
        <tr r="V24" s="2"/>
      </tp>
      <tp t="e">
        <v>#N/A</v>
        <stp/>
        <stp>VOLUME</stp>
        <stp>.SPY251121P569</stp>
        <tr r="U18" s="2"/>
      </tp>
      <tp t="e">
        <v>#N/A</v>
        <stp/>
        <stp>VOLUME</stp>
        <stp>.SPY251128P560</stp>
        <tr r="V27" s="2"/>
      </tp>
      <tp t="e">
        <v>#N/A</v>
        <stp/>
        <stp>VOLUME</stp>
        <stp>.SPY251121C569</stp>
        <tr r="U18" s="2"/>
      </tp>
      <tp t="e">
        <v>#N/A</v>
        <stp/>
        <stp>VOLUME</stp>
        <stp>.SPY251128C560</stp>
        <tr r="V27" s="2"/>
      </tp>
      <tp t="e">
        <v>#N/A</v>
        <stp/>
        <stp>VOLUME</stp>
        <stp>.SPY251121P568</stp>
        <tr r="U19" s="2"/>
      </tp>
      <tp t="e">
        <v>#N/A</v>
        <stp/>
        <stp>VOLUME</stp>
        <stp>.SPY251128P561</stp>
        <tr r="V26" s="2"/>
      </tp>
      <tp t="e">
        <v>#N/A</v>
        <stp/>
        <stp>VOLUME</stp>
        <stp>.SPY251121C568</stp>
        <tr r="U19" s="2"/>
      </tp>
      <tp t="e">
        <v>#N/A</v>
        <stp/>
        <stp>VOLUME</stp>
        <stp>.SPY251128C561</stp>
        <tr r="V26" s="2"/>
      </tp>
      <tp t="e">
        <v>#N/A</v>
        <stp/>
        <stp>VOLUME</stp>
        <stp>.SPY251121P557</stp>
        <tr r="U30" s="2"/>
      </tp>
      <tp t="e">
        <v>#N/A</v>
        <stp/>
        <stp>VOLUME</stp>
        <stp>.SPY251121C557</stp>
        <tr r="U30" s="2"/>
      </tp>
      <tp t="e">
        <v>#N/A</v>
        <stp/>
        <stp>VOLUME</stp>
        <stp>.SPY251121P556</stp>
        <tr r="U31" s="2"/>
      </tp>
      <tp t="e">
        <v>#N/A</v>
        <stp/>
        <stp>VOLUME</stp>
        <stp>.SPY251121C556</stp>
        <tr r="U31" s="2"/>
      </tp>
      <tp t="e">
        <v>#N/A</v>
        <stp/>
        <stp>VOLUME</stp>
        <stp>.SPY251121P555</stp>
        <tr r="U32" s="2"/>
      </tp>
      <tp t="e">
        <v>#N/A</v>
        <stp/>
        <stp>VOLUME</stp>
        <stp>.SPY251121C555</stp>
        <tr r="U32" s="2"/>
      </tp>
      <tp t="e">
        <v>#N/A</v>
        <stp/>
        <stp>VOLUME</stp>
        <stp>.SPY251121P554</stp>
        <tr r="U33" s="2"/>
      </tp>
      <tp t="e">
        <v>#N/A</v>
        <stp/>
        <stp>VOLUME</stp>
        <stp>.SPY251121C554</stp>
        <tr r="U33" s="2"/>
      </tp>
      <tp t="e">
        <v>#N/A</v>
        <stp/>
        <stp>VOLUME</stp>
        <stp>.SPY251121P553</stp>
        <tr r="U34" s="2"/>
      </tp>
      <tp t="e">
        <v>#N/A</v>
        <stp/>
        <stp>VOLUME</stp>
        <stp>.SPY251121C553</stp>
        <tr r="U34" s="2"/>
      </tp>
      <tp t="e">
        <v>#N/A</v>
        <stp/>
        <stp>VOLUME</stp>
        <stp>.SPY251121P552</stp>
        <tr r="U35" s="2"/>
      </tp>
      <tp t="e">
        <v>#N/A</v>
        <stp/>
        <stp>VOLUME</stp>
        <stp>.SPY251121C552</stp>
        <tr r="U35" s="2"/>
      </tp>
      <tp t="e">
        <v>#N/A</v>
        <stp/>
        <stp>VOLUME</stp>
        <stp>.SPY251121P551</stp>
        <tr r="U36" s="2"/>
      </tp>
      <tp t="e">
        <v>#N/A</v>
        <stp/>
        <stp>VOLUME</stp>
        <stp>.SPY251128P558</stp>
        <tr r="V29" s="2"/>
      </tp>
      <tp t="e">
        <v>#N/A</v>
        <stp/>
        <stp>VOLUME</stp>
        <stp>.SPY251121C551</stp>
        <tr r="U36" s="2"/>
      </tp>
      <tp t="e">
        <v>#N/A</v>
        <stp/>
        <stp>VOLUME</stp>
        <stp>.SPY251128C558</stp>
        <tr r="V29" s="2"/>
      </tp>
      <tp t="e">
        <v>#N/A</v>
        <stp/>
        <stp>VOLUME</stp>
        <stp>.SPY251121P550</stp>
        <tr r="U37" s="2"/>
      </tp>
      <tp t="e">
        <v>#N/A</v>
        <stp/>
        <stp>VOLUME</stp>
        <stp>.SPY251128P559</stp>
        <tr r="V28" s="2"/>
      </tp>
      <tp t="e">
        <v>#N/A</v>
        <stp/>
        <stp>VOLUME</stp>
        <stp>.SPY251121C550</stp>
        <tr r="U37" s="2"/>
      </tp>
      <tp t="e">
        <v>#N/A</v>
        <stp/>
        <stp>VOLUME</stp>
        <stp>.SPY251128C559</stp>
        <tr r="V28" s="2"/>
      </tp>
      <tp t="e">
        <v>#N/A</v>
        <stp/>
        <stp>VOLUME</stp>
        <stp>.QQQ250815P469</stp>
        <tr r="O79" s="2"/>
      </tp>
      <tp t="e">
        <v>#N/A</v>
        <stp/>
        <stp>VOLUME</stp>
        <stp>.SPY251128P556</stp>
        <tr r="V31" s="2"/>
      </tp>
      <tp t="e">
        <v>#N/A</v>
        <stp/>
        <stp>VOLUME</stp>
        <stp>.QQQ250815C469</stp>
        <tr r="O79" s="2"/>
      </tp>
      <tp t="e">
        <v>#N/A</v>
        <stp/>
        <stp>VOLUME</stp>
        <stp>.SPY251128C556</stp>
        <tr r="V31" s="2"/>
      </tp>
      <tp t="e">
        <v>#N/A</v>
        <stp/>
        <stp>VOLUME</stp>
        <stp>.QQQ250815P468</stp>
        <tr r="O80" s="2"/>
      </tp>
      <tp t="e">
        <v>#N/A</v>
        <stp/>
        <stp>VOLUME</stp>
        <stp>.SPY251128P557</stp>
        <tr r="V30" s="2"/>
      </tp>
      <tp t="e">
        <v>#N/A</v>
        <stp/>
        <stp>VOLUME</stp>
        <stp>.QQQ250815C468</stp>
        <tr r="O80" s="2"/>
      </tp>
      <tp t="e">
        <v>#N/A</v>
        <stp/>
        <stp>VOLUME</stp>
        <stp>.SPY251128C557</stp>
        <tr r="V30" s="2"/>
      </tp>
      <tp t="e">
        <v>#N/A</v>
        <stp/>
        <stp>VOLUME</stp>
        <stp>.SPY251128P554</stp>
        <tr r="V33" s="2"/>
      </tp>
      <tp t="e">
        <v>#N/A</v>
        <stp/>
        <stp>VOLUME</stp>
        <stp>.SPY251128C554</stp>
        <tr r="V33" s="2"/>
      </tp>
      <tp t="e">
        <v>#N/A</v>
        <stp/>
        <stp>VOLUME</stp>
        <stp>.SPY251128P555</stp>
        <tr r="V32" s="2"/>
      </tp>
      <tp t="e">
        <v>#N/A</v>
        <stp/>
        <stp>VOLUME</stp>
        <stp>.SPY251128C555</stp>
        <tr r="V32" s="2"/>
      </tp>
      <tp t="e">
        <v>#N/A</v>
        <stp/>
        <stp>VOLUME</stp>
        <stp>.SPY251128P552</stp>
        <tr r="V35" s="2"/>
      </tp>
      <tp t="e">
        <v>#N/A</v>
        <stp/>
        <stp>VOLUME</stp>
        <stp>.SPY251128C552</stp>
        <tr r="V35" s="2"/>
      </tp>
      <tp t="e">
        <v>#N/A</v>
        <stp/>
        <stp>VOLUME</stp>
        <stp>.SPY251128P553</stp>
        <tr r="V34" s="2"/>
      </tp>
      <tp t="e">
        <v>#N/A</v>
        <stp/>
        <stp>VOLUME</stp>
        <stp>.SPY251128C553</stp>
        <tr r="V34" s="2"/>
      </tp>
      <tp t="e">
        <v>#N/A</v>
        <stp/>
        <stp>VOLUME</stp>
        <stp>.SPY251121P559</stp>
        <tr r="U28" s="2"/>
      </tp>
      <tp t="e">
        <v>#N/A</v>
        <stp/>
        <stp>VOLUME</stp>
        <stp>.SPY251128P550</stp>
        <tr r="V37" s="2"/>
      </tp>
      <tp t="e">
        <v>#N/A</v>
        <stp/>
        <stp>VOLUME</stp>
        <stp>.SPY251121C559</stp>
        <tr r="U28" s="2"/>
      </tp>
      <tp t="e">
        <v>#N/A</v>
        <stp/>
        <stp>VOLUME</stp>
        <stp>.SPY251128C550</stp>
        <tr r="V37" s="2"/>
      </tp>
      <tp t="e">
        <v>#N/A</v>
        <stp/>
        <stp>VOLUME</stp>
        <stp>.SPY251121P558</stp>
        <tr r="U29" s="2"/>
      </tp>
      <tp t="e">
        <v>#N/A</v>
        <stp/>
        <stp>VOLUME</stp>
        <stp>.SPY251128P551</stp>
        <tr r="V36" s="2"/>
      </tp>
      <tp t="e">
        <v>#N/A</v>
        <stp/>
        <stp>VOLUME</stp>
        <stp>.SPY251121C558</stp>
        <tr r="U29" s="2"/>
      </tp>
      <tp t="e">
        <v>#N/A</v>
        <stp/>
        <stp>VOLUME</stp>
        <stp>.SPY251128C551</stp>
        <tr r="V36" s="2"/>
      </tp>
      <tp t="e">
        <v>#N/A</v>
        <stp/>
        <stp>VOLUME</stp>
        <stp>.QQQ250815P471</stp>
        <tr r="O77" s="2"/>
      </tp>
      <tp t="e">
        <v>#N/A</v>
        <stp/>
        <stp>VOLUME</stp>
        <stp>.QQQ250815C471</stp>
        <tr r="O77" s="2"/>
      </tp>
      <tp t="e">
        <v>#N/A</v>
        <stp/>
        <stp>VOLUME</stp>
        <stp>.QQQ250815P470</stp>
        <tr r="O78" s="2"/>
      </tp>
      <tp t="e">
        <v>#N/A</v>
        <stp/>
        <stp>VOLUME</stp>
        <stp>.QQQ250815C470</stp>
        <tr r="O78" s="2"/>
      </tp>
      <tp t="e">
        <v>#N/A</v>
        <stp/>
        <stp>VOLUME</stp>
        <stp>.QQQ250815P473</stp>
        <tr r="O75" s="2"/>
      </tp>
      <tp t="e">
        <v>#N/A</v>
        <stp/>
        <stp>VOLUME</stp>
        <stp>.QQQ250815C473</stp>
        <tr r="O75" s="2"/>
      </tp>
      <tp t="e">
        <v>#N/A</v>
        <stp/>
        <stp>VOLUME</stp>
        <stp>.QQQ250815P472</stp>
        <tr r="O76" s="2"/>
      </tp>
      <tp t="e">
        <v>#N/A</v>
        <stp/>
        <stp>VOLUME</stp>
        <stp>.QQQ250815C472</stp>
        <tr r="O76" s="2"/>
      </tp>
      <tp t="e">
        <v>#N/A</v>
        <stp/>
        <stp>VOLUME</stp>
        <stp>.QQQ250815P475</stp>
        <tr r="O73" s="2"/>
      </tp>
      <tp t="e">
        <v>#N/A</v>
        <stp/>
        <stp>VOLUME</stp>
        <stp>.QQQ250815C475</stp>
        <tr r="O73" s="2"/>
      </tp>
      <tp t="e">
        <v>#N/A</v>
        <stp/>
        <stp>VOLUME</stp>
        <stp>.QQQ250815P474</stp>
        <tr r="O74" s="2"/>
      </tp>
      <tp t="e">
        <v>#N/A</v>
        <stp/>
        <stp>VOLUME</stp>
        <stp>.QQQ250815C474</stp>
        <tr r="O74" s="2"/>
      </tp>
      <tp t="e">
        <v>#N/A</v>
        <stp/>
        <stp>VOLUME</stp>
        <stp>.QQQ250815P477</stp>
        <tr r="O71" s="2"/>
      </tp>
      <tp t="e">
        <v>#N/A</v>
        <stp/>
        <stp>VOLUME</stp>
        <stp>.SPY251128P548</stp>
        <tr r="V39" s="2"/>
      </tp>
      <tp t="e">
        <v>#N/A</v>
        <stp/>
        <stp>VOLUME</stp>
        <stp>.QQQ250815C477</stp>
        <tr r="O71" s="2"/>
      </tp>
      <tp t="e">
        <v>#N/A</v>
        <stp/>
        <stp>VOLUME</stp>
        <stp>.SPY251128C548</stp>
        <tr r="V39" s="2"/>
      </tp>
      <tp t="e">
        <v>#N/A</v>
        <stp/>
        <stp>VOLUME</stp>
        <stp>.QQQ250815P476</stp>
        <tr r="O72" s="2"/>
      </tp>
      <tp t="e">
        <v>#N/A</v>
        <stp/>
        <stp>VOLUME</stp>
        <stp>.SPY251128P549</stp>
        <tr r="V38" s="2"/>
      </tp>
      <tp t="e">
        <v>#N/A</v>
        <stp/>
        <stp>VOLUME</stp>
        <stp>.QQQ250815C476</stp>
        <tr r="O72" s="2"/>
      </tp>
      <tp t="e">
        <v>#N/A</v>
        <stp/>
        <stp>VOLUME</stp>
        <stp>.SPY251128C549</stp>
        <tr r="V38" s="2"/>
      </tp>
      <tp t="e">
        <v>#N/A</v>
        <stp/>
        <stp>VOLUME</stp>
        <stp>.QQQ250815P479</stp>
        <tr r="O69" s="2"/>
      </tp>
      <tp t="e">
        <v>#N/A</v>
        <stp/>
        <stp>VOLUME</stp>
        <stp>.QQQ250815C479</stp>
        <tr r="O69" s="2"/>
      </tp>
      <tp t="e">
        <v>#N/A</v>
        <stp/>
        <stp>VOLUME</stp>
        <stp>.QQQ250815P478</stp>
        <tr r="O70" s="2"/>
      </tp>
      <tp t="e">
        <v>#N/A</v>
        <stp/>
        <stp>VOLUME</stp>
        <stp>.QQQ250815C478</stp>
        <tr r="O70" s="2"/>
      </tp>
      <tp t="e">
        <v>#N/A</v>
        <stp/>
        <stp>VOLUME</stp>
        <stp>.SPY251121P549</stp>
        <tr r="U38" s="2"/>
      </tp>
      <tp t="e">
        <v>#N/A</v>
        <stp/>
        <stp>VOLUME</stp>
        <stp>.SPY251121C549</stp>
        <tr r="U38" s="2"/>
      </tp>
      <tp t="e">
        <v>#N/A</v>
        <stp/>
        <stp>VOLUME</stp>
        <stp>.SPY251121P548</stp>
        <tr r="U39" s="2"/>
      </tp>
      <tp t="e">
        <v>#N/A</v>
        <stp/>
        <stp>VOLUME</stp>
        <stp>.SPY251121C548</stp>
        <tr r="U39" s="2"/>
      </tp>
      <tp t="e">
        <v>#N/A</v>
        <stp/>
        <stp>BID</stp>
        <stp>.SPXW250502C5820</stp>
        <tr r="DE90" s="1"/>
        <tr r="DE90" s="1"/>
      </tp>
      <tp t="e">
        <v>#N/A</v>
        <stp/>
        <stp>BID</stp>
        <stp>.SPXW250502P5820</stp>
        <tr r="DF90" s="1"/>
        <tr r="DF90" s="1"/>
      </tp>
      <tp t="e">
        <v>#N/A</v>
        <stp/>
        <stp>BID</stp>
        <stp>.SPXW250502C5830</stp>
        <tr r="DE89" s="1"/>
        <tr r="DE89" s="1"/>
      </tp>
      <tp t="e">
        <v>#N/A</v>
        <stp/>
        <stp>BID</stp>
        <stp>.SPXW250502P5830</stp>
        <tr r="DF89" s="1"/>
        <tr r="DF89" s="1"/>
      </tp>
      <tp t="e">
        <v>#N/A</v>
        <stp/>
        <stp>BID</stp>
        <stp>.SPXW250502C5800</stp>
        <tr r="DE92" s="1"/>
        <tr r="DE92" s="1"/>
      </tp>
      <tp t="e">
        <v>#N/A</v>
        <stp/>
        <stp>BID</stp>
        <stp>.SPXW250502P5800</stp>
        <tr r="DF92" s="1"/>
        <tr r="DF92" s="1"/>
      </tp>
      <tp t="e">
        <v>#N/A</v>
        <stp/>
        <stp>BID</stp>
        <stp>.SPXW250502C5810</stp>
        <tr r="DE91" s="1"/>
        <tr r="DE91" s="1"/>
      </tp>
      <tp t="e">
        <v>#N/A</v>
        <stp/>
        <stp>BID</stp>
        <stp>.SPXW250502P5810</stp>
        <tr r="DF91" s="1"/>
        <tr r="DF91" s="1"/>
      </tp>
      <tp t="e">
        <v>#N/A</v>
        <stp/>
        <stp>BID</stp>
        <stp>.SPXW250502C5860</stp>
        <tr r="DE86" s="1"/>
        <tr r="DE86" s="1"/>
      </tp>
      <tp t="e">
        <v>#N/A</v>
        <stp/>
        <stp>BID</stp>
        <stp>.SPXW250502P5860</stp>
        <tr r="DF86" s="1"/>
        <tr r="DF86" s="1"/>
      </tp>
      <tp t="e">
        <v>#N/A</v>
        <stp/>
        <stp>BID</stp>
        <stp>.SPXW250502C5870</stp>
        <tr r="DE85" s="1"/>
        <tr r="DE85" s="1"/>
      </tp>
      <tp t="e">
        <v>#N/A</v>
        <stp/>
        <stp>BID</stp>
        <stp>.SPXW250502P5870</stp>
        <tr r="DF85" s="1"/>
        <tr r="DF85" s="1"/>
      </tp>
      <tp t="e">
        <v>#N/A</v>
        <stp/>
        <stp>BID</stp>
        <stp>.SPXW250502C5840</stp>
        <tr r="DE88" s="1"/>
        <tr r="DE88" s="1"/>
      </tp>
      <tp t="e">
        <v>#N/A</v>
        <stp/>
        <stp>BID</stp>
        <stp>.SPXW250502P5840</stp>
        <tr r="DF88" s="1"/>
        <tr r="DF88" s="1"/>
      </tp>
      <tp t="e">
        <v>#N/A</v>
        <stp/>
        <stp>BID</stp>
        <stp>.SPXW250502C5850</stp>
        <tr r="DE87" s="1"/>
        <tr r="DE87" s="1"/>
      </tp>
      <tp t="e">
        <v>#N/A</v>
        <stp/>
        <stp>BID</stp>
        <stp>.SPXW250502P5850</stp>
        <tr r="DF87" s="1"/>
        <tr r="DF87" s="1"/>
      </tp>
      <tp t="e">
        <v>#N/A</v>
        <stp/>
        <stp>VOLUME</stp>
        <stp>.SPY251017P581</stp>
        <tr r="S6" s="2"/>
      </tp>
      <tp t="e">
        <v>#N/A</v>
        <stp/>
        <stp>VOLUME</stp>
        <stp>.SPY251017C581</stp>
        <tr r="S6" s="2"/>
      </tp>
      <tp t="e">
        <v>#N/A</v>
        <stp/>
        <stp>VOLUME</stp>
        <stp>.SPY251017P580</stp>
        <tr r="S7" s="2"/>
      </tp>
      <tp t="e">
        <v>#N/A</v>
        <stp/>
        <stp>VOLUME</stp>
        <stp>.SPY251017C580</stp>
        <tr r="S7" s="2"/>
      </tp>
      <tp t="e">
        <v>#N/A</v>
        <stp/>
        <stp>VOLUME</stp>
        <stp>.SPY251017P582</stp>
        <tr r="S5" s="2"/>
      </tp>
      <tp t="e">
        <v>#N/A</v>
        <stp/>
        <stp>VOLUME</stp>
        <stp>.SPY251017C582</stp>
        <tr r="S5" s="2"/>
      </tp>
      <tp t="e">
        <v>#N/A</v>
        <stp/>
        <stp>VOLUME</stp>
        <stp>.QQQ250919P489</stp>
        <tr r="Q59" s="2"/>
      </tp>
      <tp t="e">
        <v>#N/A</v>
        <stp/>
        <stp>VOLUME</stp>
        <stp>.QQQ250919C489</stp>
        <tr r="Q59" s="2"/>
      </tp>
      <tp t="e">
        <v>#N/A</v>
        <stp/>
        <stp>VOLUME</stp>
        <stp>.QQQ250919P488</stp>
        <tr r="Q60" s="2"/>
      </tp>
      <tp t="e">
        <v>#N/A</v>
        <stp/>
        <stp>VOLUME</stp>
        <stp>.QQQ250919C488</stp>
        <tr r="Q60" s="2"/>
      </tp>
      <tp t="e">
        <v>#N/A</v>
        <stp/>
        <stp>VOLUME</stp>
        <stp>.QQQ250919P485</stp>
        <tr r="Q63" s="2"/>
      </tp>
      <tp t="e">
        <v>#N/A</v>
        <stp/>
        <stp>VOLUME</stp>
        <stp>.QQQ250919C485</stp>
        <tr r="Q63" s="2"/>
      </tp>
      <tp t="e">
        <v>#N/A</v>
        <stp/>
        <stp>VOLUME</stp>
        <stp>.QQQ250919P484</stp>
        <tr r="Q64" s="2"/>
      </tp>
      <tp t="e">
        <v>#N/A</v>
        <stp/>
        <stp>VOLUME</stp>
        <stp>.QQQ250919C484</stp>
        <tr r="Q64" s="2"/>
      </tp>
      <tp t="e">
        <v>#N/A</v>
        <stp/>
        <stp>VOLUME</stp>
        <stp>.QQQ250919P487</stp>
        <tr r="Q61" s="2"/>
      </tp>
      <tp t="e">
        <v>#N/A</v>
        <stp/>
        <stp>VOLUME</stp>
        <stp>.QQQ250919C487</stp>
        <tr r="Q61" s="2"/>
      </tp>
      <tp t="e">
        <v>#N/A</v>
        <stp/>
        <stp>VOLUME</stp>
        <stp>.QQQ250919P486</stp>
        <tr r="Q62" s="2"/>
      </tp>
      <tp t="e">
        <v>#N/A</v>
        <stp/>
        <stp>VOLUME</stp>
        <stp>.QQQ250919C486</stp>
        <tr r="Q62" s="2"/>
      </tp>
      <tp t="e">
        <v>#N/A</v>
        <stp/>
        <stp>VOLUME</stp>
        <stp>.QQQ250919P481</stp>
        <tr r="Q67" s="2"/>
      </tp>
      <tp t="e">
        <v>#N/A</v>
        <stp/>
        <stp>VOLUME</stp>
        <stp>.QQQ250919C481</stp>
        <tr r="Q67" s="2"/>
      </tp>
      <tp t="e">
        <v>#N/A</v>
        <stp/>
        <stp>VOLUME</stp>
        <stp>.QQQ250919P480</stp>
        <tr r="Q68" s="2"/>
      </tp>
      <tp t="e">
        <v>#N/A</v>
        <stp/>
        <stp>VOLUME</stp>
        <stp>.QQQ250919C480</stp>
        <tr r="Q68" s="2"/>
      </tp>
      <tp t="e">
        <v>#N/A</v>
        <stp/>
        <stp>VOLUME</stp>
        <stp>.QQQ250919P483</stp>
        <tr r="Q65" s="2"/>
      </tp>
      <tp t="e">
        <v>#N/A</v>
        <stp/>
        <stp>VOLUME</stp>
        <stp>.QQQ250919C483</stp>
        <tr r="Q65" s="2"/>
      </tp>
      <tp t="e">
        <v>#N/A</v>
        <stp/>
        <stp>VOLUME</stp>
        <stp>.QQQ250919P482</stp>
        <tr r="Q66" s="2"/>
      </tp>
      <tp t="e">
        <v>#N/A</v>
        <stp/>
        <stp>VOLUME</stp>
        <stp>.QQQ250919C482</stp>
        <tr r="Q66" s="2"/>
      </tp>
      <tp t="e">
        <v>#N/A</v>
        <stp/>
        <stp>VOLUME</stp>
        <stp>.QQQ250919P499</stp>
        <tr r="Q49" s="2"/>
      </tp>
      <tp t="e">
        <v>#N/A</v>
        <stp/>
        <stp>VOLUME</stp>
        <stp>.QQQ250919C499</stp>
        <tr r="Q49" s="2"/>
      </tp>
      <tp t="e">
        <v>#N/A</v>
        <stp/>
        <stp>VOLUME</stp>
        <stp>.QQQ250919P498</stp>
        <tr r="Q50" s="2"/>
      </tp>
      <tp t="e">
        <v>#N/A</v>
        <stp/>
        <stp>VOLUME</stp>
        <stp>.QQQ250919C498</stp>
        <tr r="Q50" s="2"/>
      </tp>
      <tp t="e">
        <v>#N/A</v>
        <stp/>
        <stp>VOLUME</stp>
        <stp>.QQQ250919P495</stp>
        <tr r="Q53" s="2"/>
      </tp>
      <tp t="e">
        <v>#N/A</v>
        <stp/>
        <stp>VOLUME</stp>
        <stp>.QQQ250919C495</stp>
        <tr r="Q53" s="2"/>
      </tp>
      <tp t="e">
        <v>#N/A</v>
        <stp/>
        <stp>VOLUME</stp>
        <stp>.QQQ250919P494</stp>
        <tr r="Q54" s="2"/>
      </tp>
      <tp t="e">
        <v>#N/A</v>
        <stp/>
        <stp>VOLUME</stp>
        <stp>.QQQ250919C494</stp>
        <tr r="Q54" s="2"/>
      </tp>
      <tp t="e">
        <v>#N/A</v>
        <stp/>
        <stp>VOLUME</stp>
        <stp>.QQQ250919P497</stp>
        <tr r="Q51" s="2"/>
      </tp>
      <tp t="e">
        <v>#N/A</v>
        <stp/>
        <stp>VOLUME</stp>
        <stp>.QQQ250919C497</stp>
        <tr r="Q51" s="2"/>
      </tp>
      <tp t="e">
        <v>#N/A</v>
        <stp/>
        <stp>VOLUME</stp>
        <stp>.QQQ250919P496</stp>
        <tr r="Q52" s="2"/>
      </tp>
      <tp t="e">
        <v>#N/A</v>
        <stp/>
        <stp>VOLUME</stp>
        <stp>.QQQ250919C496</stp>
        <tr r="Q52" s="2"/>
      </tp>
      <tp t="e">
        <v>#N/A</v>
        <stp/>
        <stp>VOLUME</stp>
        <stp>.QQQ250919P491</stp>
        <tr r="Q57" s="2"/>
      </tp>
      <tp t="e">
        <v>#N/A</v>
        <stp/>
        <stp>VOLUME</stp>
        <stp>.QQQ250919C491</stp>
        <tr r="Q57" s="2"/>
      </tp>
      <tp t="e">
        <v>#N/A</v>
        <stp/>
        <stp>VOLUME</stp>
        <stp>.QQQ250919P490</stp>
        <tr r="Q58" s="2"/>
      </tp>
      <tp t="e">
        <v>#N/A</v>
        <stp/>
        <stp>VOLUME</stp>
        <stp>.QQQ250919C490</stp>
        <tr r="Q58" s="2"/>
      </tp>
      <tp t="e">
        <v>#N/A</v>
        <stp/>
        <stp>VOLUME</stp>
        <stp>.QQQ250919P493</stp>
        <tr r="Q55" s="2"/>
      </tp>
      <tp t="e">
        <v>#N/A</v>
        <stp/>
        <stp>VOLUME</stp>
        <stp>.QQQ250919C493</stp>
        <tr r="Q55" s="2"/>
      </tp>
      <tp t="e">
        <v>#N/A</v>
        <stp/>
        <stp>VOLUME</stp>
        <stp>.QQQ250919P492</stp>
        <tr r="Q56" s="2"/>
      </tp>
      <tp t="e">
        <v>#N/A</v>
        <stp/>
        <stp>VOLUME</stp>
        <stp>.QQQ250919C492</stp>
        <tr r="Q56" s="2"/>
      </tp>
      <tp t="e">
        <v>#N/A</v>
        <stp/>
        <stp>VOLUME</stp>
        <stp>.QQQ250930P484</stp>
        <tr r="R64" s="2"/>
      </tp>
      <tp t="e">
        <v>#N/A</v>
        <stp/>
        <stp>VOLUME</stp>
        <stp>.QQQ250930C484</stp>
        <tr r="R64" s="2"/>
      </tp>
      <tp t="e">
        <v>#N/A</v>
        <stp/>
        <stp>VOLUME</stp>
        <stp>.QQQ250930P485</stp>
        <tr r="R63" s="2"/>
      </tp>
      <tp t="e">
        <v>#N/A</v>
        <stp/>
        <stp>VOLUME</stp>
        <stp>.QQQ250930C485</stp>
        <tr r="R63" s="2"/>
      </tp>
      <tp t="e">
        <v>#N/A</v>
        <stp/>
        <stp>VOLUME</stp>
        <stp>.QQQ250930P486</stp>
        <tr r="R62" s="2"/>
      </tp>
      <tp t="e">
        <v>#N/A</v>
        <stp/>
        <stp>VOLUME</stp>
        <stp>.QQQ250930C486</stp>
        <tr r="R62" s="2"/>
      </tp>
      <tp t="e">
        <v>#N/A</v>
        <stp/>
        <stp>VOLUME</stp>
        <stp>.QQQ250930P487</stp>
        <tr r="R61" s="2"/>
      </tp>
      <tp t="e">
        <v>#N/A</v>
        <stp/>
        <stp>VOLUME</stp>
        <stp>.QQQ250930C487</stp>
        <tr r="R61" s="2"/>
      </tp>
      <tp t="e">
        <v>#N/A</v>
        <stp/>
        <stp>VOLUME</stp>
        <stp>.QQQ250930P480</stp>
        <tr r="R68" s="2"/>
      </tp>
      <tp t="e">
        <v>#N/A</v>
        <stp/>
        <stp>VOLUME</stp>
        <stp>.QQQ250930C480</stp>
        <tr r="R68" s="2"/>
      </tp>
      <tp t="e">
        <v>#N/A</v>
        <stp/>
        <stp>VOLUME</stp>
        <stp>.QQQ250930P481</stp>
        <tr r="R67" s="2"/>
      </tp>
      <tp t="e">
        <v>#N/A</v>
        <stp/>
        <stp>VOLUME</stp>
        <stp>.SPY251031P582</stp>
        <tr r="T5" s="2"/>
      </tp>
      <tp t="e">
        <v>#N/A</v>
        <stp/>
        <stp>VOLUME</stp>
        <stp>.QQQ250930C481</stp>
        <tr r="R67" s="2"/>
      </tp>
      <tp t="e">
        <v>#N/A</v>
        <stp/>
        <stp>VOLUME</stp>
        <stp>.SPY251031C582</stp>
        <tr r="T5" s="2"/>
      </tp>
      <tp t="e">
        <v>#N/A</v>
        <stp/>
        <stp>VOLUME</stp>
        <stp>.QQQ250930P482</stp>
        <tr r="R66" s="2"/>
      </tp>
      <tp t="e">
        <v>#N/A</v>
        <stp/>
        <stp>VOLUME</stp>
        <stp>.SPY251031P581</stp>
        <tr r="T6" s="2"/>
      </tp>
      <tp t="e">
        <v>#N/A</v>
        <stp/>
        <stp>VOLUME</stp>
        <stp>.QQQ250930C482</stp>
        <tr r="R66" s="2"/>
      </tp>
      <tp t="e">
        <v>#N/A</v>
        <stp/>
        <stp>VOLUME</stp>
        <stp>.SPY251031C581</stp>
        <tr r="T6" s="2"/>
      </tp>
      <tp t="e">
        <v>#N/A</v>
        <stp/>
        <stp>VOLUME</stp>
        <stp>.QQQ250930P483</stp>
        <tr r="R65" s="2"/>
      </tp>
      <tp t="e">
        <v>#N/A</v>
        <stp/>
        <stp>VOLUME</stp>
        <stp>.SPY251031P580</stp>
        <tr r="T7" s="2"/>
      </tp>
      <tp t="e">
        <v>#N/A</v>
        <stp/>
        <stp>VOLUME</stp>
        <stp>.QQQ250930C483</stp>
        <tr r="R65" s="2"/>
      </tp>
      <tp t="e">
        <v>#N/A</v>
        <stp/>
        <stp>VOLUME</stp>
        <stp>.SPY251031C580</stp>
        <tr r="T7" s="2"/>
      </tp>
      <tp t="e">
        <v>#N/A</v>
        <stp/>
        <stp>VOLUME</stp>
        <stp>.QQQ250930P488</stp>
        <tr r="R60" s="2"/>
      </tp>
      <tp t="e">
        <v>#N/A</v>
        <stp/>
        <stp>VOLUME</stp>
        <stp>.QQQ250930C488</stp>
        <tr r="R60" s="2"/>
      </tp>
      <tp t="e">
        <v>#N/A</v>
        <stp/>
        <stp>VOLUME</stp>
        <stp>.QQQ250930P489</stp>
        <tr r="R59" s="2"/>
      </tp>
      <tp t="e">
        <v>#N/A</v>
        <stp/>
        <stp>VOLUME</stp>
        <stp>.QQQ250930C489</stp>
        <tr r="R59" s="2"/>
      </tp>
      <tp t="e">
        <v>#N/A</v>
        <stp/>
        <stp>VOLUME</stp>
        <stp>.QQQ250930P494</stp>
        <tr r="R54" s="2"/>
      </tp>
      <tp t="e">
        <v>#N/A</v>
        <stp/>
        <stp>VOLUME</stp>
        <stp>.QQQ250930C494</stp>
        <tr r="R54" s="2"/>
      </tp>
      <tp t="e">
        <v>#N/A</v>
        <stp/>
        <stp>VOLUME</stp>
        <stp>.QQQ250930P495</stp>
        <tr r="R53" s="2"/>
      </tp>
      <tp t="e">
        <v>#N/A</v>
        <stp/>
        <stp>VOLUME</stp>
        <stp>.QQQ250930C495</stp>
        <tr r="R53" s="2"/>
      </tp>
      <tp t="e">
        <v>#N/A</v>
        <stp/>
        <stp>VOLUME</stp>
        <stp>.QQQ250930P496</stp>
        <tr r="R52" s="2"/>
      </tp>
      <tp t="e">
        <v>#N/A</v>
        <stp/>
        <stp>VOLUME</stp>
        <stp>.QQQ250930C496</stp>
        <tr r="R52" s="2"/>
      </tp>
      <tp t="e">
        <v>#N/A</v>
        <stp/>
        <stp>VOLUME</stp>
        <stp>.QQQ250930P497</stp>
        <tr r="R51" s="2"/>
      </tp>
      <tp t="e">
        <v>#N/A</v>
        <stp/>
        <stp>VOLUME</stp>
        <stp>.QQQ250930C497</stp>
        <tr r="R51" s="2"/>
      </tp>
      <tp t="e">
        <v>#N/A</v>
        <stp/>
        <stp>VOLUME</stp>
        <stp>.QQQ250930P490</stp>
        <tr r="R58" s="2"/>
      </tp>
      <tp t="e">
        <v>#N/A</v>
        <stp/>
        <stp>VOLUME</stp>
        <stp>.QQQ250930C490</stp>
        <tr r="R58" s="2"/>
      </tp>
      <tp t="e">
        <v>#N/A</v>
        <stp/>
        <stp>VOLUME</stp>
        <stp>.QQQ250930P491</stp>
        <tr r="R57" s="2"/>
      </tp>
      <tp t="e">
        <v>#N/A</v>
        <stp/>
        <stp>VOLUME</stp>
        <stp>.QQQ250930C491</stp>
        <tr r="R57" s="2"/>
      </tp>
      <tp t="e">
        <v>#N/A</v>
        <stp/>
        <stp>VOLUME</stp>
        <stp>.QQQ250930P492</stp>
        <tr r="R56" s="2"/>
      </tp>
      <tp t="e">
        <v>#N/A</v>
        <stp/>
        <stp>VOLUME</stp>
        <stp>.QQQ250930C492</stp>
        <tr r="R56" s="2"/>
      </tp>
      <tp t="e">
        <v>#N/A</v>
        <stp/>
        <stp>VOLUME</stp>
        <stp>.QQQ250930P493</stp>
        <tr r="R55" s="2"/>
      </tp>
      <tp t="e">
        <v>#N/A</v>
        <stp/>
        <stp>VOLUME</stp>
        <stp>.QQQ250930C493</stp>
        <tr r="R55" s="2"/>
      </tp>
      <tp t="e">
        <v>#N/A</v>
        <stp/>
        <stp>VOLUME</stp>
        <stp>.QQQ250930P498</stp>
        <tr r="R50" s="2"/>
      </tp>
      <tp t="e">
        <v>#N/A</v>
        <stp/>
        <stp>VOLUME</stp>
        <stp>.QQQ250930C498</stp>
        <tr r="R50" s="2"/>
      </tp>
      <tp t="e">
        <v>#N/A</v>
        <stp/>
        <stp>VOLUME</stp>
        <stp>.QQQ250930P499</stp>
        <tr r="R49" s="2"/>
      </tp>
      <tp t="e">
        <v>#N/A</v>
        <stp/>
        <stp>VOLUME</stp>
        <stp>.QQQ250930C499</stp>
        <tr r="R49" s="2"/>
      </tp>
      <tp t="e">
        <v>#N/A</v>
        <stp/>
        <stp>VOLUME</stp>
        <stp>.QQQ250815P501</stp>
        <tr r="O47" s="2"/>
      </tp>
      <tp t="e">
        <v>#N/A</v>
        <stp/>
        <stp>VOLUME</stp>
        <stp>.QQQ250815C501</stp>
        <tr r="O47" s="2"/>
      </tp>
      <tp t="e">
        <v>#N/A</v>
        <stp/>
        <stp>VOLUME</stp>
        <stp>.QQQ250815P500</stp>
        <tr r="O48" s="2"/>
      </tp>
      <tp t="e">
        <v>#N/A</v>
        <stp/>
        <stp>VOLUME</stp>
        <stp>.QQQ250815C500</stp>
        <tr r="O48" s="2"/>
      </tp>
      <tp t="e">
        <v>#N/A</v>
        <stp/>
        <stp>VOLUME</stp>
        <stp>.QQQ250815P502</stp>
        <tr r="O46" s="2"/>
      </tp>
      <tp t="e">
        <v>#N/A</v>
        <stp/>
        <stp>VOLUME</stp>
        <stp>.QQQ250815C502</stp>
        <tr r="O46" s="2"/>
      </tp>
      <tp t="e">
        <v>#N/A</v>
        <stp/>
        <stp>VOLUME</stp>
        <stp>.QQQ250829P501</stp>
        <tr r="P47" s="2"/>
      </tp>
      <tp t="e">
        <v>#N/A</v>
        <stp/>
        <stp>VOLUME</stp>
        <stp>.QQQ250829C501</stp>
        <tr r="P47" s="2"/>
      </tp>
      <tp t="e">
        <v>#N/A</v>
        <stp/>
        <stp>VOLUME</stp>
        <stp>.QQQ250829P500</stp>
        <tr r="P48" s="2"/>
      </tp>
      <tp t="e">
        <v>#N/A</v>
        <stp/>
        <stp>VOLUME</stp>
        <stp>.QQQ250829C500</stp>
        <tr r="P48" s="2"/>
      </tp>
      <tp t="e">
        <v>#N/A</v>
        <stp/>
        <stp>VOLUME</stp>
        <stp>.QQQ250829P502</stp>
        <tr r="P46" s="2"/>
      </tp>
      <tp t="e">
        <v>#N/A</v>
        <stp/>
        <stp>VOLUME</stp>
        <stp>.QQQ250829C502</stp>
        <tr r="P46" s="2"/>
      </tp>
      <tp t="e">
        <v>#N/A</v>
        <stp/>
        <stp>VOLUME</stp>
        <stp>.SPY251031P567</stp>
        <tr r="T20" s="2"/>
      </tp>
      <tp t="e">
        <v>#N/A</v>
        <stp/>
        <stp>VOLUME</stp>
        <stp>.SPY251031C567</stp>
        <tr r="T20" s="2"/>
      </tp>
      <tp t="e">
        <v>#N/A</v>
        <stp/>
        <stp>VOLUME</stp>
        <stp>.SPY251031P566</stp>
        <tr r="T21" s="2"/>
      </tp>
      <tp t="e">
        <v>#N/A</v>
        <stp/>
        <stp>VOLUME</stp>
        <stp>.SPY251031C566</stp>
        <tr r="T21" s="2"/>
      </tp>
      <tp t="e">
        <v>#N/A</v>
        <stp/>
        <stp>VOLUME</stp>
        <stp>.SPY251031P565</stp>
        <tr r="T22" s="2"/>
      </tp>
      <tp t="e">
        <v>#N/A</v>
        <stp/>
        <stp>VOLUME</stp>
        <stp>.SPY251031C565</stp>
        <tr r="T22" s="2"/>
      </tp>
      <tp t="e">
        <v>#N/A</v>
        <stp/>
        <stp>VOLUME</stp>
        <stp>.SPY251031P564</stp>
        <tr r="T23" s="2"/>
      </tp>
      <tp t="e">
        <v>#N/A</v>
        <stp/>
        <stp>VOLUME</stp>
        <stp>.SPY251031C564</stp>
        <tr r="T23" s="2"/>
      </tp>
      <tp t="e">
        <v>#N/A</v>
        <stp/>
        <stp>VOLUME</stp>
        <stp>.SPY251031P563</stp>
        <tr r="T24" s="2"/>
      </tp>
      <tp t="e">
        <v>#N/A</v>
        <stp/>
        <stp>VOLUME</stp>
        <stp>.SPY251031C563</stp>
        <tr r="T24" s="2"/>
      </tp>
      <tp t="e">
        <v>#N/A</v>
        <stp/>
        <stp>VOLUME</stp>
        <stp>.SPY251031P562</stp>
        <tr r="T25" s="2"/>
      </tp>
      <tp t="e">
        <v>#N/A</v>
        <stp/>
        <stp>VOLUME</stp>
        <stp>.SPY251031C562</stp>
        <tr r="T25" s="2"/>
      </tp>
      <tp t="e">
        <v>#N/A</v>
        <stp/>
        <stp>VOLUME</stp>
        <stp>.SPY251031P561</stp>
        <tr r="T26" s="2"/>
      </tp>
      <tp t="e">
        <v>#N/A</v>
        <stp/>
        <stp>VOLUME</stp>
        <stp>.SPY251031C561</stp>
        <tr r="T26" s="2"/>
      </tp>
      <tp t="e">
        <v>#N/A</v>
        <stp/>
        <stp>VOLUME</stp>
        <stp>.SPY251031P560</stp>
        <tr r="T27" s="2"/>
      </tp>
      <tp t="e">
        <v>#N/A</v>
        <stp/>
        <stp>VOLUME</stp>
        <stp>.SPY251031C560</stp>
        <tr r="T27" s="2"/>
      </tp>
      <tp t="e">
        <v>#N/A</v>
        <stp/>
        <stp>VOLUME</stp>
        <stp>.SPY251017P549</stp>
        <tr r="S38" s="2"/>
      </tp>
      <tp t="e">
        <v>#N/A</v>
        <stp/>
        <stp>VOLUME</stp>
        <stp>.SPY251017C549</stp>
        <tr r="S38" s="2"/>
      </tp>
      <tp t="e">
        <v>#N/A</v>
        <stp/>
        <stp>VOLUME</stp>
        <stp>.SPY251017P548</stp>
        <tr r="S39" s="2"/>
      </tp>
      <tp t="e">
        <v>#N/A</v>
        <stp/>
        <stp>VOLUME</stp>
        <stp>.SPY251017C548</stp>
        <tr r="S39" s="2"/>
      </tp>
      <tp t="e">
        <v>#N/A</v>
        <stp/>
        <stp>VOLUME</stp>
        <stp>.QQQ250930P468</stp>
        <tr r="R80" s="2"/>
      </tp>
      <tp t="e">
        <v>#N/A</v>
        <stp/>
        <stp>VOLUME</stp>
        <stp>.QQQ250930C468</stp>
        <tr r="R80" s="2"/>
      </tp>
      <tp t="e">
        <v>#N/A</v>
        <stp/>
        <stp>VOLUME</stp>
        <stp>.QQQ250930P469</stp>
        <tr r="R79" s="2"/>
      </tp>
      <tp t="e">
        <v>#N/A</v>
        <stp/>
        <stp>VOLUME</stp>
        <stp>.QQQ250930C469</stp>
        <tr r="R79" s="2"/>
      </tp>
      <tp t="e">
        <v>#N/A</v>
        <stp/>
        <stp>VOLUME</stp>
        <stp>.SPY251031P569</stp>
        <tr r="T18" s="2"/>
      </tp>
      <tp t="e">
        <v>#N/A</v>
        <stp/>
        <stp>VOLUME</stp>
        <stp>.SPY251031C569</stp>
        <tr r="T18" s="2"/>
      </tp>
      <tp t="e">
        <v>#N/A</v>
        <stp/>
        <stp>VOLUME</stp>
        <stp>.SPY251031P568</stp>
        <tr r="T19" s="2"/>
      </tp>
      <tp t="e">
        <v>#N/A</v>
        <stp/>
        <stp>VOLUME</stp>
        <stp>.SPY251031C568</stp>
        <tr r="T19" s="2"/>
      </tp>
      <tp t="e">
        <v>#N/A</v>
        <stp/>
        <stp>VOLUME</stp>
        <stp>.QQQ250930P474</stp>
        <tr r="R74" s="2"/>
      </tp>
      <tp t="e">
        <v>#N/A</v>
        <stp/>
        <stp>VOLUME</stp>
        <stp>.SPY251017P551</stp>
        <tr r="S36" s="2"/>
      </tp>
      <tp t="e">
        <v>#N/A</v>
        <stp/>
        <stp>VOLUME</stp>
        <stp>.SPY251031P577</stp>
        <tr r="T10" s="2"/>
      </tp>
      <tp t="e">
        <v>#N/A</v>
        <stp/>
        <stp>VOLUME</stp>
        <stp>.QQQ250930C474</stp>
        <tr r="R74" s="2"/>
      </tp>
      <tp t="e">
        <v>#N/A</v>
        <stp/>
        <stp>VOLUME</stp>
        <stp>.SPY251017C551</stp>
        <tr r="S36" s="2"/>
      </tp>
      <tp t="e">
        <v>#N/A</v>
        <stp/>
        <stp>VOLUME</stp>
        <stp>.SPY251031C577</stp>
        <tr r="T10" s="2"/>
      </tp>
      <tp t="e">
        <v>#N/A</v>
        <stp/>
        <stp>VOLUME</stp>
        <stp>.QQQ250930P475</stp>
        <tr r="R73" s="2"/>
      </tp>
      <tp t="e">
        <v>#N/A</v>
        <stp/>
        <stp>VOLUME</stp>
        <stp>.SPY251017P550</stp>
        <tr r="S37" s="2"/>
      </tp>
      <tp t="e">
        <v>#N/A</v>
        <stp/>
        <stp>VOLUME</stp>
        <stp>.SPY251031P576</stp>
        <tr r="T11" s="2"/>
      </tp>
      <tp t="e">
        <v>#N/A</v>
        <stp/>
        <stp>VOLUME</stp>
        <stp>.QQQ250930C475</stp>
        <tr r="R73" s="2"/>
      </tp>
      <tp t="e">
        <v>#N/A</v>
        <stp/>
        <stp>VOLUME</stp>
        <stp>.SPY251017C550</stp>
        <tr r="S37" s="2"/>
      </tp>
      <tp t="e">
        <v>#N/A</v>
        <stp/>
        <stp>VOLUME</stp>
        <stp>.SPY251031C576</stp>
        <tr r="T11" s="2"/>
      </tp>
      <tp t="e">
        <v>#N/A</v>
        <stp/>
        <stp>VOLUME</stp>
        <stp>.QQQ250930P476</stp>
        <tr r="R72" s="2"/>
      </tp>
      <tp t="e">
        <v>#N/A</v>
        <stp/>
        <stp>VOLUME</stp>
        <stp>.SPY251017P553</stp>
        <tr r="S34" s="2"/>
      </tp>
      <tp t="e">
        <v>#N/A</v>
        <stp/>
        <stp>VOLUME</stp>
        <stp>.SPY251031P575</stp>
        <tr r="T12" s="2"/>
      </tp>
      <tp t="e">
        <v>#N/A</v>
        <stp/>
        <stp>VOLUME</stp>
        <stp>.QQQ250930C476</stp>
        <tr r="R72" s="2"/>
      </tp>
      <tp t="e">
        <v>#N/A</v>
        <stp/>
        <stp>VOLUME</stp>
        <stp>.SPY251017C553</stp>
        <tr r="S34" s="2"/>
      </tp>
      <tp t="e">
        <v>#N/A</v>
        <stp/>
        <stp>VOLUME</stp>
        <stp>.SPY251031C575</stp>
        <tr r="T12" s="2"/>
      </tp>
      <tp t="e">
        <v>#N/A</v>
        <stp/>
        <stp>VOLUME</stp>
        <stp>.QQQ250930P477</stp>
        <tr r="R71" s="2"/>
      </tp>
      <tp t="e">
        <v>#N/A</v>
        <stp/>
        <stp>VOLUME</stp>
        <stp>.SPY251017P552</stp>
        <tr r="S35" s="2"/>
      </tp>
      <tp t="e">
        <v>#N/A</v>
        <stp/>
        <stp>VOLUME</stp>
        <stp>.SPY251031P574</stp>
        <tr r="T13" s="2"/>
      </tp>
      <tp t="e">
        <v>#N/A</v>
        <stp/>
        <stp>VOLUME</stp>
        <stp>.QQQ250930C477</stp>
        <tr r="R71" s="2"/>
      </tp>
      <tp t="e">
        <v>#N/A</v>
        <stp/>
        <stp>VOLUME</stp>
        <stp>.SPY251017C552</stp>
        <tr r="S35" s="2"/>
      </tp>
      <tp t="e">
        <v>#N/A</v>
        <stp/>
        <stp>VOLUME</stp>
        <stp>.SPY251031C574</stp>
        <tr r="T13" s="2"/>
      </tp>
      <tp t="e">
        <v>#N/A</v>
        <stp/>
        <stp>VOLUME</stp>
        <stp>.QQQ250930P470</stp>
        <tr r="R78" s="2"/>
      </tp>
      <tp t="e">
        <v>#N/A</v>
        <stp/>
        <stp>VOLUME</stp>
        <stp>.SPY251017P555</stp>
        <tr r="S32" s="2"/>
      </tp>
      <tp t="e">
        <v>#N/A</v>
        <stp/>
        <stp>VOLUME</stp>
        <stp>.SPY251031P573</stp>
        <tr r="T14" s="2"/>
      </tp>
      <tp t="e">
        <v>#N/A</v>
        <stp/>
        <stp>VOLUME</stp>
        <stp>.QQQ250930C470</stp>
        <tr r="R78" s="2"/>
      </tp>
      <tp t="e">
        <v>#N/A</v>
        <stp/>
        <stp>VOLUME</stp>
        <stp>.SPY251017C555</stp>
        <tr r="S32" s="2"/>
      </tp>
      <tp t="e">
        <v>#N/A</v>
        <stp/>
        <stp>VOLUME</stp>
        <stp>.SPY251031C573</stp>
        <tr r="T14" s="2"/>
      </tp>
      <tp t="e">
        <v>#N/A</v>
        <stp/>
        <stp>VOLUME</stp>
        <stp>.QQQ250930P471</stp>
        <tr r="R77" s="2"/>
      </tp>
      <tp t="e">
        <v>#N/A</v>
        <stp/>
        <stp>VOLUME</stp>
        <stp>.SPY251017P554</stp>
        <tr r="S33" s="2"/>
      </tp>
      <tp t="e">
        <v>#N/A</v>
        <stp/>
        <stp>VOLUME</stp>
        <stp>.SPY251031P572</stp>
        <tr r="T15" s="2"/>
      </tp>
      <tp t="e">
        <v>#N/A</v>
        <stp/>
        <stp>VOLUME</stp>
        <stp>.QQQ250930C471</stp>
        <tr r="R77" s="2"/>
      </tp>
      <tp t="e">
        <v>#N/A</v>
        <stp/>
        <stp>VOLUME</stp>
        <stp>.SPY251017C554</stp>
        <tr r="S33" s="2"/>
      </tp>
      <tp t="e">
        <v>#N/A</v>
        <stp/>
        <stp>VOLUME</stp>
        <stp>.SPY251031C572</stp>
        <tr r="T15" s="2"/>
      </tp>
      <tp t="e">
        <v>#N/A</v>
        <stp/>
        <stp>VOLUME</stp>
        <stp>.QQQ250930P472</stp>
        <tr r="R76" s="2"/>
      </tp>
      <tp t="e">
        <v>#N/A</v>
        <stp/>
        <stp>VOLUME</stp>
        <stp>.SPY251017P557</stp>
        <tr r="S30" s="2"/>
      </tp>
      <tp t="e">
        <v>#N/A</v>
        <stp/>
        <stp>VOLUME</stp>
        <stp>.SPY251031P571</stp>
        <tr r="T16" s="2"/>
      </tp>
      <tp t="e">
        <v>#N/A</v>
        <stp/>
        <stp>VOLUME</stp>
        <stp>.QQQ250930C472</stp>
        <tr r="R76" s="2"/>
      </tp>
      <tp t="e">
        <v>#N/A</v>
        <stp/>
        <stp>VOLUME</stp>
        <stp>.SPY251017C557</stp>
        <tr r="S30" s="2"/>
      </tp>
      <tp t="e">
        <v>#N/A</v>
        <stp/>
        <stp>VOLUME</stp>
        <stp>.SPY251031C571</stp>
        <tr r="T16" s="2"/>
      </tp>
      <tp t="e">
        <v>#N/A</v>
        <stp/>
        <stp>VOLUME</stp>
        <stp>.QQQ250930P473</stp>
        <tr r="R75" s="2"/>
      </tp>
      <tp t="e">
        <v>#N/A</v>
        <stp/>
        <stp>VOLUME</stp>
        <stp>.SPY251017P556</stp>
        <tr r="S31" s="2"/>
      </tp>
      <tp t="e">
        <v>#N/A</v>
        <stp/>
        <stp>VOLUME</stp>
        <stp>.SPY251031P570</stp>
        <tr r="T17" s="2"/>
      </tp>
      <tp t="e">
        <v>#N/A</v>
        <stp/>
        <stp>VOLUME</stp>
        <stp>.QQQ250930C473</stp>
        <tr r="R75" s="2"/>
      </tp>
      <tp t="e">
        <v>#N/A</v>
        <stp/>
        <stp>VOLUME</stp>
        <stp>.SPY251017C556</stp>
        <tr r="S31" s="2"/>
      </tp>
      <tp t="e">
        <v>#N/A</v>
        <stp/>
        <stp>VOLUME</stp>
        <stp>.SPY251031C570</stp>
        <tr r="T17" s="2"/>
      </tp>
      <tp t="e">
        <v>#N/A</v>
        <stp/>
        <stp>VOLUME</stp>
        <stp>.SPY251017P559</stp>
        <tr r="S28" s="2"/>
      </tp>
      <tp t="e">
        <v>#N/A</v>
        <stp/>
        <stp>VOLUME</stp>
        <stp>.SPY251017C559</stp>
        <tr r="S28" s="2"/>
      </tp>
      <tp t="e">
        <v>#N/A</v>
        <stp/>
        <stp>VOLUME</stp>
        <stp>.SPY251017P558</stp>
        <tr r="S29" s="2"/>
      </tp>
      <tp t="e">
        <v>#N/A</v>
        <stp/>
        <stp>VOLUME</stp>
        <stp>.SPY251017C558</stp>
        <tr r="S29" s="2"/>
      </tp>
      <tp t="e">
        <v>#N/A</v>
        <stp/>
        <stp>VOLUME</stp>
        <stp>.QQQ250930P478</stp>
        <tr r="R70" s="2"/>
      </tp>
      <tp t="e">
        <v>#N/A</v>
        <stp/>
        <stp>VOLUME</stp>
        <stp>.QQQ250930C478</stp>
        <tr r="R70" s="2"/>
      </tp>
      <tp t="e">
        <v>#N/A</v>
        <stp/>
        <stp>VOLUME</stp>
        <stp>.QQQ250930P479</stp>
        <tr r="R69" s="2"/>
      </tp>
      <tp t="e">
        <v>#N/A</v>
        <stp/>
        <stp>VOLUME</stp>
        <stp>.QQQ250930C479</stp>
        <tr r="R69" s="2"/>
      </tp>
      <tp t="e">
        <v>#N/A</v>
        <stp/>
        <stp>VOLUME</stp>
        <stp>.SPY251031P579</stp>
        <tr r="T8" s="2"/>
      </tp>
      <tp t="e">
        <v>#N/A</v>
        <stp/>
        <stp>VOLUME</stp>
        <stp>.SPY251031C579</stp>
        <tr r="T8" s="2"/>
      </tp>
      <tp t="e">
        <v>#N/A</v>
        <stp/>
        <stp>VOLUME</stp>
        <stp>.SPY251031P578</stp>
        <tr r="T9" s="2"/>
      </tp>
      <tp t="e">
        <v>#N/A</v>
        <stp/>
        <stp>VOLUME</stp>
        <stp>.SPY251031C578</stp>
        <tr r="T9" s="2"/>
      </tp>
      <tp t="e">
        <v>#N/A</v>
        <stp/>
        <stp>VOLUME</stp>
        <stp>.SPY251017P561</stp>
        <tr r="S26" s="2"/>
      </tp>
      <tp t="e">
        <v>#N/A</v>
        <stp/>
        <stp>VOLUME</stp>
        <stp>.SPY251017C561</stp>
        <tr r="S26" s="2"/>
      </tp>
      <tp t="e">
        <v>#N/A</v>
        <stp/>
        <stp>VOLUME</stp>
        <stp>.SPY251017P560</stp>
        <tr r="S27" s="2"/>
      </tp>
      <tp t="e">
        <v>#N/A</v>
        <stp/>
        <stp>VOLUME</stp>
        <stp>.SPY251017C560</stp>
        <tr r="S27" s="2"/>
      </tp>
      <tp t="e">
        <v>#N/A</v>
        <stp/>
        <stp>VOLUME</stp>
        <stp>.SPY251017P563</stp>
        <tr r="S24" s="2"/>
      </tp>
      <tp t="e">
        <v>#N/A</v>
        <stp/>
        <stp>VOLUME</stp>
        <stp>.SPY251017C563</stp>
        <tr r="S24" s="2"/>
      </tp>
      <tp t="e">
        <v>#N/A</v>
        <stp/>
        <stp>VOLUME</stp>
        <stp>.SPY251017P562</stp>
        <tr r="S25" s="2"/>
      </tp>
      <tp t="e">
        <v>#N/A</v>
        <stp/>
        <stp>VOLUME</stp>
        <stp>.SPY251017C562</stp>
        <tr r="S25" s="2"/>
      </tp>
      <tp t="e">
        <v>#N/A</v>
        <stp/>
        <stp>VOLUME</stp>
        <stp>.QQQ250919P469</stp>
        <tr r="Q79" s="2"/>
      </tp>
      <tp t="e">
        <v>#N/A</v>
        <stp/>
        <stp>VOLUME</stp>
        <stp>.SPY251017P565</stp>
        <tr r="S22" s="2"/>
      </tp>
      <tp t="e">
        <v>#N/A</v>
        <stp/>
        <stp>VOLUME</stp>
        <stp>.QQQ250919C469</stp>
        <tr r="Q79" s="2"/>
      </tp>
      <tp t="e">
        <v>#N/A</v>
        <stp/>
        <stp>VOLUME</stp>
        <stp>.SPY251017C565</stp>
        <tr r="S22" s="2"/>
      </tp>
      <tp t="e">
        <v>#N/A</v>
        <stp/>
        <stp>VOLUME</stp>
        <stp>.QQQ250919P468</stp>
        <tr r="Q80" s="2"/>
      </tp>
      <tp t="e">
        <v>#N/A</v>
        <stp/>
        <stp>VOLUME</stp>
        <stp>.SPY251017P564</stp>
        <tr r="S23" s="2"/>
      </tp>
      <tp t="e">
        <v>#N/A</v>
        <stp/>
        <stp>VOLUME</stp>
        <stp>.QQQ250919C468</stp>
        <tr r="Q80" s="2"/>
      </tp>
      <tp t="e">
        <v>#N/A</v>
        <stp/>
        <stp>VOLUME</stp>
        <stp>.SPY251017C564</stp>
        <tr r="S23" s="2"/>
      </tp>
      <tp t="e">
        <v>#N/A</v>
        <stp/>
        <stp>VOLUME</stp>
        <stp>.SPY251017P567</stp>
        <tr r="S20" s="2"/>
      </tp>
      <tp t="e">
        <v>#N/A</v>
        <stp/>
        <stp>VOLUME</stp>
        <stp>.SPY251017C567</stp>
        <tr r="S20" s="2"/>
      </tp>
      <tp t="e">
        <v>#N/A</v>
        <stp/>
        <stp>VOLUME</stp>
        <stp>.SPY251017P566</stp>
        <tr r="S21" s="2"/>
      </tp>
      <tp t="e">
        <v>#N/A</v>
        <stp/>
        <stp>VOLUME</stp>
        <stp>.SPY251017C566</stp>
        <tr r="S21" s="2"/>
      </tp>
      <tp t="e">
        <v>#N/A</v>
        <stp/>
        <stp>VOLUME</stp>
        <stp>.SPY251017P569</stp>
        <tr r="S18" s="2"/>
      </tp>
      <tp t="e">
        <v>#N/A</v>
        <stp/>
        <stp>VOLUME</stp>
        <stp>.SPY251017C569</stp>
        <tr r="S18" s="2"/>
      </tp>
      <tp t="e">
        <v>#N/A</v>
        <stp/>
        <stp>VOLUME</stp>
        <stp>.SPY251017P568</stp>
        <tr r="S19" s="2"/>
      </tp>
      <tp t="e">
        <v>#N/A</v>
        <stp/>
        <stp>VOLUME</stp>
        <stp>.SPY251017C568</stp>
        <tr r="S19" s="2"/>
      </tp>
      <tp t="e">
        <v>#N/A</v>
        <stp/>
        <stp>VOLUME</stp>
        <stp>.SPY251031P549</stp>
        <tr r="T38" s="2"/>
      </tp>
      <tp t="e">
        <v>#N/A</v>
        <stp/>
        <stp>VOLUME</stp>
        <stp>.SPY251031C549</stp>
        <tr r="T38" s="2"/>
      </tp>
      <tp t="e">
        <v>#N/A</v>
        <stp/>
        <stp>VOLUME</stp>
        <stp>.SPY251031P548</stp>
        <tr r="T39" s="2"/>
      </tp>
      <tp t="e">
        <v>#N/A</v>
        <stp/>
        <stp>VOLUME</stp>
        <stp>.SPY251031C548</stp>
        <tr r="T39" s="2"/>
      </tp>
      <tp t="e">
        <v>#N/A</v>
        <stp/>
        <stp>VOLUME</stp>
        <stp>.SPY251017P571</stp>
        <tr r="S16" s="2"/>
      </tp>
      <tp t="e">
        <v>#N/A</v>
        <stp/>
        <stp>VOLUME</stp>
        <stp>.SPY251031P557</stp>
        <tr r="T30" s="2"/>
      </tp>
      <tp t="e">
        <v>#N/A</v>
        <stp/>
        <stp>VOLUME</stp>
        <stp>.SPY251017C571</stp>
        <tr r="S16" s="2"/>
      </tp>
      <tp t="e">
        <v>#N/A</v>
        <stp/>
        <stp>VOLUME</stp>
        <stp>.SPY251031C557</stp>
        <tr r="T30" s="2"/>
      </tp>
      <tp t="e">
        <v>#N/A</v>
        <stp/>
        <stp>VOLUME</stp>
        <stp>.SPY251017P570</stp>
        <tr r="S17" s="2"/>
      </tp>
      <tp t="e">
        <v>#N/A</v>
        <stp/>
        <stp>VOLUME</stp>
        <stp>.SPY251031P556</stp>
        <tr r="T31" s="2"/>
      </tp>
      <tp t="e">
        <v>#N/A</v>
        <stp/>
        <stp>VOLUME</stp>
        <stp>.SPY251017C570</stp>
        <tr r="S17" s="2"/>
      </tp>
      <tp t="e">
        <v>#N/A</v>
        <stp/>
        <stp>VOLUME</stp>
        <stp>.SPY251031C556</stp>
        <tr r="T31" s="2"/>
      </tp>
      <tp t="e">
        <v>#N/A</v>
        <stp/>
        <stp>VOLUME</stp>
        <stp>.SPY251017P573</stp>
        <tr r="S14" s="2"/>
      </tp>
      <tp t="e">
        <v>#N/A</v>
        <stp/>
        <stp>VOLUME</stp>
        <stp>.SPY251031P555</stp>
        <tr r="T32" s="2"/>
      </tp>
      <tp t="e">
        <v>#N/A</v>
        <stp/>
        <stp>VOLUME</stp>
        <stp>.SPY251017C573</stp>
        <tr r="S14" s="2"/>
      </tp>
      <tp t="e">
        <v>#N/A</v>
        <stp/>
        <stp>VOLUME</stp>
        <stp>.SPY251031C555</stp>
        <tr r="T32" s="2"/>
      </tp>
      <tp t="e">
        <v>#N/A</v>
        <stp/>
        <stp>VOLUME</stp>
        <stp>.SPY251017P572</stp>
        <tr r="S15" s="2"/>
      </tp>
      <tp t="e">
        <v>#N/A</v>
        <stp/>
        <stp>VOLUME</stp>
        <stp>.SPY251031P554</stp>
        <tr r="T33" s="2"/>
      </tp>
      <tp t="e">
        <v>#N/A</v>
        <stp/>
        <stp>VOLUME</stp>
        <stp>.SPY251017C572</stp>
        <tr r="S15" s="2"/>
      </tp>
      <tp t="e">
        <v>#N/A</v>
        <stp/>
        <stp>VOLUME</stp>
        <stp>.SPY251031C554</stp>
        <tr r="T33" s="2"/>
      </tp>
      <tp t="e">
        <v>#N/A</v>
        <stp/>
        <stp>VOLUME</stp>
        <stp>.QQQ250919P479</stp>
        <tr r="Q69" s="2"/>
      </tp>
      <tp t="e">
        <v>#N/A</v>
        <stp/>
        <stp>VOLUME</stp>
        <stp>.SPY251017P575</stp>
        <tr r="S12" s="2"/>
      </tp>
      <tp t="e">
        <v>#N/A</v>
        <stp/>
        <stp>VOLUME</stp>
        <stp>.SPY251031P553</stp>
        <tr r="T34" s="2"/>
      </tp>
      <tp t="e">
        <v>#N/A</v>
        <stp/>
        <stp>VOLUME</stp>
        <stp>.QQQ250919C479</stp>
        <tr r="Q69" s="2"/>
      </tp>
      <tp t="e">
        <v>#N/A</v>
        <stp/>
        <stp>VOLUME</stp>
        <stp>.SPY251017C575</stp>
        <tr r="S12" s="2"/>
      </tp>
      <tp t="e">
        <v>#N/A</v>
        <stp/>
        <stp>VOLUME</stp>
        <stp>.SPY251031C553</stp>
        <tr r="T34" s="2"/>
      </tp>
      <tp t="e">
        <v>#N/A</v>
        <stp/>
        <stp>VOLUME</stp>
        <stp>.QQQ250919P478</stp>
        <tr r="Q70" s="2"/>
      </tp>
      <tp t="e">
        <v>#N/A</v>
        <stp/>
        <stp>VOLUME</stp>
        <stp>.SPY251017P574</stp>
        <tr r="S13" s="2"/>
      </tp>
      <tp t="e">
        <v>#N/A</v>
        <stp/>
        <stp>VOLUME</stp>
        <stp>.SPY251031P552</stp>
        <tr r="T35" s="2"/>
      </tp>
      <tp t="e">
        <v>#N/A</v>
        <stp/>
        <stp>VOLUME</stp>
        <stp>.QQQ250919C478</stp>
        <tr r="Q70" s="2"/>
      </tp>
      <tp t="e">
        <v>#N/A</v>
        <stp/>
        <stp>VOLUME</stp>
        <stp>.SPY251017C574</stp>
        <tr r="S13" s="2"/>
      </tp>
      <tp t="e">
        <v>#N/A</v>
        <stp/>
        <stp>VOLUME</stp>
        <stp>.SPY251031C552</stp>
        <tr r="T35" s="2"/>
      </tp>
      <tp t="e">
        <v>#N/A</v>
        <stp/>
        <stp>VOLUME</stp>
        <stp>.SPY251017P577</stp>
        <tr r="S10" s="2"/>
      </tp>
      <tp t="e">
        <v>#N/A</v>
        <stp/>
        <stp>VOLUME</stp>
        <stp>.SPY251031P551</stp>
        <tr r="T36" s="2"/>
      </tp>
      <tp t="e">
        <v>#N/A</v>
        <stp/>
        <stp>VOLUME</stp>
        <stp>.SPY251017C577</stp>
        <tr r="S10" s="2"/>
      </tp>
      <tp t="e">
        <v>#N/A</v>
        <stp/>
        <stp>VOLUME</stp>
        <stp>.SPY251031C551</stp>
        <tr r="T36" s="2"/>
      </tp>
      <tp t="e">
        <v>#N/A</v>
        <stp/>
        <stp>VOLUME</stp>
        <stp>.SPY251017P576</stp>
        <tr r="S11" s="2"/>
      </tp>
      <tp t="e">
        <v>#N/A</v>
        <stp/>
        <stp>VOLUME</stp>
        <stp>.SPY251031P550</stp>
        <tr r="T37" s="2"/>
      </tp>
      <tp t="e">
        <v>#N/A</v>
        <stp/>
        <stp>VOLUME</stp>
        <stp>.SPY251017C576</stp>
        <tr r="S11" s="2"/>
      </tp>
      <tp t="e">
        <v>#N/A</v>
        <stp/>
        <stp>VOLUME</stp>
        <stp>.SPY251031C550</stp>
        <tr r="T37" s="2"/>
      </tp>
      <tp t="e">
        <v>#N/A</v>
        <stp/>
        <stp>VOLUME</stp>
        <stp>.QQQ250919P475</stp>
        <tr r="Q73" s="2"/>
      </tp>
      <tp t="e">
        <v>#N/A</v>
        <stp/>
        <stp>VOLUME</stp>
        <stp>.SPY251017P579</stp>
        <tr r="S8" s="2"/>
      </tp>
      <tp t="e">
        <v>#N/A</v>
        <stp/>
        <stp>VOLUME</stp>
        <stp>.QQQ250919C475</stp>
        <tr r="Q73" s="2"/>
      </tp>
      <tp t="e">
        <v>#N/A</v>
        <stp/>
        <stp>VOLUME</stp>
        <stp>.SPY251017C579</stp>
        <tr r="S8" s="2"/>
      </tp>
      <tp t="e">
        <v>#N/A</v>
        <stp/>
        <stp>VOLUME</stp>
        <stp>.QQQ250919P474</stp>
        <tr r="Q74" s="2"/>
      </tp>
      <tp t="e">
        <v>#N/A</v>
        <stp/>
        <stp>VOLUME</stp>
        <stp>.SPY251017P578</stp>
        <tr r="S9" s="2"/>
      </tp>
      <tp t="e">
        <v>#N/A</v>
        <stp/>
        <stp>VOLUME</stp>
        <stp>.QQQ250919C474</stp>
        <tr r="Q74" s="2"/>
      </tp>
      <tp t="e">
        <v>#N/A</v>
        <stp/>
        <stp>VOLUME</stp>
        <stp>.SPY251017C578</stp>
        <tr r="S9" s="2"/>
      </tp>
      <tp t="e">
        <v>#N/A</v>
        <stp/>
        <stp>VOLUME</stp>
        <stp>.QQQ250919P477</stp>
        <tr r="Q71" s="2"/>
      </tp>
      <tp t="e">
        <v>#N/A</v>
        <stp/>
        <stp>VOLUME</stp>
        <stp>.QQQ250919C477</stp>
        <tr r="Q71" s="2"/>
      </tp>
      <tp t="e">
        <v>#N/A</v>
        <stp/>
        <stp>VOLUME</stp>
        <stp>.QQQ250919P476</stp>
        <tr r="Q72" s="2"/>
      </tp>
      <tp t="e">
        <v>#N/A</v>
        <stp/>
        <stp>VOLUME</stp>
        <stp>.QQQ250919C476</stp>
        <tr r="Q72" s="2"/>
      </tp>
      <tp t="e">
        <v>#N/A</v>
        <stp/>
        <stp>VOLUME</stp>
        <stp>.QQQ250919P471</stp>
        <tr r="Q77" s="2"/>
      </tp>
      <tp t="e">
        <v>#N/A</v>
        <stp/>
        <stp>VOLUME</stp>
        <stp>.QQQ250919C471</stp>
        <tr r="Q77" s="2"/>
      </tp>
      <tp t="e">
        <v>#N/A</v>
        <stp/>
        <stp>VOLUME</stp>
        <stp>.QQQ250919P470</stp>
        <tr r="Q78" s="2"/>
      </tp>
      <tp t="e">
        <v>#N/A</v>
        <stp/>
        <stp>VOLUME</stp>
        <stp>.QQQ250919C470</stp>
        <tr r="Q78" s="2"/>
      </tp>
      <tp t="e">
        <v>#N/A</v>
        <stp/>
        <stp>VOLUME</stp>
        <stp>.QQQ250919P473</stp>
        <tr r="Q75" s="2"/>
      </tp>
      <tp t="e">
        <v>#N/A</v>
        <stp/>
        <stp>VOLUME</stp>
        <stp>.SPY251031P559</stp>
        <tr r="T28" s="2"/>
      </tp>
      <tp t="e">
        <v>#N/A</v>
        <stp/>
        <stp>VOLUME</stp>
        <stp>.QQQ250919C473</stp>
        <tr r="Q75" s="2"/>
      </tp>
      <tp t="e">
        <v>#N/A</v>
        <stp/>
        <stp>VOLUME</stp>
        <stp>.SPY251031C559</stp>
        <tr r="T28" s="2"/>
      </tp>
      <tp t="e">
        <v>#N/A</v>
        <stp/>
        <stp>VOLUME</stp>
        <stp>.QQQ250919P472</stp>
        <tr r="Q76" s="2"/>
      </tp>
      <tp t="e">
        <v>#N/A</v>
        <stp/>
        <stp>VOLUME</stp>
        <stp>.SPY251031P558</stp>
        <tr r="T29" s="2"/>
      </tp>
      <tp t="e">
        <v>#N/A</v>
        <stp/>
        <stp>VOLUME</stp>
        <stp>.QQQ250919C472</stp>
        <tr r="Q76" s="2"/>
      </tp>
      <tp t="e">
        <v>#N/A</v>
        <stp/>
        <stp>VOLUME</stp>
        <stp>.SPY251031C558</stp>
        <tr r="T29" s="2"/>
      </tp>
      <tp t="e">
        <v>#N/A</v>
        <stp/>
        <stp>BID</stp>
        <stp>.SPXW250502C5780</stp>
        <tr r="DE94" s="1"/>
        <tr r="DE94" s="1"/>
      </tp>
      <tp t="e">
        <v>#N/A</v>
        <stp/>
        <stp>BID</stp>
        <stp>.SPXW250502P5780</stp>
        <tr r="DF94" s="1"/>
        <tr r="DF94" s="1"/>
      </tp>
      <tp t="e">
        <v>#N/A</v>
        <stp/>
        <stp>BID</stp>
        <stp>.SPXW250502C5790</stp>
        <tr r="DE93" s="1"/>
        <tr r="DE93" s="1"/>
      </tp>
      <tp t="e">
        <v>#N/A</v>
        <stp/>
        <stp>BID</stp>
        <stp>.SPXW250502P5790</stp>
        <tr r="DF93" s="1"/>
        <tr r="DF93" s="1"/>
      </tp>
      <tp t="e">
        <v>#N/A</v>
        <stp/>
        <stp>BID</stp>
        <stp>.SPXW250502C5720</stp>
        <tr r="DE100" s="1"/>
        <tr r="DE100" s="1"/>
      </tp>
      <tp t="e">
        <v>#N/A</v>
        <stp/>
        <stp>BID</stp>
        <stp>.SPXW250502P5720</stp>
        <tr r="DF100" s="1"/>
        <tr r="DF100" s="1"/>
      </tp>
      <tp t="e">
        <v>#N/A</v>
        <stp/>
        <stp>BID</stp>
        <stp>.SPXW250502C5730</stp>
        <tr r="DE99" s="1"/>
        <tr r="DE99" s="1"/>
      </tp>
      <tp t="e">
        <v>#N/A</v>
        <stp/>
        <stp>BID</stp>
        <stp>.SPXW250502P5730</stp>
        <tr r="DF99" s="1"/>
        <tr r="DF99" s="1"/>
      </tp>
      <tp t="e">
        <v>#N/A</v>
        <stp/>
        <stp>BID</stp>
        <stp>.SPXW250502C5700</stp>
        <tr r="DE102" s="1"/>
        <tr r="DE102" s="1"/>
      </tp>
      <tp t="e">
        <v>#N/A</v>
        <stp/>
        <stp>BID</stp>
        <stp>.SPXW250502P5700</stp>
        <tr r="DF102" s="1"/>
        <tr r="DF102" s="1"/>
      </tp>
      <tp t="e">
        <v>#N/A</v>
        <stp/>
        <stp>BID</stp>
        <stp>.SPXW250502C5710</stp>
        <tr r="DE101" s="1"/>
        <tr r="DE101" s="1"/>
      </tp>
      <tp t="e">
        <v>#N/A</v>
        <stp/>
        <stp>BID</stp>
        <stp>.SPXW250502P5710</stp>
        <tr r="DF101" s="1"/>
        <tr r="DF101" s="1"/>
      </tp>
      <tp t="e">
        <v>#N/A</v>
        <stp/>
        <stp>BID</stp>
        <stp>.SPXW250502C5760</stp>
        <tr r="DE96" s="1"/>
        <tr r="DE96" s="1"/>
      </tp>
      <tp t="e">
        <v>#N/A</v>
        <stp/>
        <stp>BID</stp>
        <stp>.SPXW250502P5760</stp>
        <tr r="DF96" s="1"/>
        <tr r="DF96" s="1"/>
      </tp>
      <tp t="e">
        <v>#N/A</v>
        <stp/>
        <stp>BID</stp>
        <stp>.SPXW250502C5770</stp>
        <tr r="DE95" s="1"/>
        <tr r="DE95" s="1"/>
      </tp>
      <tp t="e">
        <v>#N/A</v>
        <stp/>
        <stp>BID</stp>
        <stp>.SPXW250502P5770</stp>
        <tr r="DF95" s="1"/>
        <tr r="DF95" s="1"/>
      </tp>
      <tp t="e">
        <v>#N/A</v>
        <stp/>
        <stp>BID</stp>
        <stp>.SPXW250502C5740</stp>
        <tr r="DE98" s="1"/>
        <tr r="DE98" s="1"/>
      </tp>
      <tp t="e">
        <v>#N/A</v>
        <stp/>
        <stp>BID</stp>
        <stp>.SPXW250502P5740</stp>
        <tr r="DF98" s="1"/>
        <tr r="DF98" s="1"/>
      </tp>
      <tp t="e">
        <v>#N/A</v>
        <stp/>
        <stp>BID</stp>
        <stp>.SPXW250502C5750</stp>
        <tr r="DE97" s="1"/>
        <tr r="DE97" s="1"/>
      </tp>
      <tp t="e">
        <v>#N/A</v>
        <stp/>
        <stp>BID</stp>
        <stp>.SPXW250502P5750</stp>
        <tr r="DF97" s="1"/>
        <tr r="DF97" s="1"/>
      </tp>
      <tp t="e">
        <v>#N/A</v>
        <stp/>
        <stp>VOLUME</stp>
        <stp>.QQQ250606P492</stp>
        <tr r="J56" s="2"/>
      </tp>
      <tp t="e">
        <v>#N/A</v>
        <stp/>
        <stp>VOLUME</stp>
        <stp>.QQQ250606C492</stp>
        <tr r="J56" s="2"/>
      </tp>
      <tp t="e">
        <v>#N/A</v>
        <stp/>
        <stp>VOLUME</stp>
        <stp>.QQQ250606P493</stp>
        <tr r="J55" s="2"/>
      </tp>
      <tp t="e">
        <v>#N/A</v>
        <stp/>
        <stp>VOLUME</stp>
        <stp>.QQQ250606C493</stp>
        <tr r="J55" s="2"/>
      </tp>
      <tp t="e">
        <v>#N/A</v>
        <stp/>
        <stp>VOLUME</stp>
        <stp>.QQQ250606P490</stp>
        <tr r="J58" s="2"/>
      </tp>
      <tp t="e">
        <v>#N/A</v>
        <stp/>
        <stp>VOLUME</stp>
        <stp>.QQQ250606C490</stp>
        <tr r="J58" s="2"/>
      </tp>
      <tp t="e">
        <v>#N/A</v>
        <stp/>
        <stp>VOLUME</stp>
        <stp>.QQQ250606P491</stp>
        <tr r="J57" s="2"/>
      </tp>
      <tp t="e">
        <v>#N/A</v>
        <stp/>
        <stp>VOLUME</stp>
        <stp>.QQQ250606C491</stp>
        <tr r="J57" s="2"/>
      </tp>
      <tp t="e">
        <v>#N/A</v>
        <stp/>
        <stp>VOLUME</stp>
        <stp>.QQQ250606P496</stp>
        <tr r="J52" s="2"/>
      </tp>
      <tp t="e">
        <v>#N/A</v>
        <stp/>
        <stp>VOLUME</stp>
        <stp>.QQQ250606C496</stp>
        <tr r="J52" s="2"/>
      </tp>
      <tp t="e">
        <v>#N/A</v>
        <stp/>
        <stp>VOLUME</stp>
        <stp>.QQQ250606P497</stp>
        <tr r="J51" s="2"/>
      </tp>
      <tp t="e">
        <v>#N/A</v>
        <stp/>
        <stp>VOLUME</stp>
        <stp>.QQQ250606C497</stp>
        <tr r="J51" s="2"/>
      </tp>
      <tp t="e">
        <v>#N/A</v>
        <stp/>
        <stp>VOLUME</stp>
        <stp>.QQQ250606P494</stp>
        <tr r="J54" s="2"/>
      </tp>
      <tp t="e">
        <v>#N/A</v>
        <stp/>
        <stp>VOLUME</stp>
        <stp>.QQQ250606C494</stp>
        <tr r="J54" s="2"/>
      </tp>
      <tp t="e">
        <v>#N/A</v>
        <stp/>
        <stp>VOLUME</stp>
        <stp>.QQQ250606P495</stp>
        <tr r="J53" s="2"/>
      </tp>
      <tp t="e">
        <v>#N/A</v>
        <stp/>
        <stp>VOLUME</stp>
        <stp>.QQQ250606C495</stp>
        <tr r="J53" s="2"/>
      </tp>
      <tp t="e">
        <v>#N/A</v>
        <stp/>
        <stp>VOLUME</stp>
        <stp>.QQQ250606P498</stp>
        <tr r="J50" s="2"/>
      </tp>
      <tp t="e">
        <v>#N/A</v>
        <stp/>
        <stp>VOLUME</stp>
        <stp>.QQQ250606C498</stp>
        <tr r="J50" s="2"/>
      </tp>
      <tp t="e">
        <v>#N/A</v>
        <stp/>
        <stp>VOLUME</stp>
        <stp>.QQQ250606P499</stp>
        <tr r="J49" s="2"/>
      </tp>
      <tp t="e">
        <v>#N/A</v>
        <stp/>
        <stp>VOLUME</stp>
        <stp>.QQQ250606C499</stp>
        <tr r="J49" s="2"/>
      </tp>
      <tp t="e">
        <v>#N/A</v>
        <stp/>
        <stp>VOLUME</stp>
        <stp>.QQQ250606P482</stp>
        <tr r="J66" s="2"/>
      </tp>
      <tp t="e">
        <v>#N/A</v>
        <stp/>
        <stp>VOLUME</stp>
        <stp>.QQQ250606C482</stp>
        <tr r="J66" s="2"/>
      </tp>
      <tp t="e">
        <v>#N/A</v>
        <stp/>
        <stp>VOLUME</stp>
        <stp>.QQQ250606P483</stp>
        <tr r="J65" s="2"/>
      </tp>
      <tp t="e">
        <v>#N/A</v>
        <stp/>
        <stp>VOLUME</stp>
        <stp>.QQQ250606C483</stp>
        <tr r="J65" s="2"/>
      </tp>
      <tp t="e">
        <v>#N/A</v>
        <stp/>
        <stp>VOLUME</stp>
        <stp>.QQQ250606P480</stp>
        <tr r="J68" s="2"/>
      </tp>
      <tp t="e">
        <v>#N/A</v>
        <stp/>
        <stp>VOLUME</stp>
        <stp>.QQQ250606C480</stp>
        <tr r="J68" s="2"/>
      </tp>
      <tp t="e">
        <v>#N/A</v>
        <stp/>
        <stp>VOLUME</stp>
        <stp>.QQQ250606P481</stp>
        <tr r="J67" s="2"/>
      </tp>
      <tp t="e">
        <v>#N/A</v>
        <stp/>
        <stp>VOLUME</stp>
        <stp>.QQQ250606C481</stp>
        <tr r="J67" s="2"/>
      </tp>
      <tp t="e">
        <v>#N/A</v>
        <stp/>
        <stp>VOLUME</stp>
        <stp>.QQQ250606P486</stp>
        <tr r="J62" s="2"/>
      </tp>
      <tp t="e">
        <v>#N/A</v>
        <stp/>
        <stp>VOLUME</stp>
        <stp>.QQQ250606C486</stp>
        <tr r="J62" s="2"/>
      </tp>
      <tp t="e">
        <v>#N/A</v>
        <stp/>
        <stp>VOLUME</stp>
        <stp>.QQQ250606P487</stp>
        <tr r="J61" s="2"/>
      </tp>
      <tp t="e">
        <v>#N/A</v>
        <stp/>
        <stp>VOLUME</stp>
        <stp>.QQQ250606C487</stp>
        <tr r="J61" s="2"/>
      </tp>
      <tp t="e">
        <v>#N/A</v>
        <stp/>
        <stp>VOLUME</stp>
        <stp>.QQQ250606P484</stp>
        <tr r="J64" s="2"/>
      </tp>
      <tp t="e">
        <v>#N/A</v>
        <stp/>
        <stp>VOLUME</stp>
        <stp>.QQQ250606C484</stp>
        <tr r="J64" s="2"/>
      </tp>
      <tp t="e">
        <v>#N/A</v>
        <stp/>
        <stp>VOLUME</stp>
        <stp>.QQQ250606P485</stp>
        <tr r="J63" s="2"/>
      </tp>
      <tp t="e">
        <v>#N/A</v>
        <stp/>
        <stp>VOLUME</stp>
        <stp>.QQQ250606C485</stp>
        <tr r="J63" s="2"/>
      </tp>
      <tp t="e">
        <v>#N/A</v>
        <stp/>
        <stp>VOLUME</stp>
        <stp>.QQQ250606P488</stp>
        <tr r="J60" s="2"/>
      </tp>
      <tp t="e">
        <v>#N/A</v>
        <stp/>
        <stp>VOLUME</stp>
        <stp>.QQQ250606C488</stp>
        <tr r="J60" s="2"/>
      </tp>
      <tp t="e">
        <v>#N/A</v>
        <stp/>
        <stp>VOLUME</stp>
        <stp>.QQQ250606P489</stp>
        <tr r="J59" s="2"/>
      </tp>
      <tp t="e">
        <v>#N/A</v>
        <stp/>
        <stp>VOLUME</stp>
        <stp>.QQQ250606C489</stp>
        <tr r="J59" s="2"/>
      </tp>
      <tp t="e">
        <v>#N/A</v>
        <stp/>
        <stp>VOLUME</stp>
        <stp>.QQQ250620P494</stp>
        <tr r="K54" s="2"/>
      </tp>
      <tp t="e">
        <v>#N/A</v>
        <stp/>
        <stp>VOLUME</stp>
        <stp>.QQQ250630P484</stp>
        <tr r="L64" s="2"/>
      </tp>
      <tp t="e">
        <v>#N/A</v>
        <stp/>
        <stp>VOLUME</stp>
        <stp>.QQQ250620C494</stp>
        <tr r="K54" s="2"/>
      </tp>
      <tp t="e">
        <v>#N/A</v>
        <stp/>
        <stp>VOLUME</stp>
        <stp>.QQQ250630C484</stp>
        <tr r="L64" s="2"/>
      </tp>
      <tp t="e">
        <v>#N/A</v>
        <stp/>
        <stp>VOLUME</stp>
        <stp>.QQQ250620P495</stp>
        <tr r="K53" s="2"/>
      </tp>
      <tp t="e">
        <v>#N/A</v>
        <stp/>
        <stp>VOLUME</stp>
        <stp>.QQQ250630P485</stp>
        <tr r="L63" s="2"/>
      </tp>
      <tp t="e">
        <v>#N/A</v>
        <stp/>
        <stp>VOLUME</stp>
        <stp>.QQQ250620C495</stp>
        <tr r="K53" s="2"/>
      </tp>
      <tp t="e">
        <v>#N/A</v>
        <stp/>
        <stp>VOLUME</stp>
        <stp>.QQQ250630C485</stp>
        <tr r="L63" s="2"/>
      </tp>
      <tp t="e">
        <v>#N/A</v>
        <stp/>
        <stp>VOLUME</stp>
        <stp>.QQQ250620P496</stp>
        <tr r="K52" s="2"/>
      </tp>
      <tp t="e">
        <v>#N/A</v>
        <stp/>
        <stp>VOLUME</stp>
        <stp>.QQQ250630P486</stp>
        <tr r="L62" s="2"/>
      </tp>
      <tp t="e">
        <v>#N/A</v>
        <stp/>
        <stp>VOLUME</stp>
        <stp>.QQQ250620C496</stp>
        <tr r="K52" s="2"/>
      </tp>
      <tp t="e">
        <v>#N/A</v>
        <stp/>
        <stp>VOLUME</stp>
        <stp>.QQQ250630C486</stp>
        <tr r="L62" s="2"/>
      </tp>
      <tp t="e">
        <v>#N/A</v>
        <stp/>
        <stp>VOLUME</stp>
        <stp>.QQQ250620P497</stp>
        <tr r="K51" s="2"/>
      </tp>
      <tp t="e">
        <v>#N/A</v>
        <stp/>
        <stp>VOLUME</stp>
        <stp>.QQQ250630P487</stp>
        <tr r="L61" s="2"/>
      </tp>
      <tp t="e">
        <v>#N/A</v>
        <stp/>
        <stp>VOLUME</stp>
        <stp>.QQQ250620C497</stp>
        <tr r="K51" s="2"/>
      </tp>
      <tp t="e">
        <v>#N/A</v>
        <stp/>
        <stp>VOLUME</stp>
        <stp>.QQQ250630C487</stp>
        <tr r="L61" s="2"/>
      </tp>
      <tp t="e">
        <v>#N/A</v>
        <stp/>
        <stp>VOLUME</stp>
        <stp>.QQQ250620P490</stp>
        <tr r="K58" s="2"/>
      </tp>
      <tp t="e">
        <v>#N/A</v>
        <stp/>
        <stp>VOLUME</stp>
        <stp>.QQQ250630P480</stp>
        <tr r="L68" s="2"/>
      </tp>
      <tp t="e">
        <v>#N/A</v>
        <stp/>
        <stp>VOLUME</stp>
        <stp>.QQQ250620C490</stp>
        <tr r="K58" s="2"/>
      </tp>
      <tp t="e">
        <v>#N/A</v>
        <stp/>
        <stp>VOLUME</stp>
        <stp>.QQQ250630C480</stp>
        <tr r="L68" s="2"/>
      </tp>
      <tp t="e">
        <v>#N/A</v>
        <stp/>
        <stp>VOLUME</stp>
        <stp>.QQQ250620P491</stp>
        <tr r="K57" s="2"/>
      </tp>
      <tp t="e">
        <v>#N/A</v>
        <stp/>
        <stp>VOLUME</stp>
        <stp>.QQQ250630P481</stp>
        <tr r="L67" s="2"/>
      </tp>
      <tp t="e">
        <v>#N/A</v>
        <stp/>
        <stp>VOLUME</stp>
        <stp>.QQQ250620C491</stp>
        <tr r="K57" s="2"/>
      </tp>
      <tp t="e">
        <v>#N/A</v>
        <stp/>
        <stp>VOLUME</stp>
        <stp>.QQQ250630C481</stp>
        <tr r="L67" s="2"/>
      </tp>
      <tp t="e">
        <v>#N/A</v>
        <stp/>
        <stp>VOLUME</stp>
        <stp>.QQQ250620P492</stp>
        <tr r="K56" s="2"/>
      </tp>
      <tp t="e">
        <v>#N/A</v>
        <stp/>
        <stp>VOLUME</stp>
        <stp>.QQQ250630P482</stp>
        <tr r="L66" s="2"/>
      </tp>
      <tp t="e">
        <v>#N/A</v>
        <stp/>
        <stp>VOLUME</stp>
        <stp>.QQQ250620C492</stp>
        <tr r="K56" s="2"/>
      </tp>
      <tp t="e">
        <v>#N/A</v>
        <stp/>
        <stp>VOLUME</stp>
        <stp>.QQQ250630C482</stp>
        <tr r="L66" s="2"/>
      </tp>
      <tp t="e">
        <v>#N/A</v>
        <stp/>
        <stp>VOLUME</stp>
        <stp>.QQQ250620P493</stp>
        <tr r="K55" s="2"/>
      </tp>
      <tp t="e">
        <v>#N/A</v>
        <stp/>
        <stp>VOLUME</stp>
        <stp>.QQQ250630P483</stp>
        <tr r="L65" s="2"/>
      </tp>
      <tp t="e">
        <v>#N/A</v>
        <stp/>
        <stp>VOLUME</stp>
        <stp>.QQQ250620C493</stp>
        <tr r="K55" s="2"/>
      </tp>
      <tp t="e">
        <v>#N/A</v>
        <stp/>
        <stp>VOLUME</stp>
        <stp>.QQQ250630C483</stp>
        <tr r="L65" s="2"/>
      </tp>
      <tp t="e">
        <v>#N/A</v>
        <stp/>
        <stp>VOLUME</stp>
        <stp>.QQQ250620P498</stp>
        <tr r="K50" s="2"/>
      </tp>
      <tp t="e">
        <v>#N/A</v>
        <stp/>
        <stp>VOLUME</stp>
        <stp>.QQQ250630P488</stp>
        <tr r="L60" s="2"/>
      </tp>
      <tp t="e">
        <v>#N/A</v>
        <stp/>
        <stp>VOLUME</stp>
        <stp>.QQQ250620C498</stp>
        <tr r="K50" s="2"/>
      </tp>
      <tp t="e">
        <v>#N/A</v>
        <stp/>
        <stp>VOLUME</stp>
        <stp>.QQQ250630C488</stp>
        <tr r="L60" s="2"/>
      </tp>
      <tp t="e">
        <v>#N/A</v>
        <stp/>
        <stp>VOLUME</stp>
        <stp>.QQQ250620P499</stp>
        <tr r="K49" s="2"/>
      </tp>
      <tp t="e">
        <v>#N/A</v>
        <stp/>
        <stp>VOLUME</stp>
        <stp>.QQQ250630P489</stp>
        <tr r="L59" s="2"/>
      </tp>
      <tp t="e">
        <v>#N/A</v>
        <stp/>
        <stp>VOLUME</stp>
        <stp>.QQQ250620C499</stp>
        <tr r="K49" s="2"/>
      </tp>
      <tp t="e">
        <v>#N/A</v>
        <stp/>
        <stp>VOLUME</stp>
        <stp>.QQQ250630C489</stp>
        <tr r="L59" s="2"/>
      </tp>
      <tp t="e">
        <v>#N/A</v>
        <stp/>
        <stp>VOLUME</stp>
        <stp>.QQQ250620P484</stp>
        <tr r="K64" s="2"/>
      </tp>
      <tp t="e">
        <v>#N/A</v>
        <stp/>
        <stp>VOLUME</stp>
        <stp>.QQQ250630P494</stp>
        <tr r="L54" s="2"/>
      </tp>
      <tp t="e">
        <v>#N/A</v>
        <stp/>
        <stp>VOLUME</stp>
        <stp>.QQQ250620C484</stp>
        <tr r="K64" s="2"/>
      </tp>
      <tp t="e">
        <v>#N/A</v>
        <stp/>
        <stp>VOLUME</stp>
        <stp>.QQQ250630C494</stp>
        <tr r="L54" s="2"/>
      </tp>
      <tp t="e">
        <v>#N/A</v>
        <stp/>
        <stp>VOLUME</stp>
        <stp>.QQQ250620P485</stp>
        <tr r="K63" s="2"/>
      </tp>
      <tp t="e">
        <v>#N/A</v>
        <stp/>
        <stp>VOLUME</stp>
        <stp>.QQQ250630P495</stp>
        <tr r="L53" s="2"/>
      </tp>
      <tp t="e">
        <v>#N/A</v>
        <stp/>
        <stp>VOLUME</stp>
        <stp>.QQQ250620C485</stp>
        <tr r="K63" s="2"/>
      </tp>
      <tp t="e">
        <v>#N/A</v>
        <stp/>
        <stp>VOLUME</stp>
        <stp>.QQQ250630C495</stp>
        <tr r="L53" s="2"/>
      </tp>
      <tp t="e">
        <v>#N/A</v>
        <stp/>
        <stp>VOLUME</stp>
        <stp>.QQQ250620P486</stp>
        <tr r="K62" s="2"/>
      </tp>
      <tp t="e">
        <v>#N/A</v>
        <stp/>
        <stp>VOLUME</stp>
        <stp>.QQQ250630P496</stp>
        <tr r="L52" s="2"/>
      </tp>
      <tp t="e">
        <v>#N/A</v>
        <stp/>
        <stp>VOLUME</stp>
        <stp>.QQQ250620C486</stp>
        <tr r="K62" s="2"/>
      </tp>
      <tp t="e">
        <v>#N/A</v>
        <stp/>
        <stp>VOLUME</stp>
        <stp>.QQQ250630C496</stp>
        <tr r="L52" s="2"/>
      </tp>
      <tp t="e">
        <v>#N/A</v>
        <stp/>
        <stp>VOLUME</stp>
        <stp>.QQQ250620P487</stp>
        <tr r="K61" s="2"/>
      </tp>
      <tp t="e">
        <v>#N/A</v>
        <stp/>
        <stp>VOLUME</stp>
        <stp>.QQQ250630P497</stp>
        <tr r="L51" s="2"/>
      </tp>
      <tp t="e">
        <v>#N/A</v>
        <stp/>
        <stp>VOLUME</stp>
        <stp>.QQQ250620C487</stp>
        <tr r="K61" s="2"/>
      </tp>
      <tp t="e">
        <v>#N/A</v>
        <stp/>
        <stp>VOLUME</stp>
        <stp>.QQQ250630C497</stp>
        <tr r="L51" s="2"/>
      </tp>
      <tp t="e">
        <v>#N/A</v>
        <stp/>
        <stp>VOLUME</stp>
        <stp>.QQQ250620P480</stp>
        <tr r="K68" s="2"/>
      </tp>
      <tp t="e">
        <v>#N/A</v>
        <stp/>
        <stp>VOLUME</stp>
        <stp>.QQQ250630P490</stp>
        <tr r="L58" s="2"/>
      </tp>
      <tp t="e">
        <v>#N/A</v>
        <stp/>
        <stp>VOLUME</stp>
        <stp>.QQQ250620C480</stp>
        <tr r="K68" s="2"/>
      </tp>
      <tp t="e">
        <v>#N/A</v>
        <stp/>
        <stp>VOLUME</stp>
        <stp>.QQQ250630C490</stp>
        <tr r="L58" s="2"/>
      </tp>
      <tp t="e">
        <v>#N/A</v>
        <stp/>
        <stp>VOLUME</stp>
        <stp>.QQQ250620P481</stp>
        <tr r="K67" s="2"/>
      </tp>
      <tp t="e">
        <v>#N/A</v>
        <stp/>
        <stp>VOLUME</stp>
        <stp>.QQQ250630P491</stp>
        <tr r="L57" s="2"/>
      </tp>
      <tp t="e">
        <v>#N/A</v>
        <stp/>
        <stp>VOLUME</stp>
        <stp>.QQQ250620C481</stp>
        <tr r="K67" s="2"/>
      </tp>
      <tp t="e">
        <v>#N/A</v>
        <stp/>
        <stp>VOLUME</stp>
        <stp>.QQQ250630C491</stp>
        <tr r="L57" s="2"/>
      </tp>
      <tp t="e">
        <v>#N/A</v>
        <stp/>
        <stp>VOLUME</stp>
        <stp>.QQQ250620P482</stp>
        <tr r="K66" s="2"/>
      </tp>
      <tp t="e">
        <v>#N/A</v>
        <stp/>
        <stp>VOLUME</stp>
        <stp>.QQQ250630P492</stp>
        <tr r="L56" s="2"/>
      </tp>
      <tp t="e">
        <v>#N/A</v>
        <stp/>
        <stp>VOLUME</stp>
        <stp>.QQQ250620C482</stp>
        <tr r="K66" s="2"/>
      </tp>
      <tp t="e">
        <v>#N/A</v>
        <stp/>
        <stp>VOLUME</stp>
        <stp>.QQQ250630C492</stp>
        <tr r="L56" s="2"/>
      </tp>
      <tp t="e">
        <v>#N/A</v>
        <stp/>
        <stp>VOLUME</stp>
        <stp>.QQQ250620P483</stp>
        <tr r="K65" s="2"/>
      </tp>
      <tp t="e">
        <v>#N/A</v>
        <stp/>
        <stp>VOLUME</stp>
        <stp>.QQQ250630P493</stp>
        <tr r="L55" s="2"/>
      </tp>
      <tp t="e">
        <v>#N/A</v>
        <stp/>
        <stp>VOLUME</stp>
        <stp>.QQQ250620C483</stp>
        <tr r="K65" s="2"/>
      </tp>
      <tp t="e">
        <v>#N/A</v>
        <stp/>
        <stp>VOLUME</stp>
        <stp>.QQQ250630C493</stp>
        <tr r="L55" s="2"/>
      </tp>
      <tp t="e">
        <v>#N/A</v>
        <stp/>
        <stp>VOLUME</stp>
        <stp>.QQQ250620P488</stp>
        <tr r="K60" s="2"/>
      </tp>
      <tp t="e">
        <v>#N/A</v>
        <stp/>
        <stp>VOLUME</stp>
        <stp>.QQQ250630P498</stp>
        <tr r="L50" s="2"/>
      </tp>
      <tp t="e">
        <v>#N/A</v>
        <stp/>
        <stp>VOLUME</stp>
        <stp>.QQQ250620C488</stp>
        <tr r="K60" s="2"/>
      </tp>
      <tp t="e">
        <v>#N/A</v>
        <stp/>
        <stp>VOLUME</stp>
        <stp>.QQQ250630C498</stp>
        <tr r="L50" s="2"/>
      </tp>
      <tp t="e">
        <v>#N/A</v>
        <stp/>
        <stp>VOLUME</stp>
        <stp>.QQQ250620P489</stp>
        <tr r="K59" s="2"/>
      </tp>
      <tp t="e">
        <v>#N/A</v>
        <stp/>
        <stp>VOLUME</stp>
        <stp>.QQQ250630P499</stp>
        <tr r="L49" s="2"/>
      </tp>
      <tp t="e">
        <v>#N/A</v>
        <stp/>
        <stp>VOLUME</stp>
        <stp>.QQQ250620C489</stp>
        <tr r="K59" s="2"/>
      </tp>
      <tp t="e">
        <v>#N/A</v>
        <stp/>
        <stp>VOLUME</stp>
        <stp>.QQQ250630C499</stp>
        <tr r="L49" s="2"/>
      </tp>
      <tp t="e">
        <v>#N/A</v>
        <stp/>
        <stp>VOLUME</stp>
        <stp>.QQQ250718P500</stp>
        <tr r="M48" s="2"/>
      </tp>
      <tp t="e">
        <v>#N/A</v>
        <stp/>
        <stp>VOLUME</stp>
        <stp>.QQQ250718C500</stp>
        <tr r="M48" s="2"/>
      </tp>
      <tp t="e">
        <v>#N/A</v>
        <stp/>
        <stp>VOLUME</stp>
        <stp>.QQQ250718P501</stp>
        <tr r="M47" s="2"/>
      </tp>
      <tp t="e">
        <v>#N/A</v>
        <stp/>
        <stp>VOLUME</stp>
        <stp>.QQQ250718C501</stp>
        <tr r="M47" s="2"/>
      </tp>
      <tp t="e">
        <v>#N/A</v>
        <stp/>
        <stp>VOLUME</stp>
        <stp>.QQQ250718P502</stp>
        <tr r="M46" s="2"/>
      </tp>
      <tp t="e">
        <v>#N/A</v>
        <stp/>
        <stp>VOLUME</stp>
        <stp>.QQQ250718C502</stp>
        <tr r="M46" s="2"/>
      </tp>
      <tp t="e">
        <v>#N/A</v>
        <stp/>
        <stp>VOLUME</stp>
        <stp>.QQQ250731P501</stp>
        <tr r="N47" s="2"/>
      </tp>
      <tp t="e">
        <v>#N/A</v>
        <stp/>
        <stp>VOLUME</stp>
        <stp>.QQQ250731C501</stp>
        <tr r="N47" s="2"/>
      </tp>
      <tp t="e">
        <v>#N/A</v>
        <stp/>
        <stp>VOLUME</stp>
        <stp>.QQQ250731P500</stp>
        <tr r="N48" s="2"/>
      </tp>
      <tp t="e">
        <v>#N/A</v>
        <stp/>
        <stp>VOLUME</stp>
        <stp>.QQQ250731C500</stp>
        <tr r="N48" s="2"/>
      </tp>
      <tp t="e">
        <v>#N/A</v>
        <stp/>
        <stp>VOLUME</stp>
        <stp>.QQQ250731P502</stp>
        <tr r="N46" s="2"/>
      </tp>
      <tp t="e">
        <v>#N/A</v>
        <stp/>
        <stp>VOLUME</stp>
        <stp>.QQQ250731C502</stp>
        <tr r="N46" s="2"/>
      </tp>
      <tp t="e">
        <v>#N/A</v>
        <stp/>
        <stp>VOLUME</stp>
        <stp>.QQQ250620P474</stp>
        <tr r="K74" s="2"/>
      </tp>
      <tp t="e">
        <v>#N/A</v>
        <stp/>
        <stp>VOLUME</stp>
        <stp>.QQQ250620C474</stp>
        <tr r="K74" s="2"/>
      </tp>
      <tp t="e">
        <v>#N/A</v>
        <stp/>
        <stp>VOLUME</stp>
        <stp>.QQQ250620P475</stp>
        <tr r="K73" s="2"/>
      </tp>
      <tp t="e">
        <v>#N/A</v>
        <stp/>
        <stp>VOLUME</stp>
        <stp>.QQQ250620C475</stp>
        <tr r="K73" s="2"/>
      </tp>
      <tp t="e">
        <v>#N/A</v>
        <stp/>
        <stp>VOLUME</stp>
        <stp>.QQQ250620P476</stp>
        <tr r="K72" s="2"/>
      </tp>
      <tp t="e">
        <v>#N/A</v>
        <stp/>
        <stp>VOLUME</stp>
        <stp>.QQQ250620C476</stp>
        <tr r="K72" s="2"/>
      </tp>
      <tp t="e">
        <v>#N/A</v>
        <stp/>
        <stp>VOLUME</stp>
        <stp>.QQQ250620P477</stp>
        <tr r="K71" s="2"/>
      </tp>
      <tp t="e">
        <v>#N/A</v>
        <stp/>
        <stp>VOLUME</stp>
        <stp>.QQQ250620C477</stp>
        <tr r="K71" s="2"/>
      </tp>
      <tp t="e">
        <v>#N/A</v>
        <stp/>
        <stp>VOLUME</stp>
        <stp>.QQQ250620P470</stp>
        <tr r="K78" s="2"/>
      </tp>
      <tp t="e">
        <v>#N/A</v>
        <stp/>
        <stp>VOLUME</stp>
        <stp>.QQQ250620C470</stp>
        <tr r="K78" s="2"/>
      </tp>
      <tp t="e">
        <v>#N/A</v>
        <stp/>
        <stp>VOLUME</stp>
        <stp>.QQQ250620P471</stp>
        <tr r="K77" s="2"/>
      </tp>
      <tp t="e">
        <v>#N/A</v>
        <stp/>
        <stp>VOLUME</stp>
        <stp>.QQQ250620C471</stp>
        <tr r="K77" s="2"/>
      </tp>
      <tp t="e">
        <v>#N/A</v>
        <stp/>
        <stp>VOLUME</stp>
        <stp>.QQQ250620P472</stp>
        <tr r="K76" s="2"/>
      </tp>
      <tp t="e">
        <v>#N/A</v>
        <stp/>
        <stp>VOLUME</stp>
        <stp>.QQQ250620C472</stp>
        <tr r="K76" s="2"/>
      </tp>
      <tp t="e">
        <v>#N/A</v>
        <stp/>
        <stp>VOLUME</stp>
        <stp>.QQQ250620P473</stp>
        <tr r="K75" s="2"/>
      </tp>
      <tp t="e">
        <v>#N/A</v>
        <stp/>
        <stp>VOLUME</stp>
        <stp>.QQQ250620C473</stp>
        <tr r="K75" s="2"/>
      </tp>
      <tp t="e">
        <v>#N/A</v>
        <stp/>
        <stp>VOLUME</stp>
        <stp>.QQQ250620P478</stp>
        <tr r="K70" s="2"/>
      </tp>
      <tp t="e">
        <v>#N/A</v>
        <stp/>
        <stp>VOLUME</stp>
        <stp>.QQQ250630P468</stp>
        <tr r="L80" s="2"/>
      </tp>
      <tp t="e">
        <v>#N/A</v>
        <stp/>
        <stp>VOLUME</stp>
        <stp>.QQQ250620C478</stp>
        <tr r="K70" s="2"/>
      </tp>
      <tp t="e">
        <v>#N/A</v>
        <stp/>
        <stp>VOLUME</stp>
        <stp>.QQQ250630C468</stp>
        <tr r="L80" s="2"/>
      </tp>
      <tp t="e">
        <v>#N/A</v>
        <stp/>
        <stp>VOLUME</stp>
        <stp>.QQQ250620P479</stp>
        <tr r="K69" s="2"/>
      </tp>
      <tp t="e">
        <v>#N/A</v>
        <stp/>
        <stp>VOLUME</stp>
        <stp>.QQQ250630P469</stp>
        <tr r="L79" s="2"/>
      </tp>
      <tp t="e">
        <v>#N/A</v>
        <stp/>
        <stp>VOLUME</stp>
        <stp>.QQQ250620C479</stp>
        <tr r="K69" s="2"/>
      </tp>
      <tp t="e">
        <v>#N/A</v>
        <stp/>
        <stp>VOLUME</stp>
        <stp>.QQQ250630C469</stp>
        <tr r="L79" s="2"/>
      </tp>
      <tp t="e">
        <v>#N/A</v>
        <stp/>
        <stp>VOLUME</stp>
        <stp>.QQQ250630P474</stp>
        <tr r="L74" s="2"/>
      </tp>
      <tp t="e">
        <v>#N/A</v>
        <stp/>
        <stp>VOLUME</stp>
        <stp>.QQQ250630C474</stp>
        <tr r="L74" s="2"/>
      </tp>
      <tp t="e">
        <v>#N/A</v>
        <stp/>
        <stp>VOLUME</stp>
        <stp>.QQQ250630P475</stp>
        <tr r="L73" s="2"/>
      </tp>
      <tp t="e">
        <v>#N/A</v>
        <stp/>
        <stp>VOLUME</stp>
        <stp>.QQQ250630C475</stp>
        <tr r="L73" s="2"/>
      </tp>
      <tp t="e">
        <v>#N/A</v>
        <stp/>
        <stp>VOLUME</stp>
        <stp>.QQQ250630P476</stp>
        <tr r="L72" s="2"/>
      </tp>
      <tp t="e">
        <v>#N/A</v>
        <stp/>
        <stp>VOLUME</stp>
        <stp>.QQQ250630C476</stp>
        <tr r="L72" s="2"/>
      </tp>
      <tp t="e">
        <v>#N/A</v>
        <stp/>
        <stp>VOLUME</stp>
        <stp>.QQQ250630P477</stp>
        <tr r="L71" s="2"/>
      </tp>
      <tp t="e">
        <v>#N/A</v>
        <stp/>
        <stp>VOLUME</stp>
        <stp>.QQQ250630C477</stp>
        <tr r="L71" s="2"/>
      </tp>
      <tp t="e">
        <v>#N/A</v>
        <stp/>
        <stp>VOLUME</stp>
        <stp>.QQQ250630P470</stp>
        <tr r="L78" s="2"/>
      </tp>
      <tp t="e">
        <v>#N/A</v>
        <stp/>
        <stp>VOLUME</stp>
        <stp>.QQQ250630C470</stp>
        <tr r="L78" s="2"/>
      </tp>
      <tp t="e">
        <v>#N/A</v>
        <stp/>
        <stp>VOLUME</stp>
        <stp>.QQQ250630P471</stp>
        <tr r="L77" s="2"/>
      </tp>
      <tp t="e">
        <v>#N/A</v>
        <stp/>
        <stp>VOLUME</stp>
        <stp>.QQQ250630C471</stp>
        <tr r="L77" s="2"/>
      </tp>
      <tp t="e">
        <v>#N/A</v>
        <stp/>
        <stp>VOLUME</stp>
        <stp>.QQQ250630P472</stp>
        <tr r="L76" s="2"/>
      </tp>
      <tp t="e">
        <v>#N/A</v>
        <stp/>
        <stp>VOLUME</stp>
        <stp>.QQQ250630C472</stp>
        <tr r="L76" s="2"/>
      </tp>
      <tp t="e">
        <v>#N/A</v>
        <stp/>
        <stp>VOLUME</stp>
        <stp>.QQQ250630P473</stp>
        <tr r="L75" s="2"/>
      </tp>
      <tp t="e">
        <v>#N/A</v>
        <stp/>
        <stp>VOLUME</stp>
        <stp>.QQQ250630C473</stp>
        <tr r="L75" s="2"/>
      </tp>
      <tp t="e">
        <v>#N/A</v>
        <stp/>
        <stp>VOLUME</stp>
        <stp>.QQQ250620P468</stp>
        <tr r="K80" s="2"/>
      </tp>
      <tp t="e">
        <v>#N/A</v>
        <stp/>
        <stp>VOLUME</stp>
        <stp>.QQQ250630P478</stp>
        <tr r="L70" s="2"/>
      </tp>
      <tp t="e">
        <v>#N/A</v>
        <stp/>
        <stp>VOLUME</stp>
        <stp>.QQQ250620C468</stp>
        <tr r="K80" s="2"/>
      </tp>
      <tp t="e">
        <v>#N/A</v>
        <stp/>
        <stp>VOLUME</stp>
        <stp>.QQQ250630C478</stp>
        <tr r="L70" s="2"/>
      </tp>
      <tp t="e">
        <v>#N/A</v>
        <stp/>
        <stp>VOLUME</stp>
        <stp>.QQQ250620P469</stp>
        <tr r="K79" s="2"/>
      </tp>
      <tp t="e">
        <v>#N/A</v>
        <stp/>
        <stp>VOLUME</stp>
        <stp>.QQQ250630P479</stp>
        <tr r="L69" s="2"/>
      </tp>
      <tp t="e">
        <v>#N/A</v>
        <stp/>
        <stp>VOLUME</stp>
        <stp>.QQQ250620C469</stp>
        <tr r="K79" s="2"/>
      </tp>
      <tp t="e">
        <v>#N/A</v>
        <stp/>
        <stp>VOLUME</stp>
        <stp>.QQQ250630C479</stp>
        <tr r="L69" s="2"/>
      </tp>
      <tp t="e">
        <v>#N/A</v>
        <stp/>
        <stp>VOLUME</stp>
        <stp>.QQQ250606P472</stp>
        <tr r="J76" s="2"/>
      </tp>
      <tp t="e">
        <v>#N/A</v>
        <stp/>
        <stp>VOLUME</stp>
        <stp>.QQQ250606C472</stp>
        <tr r="J76" s="2"/>
      </tp>
      <tp t="e">
        <v>#N/A</v>
        <stp/>
        <stp>VOLUME</stp>
        <stp>.QQQ250606P473</stp>
        <tr r="J75" s="2"/>
      </tp>
      <tp t="e">
        <v>#N/A</v>
        <stp/>
        <stp>VOLUME</stp>
        <stp>.QQQ250606C473</stp>
        <tr r="J75" s="2"/>
      </tp>
      <tp t="e">
        <v>#N/A</v>
        <stp/>
        <stp>VOLUME</stp>
        <stp>.QQQ250606P470</stp>
        <tr r="J78" s="2"/>
      </tp>
      <tp t="e">
        <v>#N/A</v>
        <stp/>
        <stp>VOLUME</stp>
        <stp>.QQQ250606C470</stp>
        <tr r="J78" s="2"/>
      </tp>
      <tp t="e">
        <v>#N/A</v>
        <stp/>
        <stp>VOLUME</stp>
        <stp>.QQQ250606P471</stp>
        <tr r="J77" s="2"/>
      </tp>
      <tp t="e">
        <v>#N/A</v>
        <stp/>
        <stp>VOLUME</stp>
        <stp>.QQQ250606C471</stp>
        <tr r="J77" s="2"/>
      </tp>
      <tp t="e">
        <v>#N/A</v>
        <stp/>
        <stp>VOLUME</stp>
        <stp>.QQQ250606P476</stp>
        <tr r="J72" s="2"/>
      </tp>
      <tp t="e">
        <v>#N/A</v>
        <stp/>
        <stp>VOLUME</stp>
        <stp>.QQQ250606C476</stp>
        <tr r="J72" s="2"/>
      </tp>
      <tp t="e">
        <v>#N/A</v>
        <stp/>
        <stp>VOLUME</stp>
        <stp>.QQQ250606P477</stp>
        <tr r="J71" s="2"/>
      </tp>
      <tp t="e">
        <v>#N/A</v>
        <stp/>
        <stp>VOLUME</stp>
        <stp>.QQQ250606C477</stp>
        <tr r="J71" s="2"/>
      </tp>
      <tp t="e">
        <v>#N/A</v>
        <stp/>
        <stp>VOLUME</stp>
        <stp>.QQQ250606P474</stp>
        <tr r="J74" s="2"/>
      </tp>
      <tp t="e">
        <v>#N/A</v>
        <stp/>
        <stp>VOLUME</stp>
        <stp>.QQQ250606C474</stp>
        <tr r="J74" s="2"/>
      </tp>
      <tp t="e">
        <v>#N/A</v>
        <stp/>
        <stp>VOLUME</stp>
        <stp>.QQQ250606P475</stp>
        <tr r="J73" s="2"/>
      </tp>
      <tp t="e">
        <v>#N/A</v>
        <stp/>
        <stp>VOLUME</stp>
        <stp>.QQQ250606C475</stp>
        <tr r="J73" s="2"/>
      </tp>
      <tp t="e">
        <v>#N/A</v>
        <stp/>
        <stp>VOLUME</stp>
        <stp>.QQQ250606P478</stp>
        <tr r="J70" s="2"/>
      </tp>
      <tp t="e">
        <v>#N/A</v>
        <stp/>
        <stp>VOLUME</stp>
        <stp>.QQQ250606C478</stp>
        <tr r="J70" s="2"/>
      </tp>
      <tp t="e">
        <v>#N/A</v>
        <stp/>
        <stp>VOLUME</stp>
        <stp>.QQQ250606P479</stp>
        <tr r="J69" s="2"/>
      </tp>
      <tp t="e">
        <v>#N/A</v>
        <stp/>
        <stp>VOLUME</stp>
        <stp>.QQQ250606C479</stp>
        <tr r="J69" s="2"/>
      </tp>
      <tp t="e">
        <v>#N/A</v>
        <stp/>
        <stp>VOLUME</stp>
        <stp>.QQQ250606P468</stp>
        <tr r="J80" s="2"/>
      </tp>
      <tp t="e">
        <v>#N/A</v>
        <stp/>
        <stp>VOLUME</stp>
        <stp>.QQQ250606C468</stp>
        <tr r="J80" s="2"/>
      </tp>
      <tp t="e">
        <v>#N/A</v>
        <stp/>
        <stp>VOLUME</stp>
        <stp>.QQQ250606P469</stp>
        <tr r="J79" s="2"/>
      </tp>
      <tp t="e">
        <v>#N/A</v>
        <stp/>
        <stp>VOLUME</stp>
        <stp>.QQQ250606C469</stp>
        <tr r="J79" s="2"/>
      </tp>
      <tp t="e">
        <v>#N/A</v>
        <stp/>
        <stp>BID</stp>
        <stp>.SPXW250502C5680</stp>
        <tr r="DE104" s="1"/>
        <tr r="DE104" s="1"/>
      </tp>
      <tp t="e">
        <v>#N/A</v>
        <stp/>
        <stp>BID</stp>
        <stp>.SPXW250502P5680</stp>
        <tr r="DF104" s="1"/>
        <tr r="DF104" s="1"/>
      </tp>
      <tp t="e">
        <v>#N/A</v>
        <stp/>
        <stp>BID</stp>
        <stp>.SPXW250502C5690</stp>
        <tr r="DE103" s="1"/>
        <tr r="DE103" s="1"/>
      </tp>
      <tp t="e">
        <v>#N/A</v>
        <stp/>
        <stp>BID</stp>
        <stp>.SPXW250502P5690</stp>
        <tr r="DF103" s="1"/>
        <tr r="DF103" s="1"/>
      </tp>
      <tp t="e">
        <v>#N/A</v>
        <stp/>
        <stp>BID</stp>
        <stp>.SPXW250502C5620</stp>
        <tr r="DE110" s="1"/>
        <tr r="DE110" s="1"/>
      </tp>
      <tp t="e">
        <v>#N/A</v>
        <stp/>
        <stp>BID</stp>
        <stp>.SPXW250502P5620</stp>
        <tr r="DF110" s="1"/>
        <tr r="DF110" s="1"/>
      </tp>
      <tp t="e">
        <v>#N/A</v>
        <stp/>
        <stp>BID</stp>
        <stp>.SPXW250502C5630</stp>
        <tr r="DE109" s="1"/>
        <tr r="DE109" s="1"/>
      </tp>
      <tp t="e">
        <v>#N/A</v>
        <stp/>
        <stp>BID</stp>
        <stp>.SPXW250502P5630</stp>
        <tr r="DF109" s="1"/>
        <tr r="DF109" s="1"/>
      </tp>
      <tp t="e">
        <v>#N/A</v>
        <stp/>
        <stp>BID</stp>
        <stp>.SPXW250502C5600</stp>
        <tr r="DE112" s="1"/>
        <tr r="DE112" s="1"/>
      </tp>
      <tp t="e">
        <v>#N/A</v>
        <stp/>
        <stp>BID</stp>
        <stp>.SPXW250502P5600</stp>
        <tr r="DF112" s="1"/>
        <tr r="DF112" s="1"/>
      </tp>
      <tp t="e">
        <v>#N/A</v>
        <stp/>
        <stp>BID</stp>
        <stp>.SPXW250502C5610</stp>
        <tr r="DE111" s="1"/>
        <tr r="DE111" s="1"/>
      </tp>
      <tp t="e">
        <v>#N/A</v>
        <stp/>
        <stp>BID</stp>
        <stp>.SPXW250502P5610</stp>
        <tr r="DF111" s="1"/>
        <tr r="DF111" s="1"/>
      </tp>
      <tp t="e">
        <v>#N/A</v>
        <stp/>
        <stp>BID</stp>
        <stp>.SPXW250502C5660</stp>
        <tr r="DE106" s="1"/>
        <tr r="DE106" s="1"/>
      </tp>
      <tp t="e">
        <v>#N/A</v>
        <stp/>
        <stp>BID</stp>
        <stp>.SPXW250502P5660</stp>
        <tr r="DF106" s="1"/>
        <tr r="DF106" s="1"/>
      </tp>
      <tp t="e">
        <v>#N/A</v>
        <stp/>
        <stp>BID</stp>
        <stp>.SPXW250502C5670</stp>
        <tr r="DE105" s="1"/>
        <tr r="DE105" s="1"/>
      </tp>
      <tp t="e">
        <v>#N/A</v>
        <stp/>
        <stp>BID</stp>
        <stp>.SPXW250502P5670</stp>
        <tr r="DF105" s="1"/>
        <tr r="DF105" s="1"/>
      </tp>
      <tp t="e">
        <v>#N/A</v>
        <stp/>
        <stp>BID</stp>
        <stp>.SPXW250502C5640</stp>
        <tr r="DE108" s="1"/>
        <tr r="DE108" s="1"/>
      </tp>
      <tp t="e">
        <v>#N/A</v>
        <stp/>
        <stp>BID</stp>
        <stp>.SPXW250502P5640</stp>
        <tr r="DF108" s="1"/>
        <tr r="DF108" s="1"/>
      </tp>
      <tp t="e">
        <v>#N/A</v>
        <stp/>
        <stp>BID</stp>
        <stp>.SPXW250502C5650</stp>
        <tr r="DE107" s="1"/>
        <tr r="DE107" s="1"/>
      </tp>
      <tp t="e">
        <v>#N/A</v>
        <stp/>
        <stp>BID</stp>
        <stp>.SPXW250502P5650</stp>
        <tr r="DF107" s="1"/>
        <tr r="DF107" s="1"/>
      </tp>
      <tp t="e">
        <v>#N/A</v>
        <stp/>
        <stp>VOLUME</stp>
        <stp>.QQQ250718P488</stp>
        <tr r="M60" s="2"/>
      </tp>
      <tp t="e">
        <v>#N/A</v>
        <stp/>
        <stp>VOLUME</stp>
        <stp>.QQQ250718C488</stp>
        <tr r="M60" s="2"/>
      </tp>
      <tp t="e">
        <v>#N/A</v>
        <stp/>
        <stp>VOLUME</stp>
        <stp>.QQQ250718P489</stp>
        <tr r="M59" s="2"/>
      </tp>
      <tp t="e">
        <v>#N/A</v>
        <stp/>
        <stp>VOLUME</stp>
        <stp>.QQQ250718C489</stp>
        <tr r="M59" s="2"/>
      </tp>
      <tp t="e">
        <v>#N/A</v>
        <stp/>
        <stp>VOLUME</stp>
        <stp>.QQQ250718P484</stp>
        <tr r="M64" s="2"/>
      </tp>
      <tp t="e">
        <v>#N/A</v>
        <stp/>
        <stp>VOLUME</stp>
        <stp>.QQQ250718C484</stp>
        <tr r="M64" s="2"/>
      </tp>
      <tp t="e">
        <v>#N/A</v>
        <stp/>
        <stp>VOLUME</stp>
        <stp>.QQQ250718P485</stp>
        <tr r="M63" s="2"/>
      </tp>
      <tp t="e">
        <v>#N/A</v>
        <stp/>
        <stp>VOLUME</stp>
        <stp>.QQQ250718C485</stp>
        <tr r="M63" s="2"/>
      </tp>
      <tp t="e">
        <v>#N/A</v>
        <stp/>
        <stp>VOLUME</stp>
        <stp>.QQQ250718P486</stp>
        <tr r="M62" s="2"/>
      </tp>
      <tp t="e">
        <v>#N/A</v>
        <stp/>
        <stp>VOLUME</stp>
        <stp>.QQQ250718C486</stp>
        <tr r="M62" s="2"/>
      </tp>
      <tp t="e">
        <v>#N/A</v>
        <stp/>
        <stp>VOLUME</stp>
        <stp>.QQQ250718P487</stp>
        <tr r="M61" s="2"/>
      </tp>
      <tp t="e">
        <v>#N/A</v>
        <stp/>
        <stp>VOLUME</stp>
        <stp>.QQQ250718C487</stp>
        <tr r="M61" s="2"/>
      </tp>
      <tp t="e">
        <v>#N/A</v>
        <stp/>
        <stp>VOLUME</stp>
        <stp>.QQQ250718P480</stp>
        <tr r="M68" s="2"/>
      </tp>
      <tp t="e">
        <v>#N/A</v>
        <stp/>
        <stp>VOLUME</stp>
        <stp>.QQQ250718C480</stp>
        <tr r="M68" s="2"/>
      </tp>
      <tp t="e">
        <v>#N/A</v>
        <stp/>
        <stp>VOLUME</stp>
        <stp>.QQQ250718P481</stp>
        <tr r="M67" s="2"/>
      </tp>
      <tp t="e">
        <v>#N/A</v>
        <stp/>
        <stp>VOLUME</stp>
        <stp>.QQQ250718C481</stp>
        <tr r="M67" s="2"/>
      </tp>
      <tp t="e">
        <v>#N/A</v>
        <stp/>
        <stp>VOLUME</stp>
        <stp>.QQQ250718P482</stp>
        <tr r="M66" s="2"/>
      </tp>
      <tp t="e">
        <v>#N/A</v>
        <stp/>
        <stp>VOLUME</stp>
        <stp>.QQQ250718C482</stp>
        <tr r="M66" s="2"/>
      </tp>
      <tp t="e">
        <v>#N/A</v>
        <stp/>
        <stp>VOLUME</stp>
        <stp>.QQQ250718P483</stp>
        <tr r="M65" s="2"/>
      </tp>
      <tp t="e">
        <v>#N/A</v>
        <stp/>
        <stp>VOLUME</stp>
        <stp>.QQQ250718C483</stp>
        <tr r="M65" s="2"/>
      </tp>
      <tp t="e">
        <v>#N/A</v>
        <stp/>
        <stp>VOLUME</stp>
        <stp>.QQQ250718P498</stp>
        <tr r="M50" s="2"/>
      </tp>
      <tp t="e">
        <v>#N/A</v>
        <stp/>
        <stp>VOLUME</stp>
        <stp>.QQQ250718C498</stp>
        <tr r="M50" s="2"/>
      </tp>
      <tp t="e">
        <v>#N/A</v>
        <stp/>
        <stp>VOLUME</stp>
        <stp>.QQQ250718P499</stp>
        <tr r="M49" s="2"/>
      </tp>
      <tp t="e">
        <v>#N/A</v>
        <stp/>
        <stp>VOLUME</stp>
        <stp>.QQQ250718C499</stp>
        <tr r="M49" s="2"/>
      </tp>
      <tp t="e">
        <v>#N/A</v>
        <stp/>
        <stp>VOLUME</stp>
        <stp>.QQQ250718P494</stp>
        <tr r="M54" s="2"/>
      </tp>
      <tp t="e">
        <v>#N/A</v>
        <stp/>
        <stp>VOLUME</stp>
        <stp>.QQQ250718C494</stp>
        <tr r="M54" s="2"/>
      </tp>
      <tp t="e">
        <v>#N/A</v>
        <stp/>
        <stp>VOLUME</stp>
        <stp>.QQQ250718P495</stp>
        <tr r="M53" s="2"/>
      </tp>
      <tp t="e">
        <v>#N/A</v>
        <stp/>
        <stp>VOLUME</stp>
        <stp>.QQQ250718C495</stp>
        <tr r="M53" s="2"/>
      </tp>
      <tp t="e">
        <v>#N/A</v>
        <stp/>
        <stp>VOLUME</stp>
        <stp>.QQQ250718P496</stp>
        <tr r="M52" s="2"/>
      </tp>
      <tp t="e">
        <v>#N/A</v>
        <stp/>
        <stp>VOLUME</stp>
        <stp>.QQQ250718C496</stp>
        <tr r="M52" s="2"/>
      </tp>
      <tp t="e">
        <v>#N/A</v>
        <stp/>
        <stp>VOLUME</stp>
        <stp>.QQQ250718P497</stp>
        <tr r="M51" s="2"/>
      </tp>
      <tp t="e">
        <v>#N/A</v>
        <stp/>
        <stp>VOLUME</stp>
        <stp>.QQQ250718C497</stp>
        <tr r="M51" s="2"/>
      </tp>
      <tp t="e">
        <v>#N/A</v>
        <stp/>
        <stp>VOLUME</stp>
        <stp>.QQQ250718P490</stp>
        <tr r="M58" s="2"/>
      </tp>
      <tp t="e">
        <v>#N/A</v>
        <stp/>
        <stp>VOLUME</stp>
        <stp>.QQQ250718C490</stp>
        <tr r="M58" s="2"/>
      </tp>
      <tp t="e">
        <v>#N/A</v>
        <stp/>
        <stp>VOLUME</stp>
        <stp>.QQQ250718P491</stp>
        <tr r="M57" s="2"/>
      </tp>
      <tp t="e">
        <v>#N/A</v>
        <stp/>
        <stp>VOLUME</stp>
        <stp>.QQQ250718C491</stp>
        <tr r="M57" s="2"/>
      </tp>
      <tp t="e">
        <v>#N/A</v>
        <stp/>
        <stp>VOLUME</stp>
        <stp>.QQQ250718P492</stp>
        <tr r="M56" s="2"/>
      </tp>
      <tp t="e">
        <v>#N/A</v>
        <stp/>
        <stp>VOLUME</stp>
        <stp>.QQQ250718C492</stp>
        <tr r="M56" s="2"/>
      </tp>
      <tp t="e">
        <v>#N/A</v>
        <stp/>
        <stp>VOLUME</stp>
        <stp>.QQQ250718P493</stp>
        <tr r="M55" s="2"/>
      </tp>
      <tp t="e">
        <v>#N/A</v>
        <stp/>
        <stp>VOLUME</stp>
        <stp>.QQQ250718C493</stp>
        <tr r="M55" s="2"/>
      </tp>
      <tp t="e">
        <v>#N/A</v>
        <stp/>
        <stp>VOLUME</stp>
        <stp>.QQQ250731P485</stp>
        <tr r="N63" s="2"/>
      </tp>
      <tp t="e">
        <v>#N/A</v>
        <stp/>
        <stp>VOLUME</stp>
        <stp>.QQQ250731C485</stp>
        <tr r="N63" s="2"/>
      </tp>
      <tp t="e">
        <v>#N/A</v>
        <stp/>
        <stp>VOLUME</stp>
        <stp>.QQQ250731P484</stp>
        <tr r="N64" s="2"/>
      </tp>
      <tp t="e">
        <v>#N/A</v>
        <stp/>
        <stp>VOLUME</stp>
        <stp>.QQQ250731C484</stp>
        <tr r="N64" s="2"/>
      </tp>
      <tp t="e">
        <v>#N/A</v>
        <stp/>
        <stp>VOLUME</stp>
        <stp>.QQQ250731P487</stp>
        <tr r="N61" s="2"/>
      </tp>
      <tp t="e">
        <v>#N/A</v>
        <stp/>
        <stp>VOLUME</stp>
        <stp>.QQQ250731C487</stp>
        <tr r="N61" s="2"/>
      </tp>
      <tp t="e">
        <v>#N/A</v>
        <stp/>
        <stp>VOLUME</stp>
        <stp>.QQQ250731P486</stp>
        <tr r="N62" s="2"/>
      </tp>
      <tp t="e">
        <v>#N/A</v>
        <stp/>
        <stp>VOLUME</stp>
        <stp>.QQQ250731C486</stp>
        <tr r="N62" s="2"/>
      </tp>
      <tp t="e">
        <v>#N/A</v>
        <stp/>
        <stp>VOLUME</stp>
        <stp>.QQQ250731P481</stp>
        <tr r="N67" s="2"/>
      </tp>
      <tp t="e">
        <v>#N/A</v>
        <stp/>
        <stp>VOLUME</stp>
        <stp>.QQQ250731C481</stp>
        <tr r="N67" s="2"/>
      </tp>
      <tp t="e">
        <v>#N/A</v>
        <stp/>
        <stp>VOLUME</stp>
        <stp>.QQQ250731P480</stp>
        <tr r="N68" s="2"/>
      </tp>
      <tp t="e">
        <v>#N/A</v>
        <stp/>
        <stp>VOLUME</stp>
        <stp>.QQQ250731C480</stp>
        <tr r="N68" s="2"/>
      </tp>
      <tp t="e">
        <v>#N/A</v>
        <stp/>
        <stp>VOLUME</stp>
        <stp>.QQQ250731P483</stp>
        <tr r="N65" s="2"/>
      </tp>
      <tp t="e">
        <v>#N/A</v>
        <stp/>
        <stp>VOLUME</stp>
        <stp>.QQQ250731C483</stp>
        <tr r="N65" s="2"/>
      </tp>
      <tp t="e">
        <v>#N/A</v>
        <stp/>
        <stp>VOLUME</stp>
        <stp>.QQQ250731P482</stp>
        <tr r="N66" s="2"/>
      </tp>
      <tp t="e">
        <v>#N/A</v>
        <stp/>
        <stp>VOLUME</stp>
        <stp>.QQQ250731C482</stp>
        <tr r="N66" s="2"/>
      </tp>
      <tp t="e">
        <v>#N/A</v>
        <stp/>
        <stp>VOLUME</stp>
        <stp>.QQQ250731P489</stp>
        <tr r="N59" s="2"/>
      </tp>
      <tp t="e">
        <v>#N/A</v>
        <stp/>
        <stp>VOLUME</stp>
        <stp>.QQQ250731C489</stp>
        <tr r="N59" s="2"/>
      </tp>
      <tp t="e">
        <v>#N/A</v>
        <stp/>
        <stp>VOLUME</stp>
        <stp>.QQQ250731P488</stp>
        <tr r="N60" s="2"/>
      </tp>
      <tp t="e">
        <v>#N/A</v>
        <stp/>
        <stp>VOLUME</stp>
        <stp>.QQQ250731C488</stp>
        <tr r="N60" s="2"/>
      </tp>
      <tp t="e">
        <v>#N/A</v>
        <stp/>
        <stp>VOLUME</stp>
        <stp>.QQQ250731P495</stp>
        <tr r="N53" s="2"/>
      </tp>
      <tp t="e">
        <v>#N/A</v>
        <stp/>
        <stp>VOLUME</stp>
        <stp>.QQQ250731C495</stp>
        <tr r="N53" s="2"/>
      </tp>
      <tp t="e">
        <v>#N/A</v>
        <stp/>
        <stp>VOLUME</stp>
        <stp>.QQQ250731P494</stp>
        <tr r="N54" s="2"/>
      </tp>
      <tp t="e">
        <v>#N/A</v>
        <stp/>
        <stp>VOLUME</stp>
        <stp>.QQQ250731C494</stp>
        <tr r="N54" s="2"/>
      </tp>
      <tp t="e">
        <v>#N/A</v>
        <stp/>
        <stp>VOLUME</stp>
        <stp>.QQQ250731P497</stp>
        <tr r="N51" s="2"/>
      </tp>
      <tp t="e">
        <v>#N/A</v>
        <stp/>
        <stp>VOLUME</stp>
        <stp>.QQQ250731C497</stp>
        <tr r="N51" s="2"/>
      </tp>
      <tp t="e">
        <v>#N/A</v>
        <stp/>
        <stp>VOLUME</stp>
        <stp>.QQQ250731P496</stp>
        <tr r="N52" s="2"/>
      </tp>
      <tp t="e">
        <v>#N/A</v>
        <stp/>
        <stp>VOLUME</stp>
        <stp>.QQQ250731C496</stp>
        <tr r="N52" s="2"/>
      </tp>
      <tp t="e">
        <v>#N/A</v>
        <stp/>
        <stp>VOLUME</stp>
        <stp>.QQQ250731P491</stp>
        <tr r="N57" s="2"/>
      </tp>
      <tp t="e">
        <v>#N/A</v>
        <stp/>
        <stp>VOLUME</stp>
        <stp>.QQQ250731C491</stp>
        <tr r="N57" s="2"/>
      </tp>
      <tp t="e">
        <v>#N/A</v>
        <stp/>
        <stp>VOLUME</stp>
        <stp>.QQQ250731P490</stp>
        <tr r="N58" s="2"/>
      </tp>
      <tp t="e">
        <v>#N/A</v>
        <stp/>
        <stp>VOLUME</stp>
        <stp>.QQQ250731C490</stp>
        <tr r="N58" s="2"/>
      </tp>
      <tp t="e">
        <v>#N/A</v>
        <stp/>
        <stp>VOLUME</stp>
        <stp>.QQQ250731P493</stp>
        <tr r="N55" s="2"/>
      </tp>
      <tp t="e">
        <v>#N/A</v>
        <stp/>
        <stp>VOLUME</stp>
        <stp>.QQQ250731C493</stp>
        <tr r="N55" s="2"/>
      </tp>
      <tp t="e">
        <v>#N/A</v>
        <stp/>
        <stp>VOLUME</stp>
        <stp>.QQQ250731P492</stp>
        <tr r="N56" s="2"/>
      </tp>
      <tp t="e">
        <v>#N/A</v>
        <stp/>
        <stp>VOLUME</stp>
        <stp>.QQQ250731C492</stp>
        <tr r="N56" s="2"/>
      </tp>
      <tp t="e">
        <v>#N/A</v>
        <stp/>
        <stp>VOLUME</stp>
        <stp>.QQQ250731P499</stp>
        <tr r="N49" s="2"/>
      </tp>
      <tp t="e">
        <v>#N/A</v>
        <stp/>
        <stp>VOLUME</stp>
        <stp>.QQQ250731C499</stp>
        <tr r="N49" s="2"/>
      </tp>
      <tp t="e">
        <v>#N/A</v>
        <stp/>
        <stp>VOLUME</stp>
        <stp>.QQQ250731P498</stp>
        <tr r="N50" s="2"/>
      </tp>
      <tp t="e">
        <v>#N/A</v>
        <stp/>
        <stp>VOLUME</stp>
        <stp>.QQQ250731C498</stp>
        <tr r="N50" s="2"/>
      </tp>
      <tp t="e">
        <v>#N/A</v>
        <stp/>
        <stp>VOLUME</stp>
        <stp>.QQQ250606P502</stp>
        <tr r="J46" s="2"/>
      </tp>
      <tp t="e">
        <v>#N/A</v>
        <stp/>
        <stp>VOLUME</stp>
        <stp>.QQQ250606C502</stp>
        <tr r="J46" s="2"/>
      </tp>
      <tp t="e">
        <v>#N/A</v>
        <stp/>
        <stp>VOLUME</stp>
        <stp>.QQQ250606P500</stp>
        <tr r="J48" s="2"/>
      </tp>
      <tp t="e">
        <v>#N/A</v>
        <stp/>
        <stp>VOLUME</stp>
        <stp>.QQQ250606C500</stp>
        <tr r="J48" s="2"/>
      </tp>
      <tp t="e">
        <v>#N/A</v>
        <stp/>
        <stp>VOLUME</stp>
        <stp>.QQQ250606P501</stp>
        <tr r="J47" s="2"/>
      </tp>
      <tp t="e">
        <v>#N/A</v>
        <stp/>
        <stp>VOLUME</stp>
        <stp>.QQQ250606C501</stp>
        <tr r="J47" s="2"/>
      </tp>
      <tp t="e">
        <v>#N/A</v>
        <stp/>
        <stp>VOLUME</stp>
        <stp>.QQQ250630P500</stp>
        <tr r="L48" s="2"/>
      </tp>
      <tp t="e">
        <v>#N/A</v>
        <stp/>
        <stp>VOLUME</stp>
        <stp>.QQQ250630C500</stp>
        <tr r="L48" s="2"/>
      </tp>
      <tp t="e">
        <v>#N/A</v>
        <stp/>
        <stp>VOLUME</stp>
        <stp>.QQQ250630P501</stp>
        <tr r="L47" s="2"/>
      </tp>
      <tp t="e">
        <v>#N/A</v>
        <stp/>
        <stp>VOLUME</stp>
        <stp>.QQQ250630C501</stp>
        <tr r="L47" s="2"/>
      </tp>
      <tp t="e">
        <v>#N/A</v>
        <stp/>
        <stp>VOLUME</stp>
        <stp>.QQQ250630P502</stp>
        <tr r="L46" s="2"/>
      </tp>
      <tp t="e">
        <v>#N/A</v>
        <stp/>
        <stp>VOLUME</stp>
        <stp>.QQQ250630C502</stp>
        <tr r="L46" s="2"/>
      </tp>
      <tp t="e">
        <v>#N/A</v>
        <stp/>
        <stp>VOLUME</stp>
        <stp>.QQQ250620P500</stp>
        <tr r="K48" s="2"/>
      </tp>
      <tp t="e">
        <v>#N/A</v>
        <stp/>
        <stp>VOLUME</stp>
        <stp>.QQQ250620C500</stp>
        <tr r="K48" s="2"/>
      </tp>
      <tp t="e">
        <v>#N/A</v>
        <stp/>
        <stp>VOLUME</stp>
        <stp>.QQQ250620P501</stp>
        <tr r="K47" s="2"/>
      </tp>
      <tp t="e">
        <v>#N/A</v>
        <stp/>
        <stp>VOLUME</stp>
        <stp>.QQQ250620C501</stp>
        <tr r="K47" s="2"/>
      </tp>
      <tp t="e">
        <v>#N/A</v>
        <stp/>
        <stp>VOLUME</stp>
        <stp>.QQQ250620P502</stp>
        <tr r="K46" s="2"/>
      </tp>
      <tp t="e">
        <v>#N/A</v>
        <stp/>
        <stp>VOLUME</stp>
        <stp>.QQQ250620C502</stp>
        <tr r="K46" s="2"/>
      </tp>
      <tp t="e">
        <v>#N/A</v>
        <stp/>
        <stp>VOLUME</stp>
        <stp>.QQQ250731P469</stp>
        <tr r="N79" s="2"/>
      </tp>
      <tp t="e">
        <v>#N/A</v>
        <stp/>
        <stp>VOLUME</stp>
        <stp>.QQQ250731C469</stp>
        <tr r="N79" s="2"/>
      </tp>
      <tp t="e">
        <v>#N/A</v>
        <stp/>
        <stp>VOLUME</stp>
        <stp>.QQQ250731P468</stp>
        <tr r="N80" s="2"/>
      </tp>
      <tp t="e">
        <v>#N/A</v>
        <stp/>
        <stp>VOLUME</stp>
        <stp>.QQQ250731C468</stp>
        <tr r="N80" s="2"/>
      </tp>
      <tp t="e">
        <v>#N/A</v>
        <stp/>
        <stp>VOLUME</stp>
        <stp>.QQQ250731P475</stp>
        <tr r="N73" s="2"/>
      </tp>
      <tp t="e">
        <v>#N/A</v>
        <stp/>
        <stp>VOLUME</stp>
        <stp>.QQQ250731C475</stp>
        <tr r="N73" s="2"/>
      </tp>
      <tp t="e">
        <v>#N/A</v>
        <stp/>
        <stp>VOLUME</stp>
        <stp>.QQQ250731P474</stp>
        <tr r="N74" s="2"/>
      </tp>
      <tp t="e">
        <v>#N/A</v>
        <stp/>
        <stp>VOLUME</stp>
        <stp>.QQQ250731C474</stp>
        <tr r="N74" s="2"/>
      </tp>
      <tp t="e">
        <v>#N/A</v>
        <stp/>
        <stp>VOLUME</stp>
        <stp>.QQQ250731P477</stp>
        <tr r="N71" s="2"/>
      </tp>
      <tp t="e">
        <v>#N/A</v>
        <stp/>
        <stp>VOLUME</stp>
        <stp>.QQQ250731C477</stp>
        <tr r="N71" s="2"/>
      </tp>
      <tp t="e">
        <v>#N/A</v>
        <stp/>
        <stp>VOLUME</stp>
        <stp>.QQQ250731P476</stp>
        <tr r="N72" s="2"/>
      </tp>
      <tp t="e">
        <v>#N/A</v>
        <stp/>
        <stp>VOLUME</stp>
        <stp>.QQQ250731C476</stp>
        <tr r="N72" s="2"/>
      </tp>
      <tp t="e">
        <v>#N/A</v>
        <stp/>
        <stp>VOLUME</stp>
        <stp>.QQQ250731P471</stp>
        <tr r="N77" s="2"/>
      </tp>
      <tp t="e">
        <v>#N/A</v>
        <stp/>
        <stp>VOLUME</stp>
        <stp>.QQQ250731C471</stp>
        <tr r="N77" s="2"/>
      </tp>
      <tp t="e">
        <v>#N/A</v>
        <stp/>
        <stp>VOLUME</stp>
        <stp>.QQQ250731P470</stp>
        <tr r="N78" s="2"/>
      </tp>
      <tp t="e">
        <v>#N/A</v>
        <stp/>
        <stp>VOLUME</stp>
        <stp>.QQQ250731C470</stp>
        <tr r="N78" s="2"/>
      </tp>
      <tp t="e">
        <v>#N/A</v>
        <stp/>
        <stp>VOLUME</stp>
        <stp>.QQQ250731P473</stp>
        <tr r="N75" s="2"/>
      </tp>
      <tp t="e">
        <v>#N/A</v>
        <stp/>
        <stp>VOLUME</stp>
        <stp>.QQQ250731C473</stp>
        <tr r="N75" s="2"/>
      </tp>
      <tp t="e">
        <v>#N/A</v>
        <stp/>
        <stp>VOLUME</stp>
        <stp>.QQQ250731P472</stp>
        <tr r="N76" s="2"/>
      </tp>
      <tp t="e">
        <v>#N/A</v>
        <stp/>
        <stp>VOLUME</stp>
        <stp>.QQQ250731C472</stp>
        <tr r="N76" s="2"/>
      </tp>
      <tp t="e">
        <v>#N/A</v>
        <stp/>
        <stp>VOLUME</stp>
        <stp>.QQQ250731P479</stp>
        <tr r="N69" s="2"/>
      </tp>
      <tp t="e">
        <v>#N/A</v>
        <stp/>
        <stp>VOLUME</stp>
        <stp>.QQQ250731C479</stp>
        <tr r="N69" s="2"/>
      </tp>
      <tp t="e">
        <v>#N/A</v>
        <stp/>
        <stp>VOLUME</stp>
        <stp>.QQQ250731P478</stp>
        <tr r="N70" s="2"/>
      </tp>
      <tp t="e">
        <v>#N/A</v>
        <stp/>
        <stp>VOLUME</stp>
        <stp>.QQQ250731C478</stp>
        <tr r="N70" s="2"/>
      </tp>
      <tp t="e">
        <v>#N/A</v>
        <stp/>
        <stp>VOLUME</stp>
        <stp>.QQQ250718P468</stp>
        <tr r="M80" s="2"/>
      </tp>
      <tp t="e">
        <v>#N/A</v>
        <stp/>
        <stp>VOLUME</stp>
        <stp>.QQQ250718C468</stp>
        <tr r="M80" s="2"/>
      </tp>
      <tp t="e">
        <v>#N/A</v>
        <stp/>
        <stp>VOLUME</stp>
        <stp>.QQQ250718P469</stp>
        <tr r="M79" s="2"/>
      </tp>
      <tp t="e">
        <v>#N/A</v>
        <stp/>
        <stp>VOLUME</stp>
        <stp>.QQQ250718C469</stp>
        <tr r="M79" s="2"/>
      </tp>
      <tp t="e">
        <v>#N/A</v>
        <stp/>
        <stp>VOLUME</stp>
        <stp>.QQQ250718P478</stp>
        <tr r="M70" s="2"/>
      </tp>
      <tp t="e">
        <v>#N/A</v>
        <stp/>
        <stp>VOLUME</stp>
        <stp>.QQQ250718C478</stp>
        <tr r="M70" s="2"/>
      </tp>
      <tp t="e">
        <v>#N/A</v>
        <stp/>
        <stp>VOLUME</stp>
        <stp>.QQQ250718P479</stp>
        <tr r="M69" s="2"/>
      </tp>
      <tp t="e">
        <v>#N/A</v>
        <stp/>
        <stp>VOLUME</stp>
        <stp>.QQQ250718C479</stp>
        <tr r="M69" s="2"/>
      </tp>
      <tp t="e">
        <v>#N/A</v>
        <stp/>
        <stp>VOLUME</stp>
        <stp>.QQQ250718P474</stp>
        <tr r="M74" s="2"/>
      </tp>
      <tp t="e">
        <v>#N/A</v>
        <stp/>
        <stp>VOLUME</stp>
        <stp>.QQQ250718C474</stp>
        <tr r="M74" s="2"/>
      </tp>
      <tp t="e">
        <v>#N/A</v>
        <stp/>
        <stp>VOLUME</stp>
        <stp>.QQQ250718P475</stp>
        <tr r="M73" s="2"/>
      </tp>
      <tp t="e">
        <v>#N/A</v>
        <stp/>
        <stp>VOLUME</stp>
        <stp>.QQQ250718C475</stp>
        <tr r="M73" s="2"/>
      </tp>
      <tp t="e">
        <v>#N/A</v>
        <stp/>
        <stp>VOLUME</stp>
        <stp>.QQQ250718P476</stp>
        <tr r="M72" s="2"/>
      </tp>
      <tp t="e">
        <v>#N/A</v>
        <stp/>
        <stp>VOLUME</stp>
        <stp>.QQQ250718C476</stp>
        <tr r="M72" s="2"/>
      </tp>
      <tp t="e">
        <v>#N/A</v>
        <stp/>
        <stp>VOLUME</stp>
        <stp>.QQQ250718P477</stp>
        <tr r="M71" s="2"/>
      </tp>
      <tp t="e">
        <v>#N/A</v>
        <stp/>
        <stp>VOLUME</stp>
        <stp>.QQQ250718C477</stp>
        <tr r="M71" s="2"/>
      </tp>
      <tp t="e">
        <v>#N/A</v>
        <stp/>
        <stp>VOLUME</stp>
        <stp>.QQQ250718P470</stp>
        <tr r="M78" s="2"/>
      </tp>
      <tp t="e">
        <v>#N/A</v>
        <stp/>
        <stp>VOLUME</stp>
        <stp>.QQQ250718C470</stp>
        <tr r="M78" s="2"/>
      </tp>
      <tp t="e">
        <v>#N/A</v>
        <stp/>
        <stp>VOLUME</stp>
        <stp>.QQQ250718P471</stp>
        <tr r="M77" s="2"/>
      </tp>
      <tp t="e">
        <v>#N/A</v>
        <stp/>
        <stp>VOLUME</stp>
        <stp>.QQQ250718C471</stp>
        <tr r="M77" s="2"/>
      </tp>
      <tp t="e">
        <v>#N/A</v>
        <stp/>
        <stp>VOLUME</stp>
        <stp>.QQQ250718P472</stp>
        <tr r="M76" s="2"/>
      </tp>
      <tp t="e">
        <v>#N/A</v>
        <stp/>
        <stp>VOLUME</stp>
        <stp>.QQQ250718C472</stp>
        <tr r="M76" s="2"/>
      </tp>
      <tp t="e">
        <v>#N/A</v>
        <stp/>
        <stp>VOLUME</stp>
        <stp>.QQQ250718P473</stp>
        <tr r="M75" s="2"/>
      </tp>
      <tp t="e">
        <v>#N/A</v>
        <stp/>
        <stp>VOLUME</stp>
        <stp>.QQQ250718C473</stp>
        <tr r="M75" s="2"/>
      </tp>
      <tp t="e">
        <v>#N/A</v>
        <stp/>
        <stp>BID</stp>
        <stp>.SPXW250502C5580</stp>
        <tr r="DE114" s="1"/>
        <tr r="DE114" s="1"/>
      </tp>
      <tp t="e">
        <v>#N/A</v>
        <stp/>
        <stp>BID</stp>
        <stp>.SPXW250502P5580</stp>
        <tr r="DF114" s="1"/>
        <tr r="DF114" s="1"/>
      </tp>
      <tp t="e">
        <v>#N/A</v>
        <stp/>
        <stp>BID</stp>
        <stp>.SPXW250502C5590</stp>
        <tr r="DE113" s="1"/>
        <tr r="DE113" s="1"/>
      </tp>
      <tp t="e">
        <v>#N/A</v>
        <stp/>
        <stp>BID</stp>
        <stp>.SPXW250502P5590</stp>
        <tr r="DF113" s="1"/>
        <tr r="DF113" s="1"/>
      </tp>
      <tp t="e">
        <v>#N/A</v>
        <stp/>
        <stp>BID</stp>
        <stp>.SPXW250502C5520</stp>
        <tr r="DE120" s="1"/>
        <tr r="DE120" s="1"/>
      </tp>
      <tp t="e">
        <v>#N/A</v>
        <stp/>
        <stp>BID</stp>
        <stp>.SPXW250502P5520</stp>
        <tr r="DF120" s="1"/>
        <tr r="DF120" s="1"/>
      </tp>
      <tp t="e">
        <v>#N/A</v>
        <stp/>
        <stp>BID</stp>
        <stp>.SPXW250502C5530</stp>
        <tr r="DE119" s="1"/>
        <tr r="DE119" s="1"/>
      </tp>
      <tp t="e">
        <v>#N/A</v>
        <stp/>
        <stp>BID</stp>
        <stp>.SPXW250502P5530</stp>
        <tr r="DF119" s="1"/>
        <tr r="DF119" s="1"/>
      </tp>
      <tp t="e">
        <v>#N/A</v>
        <stp/>
        <stp>BID</stp>
        <stp>.SPXW250502C5500</stp>
        <tr r="DE122" s="1"/>
        <tr r="DE122" s="1"/>
      </tp>
      <tp t="e">
        <v>#N/A</v>
        <stp/>
        <stp>BID</stp>
        <stp>.SPXW250502P5500</stp>
        <tr r="DF122" s="1"/>
        <tr r="DF122" s="1"/>
      </tp>
      <tp t="e">
        <v>#N/A</v>
        <stp/>
        <stp>BID</stp>
        <stp>.SPXW250502C5510</stp>
        <tr r="DE121" s="1"/>
        <tr r="DE121" s="1"/>
      </tp>
      <tp t="e">
        <v>#N/A</v>
        <stp/>
        <stp>BID</stp>
        <stp>.SPXW250502P5510</stp>
        <tr r="DF121" s="1"/>
        <tr r="DF121" s="1"/>
      </tp>
      <tp t="e">
        <v>#N/A</v>
        <stp/>
        <stp>BID</stp>
        <stp>.SPXW250502C5560</stp>
        <tr r="DE116" s="1"/>
        <tr r="DE116" s="1"/>
      </tp>
      <tp t="e">
        <v>#N/A</v>
        <stp/>
        <stp>BID</stp>
        <stp>.SPXW250502P5560</stp>
        <tr r="DF116" s="1"/>
        <tr r="DF116" s="1"/>
      </tp>
      <tp t="e">
        <v>#N/A</v>
        <stp/>
        <stp>BID</stp>
        <stp>.SPXW250502C5570</stp>
        <tr r="DE115" s="1"/>
        <tr r="DE115" s="1"/>
      </tp>
      <tp t="e">
        <v>#N/A</v>
        <stp/>
        <stp>BID</stp>
        <stp>.SPXW250502P5570</stp>
        <tr r="DF115" s="1"/>
        <tr r="DF115" s="1"/>
      </tp>
      <tp t="e">
        <v>#N/A</v>
        <stp/>
        <stp>BID</stp>
        <stp>.SPXW250502C5540</stp>
        <tr r="DE118" s="1"/>
        <tr r="DE118" s="1"/>
      </tp>
      <tp t="e">
        <v>#N/A</v>
        <stp/>
        <stp>BID</stp>
        <stp>.SPXW250502P5540</stp>
        <tr r="DF118" s="1"/>
        <tr r="DF118" s="1"/>
      </tp>
      <tp t="e">
        <v>#N/A</v>
        <stp/>
        <stp>BID</stp>
        <stp>.SPXW250502C5550</stp>
        <tr r="DE117" s="1"/>
        <tr r="DE117" s="1"/>
      </tp>
      <tp t="e">
        <v>#N/A</v>
        <stp/>
        <stp>BID</stp>
        <stp>.SPXW250502P5550</stp>
        <tr r="DF117" s="1"/>
        <tr r="DF117" s="1"/>
      </tp>
      <tp t="e">
        <v>#N/A</v>
        <stp/>
        <stp>VOLUME</stp>
        <stp>.QQQ250516P502</stp>
        <tr r="BF45" s="1"/>
        <tr r="BF45" s="1"/>
      </tp>
      <tp t="e">
        <v>#N/A</v>
        <stp/>
        <stp>VOLUME</stp>
        <stp>.QQQ250516C502</stp>
        <tr r="BE45" s="1"/>
        <tr r="BE45" s="1"/>
      </tp>
      <tp t="e">
        <v>#N/A</v>
        <stp/>
        <stp>VOLUME</stp>
        <stp>.QQQ250516P500</stp>
        <tr r="BF47" s="1"/>
        <tr r="BF47" s="1"/>
      </tp>
      <tp t="e">
        <v>#N/A</v>
        <stp/>
        <stp>VOLUME</stp>
        <stp>.QQQ250516C500</stp>
        <tr r="BE47" s="1"/>
        <tr r="BE47" s="1"/>
      </tp>
      <tp t="e">
        <v>#N/A</v>
        <stp/>
        <stp>VOLUME</stp>
        <stp>.QQQ250516P501</stp>
        <tr r="BF46" s="1"/>
        <tr r="BF46" s="1"/>
      </tp>
      <tp t="e">
        <v>#N/A</v>
        <stp/>
        <stp>VOLUME</stp>
        <stp>.QQQ250516C501</stp>
        <tr r="BE46" s="1"/>
        <tr r="BE46" s="1"/>
      </tp>
      <tp t="e">
        <v>#N/A</v>
        <stp/>
        <stp>VOLUME</stp>
        <stp>.QQQ250505P501</stp>
        <tr r="B47" s="2"/>
      </tp>
      <tp t="e">
        <v>#N/A</v>
        <stp/>
        <stp>VOLUME</stp>
        <stp>.QQQ250506P502</stp>
        <tr r="C46" s="2"/>
      </tp>
      <tp t="e">
        <v>#N/A</v>
        <stp/>
        <stp>VOLUME</stp>
        <stp>.QQQ250505C501</stp>
        <tr r="B47" s="2"/>
      </tp>
      <tp t="e">
        <v>#N/A</v>
        <stp/>
        <stp>VOLUME</stp>
        <stp>.QQQ250506C502</stp>
        <tr r="C46" s="2"/>
      </tp>
      <tp t="e">
        <v>#N/A</v>
        <stp/>
        <stp>VOLUME</stp>
        <stp>.QQQ250505P500</stp>
        <tr r="B48" s="2"/>
      </tp>
      <tp t="e">
        <v>#N/A</v>
        <stp/>
        <stp>VOLUME</stp>
        <stp>.QQQ250507P502</stp>
        <tr r="D46" s="2"/>
      </tp>
      <tp t="e">
        <v>#N/A</v>
        <stp/>
        <stp>VOLUME</stp>
        <stp>.QQQ250505C500</stp>
        <tr r="B48" s="2"/>
      </tp>
      <tp t="e">
        <v>#N/A</v>
        <stp/>
        <stp>VOLUME</stp>
        <stp>.QQQ250507C502</stp>
        <tr r="D46" s="2"/>
      </tp>
      <tp t="e">
        <v>#N/A</v>
        <stp/>
        <stp>VOLUME</stp>
        <stp>.QQQ250506P500</stp>
        <tr r="C48" s="2"/>
      </tp>
      <tp t="e">
        <v>#N/A</v>
        <stp/>
        <stp>VOLUME</stp>
        <stp>.QQQ250507P501</stp>
        <tr r="D47" s="2"/>
      </tp>
      <tp t="e">
        <v>#N/A</v>
        <stp/>
        <stp>VOLUME</stp>
        <stp>.QQQ250506C500</stp>
        <tr r="C48" s="2"/>
      </tp>
      <tp t="e">
        <v>#N/A</v>
        <stp/>
        <stp>VOLUME</stp>
        <stp>.QQQ250507C501</stp>
        <tr r="D47" s="2"/>
      </tp>
      <tp t="e">
        <v>#N/A</v>
        <stp/>
        <stp>VOLUME</stp>
        <stp>.QQQ250505P502</stp>
        <tr r="B46" s="2"/>
      </tp>
      <tp t="e">
        <v>#N/A</v>
        <stp/>
        <stp>VOLUME</stp>
        <stp>.QQQ250506P501</stp>
        <tr r="C47" s="2"/>
      </tp>
      <tp t="e">
        <v>#N/A</v>
        <stp/>
        <stp>VOLUME</stp>
        <stp>.QQQ250507P500</stp>
        <tr r="D48" s="2"/>
      </tp>
      <tp t="e">
        <v>#N/A</v>
        <stp/>
        <stp>VOLUME</stp>
        <stp>.QQQ250505C502</stp>
        <tr r="B46" s="2"/>
      </tp>
      <tp t="e">
        <v>#N/A</v>
        <stp/>
        <stp>VOLUME</stp>
        <stp>.QQQ250506C501</stp>
        <tr r="C47" s="2"/>
      </tp>
      <tp t="e">
        <v>#N/A</v>
        <stp/>
        <stp>VOLUME</stp>
        <stp>.QQQ250507C500</stp>
        <tr r="D48" s="2"/>
      </tp>
      <tp t="e">
        <v>#N/A</v>
        <stp/>
        <stp>VOLUME</stp>
        <stp>.QQQ250502P502</stp>
        <tr r="BB45" s="1"/>
        <tr r="BB45" s="1"/>
      </tp>
      <tp t="e">
        <v>#N/A</v>
        <stp/>
        <stp>VOLUME</stp>
        <stp>.QQQ250502C502</stp>
        <tr r="BA45" s="1"/>
        <tr r="BA45" s="1"/>
      </tp>
      <tp t="e">
        <v>#N/A</v>
        <stp/>
        <stp>VOLUME</stp>
        <stp>.QQQ250502P500</stp>
        <tr r="BB47" s="1"/>
        <tr r="BB47" s="1"/>
      </tp>
      <tp t="e">
        <v>#N/A</v>
        <stp/>
        <stp>VOLUME</stp>
        <stp>.QQQ250502C500</stp>
        <tr r="BA47" s="1"/>
        <tr r="BA47" s="1"/>
      </tp>
      <tp t="e">
        <v>#N/A</v>
        <stp/>
        <stp>VOLUME</stp>
        <stp>.QQQ250502P501</stp>
        <tr r="BB46" s="1"/>
        <tr r="BB46" s="1"/>
      </tp>
      <tp t="e">
        <v>#N/A</v>
        <stp/>
        <stp>VOLUME</stp>
        <stp>.QQQ250502C501</stp>
        <tr r="BA46" s="1"/>
        <tr r="BA46" s="1"/>
      </tp>
      <tp t="e">
        <v>#N/A</v>
        <stp/>
        <stp>VOLUME</stp>
        <stp>.QQQ250508P500</stp>
        <tr r="E48" s="2"/>
      </tp>
      <tp t="e">
        <v>#N/A</v>
        <stp/>
        <stp>VOLUME</stp>
        <stp>.QQQ250509P501</stp>
        <tr r="BD46" s="1"/>
      </tp>
      <tp t="e">
        <v>#N/A</v>
        <stp/>
        <stp>VOLUME</stp>
        <stp>.QQQ250508C500</stp>
        <tr r="E48" s="2"/>
      </tp>
      <tp t="e">
        <v>#N/A</v>
        <stp/>
        <stp>VOLUME</stp>
        <stp>.QQQ250509C501</stp>
        <tr r="BC46" s="1"/>
        <tr r="BC46" s="1"/>
      </tp>
      <tp t="e">
        <v>#N/A</v>
        <stp/>
        <stp>VOLUME</stp>
        <stp>.QQQ250508P501</stp>
        <tr r="E47" s="2"/>
      </tp>
      <tp t="e">
        <v>#N/A</v>
        <stp/>
        <stp>VOLUME</stp>
        <stp>.QQQ250509P500</stp>
        <tr r="BD47" s="1"/>
        <tr r="BD47" s="1"/>
      </tp>
      <tp t="e">
        <v>#N/A</v>
        <stp/>
        <stp>VOLUME</stp>
        <stp>.QQQ250508C501</stp>
        <tr r="E47" s="2"/>
      </tp>
      <tp t="e">
        <v>#N/A</v>
        <stp/>
        <stp>VOLUME</stp>
        <stp>.QQQ250509C500</stp>
        <tr r="BC47" s="1"/>
        <tr r="BC47" s="1"/>
      </tp>
      <tp t="e">
        <v>#N/A</v>
        <stp/>
        <stp>VOLUME</stp>
        <stp>.QQQ250508P502</stp>
        <tr r="E46" s="2"/>
      </tp>
      <tp t="e">
        <v>#N/A</v>
        <stp/>
        <stp>VOLUME</stp>
        <stp>.QQQ250508C502</stp>
        <tr r="E46" s="2"/>
      </tp>
      <tp t="e">
        <v>#N/A</v>
        <stp/>
        <stp>VOLUME</stp>
        <stp>.QQQ250509P502</stp>
        <tr r="BD45" s="1"/>
        <tr r="BD45" s="1"/>
      </tp>
      <tp t="e">
        <v>#N/A</v>
        <stp/>
        <stp>VOLUME</stp>
        <stp>.QQQ250509C502</stp>
        <tr r="BC45" s="1"/>
        <tr r="BC45" s="1"/>
      </tp>
      <tp t="e">
        <v>#N/A</v>
        <stp/>
        <stp>VOLUME</stp>
        <stp>.QQQ250530P500</stp>
        <tr r="I48" s="2"/>
      </tp>
      <tp t="e">
        <v>#N/A</v>
        <stp/>
        <stp>VOLUME</stp>
        <stp>.QQQ250530C500</stp>
        <tr r="I48" s="2"/>
      </tp>
      <tp t="e">
        <v>#N/A</v>
        <stp/>
        <stp>VOLUME</stp>
        <stp>.QQQ250530P501</stp>
        <tr r="I47" s="2"/>
      </tp>
      <tp t="e">
        <v>#N/A</v>
        <stp/>
        <stp>VOLUME</stp>
        <stp>.QQQ250530C501</stp>
        <tr r="I47" s="2"/>
      </tp>
      <tp t="e">
        <v>#N/A</v>
        <stp/>
        <stp>VOLUME</stp>
        <stp>.QQQ250530P502</stp>
        <tr r="I46" s="2"/>
      </tp>
      <tp t="e">
        <v>#N/A</v>
        <stp/>
        <stp>VOLUME</stp>
        <stp>.QQQ250530C502</stp>
        <tr r="I46" s="2"/>
      </tp>
      <tp t="e">
        <v>#N/A</v>
        <stp/>
        <stp>VOLUME</stp>
        <stp>.QQQ250523P502</stp>
        <tr r="H46" s="2"/>
      </tp>
      <tp t="e">
        <v>#N/A</v>
        <stp/>
        <stp>VOLUME</stp>
        <stp>.QQQ250523C502</stp>
        <tr r="H46" s="2"/>
      </tp>
      <tp t="e">
        <v>#N/A</v>
        <stp/>
        <stp>VOLUME</stp>
        <stp>.QQQ250523P501</stp>
        <tr r="H47" s="2"/>
      </tp>
      <tp t="e">
        <v>#N/A</v>
        <stp/>
        <stp>VOLUME</stp>
        <stp>.QQQ250523C501</stp>
        <tr r="H47" s="2"/>
      </tp>
      <tp t="e">
        <v>#N/A</v>
        <stp/>
        <stp>VOLUME</stp>
        <stp>.QQQ250523P500</stp>
        <tr r="H48" s="2"/>
      </tp>
      <tp t="e">
        <v>#N/A</v>
        <stp/>
        <stp>VOLUME</stp>
        <stp>.QQQ250523C500</stp>
        <tr r="H48" s="2"/>
      </tp>
      <tp t="e">
        <v>#N/A</v>
        <stp/>
        <stp>BID</stp>
        <stp>.SPXW250502C5480</stp>
        <tr r="DE124" s="1"/>
        <tr r="DE124" s="1"/>
      </tp>
      <tp t="e">
        <v>#N/A</v>
        <stp/>
        <stp>BID</stp>
        <stp>.SPXW250502P5480</stp>
        <tr r="DF124" s="1"/>
        <tr r="DF124" s="1"/>
      </tp>
      <tp t="e">
        <v>#N/A</v>
        <stp/>
        <stp>BID</stp>
        <stp>.SPXW250502C5490</stp>
        <tr r="DE123" s="1"/>
        <tr r="DE123" s="1"/>
      </tp>
      <tp t="e">
        <v>#N/A</v>
        <stp/>
        <stp>BID</stp>
        <stp>.SPXW250502P5490</stp>
        <tr r="DF123" s="1"/>
        <tr r="DF123" s="1"/>
      </tp>
      <tp t="e">
        <v>#N/A</v>
        <stp/>
        <stp>BID</stp>
        <stp>.SPXW250502C5420</stp>
        <tr r="DE130" s="1"/>
        <tr r="DE130" s="1"/>
      </tp>
      <tp t="e">
        <v>#N/A</v>
        <stp/>
        <stp>BID</stp>
        <stp>.SPXW250502P5420</stp>
        <tr r="DF130" s="1"/>
        <tr r="DF130" s="1"/>
      </tp>
      <tp t="e">
        <v>#N/A</v>
        <stp/>
        <stp>BID</stp>
        <stp>.SPXW250502C5430</stp>
        <tr r="DE129" s="1"/>
        <tr r="DE129" s="1"/>
      </tp>
      <tp t="e">
        <v>#N/A</v>
        <stp/>
        <stp>BID</stp>
        <stp>.SPXW250502P5430</stp>
        <tr r="DF129" s="1"/>
        <tr r="DF129" s="1"/>
      </tp>
      <tp t="e">
        <v>#N/A</v>
        <stp/>
        <stp>BID</stp>
        <stp>.SPXW250502C5460</stp>
        <tr r="DE126" s="1"/>
        <tr r="DE126" s="1"/>
      </tp>
      <tp t="e">
        <v>#N/A</v>
        <stp/>
        <stp>BID</stp>
        <stp>.SPXW250502P5460</stp>
        <tr r="DF126" s="1"/>
        <tr r="DF126" s="1"/>
      </tp>
      <tp t="e">
        <v>#N/A</v>
        <stp/>
        <stp>BID</stp>
        <stp>.SPXW250502C5470</stp>
        <tr r="DE125" s="1"/>
        <tr r="DE125" s="1"/>
      </tp>
      <tp t="e">
        <v>#N/A</v>
        <stp/>
        <stp>BID</stp>
        <stp>.SPXW250502P5470</stp>
        <tr r="DF125" s="1"/>
        <tr r="DF125" s="1"/>
      </tp>
      <tp t="e">
        <v>#N/A</v>
        <stp/>
        <stp>BID</stp>
        <stp>.SPXW250502C5440</stp>
        <tr r="DE128" s="1"/>
        <tr r="DE128" s="1"/>
      </tp>
      <tp t="e">
        <v>#N/A</v>
        <stp/>
        <stp>BID</stp>
        <stp>.SPXW250502P5440</stp>
        <tr r="DF128" s="1"/>
        <tr r="DF128" s="1"/>
      </tp>
      <tp t="e">
        <v>#N/A</v>
        <stp/>
        <stp>BID</stp>
        <stp>.SPXW250502C5450</stp>
        <tr r="DE127" s="1"/>
        <tr r="DE127" s="1"/>
      </tp>
      <tp t="e">
        <v>#N/A</v>
        <stp/>
        <stp>BID</stp>
        <stp>.SPXW250502P5450</stp>
        <tr r="DF127" s="1"/>
        <tr r="DF127" s="1"/>
      </tp>
      <tp t="e">
        <v>#N/A</v>
        <stp/>
        <stp>VOLUME</stp>
        <stp>.QQQ250502P496</stp>
        <tr r="BB51" s="1"/>
        <tr r="BB51" s="1"/>
      </tp>
      <tp t="e">
        <v>#N/A</v>
        <stp/>
        <stp>VOLUME</stp>
        <stp>.QQQ250505P491</stp>
        <tr r="B57" s="2"/>
      </tp>
      <tp t="e">
        <v>#N/A</v>
        <stp/>
        <stp>VOLUME</stp>
        <stp>.QQQ250506P492</stp>
        <tr r="C56" s="2"/>
      </tp>
      <tp t="e">
        <v>#N/A</v>
        <stp/>
        <stp>VOLUME</stp>
        <stp>.QQQ250507P493</stp>
        <tr r="D55" s="2"/>
      </tp>
      <tp t="e">
        <v>#N/A</v>
        <stp/>
        <stp>VOLUME</stp>
        <stp>.QQQ250516P482</stp>
        <tr r="BF65" s="1"/>
      </tp>
      <tp t="e">
        <v>#N/A</v>
        <stp/>
        <stp>VOLUME</stp>
        <stp>.QQQ250502C496</stp>
        <tr r="BA51" s="1"/>
        <tr r="BA51" s="1"/>
      </tp>
      <tp t="e">
        <v>#N/A</v>
        <stp/>
        <stp>VOLUME</stp>
        <stp>.QQQ250505C491</stp>
        <tr r="B57" s="2"/>
      </tp>
      <tp t="e">
        <v>#N/A</v>
        <stp/>
        <stp>VOLUME</stp>
        <stp>.QQQ250506C492</stp>
        <tr r="C56" s="2"/>
      </tp>
      <tp t="e">
        <v>#N/A</v>
        <stp/>
        <stp>VOLUME</stp>
        <stp>.QQQ250507C493</stp>
        <tr r="D55" s="2"/>
      </tp>
      <tp t="e">
        <v>#N/A</v>
        <stp/>
        <stp>VOLUME</stp>
        <stp>.QQQ250516C482</stp>
        <tr r="BE65" s="1"/>
      </tp>
      <tp t="e">
        <v>#N/A</v>
        <stp/>
        <stp>VOLUME</stp>
        <stp>.QQQ250502P497</stp>
        <tr r="BB50" s="1"/>
        <tr r="BB50" s="1"/>
      </tp>
      <tp t="e">
        <v>#N/A</v>
        <stp/>
        <stp>VOLUME</stp>
        <stp>.QQQ250505P490</stp>
        <tr r="B58" s="2"/>
      </tp>
      <tp t="e">
        <v>#N/A</v>
        <stp/>
        <stp>VOLUME</stp>
        <stp>.QQQ250506P493</stp>
        <tr r="C55" s="2"/>
      </tp>
      <tp t="e">
        <v>#N/A</v>
        <stp/>
        <stp>VOLUME</stp>
        <stp>.QQQ250507P492</stp>
        <tr r="D56" s="2"/>
      </tp>
      <tp t="e">
        <v>#N/A</v>
        <stp/>
        <stp>VOLUME</stp>
        <stp>.QQQ250516P483</stp>
        <tr r="BF64" s="1"/>
      </tp>
      <tp t="e">
        <v>#N/A</v>
        <stp/>
        <stp>VOLUME</stp>
        <stp>.QQQ250502C497</stp>
        <tr r="BA50" s="1"/>
        <tr r="BA50" s="1"/>
      </tp>
      <tp t="e">
        <v>#N/A</v>
        <stp/>
        <stp>VOLUME</stp>
        <stp>.QQQ250505C490</stp>
        <tr r="B58" s="2"/>
      </tp>
      <tp t="e">
        <v>#N/A</v>
        <stp/>
        <stp>VOLUME</stp>
        <stp>.QQQ250506C493</stp>
        <tr r="C55" s="2"/>
      </tp>
      <tp t="e">
        <v>#N/A</v>
        <stp/>
        <stp>VOLUME</stp>
        <stp>.QQQ250507C492</stp>
        <tr r="D56" s="2"/>
      </tp>
      <tp t="e">
        <v>#N/A</v>
        <stp/>
        <stp>VOLUME</stp>
        <stp>.QQQ250516C483</stp>
        <tr r="BE64" s="1"/>
      </tp>
      <tp t="e">
        <v>#N/A</v>
        <stp/>
        <stp>VOLUME</stp>
        <stp>.QQQ250502P494</stp>
        <tr r="BB53" s="1"/>
        <tr r="BB53" s="1"/>
      </tp>
      <tp t="e">
        <v>#N/A</v>
        <stp/>
        <stp>VOLUME</stp>
        <stp>.QQQ250505P493</stp>
        <tr r="B55" s="2"/>
      </tp>
      <tp t="e">
        <v>#N/A</v>
        <stp/>
        <stp>VOLUME</stp>
        <stp>.QQQ250506P490</stp>
        <tr r="C58" s="2"/>
      </tp>
      <tp t="e">
        <v>#N/A</v>
        <stp/>
        <stp>VOLUME</stp>
        <stp>.QQQ250507P491</stp>
        <tr r="D57" s="2"/>
      </tp>
      <tp t="e">
        <v>#N/A</v>
        <stp/>
        <stp>VOLUME</stp>
        <stp>.QQQ250516P480</stp>
        <tr r="BF67" s="1"/>
        <tr r="BF67" s="1"/>
      </tp>
      <tp t="e">
        <v>#N/A</v>
        <stp/>
        <stp>VOLUME</stp>
        <stp>.QQQ250502C494</stp>
        <tr r="BA53" s="1"/>
        <tr r="BA53" s="1"/>
      </tp>
      <tp t="e">
        <v>#N/A</v>
        <stp/>
        <stp>VOLUME</stp>
        <stp>.QQQ250505C493</stp>
        <tr r="B55" s="2"/>
      </tp>
      <tp t="e">
        <v>#N/A</v>
        <stp/>
        <stp>VOLUME</stp>
        <stp>.QQQ250506C490</stp>
        <tr r="C58" s="2"/>
      </tp>
      <tp t="e">
        <v>#N/A</v>
        <stp/>
        <stp>VOLUME</stp>
        <stp>.QQQ250507C491</stp>
        <tr r="D57" s="2"/>
      </tp>
      <tp t="e">
        <v>#N/A</v>
        <stp/>
        <stp>VOLUME</stp>
        <stp>.QQQ250516C480</stp>
        <tr r="BE67" s="1"/>
        <tr r="BE67" s="1"/>
      </tp>
      <tp t="e">
        <v>#N/A</v>
        <stp/>
        <stp>VOLUME</stp>
        <stp>.QQQ250502P495</stp>
        <tr r="BB52" s="1"/>
        <tr r="BB52" s="1"/>
      </tp>
      <tp t="e">
        <v>#N/A</v>
        <stp/>
        <stp>VOLUME</stp>
        <stp>.QQQ250505P492</stp>
        <tr r="B56" s="2"/>
      </tp>
      <tp t="e">
        <v>#N/A</v>
        <stp/>
        <stp>VOLUME</stp>
        <stp>.QQQ250506P491</stp>
        <tr r="C57" s="2"/>
      </tp>
      <tp t="e">
        <v>#N/A</v>
        <stp/>
        <stp>VOLUME</stp>
        <stp>.QQQ250507P490</stp>
        <tr r="D58" s="2"/>
      </tp>
      <tp t="e">
        <v>#N/A</v>
        <stp/>
        <stp>VOLUME</stp>
        <stp>.QQQ250516P481</stp>
        <tr r="BF66" s="1"/>
      </tp>
      <tp t="e">
        <v>#N/A</v>
        <stp/>
        <stp>VOLUME</stp>
        <stp>.QQQ250502C495</stp>
        <tr r="BA52" s="1"/>
        <tr r="BA52" s="1"/>
      </tp>
      <tp t="e">
        <v>#N/A</v>
        <stp/>
        <stp>VOLUME</stp>
        <stp>.QQQ250505C492</stp>
        <tr r="B56" s="2"/>
      </tp>
      <tp t="e">
        <v>#N/A</v>
        <stp/>
        <stp>VOLUME</stp>
        <stp>.QQQ250506C491</stp>
        <tr r="C57" s="2"/>
      </tp>
      <tp t="e">
        <v>#N/A</v>
        <stp/>
        <stp>VOLUME</stp>
        <stp>.QQQ250507C490</stp>
        <tr r="D58" s="2"/>
      </tp>
      <tp t="e">
        <v>#N/A</v>
        <stp/>
        <stp>VOLUME</stp>
        <stp>.QQQ250516C481</stp>
        <tr r="BE66" s="1"/>
      </tp>
      <tp t="e">
        <v>#N/A</v>
        <stp/>
        <stp>VOLUME</stp>
        <stp>.QQQ250502P492</stp>
        <tr r="BB55" s="1"/>
        <tr r="BB55" s="1"/>
      </tp>
      <tp t="e">
        <v>#N/A</v>
        <stp/>
        <stp>VOLUME</stp>
        <stp>.QQQ250505P495</stp>
        <tr r="B53" s="2"/>
      </tp>
      <tp t="e">
        <v>#N/A</v>
        <stp/>
        <stp>VOLUME</stp>
        <stp>.QQQ250506P496</stp>
        <tr r="C52" s="2"/>
      </tp>
      <tp t="e">
        <v>#N/A</v>
        <stp/>
        <stp>VOLUME</stp>
        <stp>.QQQ250507P497</stp>
        <tr r="D51" s="2"/>
      </tp>
      <tp t="e">
        <v>#N/A</v>
        <stp/>
        <stp>VOLUME</stp>
        <stp>.QQQ250508P498</stp>
        <tr r="E50" s="2"/>
      </tp>
      <tp t="e">
        <v>#N/A</v>
        <stp/>
        <stp>VOLUME</stp>
        <stp>.QQQ250509P499</stp>
        <tr r="BD48" s="1"/>
        <tr r="BD48" s="1"/>
      </tp>
      <tp t="e">
        <v>#N/A</v>
        <stp/>
        <stp>VOLUME</stp>
        <stp>.QQQ250516P486</stp>
        <tr r="BF61" s="1"/>
      </tp>
      <tp t="e">
        <v>#N/A</v>
        <stp/>
        <stp>VOLUME</stp>
        <stp>.QQQ250502C492</stp>
        <tr r="BA55" s="1"/>
        <tr r="BA55" s="1"/>
      </tp>
      <tp t="e">
        <v>#N/A</v>
        <stp/>
        <stp>VOLUME</stp>
        <stp>.QQQ250505C495</stp>
        <tr r="B53" s="2"/>
      </tp>
      <tp t="e">
        <v>#N/A</v>
        <stp/>
        <stp>VOLUME</stp>
        <stp>.QQQ250506C496</stp>
        <tr r="C52" s="2"/>
      </tp>
      <tp t="e">
        <v>#N/A</v>
        <stp/>
        <stp>VOLUME</stp>
        <stp>.QQQ250507C497</stp>
        <tr r="D51" s="2"/>
      </tp>
      <tp t="e">
        <v>#N/A</v>
        <stp/>
        <stp>VOLUME</stp>
        <stp>.QQQ250508C498</stp>
        <tr r="E50" s="2"/>
      </tp>
      <tp t="e">
        <v>#N/A</v>
        <stp/>
        <stp>VOLUME</stp>
        <stp>.QQQ250509C499</stp>
        <tr r="BC48" s="1"/>
        <tr r="BC48" s="1"/>
      </tp>
      <tp t="e">
        <v>#N/A</v>
        <stp/>
        <stp>VOLUME</stp>
        <stp>.QQQ250516C486</stp>
        <tr r="BE61" s="1"/>
      </tp>
      <tp t="e">
        <v>#N/A</v>
        <stp/>
        <stp>VOLUME</stp>
        <stp>.QQQ250502P493</stp>
        <tr r="BB54" s="1"/>
        <tr r="BB54" s="1"/>
      </tp>
      <tp t="e">
        <v>#N/A</v>
        <stp/>
        <stp>VOLUME</stp>
        <stp>.QQQ250505P494</stp>
        <tr r="B54" s="2"/>
      </tp>
      <tp t="e">
        <v>#N/A</v>
        <stp/>
        <stp>VOLUME</stp>
        <stp>.QQQ250506P497</stp>
        <tr r="C51" s="2"/>
      </tp>
      <tp t="e">
        <v>#N/A</v>
        <stp/>
        <stp>VOLUME</stp>
        <stp>.QQQ250507P496</stp>
        <tr r="D52" s="2"/>
      </tp>
      <tp t="e">
        <v>#N/A</v>
        <stp/>
        <stp>VOLUME</stp>
        <stp>.QQQ250508P499</stp>
        <tr r="E49" s="2"/>
      </tp>
      <tp t="e">
        <v>#N/A</v>
        <stp/>
        <stp>VOLUME</stp>
        <stp>.QQQ250509P498</stp>
        <tr r="BD49" s="1"/>
        <tr r="BD49" s="1"/>
      </tp>
      <tp t="e">
        <v>#N/A</v>
        <stp/>
        <stp>VOLUME</stp>
        <stp>.QQQ250516P487</stp>
        <tr r="BF60" s="1"/>
      </tp>
      <tp t="e">
        <v>#N/A</v>
        <stp/>
        <stp>VOLUME</stp>
        <stp>.QQQ250502C493</stp>
        <tr r="BA54" s="1"/>
        <tr r="BA54" s="1"/>
      </tp>
      <tp t="e">
        <v>#N/A</v>
        <stp/>
        <stp>VOLUME</stp>
        <stp>.QQQ250505C494</stp>
        <tr r="B54" s="2"/>
      </tp>
      <tp t="e">
        <v>#N/A</v>
        <stp/>
        <stp>VOLUME</stp>
        <stp>.QQQ250506C497</stp>
        <tr r="C51" s="2"/>
      </tp>
      <tp t="e">
        <v>#N/A</v>
        <stp/>
        <stp>VOLUME</stp>
        <stp>.QQQ250507C496</stp>
        <tr r="D52" s="2"/>
      </tp>
      <tp t="e">
        <v>#N/A</v>
        <stp/>
        <stp>VOLUME</stp>
        <stp>.QQQ250508C499</stp>
        <tr r="E49" s="2"/>
      </tp>
      <tp t="e">
        <v>#N/A</v>
        <stp/>
        <stp>VOLUME</stp>
        <stp>.QQQ250509C498</stp>
        <tr r="BC49" s="1"/>
        <tr r="BC49" s="1"/>
      </tp>
      <tp t="e">
        <v>#N/A</v>
        <stp/>
        <stp>VOLUME</stp>
        <stp>.QQQ250516C487</stp>
        <tr r="BE60" s="1"/>
      </tp>
      <tp t="e">
        <v>#N/A</v>
        <stp/>
        <stp>VOLUME</stp>
        <stp>.QQQ250502P490</stp>
        <tr r="BB57" s="1"/>
        <tr r="BB57" s="1"/>
      </tp>
      <tp t="e">
        <v>#N/A</v>
        <stp/>
        <stp>VOLUME</stp>
        <stp>.QQQ250505P497</stp>
        <tr r="B51" s="2"/>
      </tp>
      <tp t="e">
        <v>#N/A</v>
        <stp/>
        <stp>VOLUME</stp>
        <stp>.QQQ250506P494</stp>
        <tr r="C54" s="2"/>
      </tp>
      <tp t="e">
        <v>#N/A</v>
        <stp/>
        <stp>VOLUME</stp>
        <stp>.QQQ250507P495</stp>
        <tr r="D53" s="2"/>
      </tp>
      <tp t="e">
        <v>#N/A</v>
        <stp/>
        <stp>VOLUME</stp>
        <stp>.QQQ250516P484</stp>
        <tr r="BF63" s="1"/>
      </tp>
      <tp t="e">
        <v>#N/A</v>
        <stp/>
        <stp>VOLUME</stp>
        <stp>.QQQ250502C490</stp>
        <tr r="BA57" s="1"/>
        <tr r="BA57" s="1"/>
      </tp>
      <tp t="e">
        <v>#N/A</v>
        <stp/>
        <stp>VOLUME</stp>
        <stp>.QQQ250505C497</stp>
        <tr r="B51" s="2"/>
      </tp>
      <tp t="e">
        <v>#N/A</v>
        <stp/>
        <stp>VOLUME</stp>
        <stp>.QQQ250506C494</stp>
        <tr r="C54" s="2"/>
      </tp>
      <tp t="e">
        <v>#N/A</v>
        <stp/>
        <stp>VOLUME</stp>
        <stp>.QQQ250507C495</stp>
        <tr r="D53" s="2"/>
      </tp>
      <tp t="e">
        <v>#N/A</v>
        <stp/>
        <stp>VOLUME</stp>
        <stp>.QQQ250516C484</stp>
        <tr r="BE63" s="1"/>
      </tp>
      <tp t="e">
        <v>#N/A</v>
        <stp/>
        <stp>VOLUME</stp>
        <stp>.QQQ250502P491</stp>
        <tr r="BB56" s="1"/>
        <tr r="BB56" s="1"/>
      </tp>
      <tp t="e">
        <v>#N/A</v>
        <stp/>
        <stp>VOLUME</stp>
        <stp>.QQQ250505P496</stp>
        <tr r="B52" s="2"/>
      </tp>
      <tp t="e">
        <v>#N/A</v>
        <stp/>
        <stp>VOLUME</stp>
        <stp>.QQQ250506P495</stp>
        <tr r="C53" s="2"/>
      </tp>
      <tp t="e">
        <v>#N/A</v>
        <stp/>
        <stp>VOLUME</stp>
        <stp>.QQQ250507P494</stp>
        <tr r="D54" s="2"/>
      </tp>
      <tp t="e">
        <v>#N/A</v>
        <stp/>
        <stp>VOLUME</stp>
        <stp>.QQQ250516P485</stp>
        <tr r="BF62" s="1"/>
        <tr r="BF62" s="1"/>
      </tp>
      <tp t="e">
        <v>#N/A</v>
        <stp/>
        <stp>VOLUME</stp>
        <stp>.QQQ250502C491</stp>
        <tr r="BA56" s="1"/>
        <tr r="BA56" s="1"/>
      </tp>
      <tp t="e">
        <v>#N/A</v>
        <stp/>
        <stp>VOLUME</stp>
        <stp>.QQQ250505C496</stp>
        <tr r="B52" s="2"/>
      </tp>
      <tp t="e">
        <v>#N/A</v>
        <stp/>
        <stp>VOLUME</stp>
        <stp>.QQQ250506C495</stp>
        <tr r="C53" s="2"/>
      </tp>
      <tp t="e">
        <v>#N/A</v>
        <stp/>
        <stp>VOLUME</stp>
        <stp>.QQQ250507C494</stp>
        <tr r="D54" s="2"/>
      </tp>
      <tp t="e">
        <v>#N/A</v>
        <stp/>
        <stp>VOLUME</stp>
        <stp>.QQQ250516C485</stp>
        <tr r="BE62" s="1"/>
        <tr r="BE62" s="1"/>
      </tp>
      <tp t="e">
        <v>#N/A</v>
        <stp/>
        <stp>VOLUME</stp>
        <stp>.QQQ250505P499</stp>
        <tr r="B49" s="2"/>
      </tp>
      <tp t="e">
        <v>#N/A</v>
        <stp/>
        <stp>VOLUME</stp>
        <stp>.QQQ250508P494</stp>
        <tr r="E54" s="2"/>
      </tp>
      <tp t="e">
        <v>#N/A</v>
        <stp/>
        <stp>VOLUME</stp>
        <stp>.QQQ250509P495</stp>
        <tr r="BD52" s="1"/>
        <tr r="BD52" s="1"/>
      </tp>
      <tp t="e">
        <v>#N/A</v>
        <stp/>
        <stp>VOLUME</stp>
        <stp>.QQQ250505C499</stp>
        <tr r="B49" s="2"/>
      </tp>
      <tp t="e">
        <v>#N/A</v>
        <stp/>
        <stp>VOLUME</stp>
        <stp>.QQQ250508C494</stp>
        <tr r="E54" s="2"/>
      </tp>
      <tp t="e">
        <v>#N/A</v>
        <stp/>
        <stp>VOLUME</stp>
        <stp>.QQQ250509C495</stp>
        <tr r="BC52" s="1"/>
        <tr r="BC52" s="1"/>
      </tp>
      <tp t="e">
        <v>#N/A</v>
        <stp/>
        <stp>VOLUME</stp>
        <stp>.QQQ250505P498</stp>
        <tr r="B50" s="2"/>
      </tp>
      <tp t="e">
        <v>#N/A</v>
        <stp/>
        <stp>VOLUME</stp>
        <stp>.QQQ250508P495</stp>
        <tr r="E53" s="2"/>
      </tp>
      <tp t="e">
        <v>#N/A</v>
        <stp/>
        <stp>VOLUME</stp>
        <stp>.QQQ250509P494</stp>
        <tr r="BD53" s="1"/>
        <tr r="BD53" s="1"/>
      </tp>
      <tp t="e">
        <v>#N/A</v>
        <stp/>
        <stp>VOLUME</stp>
        <stp>.QQQ250505C498</stp>
        <tr r="B50" s="2"/>
      </tp>
      <tp t="e">
        <v>#N/A</v>
        <stp/>
        <stp>VOLUME</stp>
        <stp>.QQQ250508C495</stp>
        <tr r="E53" s="2"/>
      </tp>
      <tp t="e">
        <v>#N/A</v>
        <stp/>
        <stp>VOLUME</stp>
        <stp>.QQQ250509C494</stp>
        <tr r="BC53" s="1"/>
        <tr r="BC53" s="1"/>
      </tp>
      <tp t="e">
        <v>#N/A</v>
        <stp/>
        <stp>VOLUME</stp>
        <stp>.QQQ250506P498</stp>
        <tr r="C50" s="2"/>
      </tp>
      <tp t="e">
        <v>#N/A</v>
        <stp/>
        <stp>VOLUME</stp>
        <stp>.QQQ250507P499</stp>
        <tr r="D49" s="2"/>
      </tp>
      <tp t="e">
        <v>#N/A</v>
        <stp/>
        <stp>VOLUME</stp>
        <stp>.QQQ250508P496</stp>
        <tr r="E52" s="2"/>
      </tp>
      <tp t="e">
        <v>#N/A</v>
        <stp/>
        <stp>VOLUME</stp>
        <stp>.QQQ250509P497</stp>
        <tr r="BD50" s="1"/>
        <tr r="BD50" s="1"/>
      </tp>
      <tp t="e">
        <v>#N/A</v>
        <stp/>
        <stp>VOLUME</stp>
        <stp>.QQQ250516P488</stp>
        <tr r="BF59" s="1"/>
      </tp>
      <tp t="e">
        <v>#N/A</v>
        <stp/>
        <stp>VOLUME</stp>
        <stp>.QQQ250506C498</stp>
        <tr r="C50" s="2"/>
      </tp>
      <tp t="e">
        <v>#N/A</v>
        <stp/>
        <stp>VOLUME</stp>
        <stp>.QQQ250507C499</stp>
        <tr r="D49" s="2"/>
      </tp>
      <tp t="e">
        <v>#N/A</v>
        <stp/>
        <stp>VOLUME</stp>
        <stp>.QQQ250508C496</stp>
        <tr r="E52" s="2"/>
      </tp>
      <tp t="e">
        <v>#N/A</v>
        <stp/>
        <stp>VOLUME</stp>
        <stp>.QQQ250509C497</stp>
        <tr r="BC50" s="1"/>
        <tr r="BC50" s="1"/>
      </tp>
      <tp t="e">
        <v>#N/A</v>
        <stp/>
        <stp>VOLUME</stp>
        <stp>.QQQ250516C488</stp>
        <tr r="BE59" s="1"/>
      </tp>
      <tp t="e">
        <v>#N/A</v>
        <stp/>
        <stp>VOLUME</stp>
        <stp>.QQQ250506P499</stp>
        <tr r="C49" s="2"/>
      </tp>
      <tp t="e">
        <v>#N/A</v>
        <stp/>
        <stp>VOLUME</stp>
        <stp>.QQQ250507P498</stp>
        <tr r="D50" s="2"/>
      </tp>
      <tp t="e">
        <v>#N/A</v>
        <stp/>
        <stp>VOLUME</stp>
        <stp>.QQQ250508P497</stp>
        <tr r="E51" s="2"/>
      </tp>
      <tp t="e">
        <v>#N/A</v>
        <stp/>
        <stp>VOLUME</stp>
        <stp>.QQQ250509P496</stp>
        <tr r="BD51" s="1"/>
        <tr r="BD51" s="1"/>
      </tp>
      <tp t="e">
        <v>#N/A</v>
        <stp/>
        <stp>VOLUME</stp>
        <stp>.QQQ250516P489</stp>
        <tr r="BF58" s="1"/>
      </tp>
      <tp t="e">
        <v>#N/A</v>
        <stp/>
        <stp>VOLUME</stp>
        <stp>.QQQ250506C499</stp>
        <tr r="C49" s="2"/>
      </tp>
      <tp t="e">
        <v>#N/A</v>
        <stp/>
        <stp>VOLUME</stp>
        <stp>.QQQ250507C498</stp>
        <tr r="D50" s="2"/>
      </tp>
      <tp t="e">
        <v>#N/A</v>
        <stp/>
        <stp>VOLUME</stp>
        <stp>.QQQ250508C497</stp>
        <tr r="E51" s="2"/>
      </tp>
      <tp t="e">
        <v>#N/A</v>
        <stp/>
        <stp>VOLUME</stp>
        <stp>.QQQ250509C496</stp>
        <tr r="BC51" s="1"/>
        <tr r="BC51" s="1"/>
      </tp>
      <tp t="e">
        <v>#N/A</v>
        <stp/>
        <stp>VOLUME</stp>
        <stp>.QQQ250516C489</stp>
        <tr r="BE58" s="1"/>
      </tp>
      <tp t="e">
        <v>#N/A</v>
        <stp/>
        <stp>VOLUME</stp>
        <stp>.QQQ250508P490</stp>
        <tr r="E58" s="2"/>
      </tp>
      <tp t="e">
        <v>#N/A</v>
        <stp/>
        <stp>VOLUME</stp>
        <stp>.QQQ250509P491</stp>
        <tr r="BD56" s="1"/>
        <tr r="BD56" s="1"/>
      </tp>
      <tp t="e">
        <v>#N/A</v>
        <stp/>
        <stp>VOLUME</stp>
        <stp>.QQQ250508C490</stp>
        <tr r="E58" s="2"/>
      </tp>
      <tp t="e">
        <v>#N/A</v>
        <stp/>
        <stp>VOLUME</stp>
        <stp>.QQQ250509C491</stp>
        <tr r="BC56" s="1"/>
        <tr r="BC56" s="1"/>
      </tp>
      <tp t="e">
        <v>#N/A</v>
        <stp/>
        <stp>VOLUME</stp>
        <stp>.QQQ250508P491</stp>
        <tr r="E57" s="2"/>
      </tp>
      <tp t="e">
        <v>#N/A</v>
        <stp/>
        <stp>VOLUME</stp>
        <stp>.QQQ250509P490</stp>
        <tr r="BD57" s="1"/>
        <tr r="BD57" s="1"/>
      </tp>
      <tp t="e">
        <v>#N/A</v>
        <stp/>
        <stp>VOLUME</stp>
        <stp>.QQQ250508C491</stp>
        <tr r="E57" s="2"/>
      </tp>
      <tp t="e">
        <v>#N/A</v>
        <stp/>
        <stp>VOLUME</stp>
        <stp>.QQQ250509C490</stp>
        <tr r="BC57" s="1"/>
        <tr r="BC57" s="1"/>
      </tp>
      <tp t="e">
        <v>#N/A</v>
        <stp/>
        <stp>VOLUME</stp>
        <stp>.QQQ250502P498</stp>
        <tr r="BB49" s="1"/>
        <tr r="BB49" s="1"/>
      </tp>
      <tp t="e">
        <v>#N/A</v>
        <stp/>
        <stp>VOLUME</stp>
        <stp>.QQQ250508P492</stp>
        <tr r="E56" s="2"/>
      </tp>
      <tp t="e">
        <v>#N/A</v>
        <stp/>
        <stp>VOLUME</stp>
        <stp>.QQQ250509P493</stp>
        <tr r="BD54" s="1"/>
        <tr r="BD54" s="1"/>
      </tp>
      <tp t="e">
        <v>#N/A</v>
        <stp/>
        <stp>VOLUME</stp>
        <stp>.QQQ250502C498</stp>
        <tr r="BA49" s="1"/>
        <tr r="BA49" s="1"/>
      </tp>
      <tp t="e">
        <v>#N/A</v>
        <stp/>
        <stp>VOLUME</stp>
        <stp>.QQQ250508C492</stp>
        <tr r="E56" s="2"/>
      </tp>
      <tp t="e">
        <v>#N/A</v>
        <stp/>
        <stp>VOLUME</stp>
        <stp>.QQQ250509C493</stp>
        <tr r="BC54" s="1"/>
        <tr r="BC54" s="1"/>
      </tp>
      <tp t="e">
        <v>#N/A</v>
        <stp/>
        <stp>VOLUME</stp>
        <stp>.QQQ250502P499</stp>
        <tr r="BB48" s="1"/>
        <tr r="BB48" s="1"/>
      </tp>
      <tp t="e">
        <v>#N/A</v>
        <stp/>
        <stp>VOLUME</stp>
        <stp>.QQQ250508P493</stp>
        <tr r="E55" s="2"/>
      </tp>
      <tp t="e">
        <v>#N/A</v>
        <stp/>
        <stp>VOLUME</stp>
        <stp>.QQQ250509P492</stp>
        <tr r="BD55" s="1"/>
        <tr r="BD55" s="1"/>
      </tp>
      <tp t="e">
        <v>#N/A</v>
        <stp/>
        <stp>VOLUME</stp>
        <stp>.QQQ250502C499</stp>
        <tr r="BA48" s="1"/>
        <tr r="BA48" s="1"/>
      </tp>
      <tp t="e">
        <v>#N/A</v>
        <stp/>
        <stp>VOLUME</stp>
        <stp>.QQQ250508C493</stp>
        <tr r="E55" s="2"/>
      </tp>
      <tp t="e">
        <v>#N/A</v>
        <stp/>
        <stp>VOLUME</stp>
        <stp>.QQQ250509C492</stp>
        <tr r="BC55" s="1"/>
        <tr r="BC55" s="1"/>
      </tp>
      <tp t="e">
        <v>#N/A</v>
        <stp/>
        <stp>VOLUME</stp>
        <stp>.QQQ250502P486</stp>
        <tr r="BB61" s="1"/>
        <tr r="BB61" s="1"/>
      </tp>
      <tp t="e">
        <v>#N/A</v>
        <stp/>
        <stp>VOLUME</stp>
        <stp>.QQQ250505P481</stp>
        <tr r="B67" s="2"/>
      </tp>
      <tp t="e">
        <v>#N/A</v>
        <stp/>
        <stp>VOLUME</stp>
        <stp>.QQQ250506P482</stp>
        <tr r="C66" s="2"/>
      </tp>
      <tp t="e">
        <v>#N/A</v>
        <stp/>
        <stp>VOLUME</stp>
        <stp>.QQQ250507P483</stp>
        <tr r="D65" s="2"/>
      </tp>
      <tp t="e">
        <v>#N/A</v>
        <stp/>
        <stp>VOLUME</stp>
        <stp>.QQQ250516P492</stp>
        <tr r="BF55" s="1"/>
      </tp>
      <tp t="e">
        <v>#N/A</v>
        <stp/>
        <stp>VOLUME</stp>
        <stp>.QQQ250502C486</stp>
        <tr r="BA61" s="1"/>
        <tr r="BA61" s="1"/>
      </tp>
      <tp t="e">
        <v>#N/A</v>
        <stp/>
        <stp>VOLUME</stp>
        <stp>.QQQ250505C481</stp>
        <tr r="B67" s="2"/>
      </tp>
      <tp t="e">
        <v>#N/A</v>
        <stp/>
        <stp>VOLUME</stp>
        <stp>.QQQ250506C482</stp>
        <tr r="C66" s="2"/>
      </tp>
      <tp t="e">
        <v>#N/A</v>
        <stp/>
        <stp>VOLUME</stp>
        <stp>.QQQ250507C483</stp>
        <tr r="D65" s="2"/>
      </tp>
      <tp t="e">
        <v>#N/A</v>
        <stp/>
        <stp>VOLUME</stp>
        <stp>.QQQ250516C492</stp>
        <tr r="BE55" s="1"/>
      </tp>
      <tp t="e">
        <v>#N/A</v>
        <stp/>
        <stp>VOLUME</stp>
        <stp>.QQQ250502P487</stp>
        <tr r="BB60" s="1"/>
        <tr r="BB60" s="1"/>
      </tp>
      <tp t="e">
        <v>#N/A</v>
        <stp/>
        <stp>VOLUME</stp>
        <stp>.QQQ250505P480</stp>
        <tr r="B68" s="2"/>
      </tp>
      <tp t="e">
        <v>#N/A</v>
        <stp/>
        <stp>VOLUME</stp>
        <stp>.QQQ250506P483</stp>
        <tr r="C65" s="2"/>
      </tp>
      <tp t="e">
        <v>#N/A</v>
        <stp/>
        <stp>VOLUME</stp>
        <stp>.QQQ250507P482</stp>
        <tr r="D66" s="2"/>
      </tp>
      <tp t="e">
        <v>#N/A</v>
        <stp/>
        <stp>VOLUME</stp>
        <stp>.QQQ250516P493</stp>
        <tr r="BF54" s="1"/>
      </tp>
      <tp t="e">
        <v>#N/A</v>
        <stp/>
        <stp>VOLUME</stp>
        <stp>.QQQ250502C487</stp>
        <tr r="BA60" s="1"/>
        <tr r="BA60" s="1"/>
      </tp>
      <tp t="e">
        <v>#N/A</v>
        <stp/>
        <stp>VOLUME</stp>
        <stp>.QQQ250505C480</stp>
        <tr r="B68" s="2"/>
      </tp>
      <tp t="e">
        <v>#N/A</v>
        <stp/>
        <stp>VOLUME</stp>
        <stp>.QQQ250506C483</stp>
        <tr r="C65" s="2"/>
      </tp>
      <tp t="e">
        <v>#N/A</v>
        <stp/>
        <stp>VOLUME</stp>
        <stp>.QQQ250507C482</stp>
        <tr r="D66" s="2"/>
      </tp>
      <tp t="e">
        <v>#N/A</v>
        <stp/>
        <stp>VOLUME</stp>
        <stp>.QQQ250516C493</stp>
        <tr r="BE54" s="1"/>
      </tp>
      <tp t="e">
        <v>#N/A</v>
        <stp/>
        <stp>VOLUME</stp>
        <stp>.QQQ250502P484</stp>
        <tr r="BB63" s="1"/>
        <tr r="BB63" s="1"/>
      </tp>
      <tp t="e">
        <v>#N/A</v>
        <stp/>
        <stp>VOLUME</stp>
        <stp>.QQQ250505P483</stp>
        <tr r="B65" s="2"/>
      </tp>
      <tp t="e">
        <v>#N/A</v>
        <stp/>
        <stp>VOLUME</stp>
        <stp>.QQQ250506P480</stp>
        <tr r="C68" s="2"/>
      </tp>
      <tp t="e">
        <v>#N/A</v>
        <stp/>
        <stp>VOLUME</stp>
        <stp>.QQQ250507P481</stp>
        <tr r="D67" s="2"/>
      </tp>
      <tp t="e">
        <v>#N/A</v>
        <stp/>
        <stp>VOLUME</stp>
        <stp>.QQQ250516P490</stp>
        <tr r="BF57" s="1"/>
        <tr r="BF57" s="1"/>
      </tp>
      <tp t="e">
        <v>#N/A</v>
        <stp/>
        <stp>VOLUME</stp>
        <stp>.QQQ250502C484</stp>
        <tr r="BA63" s="1"/>
        <tr r="BA63" s="1"/>
      </tp>
      <tp t="e">
        <v>#N/A</v>
        <stp/>
        <stp>VOLUME</stp>
        <stp>.QQQ250505C483</stp>
        <tr r="B65" s="2"/>
      </tp>
      <tp t="e">
        <v>#N/A</v>
        <stp/>
        <stp>VOLUME</stp>
        <stp>.QQQ250506C480</stp>
        <tr r="C68" s="2"/>
      </tp>
      <tp t="e">
        <v>#N/A</v>
        <stp/>
        <stp>VOLUME</stp>
        <stp>.QQQ250507C481</stp>
        <tr r="D67" s="2"/>
      </tp>
      <tp t="e">
        <v>#N/A</v>
        <stp/>
        <stp>VOLUME</stp>
        <stp>.QQQ250516C490</stp>
        <tr r="BE57" s="1"/>
        <tr r="BE57" s="1"/>
      </tp>
      <tp t="e">
        <v>#N/A</v>
        <stp/>
        <stp>VOLUME</stp>
        <stp>.QQQ250502P485</stp>
        <tr r="BB62" s="1"/>
        <tr r="BB62" s="1"/>
      </tp>
      <tp t="e">
        <v>#N/A</v>
        <stp/>
        <stp>VOLUME</stp>
        <stp>.QQQ250505P482</stp>
        <tr r="B66" s="2"/>
      </tp>
      <tp t="e">
        <v>#N/A</v>
        <stp/>
        <stp>VOLUME</stp>
        <stp>.QQQ250506P481</stp>
        <tr r="C67" s="2"/>
      </tp>
      <tp t="e">
        <v>#N/A</v>
        <stp/>
        <stp>VOLUME</stp>
        <stp>.QQQ250507P480</stp>
        <tr r="D68" s="2"/>
      </tp>
      <tp t="e">
        <v>#N/A</v>
        <stp/>
        <stp>VOLUME</stp>
        <stp>.QQQ250516P491</stp>
        <tr r="BF56" s="1"/>
      </tp>
      <tp t="e">
        <v>#N/A</v>
        <stp/>
        <stp>VOLUME</stp>
        <stp>.QQQ250502C485</stp>
        <tr r="BA62" s="1"/>
        <tr r="BA62" s="1"/>
      </tp>
      <tp t="e">
        <v>#N/A</v>
        <stp/>
        <stp>VOLUME</stp>
        <stp>.QQQ250505C482</stp>
        <tr r="B66" s="2"/>
      </tp>
      <tp t="e">
        <v>#N/A</v>
        <stp/>
        <stp>VOLUME</stp>
        <stp>.QQQ250506C481</stp>
        <tr r="C67" s="2"/>
      </tp>
      <tp t="e">
        <v>#N/A</v>
        <stp/>
        <stp>VOLUME</stp>
        <stp>.QQQ250507C480</stp>
        <tr r="D68" s="2"/>
      </tp>
      <tp t="e">
        <v>#N/A</v>
        <stp/>
        <stp>VOLUME</stp>
        <stp>.QQQ250516C491</stp>
        <tr r="BE56" s="1"/>
      </tp>
      <tp t="e">
        <v>#N/A</v>
        <stp/>
        <stp>VOLUME</stp>
        <stp>.QQQ250502P482</stp>
        <tr r="BB65" s="1"/>
        <tr r="BB65" s="1"/>
      </tp>
      <tp t="e">
        <v>#N/A</v>
        <stp/>
        <stp>VOLUME</stp>
        <stp>.QQQ250505P485</stp>
        <tr r="B63" s="2"/>
      </tp>
      <tp t="e">
        <v>#N/A</v>
        <stp/>
        <stp>VOLUME</stp>
        <stp>.QQQ250506P486</stp>
        <tr r="C62" s="2"/>
      </tp>
      <tp t="e">
        <v>#N/A</v>
        <stp/>
        <stp>VOLUME</stp>
        <stp>.QQQ250507P487</stp>
        <tr r="D61" s="2"/>
      </tp>
      <tp t="e">
        <v>#N/A</v>
        <stp/>
        <stp>VOLUME</stp>
        <stp>.QQQ250508P488</stp>
        <tr r="E60" s="2"/>
      </tp>
      <tp t="e">
        <v>#N/A</v>
        <stp/>
        <stp>VOLUME</stp>
        <stp>.QQQ250509P489</stp>
        <tr r="BD58" s="1"/>
        <tr r="BD58" s="1"/>
      </tp>
      <tp t="e">
        <v>#N/A</v>
        <stp/>
        <stp>VOLUME</stp>
        <stp>.QQQ250516P496</stp>
        <tr r="BF51" s="1"/>
      </tp>
      <tp t="e">
        <v>#N/A</v>
        <stp/>
        <stp>VOLUME</stp>
        <stp>.QQQ250502C482</stp>
        <tr r="BA65" s="1"/>
        <tr r="BA65" s="1"/>
      </tp>
      <tp t="e">
        <v>#N/A</v>
        <stp/>
        <stp>VOLUME</stp>
        <stp>.QQQ250505C485</stp>
        <tr r="B63" s="2"/>
      </tp>
      <tp t="e">
        <v>#N/A</v>
        <stp/>
        <stp>VOLUME</stp>
        <stp>.QQQ250506C486</stp>
        <tr r="C62" s="2"/>
      </tp>
      <tp t="e">
        <v>#N/A</v>
        <stp/>
        <stp>VOLUME</stp>
        <stp>.QQQ250507C487</stp>
        <tr r="D61" s="2"/>
      </tp>
      <tp t="e">
        <v>#N/A</v>
        <stp/>
        <stp>VOLUME</stp>
        <stp>.QQQ250508C488</stp>
        <tr r="E60" s="2"/>
      </tp>
      <tp t="e">
        <v>#N/A</v>
        <stp/>
        <stp>VOLUME</stp>
        <stp>.QQQ250509C489</stp>
        <tr r="BC58" s="1"/>
        <tr r="BC58" s="1"/>
      </tp>
      <tp t="e">
        <v>#N/A</v>
        <stp/>
        <stp>VOLUME</stp>
        <stp>.QQQ250516C496</stp>
        <tr r="BE51" s="1"/>
      </tp>
      <tp t="e">
        <v>#N/A</v>
        <stp/>
        <stp>VOLUME</stp>
        <stp>.QQQ250502P483</stp>
        <tr r="BB64" s="1"/>
        <tr r="BB64" s="1"/>
      </tp>
      <tp t="e">
        <v>#N/A</v>
        <stp/>
        <stp>VOLUME</stp>
        <stp>.QQQ250505P484</stp>
        <tr r="B64" s="2"/>
      </tp>
      <tp t="e">
        <v>#N/A</v>
        <stp/>
        <stp>VOLUME</stp>
        <stp>.QQQ250506P487</stp>
        <tr r="C61" s="2"/>
      </tp>
      <tp t="e">
        <v>#N/A</v>
        <stp/>
        <stp>VOLUME</stp>
        <stp>.QQQ250507P486</stp>
        <tr r="D62" s="2"/>
      </tp>
      <tp t="e">
        <v>#N/A</v>
        <stp/>
        <stp>VOLUME</stp>
        <stp>.QQQ250508P489</stp>
        <tr r="E59" s="2"/>
      </tp>
      <tp t="e">
        <v>#N/A</v>
        <stp/>
        <stp>VOLUME</stp>
        <stp>.QQQ250509P488</stp>
        <tr r="BD59" s="1"/>
        <tr r="BD59" s="1"/>
      </tp>
      <tp t="e">
        <v>#N/A</v>
        <stp/>
        <stp>VOLUME</stp>
        <stp>.QQQ250516P497</stp>
        <tr r="BF50" s="1"/>
      </tp>
      <tp t="e">
        <v>#N/A</v>
        <stp/>
        <stp>VOLUME</stp>
        <stp>.QQQ250502C483</stp>
        <tr r="BA64" s="1"/>
        <tr r="BA64" s="1"/>
      </tp>
      <tp t="e">
        <v>#N/A</v>
        <stp/>
        <stp>VOLUME</stp>
        <stp>.QQQ250505C484</stp>
        <tr r="B64" s="2"/>
      </tp>
      <tp t="e">
        <v>#N/A</v>
        <stp/>
        <stp>VOLUME</stp>
        <stp>.QQQ250506C487</stp>
        <tr r="C61" s="2"/>
      </tp>
      <tp t="e">
        <v>#N/A</v>
        <stp/>
        <stp>VOLUME</stp>
        <stp>.QQQ250507C486</stp>
        <tr r="D62" s="2"/>
      </tp>
      <tp t="e">
        <v>#N/A</v>
        <stp/>
        <stp>VOLUME</stp>
        <stp>.QQQ250508C489</stp>
        <tr r="E59" s="2"/>
      </tp>
      <tp t="e">
        <v>#N/A</v>
        <stp/>
        <stp>VOLUME</stp>
        <stp>.QQQ250509C488</stp>
        <tr r="BC59" s="1"/>
        <tr r="BC59" s="1"/>
      </tp>
      <tp t="e">
        <v>#N/A</v>
        <stp/>
        <stp>VOLUME</stp>
        <stp>.QQQ250516C497</stp>
        <tr r="BE50" s="1"/>
      </tp>
      <tp t="e">
        <v>#N/A</v>
        <stp/>
        <stp>VOLUME</stp>
        <stp>.QQQ250502P480</stp>
        <tr r="BB67" s="1"/>
        <tr r="BB67" s="1"/>
      </tp>
      <tp t="e">
        <v>#N/A</v>
        <stp/>
        <stp>VOLUME</stp>
        <stp>.QQQ250505P487</stp>
        <tr r="B61" s="2"/>
      </tp>
      <tp t="e">
        <v>#N/A</v>
        <stp/>
        <stp>VOLUME</stp>
        <stp>.QQQ250506P484</stp>
        <tr r="C64" s="2"/>
      </tp>
      <tp t="e">
        <v>#N/A</v>
        <stp/>
        <stp>VOLUME</stp>
        <stp>.QQQ250507P485</stp>
        <tr r="D63" s="2"/>
      </tp>
      <tp t="e">
        <v>#N/A</v>
        <stp/>
        <stp>VOLUME</stp>
        <stp>.QQQ250516P494</stp>
        <tr r="BF53" s="1"/>
      </tp>
      <tp t="e">
        <v>#N/A</v>
        <stp/>
        <stp>VOLUME</stp>
        <stp>.QQQ250502C480</stp>
        <tr r="BA67" s="1"/>
        <tr r="BA67" s="1"/>
      </tp>
      <tp t="e">
        <v>#N/A</v>
        <stp/>
        <stp>VOLUME</stp>
        <stp>.QQQ250505C487</stp>
        <tr r="B61" s="2"/>
      </tp>
      <tp t="e">
        <v>#N/A</v>
        <stp/>
        <stp>VOLUME</stp>
        <stp>.QQQ250506C484</stp>
        <tr r="C64" s="2"/>
      </tp>
      <tp t="e">
        <v>#N/A</v>
        <stp/>
        <stp>VOLUME</stp>
        <stp>.QQQ250507C485</stp>
        <tr r="D63" s="2"/>
      </tp>
      <tp t="e">
        <v>#N/A</v>
        <stp/>
        <stp>VOLUME</stp>
        <stp>.QQQ250516C494</stp>
        <tr r="BE53" s="1"/>
      </tp>
      <tp t="e">
        <v>#N/A</v>
        <stp/>
        <stp>VOLUME</stp>
        <stp>.QQQ250502P481</stp>
        <tr r="BB66" s="1"/>
        <tr r="BB66" s="1"/>
      </tp>
      <tp t="e">
        <v>#N/A</v>
        <stp/>
        <stp>VOLUME</stp>
        <stp>.QQQ250505P486</stp>
        <tr r="B62" s="2"/>
      </tp>
      <tp t="e">
        <v>#N/A</v>
        <stp/>
        <stp>VOLUME</stp>
        <stp>.QQQ250506P485</stp>
        <tr r="C63" s="2"/>
      </tp>
      <tp t="e">
        <v>#N/A</v>
        <stp/>
        <stp>VOLUME</stp>
        <stp>.QQQ250507P484</stp>
        <tr r="D64" s="2"/>
      </tp>
      <tp t="e">
        <v>#N/A</v>
        <stp/>
        <stp>VOLUME</stp>
        <stp>.QQQ250516P495</stp>
        <tr r="BF52" s="1"/>
        <tr r="BF52" s="1"/>
      </tp>
      <tp t="e">
        <v>#N/A</v>
        <stp/>
        <stp>VOLUME</stp>
        <stp>.QQQ250502C481</stp>
        <tr r="BA66" s="1"/>
        <tr r="BA66" s="1"/>
      </tp>
      <tp t="e">
        <v>#N/A</v>
        <stp/>
        <stp>VOLUME</stp>
        <stp>.QQQ250505C486</stp>
        <tr r="B62" s="2"/>
      </tp>
      <tp t="e">
        <v>#N/A</v>
        <stp/>
        <stp>VOLUME</stp>
        <stp>.QQQ250506C485</stp>
        <tr r="C63" s="2"/>
      </tp>
      <tp t="e">
        <v>#N/A</v>
        <stp/>
        <stp>VOLUME</stp>
        <stp>.QQQ250507C484</stp>
        <tr r="D64" s="2"/>
      </tp>
      <tp t="e">
        <v>#N/A</v>
        <stp/>
        <stp>VOLUME</stp>
        <stp>.QQQ250516C495</stp>
        <tr r="BE52" s="1"/>
        <tr r="BE52" s="1"/>
      </tp>
      <tp t="e">
        <v>#N/A</v>
        <stp/>
        <stp>VOLUME</stp>
        <stp>.QQQ250505P489</stp>
        <tr r="B59" s="2"/>
      </tp>
      <tp t="e">
        <v>#N/A</v>
        <stp/>
        <stp>VOLUME</stp>
        <stp>.QQQ250508P484</stp>
        <tr r="E64" s="2"/>
      </tp>
      <tp t="e">
        <v>#N/A</v>
        <stp/>
        <stp>VOLUME</stp>
        <stp>.QQQ250509P485</stp>
        <tr r="BD62" s="1"/>
        <tr r="BD62" s="1"/>
      </tp>
      <tp t="e">
        <v>#N/A</v>
        <stp/>
        <stp>VOLUME</stp>
        <stp>.QQQ250505C489</stp>
        <tr r="B59" s="2"/>
      </tp>
      <tp t="e">
        <v>#N/A</v>
        <stp/>
        <stp>VOLUME</stp>
        <stp>.QQQ250508C484</stp>
        <tr r="E64" s="2"/>
      </tp>
      <tp t="e">
        <v>#N/A</v>
        <stp/>
        <stp>VOLUME</stp>
        <stp>.QQQ250509C485</stp>
        <tr r="BC62" s="1"/>
        <tr r="BC62" s="1"/>
      </tp>
      <tp t="e">
        <v>#N/A</v>
        <stp/>
        <stp>VOLUME</stp>
        <stp>.QQQ250505P488</stp>
        <tr r="B60" s="2"/>
      </tp>
      <tp t="e">
        <v>#N/A</v>
        <stp/>
        <stp>VOLUME</stp>
        <stp>.QQQ250508P485</stp>
        <tr r="E63" s="2"/>
      </tp>
      <tp t="e">
        <v>#N/A</v>
        <stp/>
        <stp>VOLUME</stp>
        <stp>.QQQ250509P484</stp>
        <tr r="BD63" s="1"/>
        <tr r="BD63" s="1"/>
      </tp>
      <tp t="e">
        <v>#N/A</v>
        <stp/>
        <stp>VOLUME</stp>
        <stp>.QQQ250505C488</stp>
        <tr r="B60" s="2"/>
      </tp>
      <tp t="e">
        <v>#N/A</v>
        <stp/>
        <stp>VOLUME</stp>
        <stp>.QQQ250508C485</stp>
        <tr r="E63" s="2"/>
      </tp>
      <tp t="e">
        <v>#N/A</v>
        <stp/>
        <stp>VOLUME</stp>
        <stp>.QQQ250509C484</stp>
        <tr r="BC63" s="1"/>
        <tr r="BC63" s="1"/>
      </tp>
      <tp t="e">
        <v>#N/A</v>
        <stp/>
        <stp>VOLUME</stp>
        <stp>.QQQ250506P488</stp>
        <tr r="C60" s="2"/>
      </tp>
      <tp t="e">
        <v>#N/A</v>
        <stp/>
        <stp>VOLUME</stp>
        <stp>.QQQ250507P489</stp>
        <tr r="D59" s="2"/>
      </tp>
      <tp t="e">
        <v>#N/A</v>
        <stp/>
        <stp>VOLUME</stp>
        <stp>.QQQ250508P486</stp>
        <tr r="E62" s="2"/>
      </tp>
      <tp t="e">
        <v>#N/A</v>
        <stp/>
        <stp>VOLUME</stp>
        <stp>.QQQ250509P487</stp>
        <tr r="BD60" s="1"/>
        <tr r="BD60" s="1"/>
      </tp>
      <tp t="e">
        <v>#N/A</v>
        <stp/>
        <stp>VOLUME</stp>
        <stp>.QQQ250516P498</stp>
        <tr r="BF49" s="1"/>
      </tp>
      <tp t="e">
        <v>#N/A</v>
        <stp/>
        <stp>VOLUME</stp>
        <stp>.QQQ250506C488</stp>
        <tr r="C60" s="2"/>
      </tp>
      <tp t="e">
        <v>#N/A</v>
        <stp/>
        <stp>VOLUME</stp>
        <stp>.QQQ250507C489</stp>
        <tr r="D59" s="2"/>
      </tp>
      <tp t="e">
        <v>#N/A</v>
        <stp/>
        <stp>VOLUME</stp>
        <stp>.QQQ250508C486</stp>
        <tr r="E62" s="2"/>
      </tp>
      <tp t="e">
        <v>#N/A</v>
        <stp/>
        <stp>VOLUME</stp>
        <stp>.QQQ250509C487</stp>
        <tr r="BC60" s="1"/>
        <tr r="BC60" s="1"/>
      </tp>
      <tp t="e">
        <v>#N/A</v>
        <stp/>
        <stp>VOLUME</stp>
        <stp>.QQQ250516C498</stp>
        <tr r="BE49" s="1"/>
      </tp>
      <tp t="e">
        <v>#N/A</v>
        <stp/>
        <stp>VOLUME</stp>
        <stp>.QQQ250506P489</stp>
        <tr r="C59" s="2"/>
      </tp>
      <tp t="e">
        <v>#N/A</v>
        <stp/>
        <stp>VOLUME</stp>
        <stp>.QQQ250507P488</stp>
        <tr r="D60" s="2"/>
      </tp>
      <tp t="e">
        <v>#N/A</v>
        <stp/>
        <stp>VOLUME</stp>
        <stp>.QQQ250508P487</stp>
        <tr r="E61" s="2"/>
      </tp>
      <tp t="e">
        <v>#N/A</v>
        <stp/>
        <stp>VOLUME</stp>
        <stp>.QQQ250509P486</stp>
        <tr r="BD61" s="1"/>
        <tr r="BD61" s="1"/>
      </tp>
      <tp t="e">
        <v>#N/A</v>
        <stp/>
        <stp>VOLUME</stp>
        <stp>.QQQ250516P499</stp>
        <tr r="BF48" s="1"/>
      </tp>
      <tp t="e">
        <v>#N/A</v>
        <stp/>
        <stp>VOLUME</stp>
        <stp>.QQQ250506C489</stp>
        <tr r="C59" s="2"/>
      </tp>
      <tp t="e">
        <v>#N/A</v>
        <stp/>
        <stp>VOLUME</stp>
        <stp>.QQQ250507C488</stp>
        <tr r="D60" s="2"/>
      </tp>
      <tp t="e">
        <v>#N/A</v>
        <stp/>
        <stp>VOLUME</stp>
        <stp>.QQQ250508C487</stp>
        <tr r="E61" s="2"/>
      </tp>
      <tp t="e">
        <v>#N/A</v>
        <stp/>
        <stp>VOLUME</stp>
        <stp>.QQQ250509C486</stp>
        <tr r="BC61" s="1"/>
        <tr r="BC61" s="1"/>
      </tp>
      <tp t="e">
        <v>#N/A</v>
        <stp/>
        <stp>VOLUME</stp>
        <stp>.QQQ250516C499</stp>
        <tr r="BE48" s="1"/>
      </tp>
      <tp t="e">
        <v>#N/A</v>
        <stp/>
        <stp>VOLUME</stp>
        <stp>.QQQ250508P480</stp>
        <tr r="E68" s="2"/>
      </tp>
      <tp t="e">
        <v>#N/A</v>
        <stp/>
        <stp>VOLUME</stp>
        <stp>.QQQ250509P481</stp>
        <tr r="BD66" s="1"/>
        <tr r="BD66" s="1"/>
      </tp>
      <tp t="e">
        <v>#N/A</v>
        <stp/>
        <stp>VOLUME</stp>
        <stp>.QQQ250508C480</stp>
        <tr r="E68" s="2"/>
      </tp>
      <tp t="e">
        <v>#N/A</v>
        <stp/>
        <stp>VOLUME</stp>
        <stp>.QQQ250509C481</stp>
        <tr r="BC66" s="1"/>
        <tr r="BC66" s="1"/>
      </tp>
      <tp t="e">
        <v>#N/A</v>
        <stp/>
        <stp>VOLUME</stp>
        <stp>.QQQ250508P481</stp>
        <tr r="E67" s="2"/>
      </tp>
      <tp t="e">
        <v>#N/A</v>
        <stp/>
        <stp>VOLUME</stp>
        <stp>.QQQ250509P480</stp>
        <tr r="BD67" s="1"/>
        <tr r="BD67" s="1"/>
      </tp>
      <tp t="e">
        <v>#N/A</v>
        <stp/>
        <stp>VOLUME</stp>
        <stp>.QQQ250508C481</stp>
        <tr r="E67" s="2"/>
      </tp>
      <tp t="e">
        <v>#N/A</v>
        <stp/>
        <stp>VOLUME</stp>
        <stp>.QQQ250509C480</stp>
        <tr r="BC67" s="1"/>
        <tr r="BC67" s="1"/>
      </tp>
      <tp t="e">
        <v>#N/A</v>
        <stp/>
        <stp>VOLUME</stp>
        <stp>.QQQ250502P488</stp>
        <tr r="BB59" s="1"/>
        <tr r="BB59" s="1"/>
      </tp>
      <tp t="e">
        <v>#N/A</v>
        <stp/>
        <stp>VOLUME</stp>
        <stp>.QQQ250508P482</stp>
        <tr r="E66" s="2"/>
      </tp>
      <tp t="e">
        <v>#N/A</v>
        <stp/>
        <stp>VOLUME</stp>
        <stp>.QQQ250509P483</stp>
        <tr r="BD64" s="1"/>
        <tr r="BD64" s="1"/>
      </tp>
      <tp t="e">
        <v>#N/A</v>
        <stp/>
        <stp>VOLUME</stp>
        <stp>.QQQ250502C488</stp>
        <tr r="BA59" s="1"/>
        <tr r="BA59" s="1"/>
      </tp>
      <tp t="e">
        <v>#N/A</v>
        <stp/>
        <stp>VOLUME</stp>
        <stp>.QQQ250508C482</stp>
        <tr r="E66" s="2"/>
      </tp>
      <tp t="e">
        <v>#N/A</v>
        <stp/>
        <stp>VOLUME</stp>
        <stp>.QQQ250509C483</stp>
        <tr r="BC64" s="1"/>
        <tr r="BC64" s="1"/>
      </tp>
      <tp t="e">
        <v>#N/A</v>
        <stp/>
        <stp>VOLUME</stp>
        <stp>.QQQ250502P489</stp>
        <tr r="BB58" s="1"/>
        <tr r="BB58" s="1"/>
      </tp>
      <tp t="e">
        <v>#N/A</v>
        <stp/>
        <stp>VOLUME</stp>
        <stp>.QQQ250508P483</stp>
        <tr r="E65" s="2"/>
      </tp>
      <tp t="e">
        <v>#N/A</v>
        <stp/>
        <stp>VOLUME</stp>
        <stp>.QQQ250509P482</stp>
        <tr r="BD65" s="1"/>
        <tr r="BD65" s="1"/>
      </tp>
      <tp t="e">
        <v>#N/A</v>
        <stp/>
        <stp>VOLUME</stp>
        <stp>.QQQ250502C489</stp>
        <tr r="BA58" s="1"/>
        <tr r="BA58" s="1"/>
      </tp>
      <tp t="e">
        <v>#N/A</v>
        <stp/>
        <stp>VOLUME</stp>
        <stp>.QQQ250508C483</stp>
        <tr r="E65" s="2"/>
      </tp>
      <tp t="e">
        <v>#N/A</v>
        <stp/>
        <stp>VOLUME</stp>
        <stp>.QQQ250509C482</stp>
        <tr r="BC65" s="1"/>
        <tr r="BC65" s="1"/>
      </tp>
      <tp t="e">
        <v>#N/A</v>
        <stp/>
        <stp>VOLUME</stp>
        <stp>.QQQ250523P497</stp>
        <tr r="H51" s="2"/>
      </tp>
      <tp t="e">
        <v>#N/A</v>
        <stp/>
        <stp>VOLUME</stp>
        <stp>.QQQ250530P484</stp>
        <tr r="I64" s="2"/>
      </tp>
      <tp t="e">
        <v>#N/A</v>
        <stp/>
        <stp>VOLUME</stp>
        <stp>.QQQ250523C497</stp>
        <tr r="H51" s="2"/>
      </tp>
      <tp t="e">
        <v>#N/A</v>
        <stp/>
        <stp>VOLUME</stp>
        <stp>.QQQ250530C484</stp>
        <tr r="I64" s="2"/>
      </tp>
      <tp t="e">
        <v>#N/A</v>
        <stp/>
        <stp>VOLUME</stp>
        <stp>.QQQ250523P496</stp>
        <tr r="H52" s="2"/>
      </tp>
      <tp t="e">
        <v>#N/A</v>
        <stp/>
        <stp>VOLUME</stp>
        <stp>.QQQ250530P485</stp>
        <tr r="I63" s="2"/>
      </tp>
      <tp t="e">
        <v>#N/A</v>
        <stp/>
        <stp>VOLUME</stp>
        <stp>.QQQ250523C496</stp>
        <tr r="H52" s="2"/>
      </tp>
      <tp t="e">
        <v>#N/A</v>
        <stp/>
        <stp>VOLUME</stp>
        <stp>.QQQ250530C485</stp>
        <tr r="I63" s="2"/>
      </tp>
      <tp t="e">
        <v>#N/A</v>
        <stp/>
        <stp>VOLUME</stp>
        <stp>.QQQ250523P495</stp>
        <tr r="H53" s="2"/>
      </tp>
      <tp t="e">
        <v>#N/A</v>
        <stp/>
        <stp>VOLUME</stp>
        <stp>.QQQ250530P486</stp>
        <tr r="I62" s="2"/>
      </tp>
      <tp t="e">
        <v>#N/A</v>
        <stp/>
        <stp>VOLUME</stp>
        <stp>.QQQ250523C495</stp>
        <tr r="H53" s="2"/>
      </tp>
      <tp t="e">
        <v>#N/A</v>
        <stp/>
        <stp>VOLUME</stp>
        <stp>.QQQ250530C486</stp>
        <tr r="I62" s="2"/>
      </tp>
      <tp t="e">
        <v>#N/A</v>
        <stp/>
        <stp>VOLUME</stp>
        <stp>.QQQ250523P494</stp>
        <tr r="H54" s="2"/>
      </tp>
      <tp t="e">
        <v>#N/A</v>
        <stp/>
        <stp>VOLUME</stp>
        <stp>.QQQ250530P487</stp>
        <tr r="I61" s="2"/>
      </tp>
      <tp t="e">
        <v>#N/A</v>
        <stp/>
        <stp>VOLUME</stp>
        <stp>.QQQ250523C494</stp>
        <tr r="H54" s="2"/>
      </tp>
      <tp t="e">
        <v>#N/A</v>
        <stp/>
        <stp>VOLUME</stp>
        <stp>.QQQ250530C487</stp>
        <tr r="I61" s="2"/>
      </tp>
      <tp t="e">
        <v>#N/A</v>
        <stp/>
        <stp>VOLUME</stp>
        <stp>.QQQ250523P493</stp>
        <tr r="H55" s="2"/>
      </tp>
      <tp t="e">
        <v>#N/A</v>
        <stp/>
        <stp>VOLUME</stp>
        <stp>.QQQ250530P480</stp>
        <tr r="I68" s="2"/>
      </tp>
      <tp t="e">
        <v>#N/A</v>
        <stp/>
        <stp>VOLUME</stp>
        <stp>.QQQ250523C493</stp>
        <tr r="H55" s="2"/>
      </tp>
      <tp t="e">
        <v>#N/A</v>
        <stp/>
        <stp>VOLUME</stp>
        <stp>.QQQ250530C480</stp>
        <tr r="I68" s="2"/>
      </tp>
      <tp t="e">
        <v>#N/A</v>
        <stp/>
        <stp>VOLUME</stp>
        <stp>.QQQ250523P492</stp>
        <tr r="H56" s="2"/>
      </tp>
      <tp t="e">
        <v>#N/A</v>
        <stp/>
        <stp>VOLUME</stp>
        <stp>.QQQ250530P481</stp>
        <tr r="I67" s="2"/>
      </tp>
      <tp t="e">
        <v>#N/A</v>
        <stp/>
        <stp>VOLUME</stp>
        <stp>.QQQ250523C492</stp>
        <tr r="H56" s="2"/>
      </tp>
      <tp t="e">
        <v>#N/A</v>
        <stp/>
        <stp>VOLUME</stp>
        <stp>.QQQ250530C481</stp>
        <tr r="I67" s="2"/>
      </tp>
      <tp t="e">
        <v>#N/A</v>
        <stp/>
        <stp>VOLUME</stp>
        <stp>.QQQ250523P491</stp>
        <tr r="H57" s="2"/>
      </tp>
      <tp t="e">
        <v>#N/A</v>
        <stp/>
        <stp>VOLUME</stp>
        <stp>.QQQ250530P482</stp>
        <tr r="I66" s="2"/>
      </tp>
      <tp t="e">
        <v>#N/A</v>
        <stp/>
        <stp>VOLUME</stp>
        <stp>.QQQ250523C491</stp>
        <tr r="H57" s="2"/>
      </tp>
      <tp t="e">
        <v>#N/A</v>
        <stp/>
        <stp>VOLUME</stp>
        <stp>.QQQ250530C482</stp>
        <tr r="I66" s="2"/>
      </tp>
      <tp t="e">
        <v>#N/A</v>
        <stp/>
        <stp>VOLUME</stp>
        <stp>.QQQ250523P490</stp>
        <tr r="H58" s="2"/>
      </tp>
      <tp t="e">
        <v>#N/A</v>
        <stp/>
        <stp>VOLUME</stp>
        <stp>.QQQ250530P483</stp>
        <tr r="I65" s="2"/>
      </tp>
      <tp t="e">
        <v>#N/A</v>
        <stp/>
        <stp>VOLUME</stp>
        <stp>.QQQ250523C490</stp>
        <tr r="H58" s="2"/>
      </tp>
      <tp t="e">
        <v>#N/A</v>
        <stp/>
        <stp>VOLUME</stp>
        <stp>.QQQ250530C483</stp>
        <tr r="I65" s="2"/>
      </tp>
      <tp t="e">
        <v>#N/A</v>
        <stp/>
        <stp>VOLUME</stp>
        <stp>.QQQ250530P488</stp>
        <tr r="I60" s="2"/>
      </tp>
      <tp t="e">
        <v>#N/A</v>
        <stp/>
        <stp>VOLUME</stp>
        <stp>.QQQ250530C488</stp>
        <tr r="I60" s="2"/>
      </tp>
      <tp t="e">
        <v>#N/A</v>
        <stp/>
        <stp>VOLUME</stp>
        <stp>.QQQ250530P489</stp>
        <tr r="I59" s="2"/>
      </tp>
      <tp t="e">
        <v>#N/A</v>
        <stp/>
        <stp>VOLUME</stp>
        <stp>.QQQ250530C489</stp>
        <tr r="I59" s="2"/>
      </tp>
      <tp t="e">
        <v>#N/A</v>
        <stp/>
        <stp>VOLUME</stp>
        <stp>.QQQ250523P499</stp>
        <tr r="H49" s="2"/>
      </tp>
      <tp t="e">
        <v>#N/A</v>
        <stp/>
        <stp>VOLUME</stp>
        <stp>.QQQ250523C499</stp>
        <tr r="H49" s="2"/>
      </tp>
      <tp t="e">
        <v>#N/A</v>
        <stp/>
        <stp>VOLUME</stp>
        <stp>.QQQ250523P498</stp>
        <tr r="H50" s="2"/>
      </tp>
      <tp t="e">
        <v>#N/A</v>
        <stp/>
        <stp>VOLUME</stp>
        <stp>.QQQ250523C498</stp>
        <tr r="H50" s="2"/>
      </tp>
      <tp t="e">
        <v>#N/A</v>
        <stp/>
        <stp>VOLUME</stp>
        <stp>.QQQ250523P487</stp>
        <tr r="H61" s="2"/>
      </tp>
      <tp t="e">
        <v>#N/A</v>
        <stp/>
        <stp>VOLUME</stp>
        <stp>.QQQ250530P494</stp>
        <tr r="I54" s="2"/>
      </tp>
      <tp t="e">
        <v>#N/A</v>
        <stp/>
        <stp>VOLUME</stp>
        <stp>.QQQ250523C487</stp>
        <tr r="H61" s="2"/>
      </tp>
      <tp t="e">
        <v>#N/A</v>
        <stp/>
        <stp>VOLUME</stp>
        <stp>.QQQ250530C494</stp>
        <tr r="I54" s="2"/>
      </tp>
      <tp t="e">
        <v>#N/A</v>
        <stp/>
        <stp>VOLUME</stp>
        <stp>.QQQ250523P486</stp>
        <tr r="H62" s="2"/>
      </tp>
      <tp t="e">
        <v>#N/A</v>
        <stp/>
        <stp>VOLUME</stp>
        <stp>.QQQ250530P495</stp>
        <tr r="I53" s="2"/>
      </tp>
      <tp t="e">
        <v>#N/A</v>
        <stp/>
        <stp>VOLUME</stp>
        <stp>.QQQ250523C486</stp>
        <tr r="H62" s="2"/>
      </tp>
      <tp t="e">
        <v>#N/A</v>
        <stp/>
        <stp>VOLUME</stp>
        <stp>.QQQ250530C495</stp>
        <tr r="I53" s="2"/>
      </tp>
      <tp t="e">
        <v>#N/A</v>
        <stp/>
        <stp>VOLUME</stp>
        <stp>.QQQ250523P485</stp>
        <tr r="H63" s="2"/>
      </tp>
      <tp t="e">
        <v>#N/A</v>
        <stp/>
        <stp>VOLUME</stp>
        <stp>.QQQ250530P496</stp>
        <tr r="I52" s="2"/>
      </tp>
      <tp t="e">
        <v>#N/A</v>
        <stp/>
        <stp>VOLUME</stp>
        <stp>.QQQ250523C485</stp>
        <tr r="H63" s="2"/>
      </tp>
      <tp t="e">
        <v>#N/A</v>
        <stp/>
        <stp>VOLUME</stp>
        <stp>.QQQ250530C496</stp>
        <tr r="I52" s="2"/>
      </tp>
      <tp t="e">
        <v>#N/A</v>
        <stp/>
        <stp>VOLUME</stp>
        <stp>.QQQ250523P484</stp>
        <tr r="H64" s="2"/>
      </tp>
      <tp t="e">
        <v>#N/A</v>
        <stp/>
        <stp>VOLUME</stp>
        <stp>.QQQ250530P497</stp>
        <tr r="I51" s="2"/>
      </tp>
      <tp t="e">
        <v>#N/A</v>
        <stp/>
        <stp>VOLUME</stp>
        <stp>.QQQ250523C484</stp>
        <tr r="H64" s="2"/>
      </tp>
      <tp t="e">
        <v>#N/A</v>
        <stp/>
        <stp>VOLUME</stp>
        <stp>.QQQ250530C497</stp>
        <tr r="I51" s="2"/>
      </tp>
      <tp t="e">
        <v>#N/A</v>
        <stp/>
        <stp>VOLUME</stp>
        <stp>.QQQ250523P483</stp>
        <tr r="H65" s="2"/>
      </tp>
      <tp t="e">
        <v>#N/A</v>
        <stp/>
        <stp>VOLUME</stp>
        <stp>.QQQ250530P490</stp>
        <tr r="I58" s="2"/>
      </tp>
      <tp t="e">
        <v>#N/A</v>
        <stp/>
        <stp>VOLUME</stp>
        <stp>.QQQ250523C483</stp>
        <tr r="H65" s="2"/>
      </tp>
      <tp t="e">
        <v>#N/A</v>
        <stp/>
        <stp>VOLUME</stp>
        <stp>.QQQ250530C490</stp>
        <tr r="I58" s="2"/>
      </tp>
      <tp t="e">
        <v>#N/A</v>
        <stp/>
        <stp>VOLUME</stp>
        <stp>.QQQ250523P482</stp>
        <tr r="H66" s="2"/>
      </tp>
      <tp t="e">
        <v>#N/A</v>
        <stp/>
        <stp>VOLUME</stp>
        <stp>.QQQ250530P491</stp>
        <tr r="I57" s="2"/>
      </tp>
      <tp t="e">
        <v>#N/A</v>
        <stp/>
        <stp>VOLUME</stp>
        <stp>.QQQ250523C482</stp>
        <tr r="H66" s="2"/>
      </tp>
      <tp t="e">
        <v>#N/A</v>
        <stp/>
        <stp>VOLUME</stp>
        <stp>.QQQ250530C491</stp>
        <tr r="I57" s="2"/>
      </tp>
      <tp t="e">
        <v>#N/A</v>
        <stp/>
        <stp>VOLUME</stp>
        <stp>.QQQ250523P481</stp>
        <tr r="H67" s="2"/>
      </tp>
      <tp t="e">
        <v>#N/A</v>
        <stp/>
        <stp>VOLUME</stp>
        <stp>.QQQ250530P492</stp>
        <tr r="I56" s="2"/>
      </tp>
      <tp t="e">
        <v>#N/A</v>
        <stp/>
        <stp>VOLUME</stp>
        <stp>.QQQ250523C481</stp>
        <tr r="H67" s="2"/>
      </tp>
      <tp t="e">
        <v>#N/A</v>
        <stp/>
        <stp>VOLUME</stp>
        <stp>.QQQ250530C492</stp>
        <tr r="I56" s="2"/>
      </tp>
      <tp t="e">
        <v>#N/A</v>
        <stp/>
        <stp>VOLUME</stp>
        <stp>.QQQ250523P480</stp>
        <tr r="H68" s="2"/>
      </tp>
      <tp t="e">
        <v>#N/A</v>
        <stp/>
        <stp>VOLUME</stp>
        <stp>.QQQ250530P493</stp>
        <tr r="I55" s="2"/>
      </tp>
      <tp t="e">
        <v>#N/A</v>
        <stp/>
        <stp>VOLUME</stp>
        <stp>.QQQ250523C480</stp>
        <tr r="H68" s="2"/>
      </tp>
      <tp t="e">
        <v>#N/A</v>
        <stp/>
        <stp>VOLUME</stp>
        <stp>.QQQ250530C493</stp>
        <tr r="I55" s="2"/>
      </tp>
      <tp t="e">
        <v>#N/A</v>
        <stp/>
        <stp>VOLUME</stp>
        <stp>.QQQ250530P498</stp>
        <tr r="I50" s="2"/>
      </tp>
      <tp t="e">
        <v>#N/A</v>
        <stp/>
        <stp>VOLUME</stp>
        <stp>.QQQ250530C498</stp>
        <tr r="I50" s="2"/>
      </tp>
      <tp t="e">
        <v>#N/A</v>
        <stp/>
        <stp>VOLUME</stp>
        <stp>.QQQ250530P499</stp>
        <tr r="I49" s="2"/>
      </tp>
      <tp t="e">
        <v>#N/A</v>
        <stp/>
        <stp>VOLUME</stp>
        <stp>.QQQ250530C499</stp>
        <tr r="I49" s="2"/>
      </tp>
      <tp t="e">
        <v>#N/A</v>
        <stp/>
        <stp>VOLUME</stp>
        <stp>.QQQ250523P489</stp>
        <tr r="H59" s="2"/>
      </tp>
      <tp t="e">
        <v>#N/A</v>
        <stp/>
        <stp>VOLUME</stp>
        <stp>.QQQ250523C489</stp>
        <tr r="H59" s="2"/>
      </tp>
      <tp t="e">
        <v>#N/A</v>
        <stp/>
        <stp>VOLUME</stp>
        <stp>.QQQ250523P488</stp>
        <tr r="H60" s="2"/>
      </tp>
      <tp t="e">
        <v>#N/A</v>
        <stp/>
        <stp>VOLUME</stp>
        <stp>.QQQ250523C488</stp>
        <tr r="H60" s="2"/>
      </tp>
      <tp t="e">
        <v>#N/A</v>
        <stp/>
        <stp>VOLUME</stp>
        <stp>.QQQ250523P477</stp>
        <tr r="H71" s="2"/>
      </tp>
      <tp t="e">
        <v>#N/A</v>
        <stp/>
        <stp>VOLUME</stp>
        <stp>.QQQ250523C477</stp>
        <tr r="H71" s="2"/>
      </tp>
      <tp t="e">
        <v>#N/A</v>
        <stp/>
        <stp>VOLUME</stp>
        <stp>.QQQ250523P476</stp>
        <tr r="H72" s="2"/>
      </tp>
      <tp t="e">
        <v>#N/A</v>
        <stp/>
        <stp>VOLUME</stp>
        <stp>.QQQ250523C476</stp>
        <tr r="H72" s="2"/>
      </tp>
      <tp t="e">
        <v>#N/A</v>
        <stp/>
        <stp>VOLUME</stp>
        <stp>.QQQ250523P475</stp>
        <tr r="H73" s="2"/>
      </tp>
      <tp t="e">
        <v>#N/A</v>
        <stp/>
        <stp>VOLUME</stp>
        <stp>.QQQ250523C475</stp>
        <tr r="H73" s="2"/>
      </tp>
      <tp t="e">
        <v>#N/A</v>
        <stp/>
        <stp>VOLUME</stp>
        <stp>.QQQ250523P474</stp>
        <tr r="H74" s="2"/>
      </tp>
      <tp t="e">
        <v>#N/A</v>
        <stp/>
        <stp>VOLUME</stp>
        <stp>.QQQ250523C474</stp>
        <tr r="H74" s="2"/>
      </tp>
      <tp t="e">
        <v>#N/A</v>
        <stp/>
        <stp>VOLUME</stp>
        <stp>.QQQ250523P473</stp>
        <tr r="H75" s="2"/>
      </tp>
      <tp t="e">
        <v>#N/A</v>
        <stp/>
        <stp>VOLUME</stp>
        <stp>.QQQ250523C473</stp>
        <tr r="H75" s="2"/>
      </tp>
      <tp t="e">
        <v>#N/A</v>
        <stp/>
        <stp>VOLUME</stp>
        <stp>.QQQ250523P472</stp>
        <tr r="H76" s="2"/>
      </tp>
      <tp t="e">
        <v>#N/A</v>
        <stp/>
        <stp>VOLUME</stp>
        <stp>.QQQ250523C472</stp>
        <tr r="H76" s="2"/>
      </tp>
      <tp t="e">
        <v>#N/A</v>
        <stp/>
        <stp>VOLUME</stp>
        <stp>.QQQ250523P471</stp>
        <tr r="H77" s="2"/>
      </tp>
      <tp t="e">
        <v>#N/A</v>
        <stp/>
        <stp>VOLUME</stp>
        <stp>.QQQ250523C471</stp>
        <tr r="H77" s="2"/>
      </tp>
      <tp t="e">
        <v>#N/A</v>
        <stp/>
        <stp>VOLUME</stp>
        <stp>.QQQ250523P470</stp>
        <tr r="H78" s="2"/>
      </tp>
      <tp t="e">
        <v>#N/A</v>
        <stp/>
        <stp>VOLUME</stp>
        <stp>.QQQ250523C470</stp>
        <tr r="H78" s="2"/>
      </tp>
      <tp t="e">
        <v>#N/A</v>
        <stp/>
        <stp>VOLUME</stp>
        <stp>.QQQ250530P468</stp>
        <tr r="I80" s="2"/>
      </tp>
      <tp t="e">
        <v>#N/A</v>
        <stp/>
        <stp>VOLUME</stp>
        <stp>.QQQ250530C468</stp>
        <tr r="I80" s="2"/>
      </tp>
      <tp t="e">
        <v>#N/A</v>
        <stp/>
        <stp>VOLUME</stp>
        <stp>.QQQ250530P469</stp>
        <tr r="I79" s="2"/>
      </tp>
      <tp t="e">
        <v>#N/A</v>
        <stp/>
        <stp>VOLUME</stp>
        <stp>.QQQ250530C469</stp>
        <tr r="I79" s="2"/>
      </tp>
      <tp t="e">
        <v>#N/A</v>
        <stp/>
        <stp>VOLUME</stp>
        <stp>.QQQ250523P479</stp>
        <tr r="H69" s="2"/>
      </tp>
      <tp t="e">
        <v>#N/A</v>
        <stp/>
        <stp>VOLUME</stp>
        <stp>.QQQ250523C479</stp>
        <tr r="H69" s="2"/>
      </tp>
      <tp t="e">
        <v>#N/A</v>
        <stp/>
        <stp>VOLUME</stp>
        <stp>.QQQ250523P478</stp>
        <tr r="H70" s="2"/>
      </tp>
      <tp t="e">
        <v>#N/A</v>
        <stp/>
        <stp>VOLUME</stp>
        <stp>.QQQ250523C478</stp>
        <tr r="H70" s="2"/>
      </tp>
      <tp t="e">
        <v>#N/A</v>
        <stp/>
        <stp>VOLUME</stp>
        <stp>.QQQ250530P474</stp>
        <tr r="I74" s="2"/>
      </tp>
      <tp t="e">
        <v>#N/A</v>
        <stp/>
        <stp>VOLUME</stp>
        <stp>.QQQ250530C474</stp>
        <tr r="I74" s="2"/>
      </tp>
      <tp t="e">
        <v>#N/A</v>
        <stp/>
        <stp>VOLUME</stp>
        <stp>.QQQ250530P475</stp>
        <tr r="I73" s="2"/>
      </tp>
      <tp t="e">
        <v>#N/A</v>
        <stp/>
        <stp>VOLUME</stp>
        <stp>.QQQ250530C475</stp>
        <tr r="I73" s="2"/>
      </tp>
      <tp t="e">
        <v>#N/A</v>
        <stp/>
        <stp>VOLUME</stp>
        <stp>.QQQ250530P476</stp>
        <tr r="I72" s="2"/>
      </tp>
      <tp t="e">
        <v>#N/A</v>
        <stp/>
        <stp>VOLUME</stp>
        <stp>.QQQ250530C476</stp>
        <tr r="I72" s="2"/>
      </tp>
      <tp t="e">
        <v>#N/A</v>
        <stp/>
        <stp>VOLUME</stp>
        <stp>.QQQ250530P477</stp>
        <tr r="I71" s="2"/>
      </tp>
      <tp t="e">
        <v>#N/A</v>
        <stp/>
        <stp>VOLUME</stp>
        <stp>.QQQ250530C477</stp>
        <tr r="I71" s="2"/>
      </tp>
      <tp t="e">
        <v>#N/A</v>
        <stp/>
        <stp>VOLUME</stp>
        <stp>.QQQ250530P470</stp>
        <tr r="I78" s="2"/>
      </tp>
      <tp t="e">
        <v>#N/A</v>
        <stp/>
        <stp>VOLUME</stp>
        <stp>.QQQ250530C470</stp>
        <tr r="I78" s="2"/>
      </tp>
      <tp t="e">
        <v>#N/A</v>
        <stp/>
        <stp>VOLUME</stp>
        <stp>.QQQ250530P471</stp>
        <tr r="I77" s="2"/>
      </tp>
      <tp t="e">
        <v>#N/A</v>
        <stp/>
        <stp>VOLUME</stp>
        <stp>.QQQ250530C471</stp>
        <tr r="I77" s="2"/>
      </tp>
      <tp t="e">
        <v>#N/A</v>
        <stp/>
        <stp>VOLUME</stp>
        <stp>.QQQ250530P472</stp>
        <tr r="I76" s="2"/>
      </tp>
      <tp t="e">
        <v>#N/A</v>
        <stp/>
        <stp>VOLUME</stp>
        <stp>.QQQ250530C472</stp>
        <tr r="I76" s="2"/>
      </tp>
      <tp t="e">
        <v>#N/A</v>
        <stp/>
        <stp>VOLUME</stp>
        <stp>.QQQ250530P473</stp>
        <tr r="I75" s="2"/>
      </tp>
      <tp t="e">
        <v>#N/A</v>
        <stp/>
        <stp>VOLUME</stp>
        <stp>.QQQ250530C473</stp>
        <tr r="I75" s="2"/>
      </tp>
      <tp t="e">
        <v>#N/A</v>
        <stp/>
        <stp>VOLUME</stp>
        <stp>.QQQ250530P478</stp>
        <tr r="I70" s="2"/>
      </tp>
      <tp t="e">
        <v>#N/A</v>
        <stp/>
        <stp>VOLUME</stp>
        <stp>.QQQ250530C478</stp>
        <tr r="I70" s="2"/>
      </tp>
      <tp t="e">
        <v>#N/A</v>
        <stp/>
        <stp>VOLUME</stp>
        <stp>.QQQ250530P479</stp>
        <tr r="I69" s="2"/>
      </tp>
      <tp t="e">
        <v>#N/A</v>
        <stp/>
        <stp>VOLUME</stp>
        <stp>.QQQ250530C479</stp>
        <tr r="I69" s="2"/>
      </tp>
      <tp t="e">
        <v>#N/A</v>
        <stp/>
        <stp>VOLUME</stp>
        <stp>.QQQ250523P469</stp>
        <tr r="H79" s="2"/>
      </tp>
      <tp t="e">
        <v>#N/A</v>
        <stp/>
        <stp>VOLUME</stp>
        <stp>.QQQ250523C469</stp>
        <tr r="H79" s="2"/>
      </tp>
      <tp t="e">
        <v>#N/A</v>
        <stp/>
        <stp>VOLUME</stp>
        <stp>.QQQ250523P468</stp>
        <tr r="H80" s="2"/>
      </tp>
      <tp t="e">
        <v>#N/A</v>
        <stp/>
        <stp>VOLUME</stp>
        <stp>.QQQ250523C468</stp>
        <tr r="H80" s="2"/>
      </tp>
      <tp t="e">
        <v>#N/A</v>
        <stp/>
        <stp>VOLUME</stp>
        <stp>.QQQ250502P476</stp>
        <tr r="BB71" s="1"/>
        <tr r="BB71" s="1"/>
      </tp>
      <tp t="e">
        <v>#N/A</v>
        <stp/>
        <stp>VOLUME</stp>
        <stp>.QQQ250505P471</stp>
        <tr r="B77" s="2"/>
      </tp>
      <tp t="e">
        <v>#N/A</v>
        <stp/>
        <stp>VOLUME</stp>
        <stp>.QQQ250506P472</stp>
        <tr r="C76" s="2"/>
      </tp>
      <tp t="e">
        <v>#N/A</v>
        <stp/>
        <stp>VOLUME</stp>
        <stp>.QQQ250507P473</stp>
        <tr r="D75" s="2"/>
      </tp>
      <tp t="e">
        <v>#N/A</v>
        <stp/>
        <stp>VOLUME</stp>
        <stp>.QQQ250502C476</stp>
        <tr r="BA71" s="1"/>
        <tr r="BA71" s="1"/>
      </tp>
      <tp t="e">
        <v>#N/A</v>
        <stp/>
        <stp>VOLUME</stp>
        <stp>.QQQ250505C471</stp>
        <tr r="B77" s="2"/>
      </tp>
      <tp t="e">
        <v>#N/A</v>
        <stp/>
        <stp>VOLUME</stp>
        <stp>.QQQ250506C472</stp>
        <tr r="C76" s="2"/>
      </tp>
      <tp t="e">
        <v>#N/A</v>
        <stp/>
        <stp>VOLUME</stp>
        <stp>.QQQ250507C473</stp>
        <tr r="D75" s="2"/>
      </tp>
      <tp t="e">
        <v>#N/A</v>
        <stp/>
        <stp>VOLUME</stp>
        <stp>.QQQ250502P477</stp>
        <tr r="BB70" s="1"/>
        <tr r="BB70" s="1"/>
      </tp>
      <tp t="e">
        <v>#N/A</v>
        <stp/>
        <stp>VOLUME</stp>
        <stp>.QQQ250505P470</stp>
        <tr r="B78" s="2"/>
      </tp>
      <tp t="e">
        <v>#N/A</v>
        <stp/>
        <stp>VOLUME</stp>
        <stp>.QQQ250506P473</stp>
        <tr r="C75" s="2"/>
      </tp>
      <tp t="e">
        <v>#N/A</v>
        <stp/>
        <stp>VOLUME</stp>
        <stp>.QQQ250507P472</stp>
        <tr r="D76" s="2"/>
      </tp>
      <tp t="e">
        <v>#N/A</v>
        <stp/>
        <stp>VOLUME</stp>
        <stp>.QQQ250502C477</stp>
        <tr r="BA70" s="1"/>
        <tr r="BA70" s="1"/>
      </tp>
      <tp t="e">
        <v>#N/A</v>
        <stp/>
        <stp>VOLUME</stp>
        <stp>.QQQ250505C470</stp>
        <tr r="B78" s="2"/>
      </tp>
      <tp t="e">
        <v>#N/A</v>
        <stp/>
        <stp>VOLUME</stp>
        <stp>.QQQ250506C473</stp>
        <tr r="C75" s="2"/>
      </tp>
      <tp t="e">
        <v>#N/A</v>
        <stp/>
        <stp>VOLUME</stp>
        <stp>.QQQ250507C472</stp>
        <tr r="D76" s="2"/>
      </tp>
      <tp t="e">
        <v>#N/A</v>
        <stp/>
        <stp>VOLUME</stp>
        <stp>.QQQ250502P474</stp>
        <tr r="BB73" s="1"/>
        <tr r="BB73" s="1"/>
      </tp>
      <tp t="e">
        <v>#N/A</v>
        <stp/>
        <stp>VOLUME</stp>
        <stp>.QQQ250505P473</stp>
        <tr r="B75" s="2"/>
      </tp>
      <tp t="e">
        <v>#N/A</v>
        <stp/>
        <stp>VOLUME</stp>
        <stp>.QQQ250506P470</stp>
        <tr r="C78" s="2"/>
      </tp>
      <tp t="e">
        <v>#N/A</v>
        <stp/>
        <stp>VOLUME</stp>
        <stp>.QQQ250507P471</stp>
        <tr r="D77" s="2"/>
      </tp>
      <tp t="e">
        <v>#N/A</v>
        <stp/>
        <stp>VOLUME</stp>
        <stp>.QQQ250502C474</stp>
        <tr r="BA73" s="1"/>
        <tr r="BA73" s="1"/>
      </tp>
      <tp t="e">
        <v>#N/A</v>
        <stp/>
        <stp>VOLUME</stp>
        <stp>.QQQ250505C473</stp>
        <tr r="B75" s="2"/>
      </tp>
      <tp t="e">
        <v>#N/A</v>
        <stp/>
        <stp>VOLUME</stp>
        <stp>.QQQ250506C470</stp>
        <tr r="C78" s="2"/>
      </tp>
      <tp t="e">
        <v>#N/A</v>
        <stp/>
        <stp>VOLUME</stp>
        <stp>.QQQ250507C471</stp>
        <tr r="D77" s="2"/>
      </tp>
      <tp t="e">
        <v>#N/A</v>
        <stp/>
        <stp>VOLUME</stp>
        <stp>.QQQ250502P475</stp>
        <tr r="BB72" s="1"/>
        <tr r="BB72" s="1"/>
      </tp>
      <tp t="e">
        <v>#N/A</v>
        <stp/>
        <stp>VOLUME</stp>
        <stp>.QQQ250505P472</stp>
        <tr r="B76" s="2"/>
      </tp>
      <tp t="e">
        <v>#N/A</v>
        <stp/>
        <stp>VOLUME</stp>
        <stp>.QQQ250506P471</stp>
        <tr r="C77" s="2"/>
      </tp>
      <tp t="e">
        <v>#N/A</v>
        <stp/>
        <stp>VOLUME</stp>
        <stp>.QQQ250507P470</stp>
        <tr r="D78" s="2"/>
      </tp>
      <tp t="e">
        <v>#N/A</v>
        <stp/>
        <stp>VOLUME</stp>
        <stp>.QQQ250502C475</stp>
        <tr r="BA72" s="1"/>
        <tr r="BA72" s="1"/>
      </tp>
      <tp t="e">
        <v>#N/A</v>
        <stp/>
        <stp>VOLUME</stp>
        <stp>.QQQ250505C472</stp>
        <tr r="B76" s="2"/>
      </tp>
      <tp t="e">
        <v>#N/A</v>
        <stp/>
        <stp>VOLUME</stp>
        <stp>.QQQ250506C471</stp>
        <tr r="C77" s="2"/>
      </tp>
      <tp t="e">
        <v>#N/A</v>
        <stp/>
        <stp>VOLUME</stp>
        <stp>.QQQ250507C470</stp>
        <tr r="D78" s="2"/>
      </tp>
      <tp t="e">
        <v>#N/A</v>
        <stp/>
        <stp>VOLUME</stp>
        <stp>.QQQ250502P472</stp>
        <tr r="BB75" s="1"/>
        <tr r="BB75" s="1"/>
      </tp>
      <tp t="e">
        <v>#N/A</v>
        <stp/>
        <stp>VOLUME</stp>
        <stp>.QQQ250505P475</stp>
        <tr r="B73" s="2"/>
      </tp>
      <tp t="e">
        <v>#N/A</v>
        <stp/>
        <stp>VOLUME</stp>
        <stp>.QQQ250506P476</stp>
        <tr r="C72" s="2"/>
      </tp>
      <tp t="e">
        <v>#N/A</v>
        <stp/>
        <stp>VOLUME</stp>
        <stp>.QQQ250507P477</stp>
        <tr r="D71" s="2"/>
      </tp>
      <tp t="e">
        <v>#N/A</v>
        <stp/>
        <stp>VOLUME</stp>
        <stp>.QQQ250508P478</stp>
        <tr r="E70" s="2"/>
      </tp>
      <tp t="e">
        <v>#N/A</v>
        <stp/>
        <stp>VOLUME</stp>
        <stp>.QQQ250509P479</stp>
        <tr r="BD68" s="1"/>
        <tr r="BD68" s="1"/>
      </tp>
      <tp t="e">
        <v>#N/A</v>
        <stp/>
        <stp>VOLUME</stp>
        <stp>.QQQ250502C472</stp>
        <tr r="BA75" s="1"/>
        <tr r="BA75" s="1"/>
      </tp>
      <tp t="e">
        <v>#N/A</v>
        <stp/>
        <stp>VOLUME</stp>
        <stp>.QQQ250505C475</stp>
        <tr r="B73" s="2"/>
      </tp>
      <tp t="e">
        <v>#N/A</v>
        <stp/>
        <stp>VOLUME</stp>
        <stp>.QQQ250506C476</stp>
        <tr r="C72" s="2"/>
      </tp>
      <tp t="e">
        <v>#N/A</v>
        <stp/>
        <stp>VOLUME</stp>
        <stp>.QQQ250507C477</stp>
        <tr r="D71" s="2"/>
      </tp>
      <tp t="e">
        <v>#N/A</v>
        <stp/>
        <stp>VOLUME</stp>
        <stp>.QQQ250508C478</stp>
        <tr r="E70" s="2"/>
      </tp>
      <tp t="e">
        <v>#N/A</v>
        <stp/>
        <stp>VOLUME</stp>
        <stp>.QQQ250509C479</stp>
        <tr r="BC68" s="1"/>
        <tr r="BC68" s="1"/>
      </tp>
      <tp t="e">
        <v>#N/A</v>
        <stp/>
        <stp>VOLUME</stp>
        <stp>.QQQ250502P473</stp>
        <tr r="BB74" s="1"/>
        <tr r="BB74" s="1"/>
      </tp>
      <tp t="e">
        <v>#N/A</v>
        <stp/>
        <stp>VOLUME</stp>
        <stp>.QQQ250505P474</stp>
        <tr r="B74" s="2"/>
      </tp>
      <tp t="e">
        <v>#N/A</v>
        <stp/>
        <stp>VOLUME</stp>
        <stp>.QQQ250506P477</stp>
        <tr r="C71" s="2"/>
      </tp>
      <tp t="e">
        <v>#N/A</v>
        <stp/>
        <stp>VOLUME</stp>
        <stp>.QQQ250507P476</stp>
        <tr r="D72" s="2"/>
      </tp>
      <tp t="e">
        <v>#N/A</v>
        <stp/>
        <stp>VOLUME</stp>
        <stp>.QQQ250508P479</stp>
        <tr r="E69" s="2"/>
      </tp>
      <tp t="e">
        <v>#N/A</v>
        <stp/>
        <stp>VOLUME</stp>
        <stp>.QQQ250509P478</stp>
        <tr r="BD69" s="1"/>
        <tr r="BD69" s="1"/>
      </tp>
      <tp t="e">
        <v>#N/A</v>
        <stp/>
        <stp>VOLUME</stp>
        <stp>.QQQ250502C473</stp>
        <tr r="BA74" s="1"/>
        <tr r="BA74" s="1"/>
      </tp>
      <tp t="e">
        <v>#N/A</v>
        <stp/>
        <stp>VOLUME</stp>
        <stp>.QQQ250505C474</stp>
        <tr r="B74" s="2"/>
      </tp>
      <tp t="e">
        <v>#N/A</v>
        <stp/>
        <stp>VOLUME</stp>
        <stp>.QQQ250506C477</stp>
        <tr r="C71" s="2"/>
      </tp>
      <tp t="e">
        <v>#N/A</v>
        <stp/>
        <stp>VOLUME</stp>
        <stp>.QQQ250507C476</stp>
        <tr r="D72" s="2"/>
      </tp>
      <tp t="e">
        <v>#N/A</v>
        <stp/>
        <stp>VOLUME</stp>
        <stp>.QQQ250508C479</stp>
        <tr r="E69" s="2"/>
      </tp>
      <tp t="e">
        <v>#N/A</v>
        <stp/>
        <stp>VOLUME</stp>
        <stp>.QQQ250509C478</stp>
        <tr r="BC69" s="1"/>
        <tr r="BC69" s="1"/>
      </tp>
      <tp t="e">
        <v>#N/A</v>
        <stp/>
        <stp>VOLUME</stp>
        <stp>.QQQ250502P470</stp>
        <tr r="BB77" s="1"/>
        <tr r="BB77" s="1"/>
      </tp>
      <tp t="e">
        <v>#N/A</v>
        <stp/>
        <stp>VOLUME</stp>
        <stp>.QQQ250505P477</stp>
        <tr r="B71" s="2"/>
      </tp>
      <tp t="e">
        <v>#N/A</v>
        <stp/>
        <stp>VOLUME</stp>
        <stp>.QQQ250506P474</stp>
        <tr r="C74" s="2"/>
      </tp>
      <tp t="e">
        <v>#N/A</v>
        <stp/>
        <stp>VOLUME</stp>
        <stp>.QQQ250507P475</stp>
        <tr r="D73" s="2"/>
      </tp>
      <tp t="e">
        <v>#N/A</v>
        <stp/>
        <stp>VOLUME</stp>
        <stp>.QQQ250502C470</stp>
        <tr r="BA77" s="1"/>
        <tr r="BA77" s="1"/>
      </tp>
      <tp t="e">
        <v>#N/A</v>
        <stp/>
        <stp>VOLUME</stp>
        <stp>.QQQ250505C477</stp>
        <tr r="B71" s="2"/>
      </tp>
      <tp t="e">
        <v>#N/A</v>
        <stp/>
        <stp>VOLUME</stp>
        <stp>.QQQ250506C474</stp>
        <tr r="C74" s="2"/>
      </tp>
      <tp t="e">
        <v>#N/A</v>
        <stp/>
        <stp>VOLUME</stp>
        <stp>.QQQ250507C475</stp>
        <tr r="D73" s="2"/>
      </tp>
      <tp t="e">
        <v>#N/A</v>
        <stp/>
        <stp>VOLUME</stp>
        <stp>.QQQ250502P471</stp>
        <tr r="BB76" s="1"/>
        <tr r="BB76" s="1"/>
      </tp>
      <tp t="e">
        <v>#N/A</v>
        <stp/>
        <stp>VOLUME</stp>
        <stp>.QQQ250505P476</stp>
        <tr r="B72" s="2"/>
      </tp>
      <tp t="e">
        <v>#N/A</v>
        <stp/>
        <stp>VOLUME</stp>
        <stp>.QQQ250506P475</stp>
        <tr r="C73" s="2"/>
      </tp>
      <tp t="e">
        <v>#N/A</v>
        <stp/>
        <stp>VOLUME</stp>
        <stp>.QQQ250507P474</stp>
        <tr r="D74" s="2"/>
      </tp>
      <tp t="e">
        <v>#N/A</v>
        <stp/>
        <stp>VOLUME</stp>
        <stp>.QQQ250502C471</stp>
        <tr r="BA76" s="1"/>
        <tr r="BA76" s="1"/>
      </tp>
      <tp t="e">
        <v>#N/A</v>
        <stp/>
        <stp>VOLUME</stp>
        <stp>.QQQ250505C476</stp>
        <tr r="B72" s="2"/>
      </tp>
      <tp t="e">
        <v>#N/A</v>
        <stp/>
        <stp>VOLUME</stp>
        <stp>.QQQ250506C475</stp>
        <tr r="C73" s="2"/>
      </tp>
      <tp t="e">
        <v>#N/A</v>
        <stp/>
        <stp>VOLUME</stp>
        <stp>.QQQ250507C474</stp>
        <tr r="D74" s="2"/>
      </tp>
      <tp t="e">
        <v>#N/A</v>
        <stp/>
        <stp>VOLUME</stp>
        <stp>.QQQ250505P479</stp>
        <tr r="B69" s="2"/>
      </tp>
      <tp t="e">
        <v>#N/A</v>
        <stp/>
        <stp>VOLUME</stp>
        <stp>.QQQ250508P474</stp>
        <tr r="E74" s="2"/>
      </tp>
      <tp t="e">
        <v>#N/A</v>
        <stp/>
        <stp>VOLUME</stp>
        <stp>.QQQ250509P475</stp>
        <tr r="BD72" s="1"/>
        <tr r="BD72" s="1"/>
      </tp>
      <tp t="e">
        <v>#N/A</v>
        <stp/>
        <stp>VOLUME</stp>
        <stp>.QQQ250505C479</stp>
        <tr r="B69" s="2"/>
      </tp>
      <tp t="e">
        <v>#N/A</v>
        <stp/>
        <stp>VOLUME</stp>
        <stp>.QQQ250508C474</stp>
        <tr r="E74" s="2"/>
      </tp>
      <tp t="e">
        <v>#N/A</v>
        <stp/>
        <stp>VOLUME</stp>
        <stp>.QQQ250509C475</stp>
        <tr r="BC72" s="1"/>
        <tr r="BC72" s="1"/>
      </tp>
      <tp t="e">
        <v>#N/A</v>
        <stp/>
        <stp>VOLUME</stp>
        <stp>.QQQ250505P478</stp>
        <tr r="B70" s="2"/>
      </tp>
      <tp t="e">
        <v>#N/A</v>
        <stp/>
        <stp>VOLUME</stp>
        <stp>.QQQ250508P475</stp>
        <tr r="E73" s="2"/>
      </tp>
      <tp t="e">
        <v>#N/A</v>
        <stp/>
        <stp>VOLUME</stp>
        <stp>.QQQ250509P474</stp>
        <tr r="BD73" s="1"/>
        <tr r="BD73" s="1"/>
      </tp>
      <tp t="e">
        <v>#N/A</v>
        <stp/>
        <stp>VOLUME</stp>
        <stp>.QQQ250505C478</stp>
        <tr r="B70" s="2"/>
      </tp>
      <tp t="e">
        <v>#N/A</v>
        <stp/>
        <stp>VOLUME</stp>
        <stp>.QQQ250508C475</stp>
        <tr r="E73" s="2"/>
      </tp>
      <tp t="e">
        <v>#N/A</v>
        <stp/>
        <stp>VOLUME</stp>
        <stp>.QQQ250509C474</stp>
        <tr r="BC73" s="1"/>
        <tr r="BC73" s="1"/>
      </tp>
      <tp t="e">
        <v>#N/A</v>
        <stp/>
        <stp>VOLUME</stp>
        <stp>.QQQ250506P478</stp>
        <tr r="C70" s="2"/>
      </tp>
      <tp t="e">
        <v>#N/A</v>
        <stp/>
        <stp>VOLUME</stp>
        <stp>.QQQ250507P479</stp>
        <tr r="D69" s="2"/>
      </tp>
      <tp t="e">
        <v>#N/A</v>
        <stp/>
        <stp>VOLUME</stp>
        <stp>.QQQ250508P476</stp>
        <tr r="E72" s="2"/>
      </tp>
      <tp t="e">
        <v>#N/A</v>
        <stp/>
        <stp>VOLUME</stp>
        <stp>.QQQ250509P477</stp>
        <tr r="BD70" s="1"/>
        <tr r="BD70" s="1"/>
      </tp>
      <tp t="e">
        <v>#N/A</v>
        <stp/>
        <stp>VOLUME</stp>
        <stp>.QQQ250516P468</stp>
        <tr r="BF79" s="1"/>
        <tr r="BF79" s="1"/>
      </tp>
      <tp t="e">
        <v>#N/A</v>
        <stp/>
        <stp>VOLUME</stp>
        <stp>.QQQ250506C478</stp>
        <tr r="C70" s="2"/>
      </tp>
      <tp t="e">
        <v>#N/A</v>
        <stp/>
        <stp>VOLUME</stp>
        <stp>.QQQ250507C479</stp>
        <tr r="D69" s="2"/>
      </tp>
      <tp t="e">
        <v>#N/A</v>
        <stp/>
        <stp>VOLUME</stp>
        <stp>.QQQ250508C476</stp>
        <tr r="E72" s="2"/>
      </tp>
      <tp t="e">
        <v>#N/A</v>
        <stp/>
        <stp>VOLUME</stp>
        <stp>.QQQ250509C477</stp>
        <tr r="BC70" s="1"/>
        <tr r="BC70" s="1"/>
      </tp>
      <tp t="e">
        <v>#N/A</v>
        <stp/>
        <stp>VOLUME</stp>
        <stp>.QQQ250516C468</stp>
        <tr r="BE79" s="1"/>
        <tr r="BE79" s="1"/>
      </tp>
      <tp t="e">
        <v>#N/A</v>
        <stp/>
        <stp>VOLUME</stp>
        <stp>.QQQ250506P479</stp>
        <tr r="C69" s="2"/>
      </tp>
      <tp t="e">
        <v>#N/A</v>
        <stp/>
        <stp>VOLUME</stp>
        <stp>.QQQ250507P478</stp>
        <tr r="D70" s="2"/>
      </tp>
      <tp t="e">
        <v>#N/A</v>
        <stp/>
        <stp>VOLUME</stp>
        <stp>.QQQ250508P477</stp>
        <tr r="E71" s="2"/>
      </tp>
      <tp t="e">
        <v>#N/A</v>
        <stp/>
        <stp>VOLUME</stp>
        <stp>.QQQ250509P476</stp>
        <tr r="BD71" s="1"/>
        <tr r="BD71" s="1"/>
      </tp>
      <tp t="e">
        <v>#N/A</v>
        <stp/>
        <stp>VOLUME</stp>
        <stp>.QQQ250516P469</stp>
        <tr r="BF78" s="1"/>
        <tr r="BF78" s="1"/>
      </tp>
      <tp t="e">
        <v>#N/A</v>
        <stp/>
        <stp>VOLUME</stp>
        <stp>.QQQ250506C479</stp>
        <tr r="C69" s="2"/>
      </tp>
      <tp t="e">
        <v>#N/A</v>
        <stp/>
        <stp>VOLUME</stp>
        <stp>.QQQ250507C478</stp>
        <tr r="D70" s="2"/>
      </tp>
      <tp t="e">
        <v>#N/A</v>
        <stp/>
        <stp>VOLUME</stp>
        <stp>.QQQ250508C477</stp>
        <tr r="E71" s="2"/>
      </tp>
      <tp t="e">
        <v>#N/A</v>
        <stp/>
        <stp>VOLUME</stp>
        <stp>.QQQ250509C476</stp>
        <tr r="BC71" s="1"/>
        <tr r="BC71" s="1"/>
      </tp>
      <tp t="e">
        <v>#N/A</v>
        <stp/>
        <stp>VOLUME</stp>
        <stp>.QQQ250516C469</stp>
        <tr r="BE78" s="1"/>
        <tr r="BE78" s="1"/>
      </tp>
      <tp t="e">
        <v>#N/A</v>
        <stp/>
        <stp>VOLUME</stp>
        <stp>.QQQ250508P470</stp>
        <tr r="E78" s="2"/>
      </tp>
      <tp t="e">
        <v>#N/A</v>
        <stp/>
        <stp>VOLUME</stp>
        <stp>.QQQ250509P471</stp>
        <tr r="BD76" s="1"/>
        <tr r="BD76" s="1"/>
      </tp>
      <tp t="e">
        <v>#N/A</v>
        <stp/>
        <stp>VOLUME</stp>
        <stp>.QQQ250508C470</stp>
        <tr r="E78" s="2"/>
      </tp>
      <tp t="e">
        <v>#N/A</v>
        <stp/>
        <stp>VOLUME</stp>
        <stp>.QQQ250509C471</stp>
        <tr r="BC76" s="1"/>
        <tr r="BC76" s="1"/>
      </tp>
      <tp t="e">
        <v>#N/A</v>
        <stp/>
        <stp>VOLUME</stp>
        <stp>.QQQ250508P471</stp>
        <tr r="E77" s="2"/>
      </tp>
      <tp t="e">
        <v>#N/A</v>
        <stp/>
        <stp>VOLUME</stp>
        <stp>.QQQ250509P470</stp>
        <tr r="BD77" s="1"/>
        <tr r="BD77" s="1"/>
      </tp>
      <tp t="e">
        <v>#N/A</v>
        <stp/>
        <stp>VOLUME</stp>
        <stp>.QQQ250508C471</stp>
        <tr r="E77" s="2"/>
      </tp>
      <tp t="e">
        <v>#N/A</v>
        <stp/>
        <stp>VOLUME</stp>
        <stp>.QQQ250509C470</stp>
        <tr r="BC77" s="1"/>
        <tr r="BC77" s="1"/>
      </tp>
      <tp t="e">
        <v>#N/A</v>
        <stp/>
        <stp>VOLUME</stp>
        <stp>.QQQ250502P478</stp>
        <tr r="BB69" s="1"/>
        <tr r="BB69" s="1"/>
      </tp>
      <tp t="e">
        <v>#N/A</v>
        <stp/>
        <stp>VOLUME</stp>
        <stp>.QQQ250508P472</stp>
        <tr r="E76" s="2"/>
      </tp>
      <tp t="e">
        <v>#N/A</v>
        <stp/>
        <stp>VOLUME</stp>
        <stp>.QQQ250509P473</stp>
        <tr r="BD74" s="1"/>
        <tr r="BD74" s="1"/>
      </tp>
      <tp t="e">
        <v>#N/A</v>
        <stp/>
        <stp>VOLUME</stp>
        <stp>.QQQ250502C478</stp>
        <tr r="BA69" s="1"/>
        <tr r="BA69" s="1"/>
      </tp>
      <tp t="e">
        <v>#N/A</v>
        <stp/>
        <stp>VOLUME</stp>
        <stp>.QQQ250508C472</stp>
        <tr r="E76" s="2"/>
      </tp>
      <tp t="e">
        <v>#N/A</v>
        <stp/>
        <stp>VOLUME</stp>
        <stp>.QQQ250509C473</stp>
        <tr r="BC74" s="1"/>
        <tr r="BC74" s="1"/>
      </tp>
      <tp t="e">
        <v>#N/A</v>
        <stp/>
        <stp>VOLUME</stp>
        <stp>.QQQ250502P479</stp>
        <tr r="BB68" s="1"/>
        <tr r="BB68" s="1"/>
      </tp>
      <tp t="e">
        <v>#N/A</v>
        <stp/>
        <stp>VOLUME</stp>
        <stp>.QQQ250508P473</stp>
        <tr r="E75" s="2"/>
      </tp>
      <tp t="e">
        <v>#N/A</v>
        <stp/>
        <stp>VOLUME</stp>
        <stp>.QQQ250509P472</stp>
        <tr r="BD75" s="1"/>
        <tr r="BD75" s="1"/>
      </tp>
      <tp t="e">
        <v>#N/A</v>
        <stp/>
        <stp>VOLUME</stp>
        <stp>.QQQ250502C479</stp>
        <tr r="BA68" s="1"/>
        <tr r="BA68" s="1"/>
      </tp>
      <tp t="e">
        <v>#N/A</v>
        <stp/>
        <stp>VOLUME</stp>
        <stp>.QQQ250508C473</stp>
        <tr r="E75" s="2"/>
      </tp>
      <tp t="e">
        <v>#N/A</v>
        <stp/>
        <stp>VOLUME</stp>
        <stp>.QQQ250509C472</stp>
        <tr r="BC75" s="1"/>
        <tr r="BC75" s="1"/>
      </tp>
      <tp t="e">
        <v>#N/A</v>
        <stp/>
        <stp>VOLUME</stp>
        <stp>.QQQ250516P472</stp>
        <tr r="BF75" s="1"/>
      </tp>
      <tp t="e">
        <v>#N/A</v>
        <stp/>
        <stp>VOLUME</stp>
        <stp>.QQQ250516C472</stp>
        <tr r="BE75" s="1"/>
      </tp>
      <tp t="e">
        <v>#N/A</v>
        <stp/>
        <stp>VOLUME</stp>
        <stp>.QQQ250516P473</stp>
        <tr r="BF74" s="1"/>
      </tp>
      <tp t="e">
        <v>#N/A</v>
        <stp/>
        <stp>VOLUME</stp>
        <stp>.QQQ250516C473</stp>
        <tr r="BE74" s="1"/>
      </tp>
      <tp t="e">
        <v>#N/A</v>
        <stp/>
        <stp>VOLUME</stp>
        <stp>.QQQ250516P470</stp>
        <tr r="BF77" s="1"/>
        <tr r="BF77" s="1"/>
      </tp>
      <tp t="e">
        <v>#N/A</v>
        <stp/>
        <stp>VOLUME</stp>
        <stp>.QQQ250516C470</stp>
        <tr r="BE77" s="1"/>
        <tr r="BE77" s="1"/>
      </tp>
      <tp t="e">
        <v>#N/A</v>
        <stp/>
        <stp>VOLUME</stp>
        <stp>.QQQ250516P471</stp>
        <tr r="BF76" s="1"/>
      </tp>
      <tp t="e">
        <v>#N/A</v>
        <stp/>
        <stp>VOLUME</stp>
        <stp>.QQQ250516C471</stp>
        <tr r="BE76" s="1"/>
      </tp>
      <tp t="e">
        <v>#N/A</v>
        <stp/>
        <stp>VOLUME</stp>
        <stp>.QQQ250508P468</stp>
        <tr r="E80" s="2"/>
      </tp>
      <tp t="e">
        <v>#N/A</v>
        <stp/>
        <stp>VOLUME</stp>
        <stp>.QQQ250509P469</stp>
        <tr r="BD78" s="1"/>
        <tr r="BD78" s="1"/>
      </tp>
      <tp t="e">
        <v>#N/A</v>
        <stp/>
        <stp>VOLUME</stp>
        <stp>.QQQ250516P476</stp>
        <tr r="BF71" s="1"/>
      </tp>
      <tp t="e">
        <v>#N/A</v>
        <stp/>
        <stp>VOLUME</stp>
        <stp>.QQQ250508C468</stp>
        <tr r="E80" s="2"/>
      </tp>
      <tp t="e">
        <v>#N/A</v>
        <stp/>
        <stp>VOLUME</stp>
        <stp>.QQQ250509C469</stp>
        <tr r="BC78" s="1"/>
        <tr r="BC78" s="1"/>
      </tp>
      <tp t="e">
        <v>#N/A</v>
        <stp/>
        <stp>VOLUME</stp>
        <stp>.QQQ250516C476</stp>
        <tr r="BE71" s="1"/>
      </tp>
      <tp t="e">
        <v>#N/A</v>
        <stp/>
        <stp>VOLUME</stp>
        <stp>.QQQ250508P469</stp>
        <tr r="E79" s="2"/>
      </tp>
      <tp t="e">
        <v>#N/A</v>
        <stp/>
        <stp>VOLUME</stp>
        <stp>.QQQ250509P468</stp>
        <tr r="BD79" s="1"/>
        <tr r="BD79" s="1"/>
      </tp>
      <tp t="e">
        <v>#N/A</v>
        <stp/>
        <stp>VOLUME</stp>
        <stp>.QQQ250516P477</stp>
        <tr r="BF70" s="1"/>
      </tp>
      <tp t="e">
        <v>#N/A</v>
        <stp/>
        <stp>VOLUME</stp>
        <stp>.QQQ250508C469</stp>
        <tr r="E79" s="2"/>
      </tp>
      <tp t="e">
        <v>#N/A</v>
        <stp/>
        <stp>VOLUME</stp>
        <stp>.QQQ250509C468</stp>
        <tr r="BC79" s="1"/>
        <tr r="BC79" s="1"/>
      </tp>
      <tp t="e">
        <v>#N/A</v>
        <stp/>
        <stp>VOLUME</stp>
        <stp>.QQQ250516C477</stp>
        <tr r="BE70" s="1"/>
      </tp>
      <tp t="e">
        <v>#N/A</v>
        <stp/>
        <stp>VOLUME</stp>
        <stp>.QQQ250516P474</stp>
        <tr r="BF73" s="1"/>
      </tp>
      <tp t="e">
        <v>#N/A</v>
        <stp/>
        <stp>VOLUME</stp>
        <stp>.QQQ250516C474</stp>
        <tr r="BE73" s="1"/>
      </tp>
      <tp t="e">
        <v>#N/A</v>
        <stp/>
        <stp>VOLUME</stp>
        <stp>.QQQ250516P475</stp>
        <tr r="BF72" s="1"/>
        <tr r="BF72" s="1"/>
      </tp>
      <tp t="e">
        <v>#N/A</v>
        <stp/>
        <stp>VOLUME</stp>
        <stp>.QQQ250516C475</stp>
        <tr r="BE72" s="1"/>
        <tr r="BE72" s="1"/>
      </tp>
      <tp t="e">
        <v>#N/A</v>
        <stp/>
        <stp>VOLUME</stp>
        <stp>.QQQ250505P469</stp>
        <tr r="B79" s="2"/>
      </tp>
      <tp t="e">
        <v>#N/A</v>
        <stp/>
        <stp>VOLUME</stp>
        <stp>.QQQ250505C469</stp>
        <tr r="B79" s="2"/>
      </tp>
      <tp t="e">
        <v>#N/A</v>
        <stp/>
        <stp>VOLUME</stp>
        <stp>.QQQ250505P468</stp>
        <tr r="B80" s="2"/>
      </tp>
      <tp t="e">
        <v>#N/A</v>
        <stp/>
        <stp>VOLUME</stp>
        <stp>.QQQ250505C468</stp>
        <tr r="B80" s="2"/>
      </tp>
      <tp t="e">
        <v>#N/A</v>
        <stp/>
        <stp>VOLUME</stp>
        <stp>.QQQ250506P468</stp>
        <tr r="C80" s="2"/>
      </tp>
      <tp t="e">
        <v>#N/A</v>
        <stp/>
        <stp>VOLUME</stp>
        <stp>.QQQ250507P469</stp>
        <tr r="D79" s="2"/>
      </tp>
      <tp t="e">
        <v>#N/A</v>
        <stp/>
        <stp>VOLUME</stp>
        <stp>.QQQ250516P478</stp>
        <tr r="BF69" s="1"/>
      </tp>
      <tp t="e">
        <v>#N/A</v>
        <stp/>
        <stp>VOLUME</stp>
        <stp>.QQQ250506C468</stp>
        <tr r="C80" s="2"/>
      </tp>
      <tp t="e">
        <v>#N/A</v>
        <stp/>
        <stp>VOLUME</stp>
        <stp>.QQQ250507C469</stp>
        <tr r="D79" s="2"/>
      </tp>
      <tp t="e">
        <v>#N/A</v>
        <stp/>
        <stp>VOLUME</stp>
        <stp>.QQQ250516C478</stp>
        <tr r="BE69" s="1"/>
      </tp>
      <tp t="e">
        <v>#N/A</v>
        <stp/>
        <stp>VOLUME</stp>
        <stp>.QQQ250506P469</stp>
        <tr r="C79" s="2"/>
      </tp>
      <tp t="e">
        <v>#N/A</v>
        <stp/>
        <stp>VOLUME</stp>
        <stp>.QQQ250507P468</stp>
        <tr r="D80" s="2"/>
      </tp>
      <tp t="e">
        <v>#N/A</v>
        <stp/>
        <stp>VOLUME</stp>
        <stp>.QQQ250516P479</stp>
        <tr r="BF68" s="1"/>
      </tp>
      <tp t="e">
        <v>#N/A</v>
        <stp/>
        <stp>VOLUME</stp>
        <stp>.QQQ250506C469</stp>
        <tr r="C79" s="2"/>
      </tp>
      <tp t="e">
        <v>#N/A</v>
        <stp/>
        <stp>VOLUME</stp>
        <stp>.QQQ250507C468</stp>
        <tr r="D80" s="2"/>
      </tp>
      <tp t="e">
        <v>#N/A</v>
        <stp/>
        <stp>VOLUME</stp>
        <stp>.QQQ250516C479</stp>
        <tr r="BE68" s="1"/>
      </tp>
      <tp t="e">
        <v>#N/A</v>
        <stp/>
        <stp>VOLUME</stp>
        <stp>.QQQ250502P468</stp>
        <tr r="BB79" s="1"/>
        <tr r="BB79" s="1"/>
      </tp>
      <tp t="e">
        <v>#N/A</v>
        <stp/>
        <stp>VOLUME</stp>
        <stp>.QQQ250502C468</stp>
        <tr r="BA79" s="1"/>
        <tr r="BA79" s="1"/>
      </tp>
      <tp t="e">
        <v>#N/A</v>
        <stp/>
        <stp>VOLUME</stp>
        <stp>.QQQ250502P469</stp>
        <tr r="BB78" s="1"/>
        <tr r="BB78" s="1"/>
      </tp>
      <tp t="e">
        <v>#N/A</v>
        <stp/>
        <stp>VOLUME</stp>
        <stp>.QQQ250502C469</stp>
        <tr r="BA78" s="1"/>
        <tr r="BA78" s="1"/>
      </tp>
      <tp t="e">
        <v>#N/A</v>
        <stp/>
        <stp>VOLUME</stp>
        <stp>.QQQ251219P489</stp>
        <tr r="W59" s="2"/>
      </tp>
      <tp t="e">
        <v>#N/A</v>
        <stp/>
        <stp>VOLUME</stp>
        <stp>.QQQ251219C489</stp>
        <tr r="W59" s="2"/>
      </tp>
      <tp t="e">
        <v>#N/A</v>
        <stp/>
        <stp>VOLUME</stp>
        <stp>.QQQ251219P488</stp>
        <tr r="W60" s="2"/>
      </tp>
      <tp t="e">
        <v>#N/A</v>
        <stp/>
        <stp>VOLUME</stp>
        <stp>.QQQ251219C488</stp>
        <tr r="W60" s="2"/>
      </tp>
      <tp t="e">
        <v>#N/A</v>
        <stp/>
        <stp>VOLUME</stp>
        <stp>.QQQ251219P485</stp>
        <tr r="W63" s="2"/>
      </tp>
      <tp t="e">
        <v>#N/A</v>
        <stp/>
        <stp>VOLUME</stp>
        <stp>.QQQ251219C485</stp>
        <tr r="W63" s="2"/>
      </tp>
      <tp t="e">
        <v>#N/A</v>
        <stp/>
        <stp>VOLUME</stp>
        <stp>.QQQ251219P484</stp>
        <tr r="W64" s="2"/>
      </tp>
      <tp t="e">
        <v>#N/A</v>
        <stp/>
        <stp>VOLUME</stp>
        <stp>.QQQ251219C484</stp>
        <tr r="W64" s="2"/>
      </tp>
      <tp t="e">
        <v>#N/A</v>
        <stp/>
        <stp>VOLUME</stp>
        <stp>.QQQ251219P487</stp>
        <tr r="W61" s="2"/>
      </tp>
      <tp t="e">
        <v>#N/A</v>
        <stp/>
        <stp>VOLUME</stp>
        <stp>.QQQ251219C487</stp>
        <tr r="W61" s="2"/>
      </tp>
      <tp t="e">
        <v>#N/A</v>
        <stp/>
        <stp>VOLUME</stp>
        <stp>.QQQ251219P486</stp>
        <tr r="W62" s="2"/>
      </tp>
      <tp t="e">
        <v>#N/A</v>
        <stp/>
        <stp>VOLUME</stp>
        <stp>.QQQ251219C486</stp>
        <tr r="W62" s="2"/>
      </tp>
      <tp t="e">
        <v>#N/A</v>
        <stp/>
        <stp>VOLUME</stp>
        <stp>.QQQ251219P481</stp>
        <tr r="W67" s="2"/>
      </tp>
      <tp t="e">
        <v>#N/A</v>
        <stp/>
        <stp>VOLUME</stp>
        <stp>.QQQ251219C481</stp>
        <tr r="W67" s="2"/>
      </tp>
      <tp t="e">
        <v>#N/A</v>
        <stp/>
        <stp>VOLUME</stp>
        <stp>.QQQ251219P480</stp>
        <tr r="W68" s="2"/>
      </tp>
      <tp t="e">
        <v>#N/A</v>
        <stp/>
        <stp>VOLUME</stp>
        <stp>.QQQ251219C480</stp>
        <tr r="W68" s="2"/>
      </tp>
      <tp t="e">
        <v>#N/A</v>
        <stp/>
        <stp>VOLUME</stp>
        <stp>.QQQ251219P483</stp>
        <tr r="W65" s="2"/>
      </tp>
      <tp t="e">
        <v>#N/A</v>
        <stp/>
        <stp>VOLUME</stp>
        <stp>.QQQ251219C483</stp>
        <tr r="W65" s="2"/>
      </tp>
      <tp t="e">
        <v>#N/A</v>
        <stp/>
        <stp>VOLUME</stp>
        <stp>.QQQ251219P482</stp>
        <tr r="W66" s="2"/>
      </tp>
      <tp t="e">
        <v>#N/A</v>
        <stp/>
        <stp>VOLUME</stp>
        <stp>.QQQ251219C482</stp>
        <tr r="W66" s="2"/>
      </tp>
      <tp t="e">
        <v>#N/A</v>
        <stp/>
        <stp>VOLUME</stp>
        <stp>.QQQ251219P499</stp>
        <tr r="W49" s="2"/>
      </tp>
      <tp t="e">
        <v>#N/A</v>
        <stp/>
        <stp>VOLUME</stp>
        <stp>.QQQ251219C499</stp>
        <tr r="W49" s="2"/>
      </tp>
      <tp t="e">
        <v>#N/A</v>
        <stp/>
        <stp>VOLUME</stp>
        <stp>.QQQ251219P498</stp>
        <tr r="W50" s="2"/>
      </tp>
      <tp t="e">
        <v>#N/A</v>
        <stp/>
        <stp>VOLUME</stp>
        <stp>.QQQ251219C498</stp>
        <tr r="W50" s="2"/>
      </tp>
      <tp t="e">
        <v>#N/A</v>
        <stp/>
        <stp>VOLUME</stp>
        <stp>.QQQ251219P495</stp>
        <tr r="W53" s="2"/>
      </tp>
      <tp t="e">
        <v>#N/A</v>
        <stp/>
        <stp>VOLUME</stp>
        <stp>.QQQ251219C495</stp>
        <tr r="W53" s="2"/>
      </tp>
      <tp t="e">
        <v>#N/A</v>
        <stp/>
        <stp>VOLUME</stp>
        <stp>.QQQ251219P494</stp>
        <tr r="W54" s="2"/>
      </tp>
      <tp t="e">
        <v>#N/A</v>
        <stp/>
        <stp>VOLUME</stp>
        <stp>.QQQ251219C494</stp>
        <tr r="W54" s="2"/>
      </tp>
      <tp t="e">
        <v>#N/A</v>
        <stp/>
        <stp>VOLUME</stp>
        <stp>.QQQ251219P497</stp>
        <tr r="W51" s="2"/>
      </tp>
      <tp t="e">
        <v>#N/A</v>
        <stp/>
        <stp>VOLUME</stp>
        <stp>.QQQ251219C497</stp>
        <tr r="W51" s="2"/>
      </tp>
      <tp t="e">
        <v>#N/A</v>
        <stp/>
        <stp>VOLUME</stp>
        <stp>.QQQ251219P496</stp>
        <tr r="W52" s="2"/>
      </tp>
      <tp t="e">
        <v>#N/A</v>
        <stp/>
        <stp>VOLUME</stp>
        <stp>.QQQ251219C496</stp>
        <tr r="W52" s="2"/>
      </tp>
      <tp t="e">
        <v>#N/A</v>
        <stp/>
        <stp>VOLUME</stp>
        <stp>.QQQ251219P491</stp>
        <tr r="W57" s="2"/>
      </tp>
      <tp t="e">
        <v>#N/A</v>
        <stp/>
        <stp>VOLUME</stp>
        <stp>.QQQ251219C491</stp>
        <tr r="W57" s="2"/>
      </tp>
      <tp t="e">
        <v>#N/A</v>
        <stp/>
        <stp>VOLUME</stp>
        <stp>.QQQ251219P490</stp>
        <tr r="W58" s="2"/>
      </tp>
      <tp t="e">
        <v>#N/A</v>
        <stp/>
        <stp>VOLUME</stp>
        <stp>.QQQ251219C490</stp>
        <tr r="W58" s="2"/>
      </tp>
      <tp t="e">
        <v>#N/A</v>
        <stp/>
        <stp>VOLUME</stp>
        <stp>.QQQ251219P493</stp>
        <tr r="W55" s="2"/>
      </tp>
      <tp t="e">
        <v>#N/A</v>
        <stp/>
        <stp>VOLUME</stp>
        <stp>.QQQ251219C493</stp>
        <tr r="W55" s="2"/>
      </tp>
      <tp t="e">
        <v>#N/A</v>
        <stp/>
        <stp>VOLUME</stp>
        <stp>.QQQ251219P492</stp>
        <tr r="W56" s="2"/>
      </tp>
      <tp t="e">
        <v>#N/A</v>
        <stp/>
        <stp>VOLUME</stp>
        <stp>.QQQ251219C492</stp>
        <tr r="W56" s="2"/>
      </tp>
      <tp t="e">
        <v>#N/A</v>
        <stp/>
        <stp>VOLUME</stp>
        <stp>.QQQ251231P485</stp>
        <tr r="X63" s="2"/>
      </tp>
      <tp t="e">
        <v>#N/A</v>
        <stp/>
        <stp>VOLUME</stp>
        <stp>.QQQ251231C485</stp>
        <tr r="X63" s="2"/>
      </tp>
      <tp t="e">
        <v>#N/A</v>
        <stp/>
        <stp>VOLUME</stp>
        <stp>.QQQ251231P484</stp>
        <tr r="X64" s="2"/>
      </tp>
      <tp t="e">
        <v>#N/A</v>
        <stp/>
        <stp>VOLUME</stp>
        <stp>.QQQ251231C484</stp>
        <tr r="X64" s="2"/>
      </tp>
      <tp t="e">
        <v>#N/A</v>
        <stp/>
        <stp>VOLUME</stp>
        <stp>.QQQ251231P487</stp>
        <tr r="X61" s="2"/>
      </tp>
      <tp t="e">
        <v>#N/A</v>
        <stp/>
        <stp>VOLUME</stp>
        <stp>.QQQ251231C487</stp>
        <tr r="X61" s="2"/>
      </tp>
      <tp t="e">
        <v>#N/A</v>
        <stp/>
        <stp>VOLUME</stp>
        <stp>.QQQ251231P486</stp>
        <tr r="X62" s="2"/>
      </tp>
      <tp t="e">
        <v>#N/A</v>
        <stp/>
        <stp>VOLUME</stp>
        <stp>.QQQ251231C486</stp>
        <tr r="X62" s="2"/>
      </tp>
      <tp t="e">
        <v>#N/A</v>
        <stp/>
        <stp>VOLUME</stp>
        <stp>.QQQ251231P481</stp>
        <tr r="X67" s="2"/>
      </tp>
      <tp t="e">
        <v>#N/A</v>
        <stp/>
        <stp>VOLUME</stp>
        <stp>.QQQ251231C481</stp>
        <tr r="X67" s="2"/>
      </tp>
      <tp t="e">
        <v>#N/A</v>
        <stp/>
        <stp>VOLUME</stp>
        <stp>.QQQ251231P480</stp>
        <tr r="X68" s="2"/>
      </tp>
      <tp t="e">
        <v>#N/A</v>
        <stp/>
        <stp>VOLUME</stp>
        <stp>.QQQ251231C480</stp>
        <tr r="X68" s="2"/>
      </tp>
      <tp t="e">
        <v>#N/A</v>
        <stp/>
        <stp>VOLUME</stp>
        <stp>.QQQ251231P483</stp>
        <tr r="X65" s="2"/>
      </tp>
      <tp t="e">
        <v>#N/A</v>
        <stp/>
        <stp>VOLUME</stp>
        <stp>.QQQ251231C483</stp>
        <tr r="X65" s="2"/>
      </tp>
      <tp t="e">
        <v>#N/A</v>
        <stp/>
        <stp>VOLUME</stp>
        <stp>.QQQ251231P482</stp>
        <tr r="X66" s="2"/>
      </tp>
      <tp t="e">
        <v>#N/A</v>
        <stp/>
        <stp>VOLUME</stp>
        <stp>.QQQ251231C482</stp>
        <tr r="X66" s="2"/>
      </tp>
      <tp t="e">
        <v>#N/A</v>
        <stp/>
        <stp>VOLUME</stp>
        <stp>.QQQ251231P489</stp>
        <tr r="X59" s="2"/>
      </tp>
      <tp t="e">
        <v>#N/A</v>
        <stp/>
        <stp>VOLUME</stp>
        <stp>.QQQ251231C489</stp>
        <tr r="X59" s="2"/>
      </tp>
      <tp t="e">
        <v>#N/A</v>
        <stp/>
        <stp>VOLUME</stp>
        <stp>.QQQ251231P488</stp>
        <tr r="X60" s="2"/>
      </tp>
      <tp t="e">
        <v>#N/A</v>
        <stp/>
        <stp>VOLUME</stp>
        <stp>.QQQ251231C488</stp>
        <tr r="X60" s="2"/>
      </tp>
      <tp t="e">
        <v>#N/A</v>
        <stp/>
        <stp>VOLUME</stp>
        <stp>.QQQ251231P495</stp>
        <tr r="X53" s="2"/>
      </tp>
      <tp t="e">
        <v>#N/A</v>
        <stp/>
        <stp>VOLUME</stp>
        <stp>.QQQ251231C495</stp>
        <tr r="X53" s="2"/>
      </tp>
      <tp t="e">
        <v>#N/A</v>
        <stp/>
        <stp>VOLUME</stp>
        <stp>.QQQ251231P494</stp>
        <tr r="X54" s="2"/>
      </tp>
      <tp t="e">
        <v>#N/A</v>
        <stp/>
        <stp>VOLUME</stp>
        <stp>.QQQ251231C494</stp>
        <tr r="X54" s="2"/>
      </tp>
      <tp t="e">
        <v>#N/A</v>
        <stp/>
        <stp>VOLUME</stp>
        <stp>.QQQ251231P497</stp>
        <tr r="X51" s="2"/>
      </tp>
      <tp t="e">
        <v>#N/A</v>
        <stp/>
        <stp>VOLUME</stp>
        <stp>.QQQ251231C497</stp>
        <tr r="X51" s="2"/>
      </tp>
      <tp t="e">
        <v>#N/A</v>
        <stp/>
        <stp>VOLUME</stp>
        <stp>.QQQ251231P496</stp>
        <tr r="X52" s="2"/>
      </tp>
      <tp t="e">
        <v>#N/A</v>
        <stp/>
        <stp>VOLUME</stp>
        <stp>.QQQ251231C496</stp>
        <tr r="X52" s="2"/>
      </tp>
      <tp t="e">
        <v>#N/A</v>
        <stp/>
        <stp>VOLUME</stp>
        <stp>.QQQ251231P491</stp>
        <tr r="X57" s="2"/>
      </tp>
      <tp t="e">
        <v>#N/A</v>
        <stp/>
        <stp>VOLUME</stp>
        <stp>.QQQ251231C491</stp>
        <tr r="X57" s="2"/>
      </tp>
      <tp t="e">
        <v>#N/A</v>
        <stp/>
        <stp>VOLUME</stp>
        <stp>.QQQ251231P490</stp>
        <tr r="X58" s="2"/>
      </tp>
      <tp t="e">
        <v>#N/A</v>
        <stp/>
        <stp>VOLUME</stp>
        <stp>.QQQ251231C490</stp>
        <tr r="X58" s="2"/>
      </tp>
      <tp t="e">
        <v>#N/A</v>
        <stp/>
        <stp>VOLUME</stp>
        <stp>.QQQ251231P493</stp>
        <tr r="X55" s="2"/>
      </tp>
      <tp t="e">
        <v>#N/A</v>
        <stp/>
        <stp>VOLUME</stp>
        <stp>.QQQ251231C493</stp>
        <tr r="X55" s="2"/>
      </tp>
      <tp t="e">
        <v>#N/A</v>
        <stp/>
        <stp>VOLUME</stp>
        <stp>.QQQ251231P492</stp>
        <tr r="X56" s="2"/>
      </tp>
      <tp t="e">
        <v>#N/A</v>
        <stp/>
        <stp>VOLUME</stp>
        <stp>.QQQ251231C492</stp>
        <tr r="X56" s="2"/>
      </tp>
      <tp t="e">
        <v>#N/A</v>
        <stp/>
        <stp>VOLUME</stp>
        <stp>.QQQ251231P499</stp>
        <tr r="X49" s="2"/>
      </tp>
      <tp t="e">
        <v>#N/A</v>
        <stp/>
        <stp>VOLUME</stp>
        <stp>.QQQ251231C499</stp>
        <tr r="X49" s="2"/>
      </tp>
      <tp t="e">
        <v>#N/A</v>
        <stp/>
        <stp>VOLUME</stp>
        <stp>.QQQ251231P498</stp>
        <tr r="X50" s="2"/>
      </tp>
      <tp t="e">
        <v>#N/A</v>
        <stp/>
        <stp>VOLUME</stp>
        <stp>.QQQ251231C498</stp>
        <tr r="X50" s="2"/>
      </tp>
      <tp t="e">
        <v>#N/A</v>
        <stp/>
        <stp>VOLUME</stp>
        <stp>.QQQ251231P469</stp>
        <tr r="X79" s="2"/>
      </tp>
      <tp t="e">
        <v>#N/A</v>
        <stp/>
        <stp>VOLUME</stp>
        <stp>.QQQ251231C469</stp>
        <tr r="X79" s="2"/>
      </tp>
      <tp t="e">
        <v>#N/A</v>
        <stp/>
        <stp>VOLUME</stp>
        <stp>.QQQ251231P468</stp>
        <tr r="X80" s="2"/>
      </tp>
      <tp t="e">
        <v>#N/A</v>
        <stp/>
        <stp>VOLUME</stp>
        <stp>.QQQ251231C468</stp>
        <tr r="X80" s="2"/>
      </tp>
      <tp t="e">
        <v>#N/A</v>
        <stp/>
        <stp>VOLUME</stp>
        <stp>.QQQ251231P475</stp>
        <tr r="X73" s="2"/>
      </tp>
      <tp t="e">
        <v>#N/A</v>
        <stp/>
        <stp>VOLUME</stp>
        <stp>.QQQ251231C475</stp>
        <tr r="X73" s="2"/>
      </tp>
      <tp t="e">
        <v>#N/A</v>
        <stp/>
        <stp>VOLUME</stp>
        <stp>.QQQ251231P474</stp>
        <tr r="X74" s="2"/>
      </tp>
      <tp t="e">
        <v>#N/A</v>
        <stp/>
        <stp>VOLUME</stp>
        <stp>.QQQ251231C474</stp>
        <tr r="X74" s="2"/>
      </tp>
      <tp t="e">
        <v>#N/A</v>
        <stp/>
        <stp>VOLUME</stp>
        <stp>.QQQ251231P477</stp>
        <tr r="X71" s="2"/>
      </tp>
      <tp t="e">
        <v>#N/A</v>
        <stp/>
        <stp>VOLUME</stp>
        <stp>.QQQ251231C477</stp>
        <tr r="X71" s="2"/>
      </tp>
      <tp t="e">
        <v>#N/A</v>
        <stp/>
        <stp>VOLUME</stp>
        <stp>.QQQ251231P476</stp>
        <tr r="X72" s="2"/>
      </tp>
      <tp t="e">
        <v>#N/A</v>
        <stp/>
        <stp>VOLUME</stp>
        <stp>.QQQ251231C476</stp>
        <tr r="X72" s="2"/>
      </tp>
      <tp t="e">
        <v>#N/A</v>
        <stp/>
        <stp>VOLUME</stp>
        <stp>.QQQ251231P471</stp>
        <tr r="X77" s="2"/>
      </tp>
      <tp t="e">
        <v>#N/A</v>
        <stp/>
        <stp>VOLUME</stp>
        <stp>.QQQ251231C471</stp>
        <tr r="X77" s="2"/>
      </tp>
      <tp t="e">
        <v>#N/A</v>
        <stp/>
        <stp>VOLUME</stp>
        <stp>.QQQ251231P470</stp>
        <tr r="X78" s="2"/>
      </tp>
      <tp t="e">
        <v>#N/A</v>
        <stp/>
        <stp>VOLUME</stp>
        <stp>.QQQ251231C470</stp>
        <tr r="X78" s="2"/>
      </tp>
      <tp t="e">
        <v>#N/A</v>
        <stp/>
        <stp>VOLUME</stp>
        <stp>.QQQ251231P473</stp>
        <tr r="X75" s="2"/>
      </tp>
      <tp t="e">
        <v>#N/A</v>
        <stp/>
        <stp>VOLUME</stp>
        <stp>.QQQ251231C473</stp>
        <tr r="X75" s="2"/>
      </tp>
      <tp t="e">
        <v>#N/A</v>
        <stp/>
        <stp>VOLUME</stp>
        <stp>.QQQ251231P472</stp>
        <tr r="X76" s="2"/>
      </tp>
      <tp t="e">
        <v>#N/A</v>
        <stp/>
        <stp>VOLUME</stp>
        <stp>.QQQ251231C472</stp>
        <tr r="X76" s="2"/>
      </tp>
      <tp t="e">
        <v>#N/A</v>
        <stp/>
        <stp>VOLUME</stp>
        <stp>.QQQ251231P479</stp>
        <tr r="X69" s="2"/>
      </tp>
      <tp t="e">
        <v>#N/A</v>
        <stp/>
        <stp>VOLUME</stp>
        <stp>.QQQ251231C479</stp>
        <tr r="X69" s="2"/>
      </tp>
      <tp t="e">
        <v>#N/A</v>
        <stp/>
        <stp>VOLUME</stp>
        <stp>.QQQ251231P478</stp>
        <tr r="X70" s="2"/>
      </tp>
      <tp t="e">
        <v>#N/A</v>
        <stp/>
        <stp>VOLUME</stp>
        <stp>.QQQ251231C478</stp>
        <tr r="X70" s="2"/>
      </tp>
      <tp t="e">
        <v>#N/A</v>
        <stp/>
        <stp>VOLUME</stp>
        <stp>.QQQ251219P469</stp>
        <tr r="W79" s="2"/>
      </tp>
      <tp t="e">
        <v>#N/A</v>
        <stp/>
        <stp>VOLUME</stp>
        <stp>.QQQ251219C469</stp>
        <tr r="W79" s="2"/>
      </tp>
      <tp t="e">
        <v>#N/A</v>
        <stp/>
        <stp>VOLUME</stp>
        <stp>.QQQ251219P468</stp>
        <tr r="W80" s="2"/>
      </tp>
      <tp t="e">
        <v>#N/A</v>
        <stp/>
        <stp>VOLUME</stp>
        <stp>.QQQ251219C468</stp>
        <tr r="W80" s="2"/>
      </tp>
      <tp t="e">
        <v>#N/A</v>
        <stp/>
        <stp>VOLUME</stp>
        <stp>.QQQ251219P479</stp>
        <tr r="W69" s="2"/>
      </tp>
      <tp t="e">
        <v>#N/A</v>
        <stp/>
        <stp>VOLUME</stp>
        <stp>.QQQ251219C479</stp>
        <tr r="W69" s="2"/>
      </tp>
      <tp t="e">
        <v>#N/A</v>
        <stp/>
        <stp>VOLUME</stp>
        <stp>.QQQ251219P478</stp>
        <tr r="W70" s="2"/>
      </tp>
      <tp t="e">
        <v>#N/A</v>
        <stp/>
        <stp>VOLUME</stp>
        <stp>.QQQ251219C478</stp>
        <tr r="W70" s="2"/>
      </tp>
      <tp t="e">
        <v>#N/A</v>
        <stp/>
        <stp>VOLUME</stp>
        <stp>.QQQ251219P475</stp>
        <tr r="W73" s="2"/>
      </tp>
      <tp t="e">
        <v>#N/A</v>
        <stp/>
        <stp>VOLUME</stp>
        <stp>.QQQ251219C475</stp>
        <tr r="W73" s="2"/>
      </tp>
      <tp t="e">
        <v>#N/A</v>
        <stp/>
        <stp>VOLUME</stp>
        <stp>.QQQ251219P474</stp>
        <tr r="W74" s="2"/>
      </tp>
      <tp t="e">
        <v>#N/A</v>
        <stp/>
        <stp>VOLUME</stp>
        <stp>.QQQ251219C474</stp>
        <tr r="W74" s="2"/>
      </tp>
      <tp t="e">
        <v>#N/A</v>
        <stp/>
        <stp>VOLUME</stp>
        <stp>.QQQ251219P477</stp>
        <tr r="W71" s="2"/>
      </tp>
      <tp t="e">
        <v>#N/A</v>
        <stp/>
        <stp>VOLUME</stp>
        <stp>.QQQ251219C477</stp>
        <tr r="W71" s="2"/>
      </tp>
      <tp t="e">
        <v>#N/A</v>
        <stp/>
        <stp>VOLUME</stp>
        <stp>.QQQ251219P476</stp>
        <tr r="W72" s="2"/>
      </tp>
      <tp t="e">
        <v>#N/A</v>
        <stp/>
        <stp>VOLUME</stp>
        <stp>.QQQ251219C476</stp>
        <tr r="W72" s="2"/>
      </tp>
      <tp t="e">
        <v>#N/A</v>
        <stp/>
        <stp>VOLUME</stp>
        <stp>.QQQ251219P471</stp>
        <tr r="W77" s="2"/>
      </tp>
      <tp t="e">
        <v>#N/A</v>
        <stp/>
        <stp>VOLUME</stp>
        <stp>.QQQ251219C471</stp>
        <tr r="W77" s="2"/>
      </tp>
      <tp t="e">
        <v>#N/A</v>
        <stp/>
        <stp>VOLUME</stp>
        <stp>.QQQ251219P470</stp>
        <tr r="W78" s="2"/>
      </tp>
      <tp t="e">
        <v>#N/A</v>
        <stp/>
        <stp>VOLUME</stp>
        <stp>.QQQ251219C470</stp>
        <tr r="W78" s="2"/>
      </tp>
      <tp t="e">
        <v>#N/A</v>
        <stp/>
        <stp>VOLUME</stp>
        <stp>.QQQ251219P473</stp>
        <tr r="W75" s="2"/>
      </tp>
      <tp t="e">
        <v>#N/A</v>
        <stp/>
        <stp>VOLUME</stp>
        <stp>.QQQ251219C473</stp>
        <tr r="W75" s="2"/>
      </tp>
      <tp t="e">
        <v>#N/A</v>
        <stp/>
        <stp>VOLUME</stp>
        <stp>.QQQ251219P472</stp>
        <tr r="W76" s="2"/>
      </tp>
      <tp t="e">
        <v>#N/A</v>
        <stp/>
        <stp>VOLUME</stp>
        <stp>.QQQ251219C472</stp>
        <tr r="W76" s="2"/>
      </tp>
      <tp t="e">
        <v>#N/A</v>
        <stp/>
        <stp>VOLUME</stp>
        <stp>.QQQ251219P501</stp>
        <tr r="W47" s="2"/>
      </tp>
      <tp t="e">
        <v>#N/A</v>
        <stp/>
        <stp>VOLUME</stp>
        <stp>.QQQ251219C501</stp>
        <tr r="W47" s="2"/>
      </tp>
      <tp t="e">
        <v>#N/A</v>
        <stp/>
        <stp>VOLUME</stp>
        <stp>.QQQ251219P500</stp>
        <tr r="W48" s="2"/>
      </tp>
      <tp t="e">
        <v>#N/A</v>
        <stp/>
        <stp>VOLUME</stp>
        <stp>.QQQ251219C500</stp>
        <tr r="W48" s="2"/>
      </tp>
      <tp t="e">
        <v>#N/A</v>
        <stp/>
        <stp>VOLUME</stp>
        <stp>.QQQ251219P502</stp>
        <tr r="W46" s="2"/>
      </tp>
      <tp t="e">
        <v>#N/A</v>
        <stp/>
        <stp>VOLUME</stp>
        <stp>.QQQ251219C502</stp>
        <tr r="W46" s="2"/>
      </tp>
      <tp t="e">
        <v>#N/A</v>
        <stp/>
        <stp>VOLUME</stp>
        <stp>.QQQ251231P501</stp>
        <tr r="X47" s="2"/>
      </tp>
      <tp t="e">
        <v>#N/A</v>
        <stp/>
        <stp>VOLUME</stp>
        <stp>.QQQ251231C501</stp>
        <tr r="X47" s="2"/>
      </tp>
      <tp t="e">
        <v>#N/A</v>
        <stp/>
        <stp>VOLUME</stp>
        <stp>.QQQ251231P500</stp>
        <tr r="X48" s="2"/>
      </tp>
      <tp t="e">
        <v>#N/A</v>
        <stp/>
        <stp>VOLUME</stp>
        <stp>.QQQ251231C500</stp>
        <tr r="X48" s="2"/>
      </tp>
      <tp t="e">
        <v>#N/A</v>
        <stp/>
        <stp>VOLUME</stp>
        <stp>.QQQ251231P502</stp>
        <tr r="X46" s="2"/>
      </tp>
      <tp t="e">
        <v>#N/A</v>
        <stp/>
        <stp>VOLUME</stp>
        <stp>.QQQ251231C502</stp>
        <tr r="X46" s="2"/>
      </tp>
      <tp t="e">
        <v>#N/A</v>
        <stp/>
        <stp>VOLUME</stp>
        <stp>.QQQ251017P483</stp>
        <tr r="S65" s="2"/>
      </tp>
      <tp t="e">
        <v>#N/A</v>
        <stp/>
        <stp>VOLUME</stp>
        <stp>.QQQ251017C483</stp>
        <tr r="S65" s="2"/>
      </tp>
      <tp t="e">
        <v>#N/A</v>
        <stp/>
        <stp>VOLUME</stp>
        <stp>.QQQ251017P482</stp>
        <tr r="S66" s="2"/>
      </tp>
      <tp t="e">
        <v>#N/A</v>
        <stp/>
        <stp>VOLUME</stp>
        <stp>.QQQ251017C482</stp>
        <tr r="S66" s="2"/>
      </tp>
      <tp t="e">
        <v>#N/A</v>
        <stp/>
        <stp>VOLUME</stp>
        <stp>.QQQ251017P481</stp>
        <tr r="S67" s="2"/>
      </tp>
      <tp t="e">
        <v>#N/A</v>
        <stp/>
        <stp>VOLUME</stp>
        <stp>.QQQ251017C481</stp>
        <tr r="S67" s="2"/>
      </tp>
      <tp t="e">
        <v>#N/A</v>
        <stp/>
        <stp>VOLUME</stp>
        <stp>.QQQ251017P480</stp>
        <tr r="S68" s="2"/>
      </tp>
      <tp t="e">
        <v>#N/A</v>
        <stp/>
        <stp>VOLUME</stp>
        <stp>.QQQ251017C480</stp>
        <tr r="S68" s="2"/>
      </tp>
      <tp t="e">
        <v>#N/A</v>
        <stp/>
        <stp>VOLUME</stp>
        <stp>.QQQ251017P487</stp>
        <tr r="S61" s="2"/>
      </tp>
      <tp t="e">
        <v>#N/A</v>
        <stp/>
        <stp>VOLUME</stp>
        <stp>.QQQ251017C487</stp>
        <tr r="S61" s="2"/>
      </tp>
      <tp t="e">
        <v>#N/A</v>
        <stp/>
        <stp>VOLUME</stp>
        <stp>.QQQ251017P486</stp>
        <tr r="S62" s="2"/>
      </tp>
      <tp t="e">
        <v>#N/A</v>
        <stp/>
        <stp>VOLUME</stp>
        <stp>.QQQ251017C486</stp>
        <tr r="S62" s="2"/>
      </tp>
      <tp t="e">
        <v>#N/A</v>
        <stp/>
        <stp>VOLUME</stp>
        <stp>.QQQ251017P485</stp>
        <tr r="S63" s="2"/>
      </tp>
      <tp t="e">
        <v>#N/A</v>
        <stp/>
        <stp>VOLUME</stp>
        <stp>.QQQ251017C485</stp>
        <tr r="S63" s="2"/>
      </tp>
      <tp t="e">
        <v>#N/A</v>
        <stp/>
        <stp>VOLUME</stp>
        <stp>.QQQ251017P484</stp>
        <tr r="S64" s="2"/>
      </tp>
      <tp t="e">
        <v>#N/A</v>
        <stp/>
        <stp>VOLUME</stp>
        <stp>.QQQ251017C484</stp>
        <tr r="S64" s="2"/>
      </tp>
      <tp t="e">
        <v>#N/A</v>
        <stp/>
        <stp>VOLUME</stp>
        <stp>.QQQ251017P489</stp>
        <tr r="S59" s="2"/>
      </tp>
      <tp t="e">
        <v>#N/A</v>
        <stp/>
        <stp>VOLUME</stp>
        <stp>.QQQ251017C489</stp>
        <tr r="S59" s="2"/>
      </tp>
      <tp t="e">
        <v>#N/A</v>
        <stp/>
        <stp>VOLUME</stp>
        <stp>.QQQ251017P488</stp>
        <tr r="S60" s="2"/>
      </tp>
      <tp t="e">
        <v>#N/A</v>
        <stp/>
        <stp>VOLUME</stp>
        <stp>.QQQ251017C488</stp>
        <tr r="S60" s="2"/>
      </tp>
      <tp t="e">
        <v>#N/A</v>
        <stp/>
        <stp>VOLUME</stp>
        <stp>.SPY250919P582</stp>
        <tr r="Q5" s="2"/>
      </tp>
      <tp t="e">
        <v>#N/A</v>
        <stp/>
        <stp>VOLUME</stp>
        <stp>.SPY250919C582</stp>
        <tr r="Q5" s="2"/>
      </tp>
      <tp t="e">
        <v>#N/A</v>
        <stp/>
        <stp>VOLUME</stp>
        <stp>.SPY250919P581</stp>
        <tr r="Q6" s="2"/>
      </tp>
      <tp t="e">
        <v>#N/A</v>
        <stp/>
        <stp>VOLUME</stp>
        <stp>.SPY250919C581</stp>
        <tr r="Q6" s="2"/>
      </tp>
      <tp t="e">
        <v>#N/A</v>
        <stp/>
        <stp>VOLUME</stp>
        <stp>.SPY250919P580</stp>
        <tr r="Q7" s="2"/>
      </tp>
      <tp t="e">
        <v>#N/A</v>
        <stp/>
        <stp>VOLUME</stp>
        <stp>.SPY250919C580</stp>
        <tr r="Q7" s="2"/>
      </tp>
      <tp t="e">
        <v>#N/A</v>
        <stp/>
        <stp>VOLUME</stp>
        <stp>.QQQ251017P493</stp>
        <tr r="S55" s="2"/>
      </tp>
      <tp t="e">
        <v>#N/A</v>
        <stp/>
        <stp>VOLUME</stp>
        <stp>.QQQ251017C493</stp>
        <tr r="S55" s="2"/>
      </tp>
      <tp t="e">
        <v>#N/A</v>
        <stp/>
        <stp>VOLUME</stp>
        <stp>.QQQ251017P492</stp>
        <tr r="S56" s="2"/>
      </tp>
      <tp t="e">
        <v>#N/A</v>
        <stp/>
        <stp>VOLUME</stp>
        <stp>.QQQ251017C492</stp>
        <tr r="S56" s="2"/>
      </tp>
      <tp t="e">
        <v>#N/A</v>
        <stp/>
        <stp>VOLUME</stp>
        <stp>.QQQ251017P491</stp>
        <tr r="S57" s="2"/>
      </tp>
      <tp t="e">
        <v>#N/A</v>
        <stp/>
        <stp>VOLUME</stp>
        <stp>.QQQ251017C491</stp>
        <tr r="S57" s="2"/>
      </tp>
      <tp t="e">
        <v>#N/A</v>
        <stp/>
        <stp>VOLUME</stp>
        <stp>.QQQ251017P490</stp>
        <tr r="S58" s="2"/>
      </tp>
      <tp t="e">
        <v>#N/A</v>
        <stp/>
        <stp>VOLUME</stp>
        <stp>.QQQ251017C490</stp>
        <tr r="S58" s="2"/>
      </tp>
      <tp t="e">
        <v>#N/A</v>
        <stp/>
        <stp>VOLUME</stp>
        <stp>.QQQ251017P497</stp>
        <tr r="S51" s="2"/>
      </tp>
      <tp t="e">
        <v>#N/A</v>
        <stp/>
        <stp>VOLUME</stp>
        <stp>.QQQ251017C497</stp>
        <tr r="S51" s="2"/>
      </tp>
      <tp t="e">
        <v>#N/A</v>
        <stp/>
        <stp>VOLUME</stp>
        <stp>.QQQ251017P496</stp>
        <tr r="S52" s="2"/>
      </tp>
      <tp t="e">
        <v>#N/A</v>
        <stp/>
        <stp>VOLUME</stp>
        <stp>.QQQ251017C496</stp>
        <tr r="S52" s="2"/>
      </tp>
      <tp t="e">
        <v>#N/A</v>
        <stp/>
        <stp>VOLUME</stp>
        <stp>.QQQ251017P495</stp>
        <tr r="S53" s="2"/>
      </tp>
      <tp t="e">
        <v>#N/A</v>
        <stp/>
        <stp>VOLUME</stp>
        <stp>.QQQ251017C495</stp>
        <tr r="S53" s="2"/>
      </tp>
      <tp t="e">
        <v>#N/A</v>
        <stp/>
        <stp>VOLUME</stp>
        <stp>.QQQ251017P494</stp>
        <tr r="S54" s="2"/>
      </tp>
      <tp t="e">
        <v>#N/A</v>
        <stp/>
        <stp>VOLUME</stp>
        <stp>.QQQ251017C494</stp>
        <tr r="S54" s="2"/>
      </tp>
      <tp t="e">
        <v>#N/A</v>
        <stp/>
        <stp>VOLUME</stp>
        <stp>.QQQ251017P499</stp>
        <tr r="S49" s="2"/>
      </tp>
      <tp t="e">
        <v>#N/A</v>
        <stp/>
        <stp>VOLUME</stp>
        <stp>.QQQ251017C499</stp>
        <tr r="S49" s="2"/>
      </tp>
      <tp t="e">
        <v>#N/A</v>
        <stp/>
        <stp>VOLUME</stp>
        <stp>.QQQ251017P498</stp>
        <tr r="S50" s="2"/>
      </tp>
      <tp t="e">
        <v>#N/A</v>
        <stp/>
        <stp>VOLUME</stp>
        <stp>.QQQ251017C498</stp>
        <tr r="S50" s="2"/>
      </tp>
      <tp t="e">
        <v>#N/A</v>
        <stp/>
        <stp>VOLUME</stp>
        <stp>.QQQ251031P485</stp>
        <tr r="T63" s="2"/>
      </tp>
      <tp t="e">
        <v>#N/A</v>
        <stp/>
        <stp>VOLUME</stp>
        <stp>.QQQ251031C485</stp>
        <tr r="T63" s="2"/>
      </tp>
      <tp t="e">
        <v>#N/A</v>
        <stp/>
        <stp>VOLUME</stp>
        <stp>.QQQ251031P484</stp>
        <tr r="T64" s="2"/>
      </tp>
      <tp t="e">
        <v>#N/A</v>
        <stp/>
        <stp>VOLUME</stp>
        <stp>.QQQ251031C484</stp>
        <tr r="T64" s="2"/>
      </tp>
      <tp t="e">
        <v>#N/A</v>
        <stp/>
        <stp>VOLUME</stp>
        <stp>.QQQ251031P487</stp>
        <tr r="T61" s="2"/>
      </tp>
      <tp t="e">
        <v>#N/A</v>
        <stp/>
        <stp>VOLUME</stp>
        <stp>.QQQ251031C487</stp>
        <tr r="T61" s="2"/>
      </tp>
      <tp t="e">
        <v>#N/A</v>
        <stp/>
        <stp>VOLUME</stp>
        <stp>.QQQ251031P486</stp>
        <tr r="T62" s="2"/>
      </tp>
      <tp t="e">
        <v>#N/A</v>
        <stp/>
        <stp>VOLUME</stp>
        <stp>.QQQ251031C486</stp>
        <tr r="T62" s="2"/>
      </tp>
      <tp t="e">
        <v>#N/A</v>
        <stp/>
        <stp>VOLUME</stp>
        <stp>.QQQ251031P481</stp>
        <tr r="T67" s="2"/>
      </tp>
      <tp t="e">
        <v>#N/A</v>
        <stp/>
        <stp>VOLUME</stp>
        <stp>.SPY250930P582</stp>
        <tr r="R5" s="2"/>
      </tp>
      <tp t="e">
        <v>#N/A</v>
        <stp/>
        <stp>VOLUME</stp>
        <stp>.QQQ251031C481</stp>
        <tr r="T67" s="2"/>
      </tp>
      <tp t="e">
        <v>#N/A</v>
        <stp/>
        <stp>VOLUME</stp>
        <stp>.SPY250930C582</stp>
        <tr r="R5" s="2"/>
      </tp>
      <tp t="e">
        <v>#N/A</v>
        <stp/>
        <stp>VOLUME</stp>
        <stp>.QQQ251031P480</stp>
        <tr r="T68" s="2"/>
      </tp>
      <tp t="e">
        <v>#N/A</v>
        <stp/>
        <stp>VOLUME</stp>
        <stp>.QQQ251031C480</stp>
        <tr r="T68" s="2"/>
      </tp>
      <tp t="e">
        <v>#N/A</v>
        <stp/>
        <stp>VOLUME</stp>
        <stp>.QQQ251031P483</stp>
        <tr r="T65" s="2"/>
      </tp>
      <tp t="e">
        <v>#N/A</v>
        <stp/>
        <stp>VOLUME</stp>
        <stp>.SPY250930P580</stp>
        <tr r="R7" s="2"/>
      </tp>
      <tp t="e">
        <v>#N/A</v>
        <stp/>
        <stp>VOLUME</stp>
        <stp>.QQQ251031C483</stp>
        <tr r="T65" s="2"/>
      </tp>
      <tp t="e">
        <v>#N/A</v>
        <stp/>
        <stp>VOLUME</stp>
        <stp>.SPY250930C580</stp>
        <tr r="R7" s="2"/>
      </tp>
      <tp t="e">
        <v>#N/A</v>
        <stp/>
        <stp>VOLUME</stp>
        <stp>.QQQ251031P482</stp>
        <tr r="T66" s="2"/>
      </tp>
      <tp t="e">
        <v>#N/A</v>
        <stp/>
        <stp>VOLUME</stp>
        <stp>.SPY250930P581</stp>
        <tr r="R6" s="2"/>
      </tp>
      <tp t="e">
        <v>#N/A</v>
        <stp/>
        <stp>VOLUME</stp>
        <stp>.QQQ251031C482</stp>
        <tr r="T66" s="2"/>
      </tp>
      <tp t="e">
        <v>#N/A</v>
        <stp/>
        <stp>VOLUME</stp>
        <stp>.SPY250930C581</stp>
        <tr r="R6" s="2"/>
      </tp>
      <tp t="e">
        <v>#N/A</v>
        <stp/>
        <stp>VOLUME</stp>
        <stp>.QQQ251031P489</stp>
        <tr r="T59" s="2"/>
      </tp>
      <tp t="e">
        <v>#N/A</v>
        <stp/>
        <stp>VOLUME</stp>
        <stp>.QQQ251031C489</stp>
        <tr r="T59" s="2"/>
      </tp>
      <tp t="e">
        <v>#N/A</v>
        <stp/>
        <stp>VOLUME</stp>
        <stp>.QQQ251031P488</stp>
        <tr r="T60" s="2"/>
      </tp>
      <tp t="e">
        <v>#N/A</v>
        <stp/>
        <stp>VOLUME</stp>
        <stp>.QQQ251031C488</stp>
        <tr r="T60" s="2"/>
      </tp>
      <tp t="e">
        <v>#N/A</v>
        <stp/>
        <stp>VOLUME</stp>
        <stp>.QQQ251031P495</stp>
        <tr r="T53" s="2"/>
      </tp>
      <tp t="e">
        <v>#N/A</v>
        <stp/>
        <stp>VOLUME</stp>
        <stp>.QQQ251031C495</stp>
        <tr r="T53" s="2"/>
      </tp>
      <tp t="e">
        <v>#N/A</v>
        <stp/>
        <stp>VOLUME</stp>
        <stp>.QQQ251031P494</stp>
        <tr r="T54" s="2"/>
      </tp>
      <tp t="e">
        <v>#N/A</v>
        <stp/>
        <stp>VOLUME</stp>
        <stp>.QQQ251031C494</stp>
        <tr r="T54" s="2"/>
      </tp>
      <tp t="e">
        <v>#N/A</v>
        <stp/>
        <stp>VOLUME</stp>
        <stp>.QQQ251031P497</stp>
        <tr r="T51" s="2"/>
      </tp>
      <tp t="e">
        <v>#N/A</v>
        <stp/>
        <stp>VOLUME</stp>
        <stp>.QQQ251031C497</stp>
        <tr r="T51" s="2"/>
      </tp>
      <tp t="e">
        <v>#N/A</v>
        <stp/>
        <stp>VOLUME</stp>
        <stp>.QQQ251031P496</stp>
        <tr r="T52" s="2"/>
      </tp>
      <tp t="e">
        <v>#N/A</v>
        <stp/>
        <stp>VOLUME</stp>
        <stp>.QQQ251031C496</stp>
        <tr r="T52" s="2"/>
      </tp>
      <tp t="e">
        <v>#N/A</v>
        <stp/>
        <stp>VOLUME</stp>
        <stp>.QQQ251031P491</stp>
        <tr r="T57" s="2"/>
      </tp>
      <tp t="e">
        <v>#N/A</v>
        <stp/>
        <stp>VOLUME</stp>
        <stp>.QQQ251031C491</stp>
        <tr r="T57" s="2"/>
      </tp>
      <tp t="e">
        <v>#N/A</v>
        <stp/>
        <stp>VOLUME</stp>
        <stp>.QQQ251031P490</stp>
        <tr r="T58" s="2"/>
      </tp>
      <tp t="e">
        <v>#N/A</v>
        <stp/>
        <stp>VOLUME</stp>
        <stp>.QQQ251031C490</stp>
        <tr r="T58" s="2"/>
      </tp>
      <tp t="e">
        <v>#N/A</v>
        <stp/>
        <stp>VOLUME</stp>
        <stp>.QQQ251031P493</stp>
        <tr r="T55" s="2"/>
      </tp>
      <tp t="e">
        <v>#N/A</v>
        <stp/>
        <stp>VOLUME</stp>
        <stp>.QQQ251031C493</stp>
        <tr r="T55" s="2"/>
      </tp>
      <tp t="e">
        <v>#N/A</v>
        <stp/>
        <stp>VOLUME</stp>
        <stp>.QQQ251031P492</stp>
        <tr r="T56" s="2"/>
      </tp>
      <tp t="e">
        <v>#N/A</v>
        <stp/>
        <stp>VOLUME</stp>
        <stp>.QQQ251031C492</stp>
        <tr r="T56" s="2"/>
      </tp>
      <tp t="e">
        <v>#N/A</v>
        <stp/>
        <stp>VOLUME</stp>
        <stp>.QQQ251031P499</stp>
        <tr r="T49" s="2"/>
      </tp>
      <tp t="e">
        <v>#N/A</v>
        <stp/>
        <stp>VOLUME</stp>
        <stp>.QQQ251031C499</stp>
        <tr r="T49" s="2"/>
      </tp>
      <tp t="e">
        <v>#N/A</v>
        <stp/>
        <stp>VOLUME</stp>
        <stp>.QQQ251031P498</stp>
        <tr r="T50" s="2"/>
      </tp>
      <tp t="e">
        <v>#N/A</v>
        <stp/>
        <stp>VOLUME</stp>
        <stp>.QQQ251031C498</stp>
        <tr r="T50" s="2"/>
      </tp>
      <tp t="e">
        <v>#N/A</v>
        <stp/>
        <stp>VOLUME</stp>
        <stp>.QQQ251121P501</stp>
        <tr r="U47" s="2"/>
      </tp>
      <tp t="e">
        <v>#N/A</v>
        <stp/>
        <stp>VOLUME</stp>
        <stp>.QQQ251121C501</stp>
        <tr r="U47" s="2"/>
      </tp>
      <tp t="e">
        <v>#N/A</v>
        <stp/>
        <stp>VOLUME</stp>
        <stp>.QQQ251121P500</stp>
        <tr r="U48" s="2"/>
      </tp>
      <tp t="e">
        <v>#N/A</v>
        <stp/>
        <stp>VOLUME</stp>
        <stp>.QQQ251121C500</stp>
        <tr r="U48" s="2"/>
      </tp>
      <tp t="e">
        <v>#N/A</v>
        <stp/>
        <stp>VOLUME</stp>
        <stp>.QQQ251121P502</stp>
        <tr r="U46" s="2"/>
      </tp>
      <tp t="e">
        <v>#N/A</v>
        <stp/>
        <stp>VOLUME</stp>
        <stp>.QQQ251121C502</stp>
        <tr r="U46" s="2"/>
      </tp>
      <tp t="e">
        <v>#N/A</v>
        <stp/>
        <stp>VOLUME</stp>
        <stp>.QQQ251128P500</stp>
        <tr r="V48" s="2"/>
      </tp>
      <tp t="e">
        <v>#N/A</v>
        <stp/>
        <stp>VOLUME</stp>
        <stp>.QQQ251128C500</stp>
        <tr r="V48" s="2"/>
      </tp>
      <tp t="e">
        <v>#N/A</v>
        <stp/>
        <stp>VOLUME</stp>
        <stp>.QQQ251128P501</stp>
        <tr r="V47" s="2"/>
      </tp>
      <tp t="e">
        <v>#N/A</v>
        <stp/>
        <stp>VOLUME</stp>
        <stp>.QQQ251128C501</stp>
        <tr r="V47" s="2"/>
      </tp>
      <tp t="e">
        <v>#N/A</v>
        <stp/>
        <stp>VOLUME</stp>
        <stp>.QQQ251128P502</stp>
        <tr r="V46" s="2"/>
      </tp>
      <tp t="e">
        <v>#N/A</v>
        <stp/>
        <stp>VOLUME</stp>
        <stp>.QQQ251128C502</stp>
        <tr r="V46" s="2"/>
      </tp>
      <tp t="e">
        <v>#N/A</v>
        <stp/>
        <stp>VOLUME</stp>
        <stp>.SPY250930P566</stp>
        <tr r="R21" s="2"/>
      </tp>
      <tp t="e">
        <v>#N/A</v>
        <stp/>
        <stp>VOLUME</stp>
        <stp>.SPY250930C566</stp>
        <tr r="R21" s="2"/>
      </tp>
      <tp t="e">
        <v>#N/A</v>
        <stp/>
        <stp>VOLUME</stp>
        <stp>.SPY250930P567</stp>
        <tr r="R20" s="2"/>
      </tp>
      <tp t="e">
        <v>#N/A</v>
        <stp/>
        <stp>VOLUME</stp>
        <stp>.SPY250930C567</stp>
        <tr r="R20" s="2"/>
      </tp>
      <tp t="e">
        <v>#N/A</v>
        <stp/>
        <stp>VOLUME</stp>
        <stp>.SPY250930P564</stp>
        <tr r="R23" s="2"/>
      </tp>
      <tp t="e">
        <v>#N/A</v>
        <stp/>
        <stp>VOLUME</stp>
        <stp>.SPY250930C564</stp>
        <tr r="R23" s="2"/>
      </tp>
      <tp t="e">
        <v>#N/A</v>
        <stp/>
        <stp>VOLUME</stp>
        <stp>.SPY250930P565</stp>
        <tr r="R22" s="2"/>
      </tp>
      <tp t="e">
        <v>#N/A</v>
        <stp/>
        <stp>VOLUME</stp>
        <stp>.SPY250930C565</stp>
        <tr r="R22" s="2"/>
      </tp>
      <tp t="e">
        <v>#N/A</v>
        <stp/>
        <stp>VOLUME</stp>
        <stp>.SPY250930P562</stp>
        <tr r="R25" s="2"/>
      </tp>
      <tp t="e">
        <v>#N/A</v>
        <stp/>
        <stp>VOLUME</stp>
        <stp>.SPY250930C562</stp>
        <tr r="R25" s="2"/>
      </tp>
      <tp t="e">
        <v>#N/A</v>
        <stp/>
        <stp>VOLUME</stp>
        <stp>.SPY250930P563</stp>
        <tr r="R24" s="2"/>
      </tp>
      <tp t="e">
        <v>#N/A</v>
        <stp/>
        <stp>VOLUME</stp>
        <stp>.SPY250930C563</stp>
        <tr r="R24" s="2"/>
      </tp>
      <tp t="e">
        <v>#N/A</v>
        <stp/>
        <stp>VOLUME</stp>
        <stp>.SPY250919P549</stp>
        <tr r="Q38" s="2"/>
      </tp>
      <tp t="e">
        <v>#N/A</v>
        <stp/>
        <stp>VOLUME</stp>
        <stp>.SPY250930P560</stp>
        <tr r="R27" s="2"/>
      </tp>
      <tp t="e">
        <v>#N/A</v>
        <stp/>
        <stp>VOLUME</stp>
        <stp>.SPY250919C549</stp>
        <tr r="Q38" s="2"/>
      </tp>
      <tp t="e">
        <v>#N/A</v>
        <stp/>
        <stp>VOLUME</stp>
        <stp>.SPY250930C560</stp>
        <tr r="R27" s="2"/>
      </tp>
      <tp t="e">
        <v>#N/A</v>
        <stp/>
        <stp>VOLUME</stp>
        <stp>.SPY250919P548</stp>
        <tr r="Q39" s="2"/>
      </tp>
      <tp t="e">
        <v>#N/A</v>
        <stp/>
        <stp>VOLUME</stp>
        <stp>.SPY250930P561</stp>
        <tr r="R26" s="2"/>
      </tp>
      <tp t="e">
        <v>#N/A</v>
        <stp/>
        <stp>VOLUME</stp>
        <stp>.SPY250919C548</stp>
        <tr r="Q39" s="2"/>
      </tp>
      <tp t="e">
        <v>#N/A</v>
        <stp/>
        <stp>VOLUME</stp>
        <stp>.SPY250930C561</stp>
        <tr r="R26" s="2"/>
      </tp>
      <tp t="e">
        <v>#N/A</v>
        <stp/>
        <stp>VOLUME</stp>
        <stp>.QQQ251031P469</stp>
        <tr r="T79" s="2"/>
      </tp>
      <tp t="e">
        <v>#N/A</v>
        <stp/>
        <stp>VOLUME</stp>
        <stp>.QQQ251031C469</stp>
        <tr r="T79" s="2"/>
      </tp>
      <tp t="e">
        <v>#N/A</v>
        <stp/>
        <stp>VOLUME</stp>
        <stp>.QQQ251031P468</stp>
        <tr r="T80" s="2"/>
      </tp>
      <tp t="e">
        <v>#N/A</v>
        <stp/>
        <stp>VOLUME</stp>
        <stp>.QQQ251031C468</stp>
        <tr r="T80" s="2"/>
      </tp>
      <tp t="e">
        <v>#N/A</v>
        <stp/>
        <stp>VOLUME</stp>
        <stp>.SPY250930P568</stp>
        <tr r="R19" s="2"/>
      </tp>
      <tp t="e">
        <v>#N/A</v>
        <stp/>
        <stp>VOLUME</stp>
        <stp>.SPY250930C568</stp>
        <tr r="R19" s="2"/>
      </tp>
      <tp t="e">
        <v>#N/A</v>
        <stp/>
        <stp>VOLUME</stp>
        <stp>.SPY250930P569</stp>
        <tr r="R18" s="2"/>
      </tp>
      <tp t="e">
        <v>#N/A</v>
        <stp/>
        <stp>VOLUME</stp>
        <stp>.SPY250930C569</stp>
        <tr r="R18" s="2"/>
      </tp>
      <tp t="e">
        <v>#N/A</v>
        <stp/>
        <stp>VOLUME</stp>
        <stp>.QQQ251031P475</stp>
        <tr r="T73" s="2"/>
      </tp>
      <tp t="e">
        <v>#N/A</v>
        <stp/>
        <stp>VOLUME</stp>
        <stp>.SPY250930P576</stp>
        <tr r="R11" s="2"/>
      </tp>
      <tp t="e">
        <v>#N/A</v>
        <stp/>
        <stp>VOLUME</stp>
        <stp>.QQQ251031C475</stp>
        <tr r="T73" s="2"/>
      </tp>
      <tp t="e">
        <v>#N/A</v>
        <stp/>
        <stp>VOLUME</stp>
        <stp>.SPY250930C576</stp>
        <tr r="R11" s="2"/>
      </tp>
      <tp t="e">
        <v>#N/A</v>
        <stp/>
        <stp>VOLUME</stp>
        <stp>.QQQ251031P474</stp>
        <tr r="T74" s="2"/>
      </tp>
      <tp t="e">
        <v>#N/A</v>
        <stp/>
        <stp>VOLUME</stp>
        <stp>.SPY250930P577</stp>
        <tr r="R10" s="2"/>
      </tp>
      <tp t="e">
        <v>#N/A</v>
        <stp/>
        <stp>VOLUME</stp>
        <stp>.QQQ251031C474</stp>
        <tr r="T74" s="2"/>
      </tp>
      <tp t="e">
        <v>#N/A</v>
        <stp/>
        <stp>VOLUME</stp>
        <stp>.SPY250930C577</stp>
        <tr r="R10" s="2"/>
      </tp>
      <tp t="e">
        <v>#N/A</v>
        <stp/>
        <stp>VOLUME</stp>
        <stp>.QQQ251031P477</stp>
        <tr r="T71" s="2"/>
      </tp>
      <tp t="e">
        <v>#N/A</v>
        <stp/>
        <stp>VOLUME</stp>
        <stp>.SPY250930P574</stp>
        <tr r="R13" s="2"/>
      </tp>
      <tp t="e">
        <v>#N/A</v>
        <stp/>
        <stp>VOLUME</stp>
        <stp>.QQQ251031C477</stp>
        <tr r="T71" s="2"/>
      </tp>
      <tp t="e">
        <v>#N/A</v>
        <stp/>
        <stp>VOLUME</stp>
        <stp>.SPY250930C574</stp>
        <tr r="R13" s="2"/>
      </tp>
      <tp t="e">
        <v>#N/A</v>
        <stp/>
        <stp>VOLUME</stp>
        <stp>.QQQ251031P476</stp>
        <tr r="T72" s="2"/>
      </tp>
      <tp t="e">
        <v>#N/A</v>
        <stp/>
        <stp>VOLUME</stp>
        <stp>.SPY250930P575</stp>
        <tr r="R12" s="2"/>
      </tp>
      <tp t="e">
        <v>#N/A</v>
        <stp/>
        <stp>VOLUME</stp>
        <stp>.QQQ251031C476</stp>
        <tr r="T72" s="2"/>
      </tp>
      <tp t="e">
        <v>#N/A</v>
        <stp/>
        <stp>VOLUME</stp>
        <stp>.SPY250930C575</stp>
        <tr r="R12" s="2"/>
      </tp>
      <tp t="e">
        <v>#N/A</v>
        <stp/>
        <stp>VOLUME</stp>
        <stp>.QQQ251031P471</stp>
        <tr r="T77" s="2"/>
      </tp>
      <tp t="e">
        <v>#N/A</v>
        <stp/>
        <stp>VOLUME</stp>
        <stp>.SPY250930P572</stp>
        <tr r="R15" s="2"/>
      </tp>
      <tp t="e">
        <v>#N/A</v>
        <stp/>
        <stp>VOLUME</stp>
        <stp>.QQQ251031C471</stp>
        <tr r="T77" s="2"/>
      </tp>
      <tp t="e">
        <v>#N/A</v>
        <stp/>
        <stp>VOLUME</stp>
        <stp>.SPY250930C572</stp>
        <tr r="R15" s="2"/>
      </tp>
      <tp t="e">
        <v>#N/A</v>
        <stp/>
        <stp>VOLUME</stp>
        <stp>.QQQ251031P470</stp>
        <tr r="T78" s="2"/>
      </tp>
      <tp t="e">
        <v>#N/A</v>
        <stp/>
        <stp>VOLUME</stp>
        <stp>.SPY250930P573</stp>
        <tr r="R14" s="2"/>
      </tp>
      <tp t="e">
        <v>#N/A</v>
        <stp/>
        <stp>VOLUME</stp>
        <stp>.QQQ251031C470</stp>
        <tr r="T78" s="2"/>
      </tp>
      <tp t="e">
        <v>#N/A</v>
        <stp/>
        <stp>VOLUME</stp>
        <stp>.SPY250930C573</stp>
        <tr r="R14" s="2"/>
      </tp>
      <tp t="e">
        <v>#N/A</v>
        <stp/>
        <stp>VOLUME</stp>
        <stp>.QQQ251031P473</stp>
        <tr r="T75" s="2"/>
      </tp>
      <tp t="e">
        <v>#N/A</v>
        <stp/>
        <stp>VOLUME</stp>
        <stp>.SPY250919P559</stp>
        <tr r="Q28" s="2"/>
      </tp>
      <tp t="e">
        <v>#N/A</v>
        <stp/>
        <stp>VOLUME</stp>
        <stp>.SPY250930P570</stp>
        <tr r="R17" s="2"/>
      </tp>
      <tp t="e">
        <v>#N/A</v>
        <stp/>
        <stp>VOLUME</stp>
        <stp>.QQQ251031C473</stp>
        <tr r="T75" s="2"/>
      </tp>
      <tp t="e">
        <v>#N/A</v>
        <stp/>
        <stp>VOLUME</stp>
        <stp>.SPY250919C559</stp>
        <tr r="Q28" s="2"/>
      </tp>
      <tp t="e">
        <v>#N/A</v>
        <stp/>
        <stp>VOLUME</stp>
        <stp>.SPY250930C570</stp>
        <tr r="R17" s="2"/>
      </tp>
      <tp t="e">
        <v>#N/A</v>
        <stp/>
        <stp>VOLUME</stp>
        <stp>.QQQ251031P472</stp>
        <tr r="T76" s="2"/>
      </tp>
      <tp t="e">
        <v>#N/A</v>
        <stp/>
        <stp>VOLUME</stp>
        <stp>.SPY250919P558</stp>
        <tr r="Q29" s="2"/>
      </tp>
      <tp t="e">
        <v>#N/A</v>
        <stp/>
        <stp>VOLUME</stp>
        <stp>.SPY250930P571</stp>
        <tr r="R16" s="2"/>
      </tp>
      <tp t="e">
        <v>#N/A</v>
        <stp/>
        <stp>VOLUME</stp>
        <stp>.QQQ251031C472</stp>
        <tr r="T76" s="2"/>
      </tp>
      <tp t="e">
        <v>#N/A</v>
        <stp/>
        <stp>VOLUME</stp>
        <stp>.SPY250919C558</stp>
        <tr r="Q29" s="2"/>
      </tp>
      <tp t="e">
        <v>#N/A</v>
        <stp/>
        <stp>VOLUME</stp>
        <stp>.SPY250930C571</stp>
        <tr r="R16" s="2"/>
      </tp>
      <tp t="e">
        <v>#N/A</v>
        <stp/>
        <stp>VOLUME</stp>
        <stp>.SPY250919P557</stp>
        <tr r="Q30" s="2"/>
      </tp>
      <tp t="e">
        <v>#N/A</v>
        <stp/>
        <stp>VOLUME</stp>
        <stp>.SPY250919C557</stp>
        <tr r="Q30" s="2"/>
      </tp>
      <tp t="e">
        <v>#N/A</v>
        <stp/>
        <stp>VOLUME</stp>
        <stp>.SPY250919P556</stp>
        <tr r="Q31" s="2"/>
      </tp>
      <tp t="e">
        <v>#N/A</v>
        <stp/>
        <stp>VOLUME</stp>
        <stp>.SPY250919C556</stp>
        <tr r="Q31" s="2"/>
      </tp>
      <tp t="e">
        <v>#N/A</v>
        <stp/>
        <stp>VOLUME</stp>
        <stp>.SPY250919P555</stp>
        <tr r="Q32" s="2"/>
      </tp>
      <tp t="e">
        <v>#N/A</v>
        <stp/>
        <stp>VOLUME</stp>
        <stp>.SPY250919C555</stp>
        <tr r="Q32" s="2"/>
      </tp>
      <tp t="e">
        <v>#N/A</v>
        <stp/>
        <stp>VOLUME</stp>
        <stp>.SPY250919P554</stp>
        <tr r="Q33" s="2"/>
      </tp>
      <tp t="e">
        <v>#N/A</v>
        <stp/>
        <stp>VOLUME</stp>
        <stp>.SPY250919C554</stp>
        <tr r="Q33" s="2"/>
      </tp>
      <tp t="e">
        <v>#N/A</v>
        <stp/>
        <stp>VOLUME</stp>
        <stp>.QQQ251031P479</stp>
        <tr r="T69" s="2"/>
      </tp>
      <tp t="e">
        <v>#N/A</v>
        <stp/>
        <stp>VOLUME</stp>
        <stp>.SPY250919P553</stp>
        <tr r="Q34" s="2"/>
      </tp>
      <tp t="e">
        <v>#N/A</v>
        <stp/>
        <stp>VOLUME</stp>
        <stp>.QQQ251031C479</stp>
        <tr r="T69" s="2"/>
      </tp>
      <tp t="e">
        <v>#N/A</v>
        <stp/>
        <stp>VOLUME</stp>
        <stp>.SPY250919C553</stp>
        <tr r="Q34" s="2"/>
      </tp>
      <tp t="e">
        <v>#N/A</v>
        <stp/>
        <stp>VOLUME</stp>
        <stp>.QQQ251031P478</stp>
        <tr r="T70" s="2"/>
      </tp>
      <tp t="e">
        <v>#N/A</v>
        <stp/>
        <stp>VOLUME</stp>
        <stp>.SPY250919P552</stp>
        <tr r="Q35" s="2"/>
      </tp>
      <tp t="e">
        <v>#N/A</v>
        <stp/>
        <stp>VOLUME</stp>
        <stp>.QQQ251031C478</stp>
        <tr r="T70" s="2"/>
      </tp>
      <tp t="e">
        <v>#N/A</v>
        <stp/>
        <stp>VOLUME</stp>
        <stp>.SPY250919C552</stp>
        <tr r="Q35" s="2"/>
      </tp>
      <tp t="e">
        <v>#N/A</v>
        <stp/>
        <stp>VOLUME</stp>
        <stp>.SPY250919P551</stp>
        <tr r="Q36" s="2"/>
      </tp>
      <tp t="e">
        <v>#N/A</v>
        <stp/>
        <stp>VOLUME</stp>
        <stp>.SPY250930P578</stp>
        <tr r="R9" s="2"/>
      </tp>
      <tp t="e">
        <v>#N/A</v>
        <stp/>
        <stp>VOLUME</stp>
        <stp>.SPY250919C551</stp>
        <tr r="Q36" s="2"/>
      </tp>
      <tp t="e">
        <v>#N/A</v>
        <stp/>
        <stp>VOLUME</stp>
        <stp>.SPY250930C578</stp>
        <tr r="R9" s="2"/>
      </tp>
      <tp t="e">
        <v>#N/A</v>
        <stp/>
        <stp>VOLUME</stp>
        <stp>.SPY250919P550</stp>
        <tr r="Q37" s="2"/>
      </tp>
      <tp t="e">
        <v>#N/A</v>
        <stp/>
        <stp>VOLUME</stp>
        <stp>.SPY250930P579</stp>
        <tr r="R8" s="2"/>
      </tp>
      <tp t="e">
        <v>#N/A</v>
        <stp/>
        <stp>VOLUME</stp>
        <stp>.SPY250919C550</stp>
        <tr r="Q37" s="2"/>
      </tp>
      <tp t="e">
        <v>#N/A</v>
        <stp/>
        <stp>VOLUME</stp>
        <stp>.SPY250930C579</stp>
        <tr r="R8" s="2"/>
      </tp>
      <tp t="e">
        <v>#N/A</v>
        <stp/>
        <stp>VOLUME</stp>
        <stp>.SPY250919P569</stp>
        <tr r="Q18" s="2"/>
      </tp>
      <tp t="e">
        <v>#N/A</v>
        <stp/>
        <stp>VOLUME</stp>
        <stp>.SPY250919C569</stp>
        <tr r="Q18" s="2"/>
      </tp>
      <tp t="e">
        <v>#N/A</v>
        <stp/>
        <stp>VOLUME</stp>
        <stp>.SPY250919P568</stp>
        <tr r="Q19" s="2"/>
      </tp>
      <tp t="e">
        <v>#N/A</v>
        <stp/>
        <stp>VOLUME</stp>
        <stp>.SPY250919C568</stp>
        <tr r="Q19" s="2"/>
      </tp>
      <tp t="e">
        <v>#N/A</v>
        <stp/>
        <stp>VOLUME</stp>
        <stp>.SPY250919P567</stp>
        <tr r="Q20" s="2"/>
      </tp>
      <tp t="e">
        <v>#N/A</v>
        <stp/>
        <stp>VOLUME</stp>
        <stp>.SPY250919C567</stp>
        <tr r="Q20" s="2"/>
      </tp>
      <tp t="e">
        <v>#N/A</v>
        <stp/>
        <stp>VOLUME</stp>
        <stp>.SPY250919P566</stp>
        <tr r="Q21" s="2"/>
      </tp>
      <tp t="e">
        <v>#N/A</v>
        <stp/>
        <stp>VOLUME</stp>
        <stp>.SPY250919C566</stp>
        <tr r="Q21" s="2"/>
      </tp>
      <tp t="e">
        <v>#N/A</v>
        <stp/>
        <stp>VOLUME</stp>
        <stp>.QQQ251017P469</stp>
        <tr r="S79" s="2"/>
      </tp>
      <tp t="e">
        <v>#N/A</v>
        <stp/>
        <stp>VOLUME</stp>
        <stp>.SPY250919P565</stp>
        <tr r="Q22" s="2"/>
      </tp>
      <tp t="e">
        <v>#N/A</v>
        <stp/>
        <stp>VOLUME</stp>
        <stp>.QQQ251017C469</stp>
        <tr r="S79" s="2"/>
      </tp>
      <tp t="e">
        <v>#N/A</v>
        <stp/>
        <stp>VOLUME</stp>
        <stp>.SPY250919C565</stp>
        <tr r="Q22" s="2"/>
      </tp>
      <tp t="e">
        <v>#N/A</v>
        <stp/>
        <stp>VOLUME</stp>
        <stp>.QQQ251017P468</stp>
        <tr r="S80" s="2"/>
      </tp>
      <tp t="e">
        <v>#N/A</v>
        <stp/>
        <stp>VOLUME</stp>
        <stp>.SPY250919P564</stp>
        <tr r="Q23" s="2"/>
      </tp>
      <tp t="e">
        <v>#N/A</v>
        <stp/>
        <stp>VOLUME</stp>
        <stp>.QQQ251017C468</stp>
        <tr r="S80" s="2"/>
      </tp>
      <tp t="e">
        <v>#N/A</v>
        <stp/>
        <stp>VOLUME</stp>
        <stp>.SPY250919C564</stp>
        <tr r="Q23" s="2"/>
      </tp>
      <tp t="e">
        <v>#N/A</v>
        <stp/>
        <stp>VOLUME</stp>
        <stp>.SPY250919P563</stp>
        <tr r="Q24" s="2"/>
      </tp>
      <tp t="e">
        <v>#N/A</v>
        <stp/>
        <stp>VOLUME</stp>
        <stp>.SPY250919C563</stp>
        <tr r="Q24" s="2"/>
      </tp>
      <tp t="e">
        <v>#N/A</v>
        <stp/>
        <stp>VOLUME</stp>
        <stp>.SPY250919P562</stp>
        <tr r="Q25" s="2"/>
      </tp>
      <tp t="e">
        <v>#N/A</v>
        <stp/>
        <stp>VOLUME</stp>
        <stp>.SPY250919C562</stp>
        <tr r="Q25" s="2"/>
      </tp>
      <tp t="e">
        <v>#N/A</v>
        <stp/>
        <stp>VOLUME</stp>
        <stp>.SPY250919P561</stp>
        <tr r="Q26" s="2"/>
      </tp>
      <tp t="e">
        <v>#N/A</v>
        <stp/>
        <stp>VOLUME</stp>
        <stp>.SPY250930P548</stp>
        <tr r="R39" s="2"/>
      </tp>
      <tp t="e">
        <v>#N/A</v>
        <stp/>
        <stp>VOLUME</stp>
        <stp>.SPY250919C561</stp>
        <tr r="Q26" s="2"/>
      </tp>
      <tp t="e">
        <v>#N/A</v>
        <stp/>
        <stp>VOLUME</stp>
        <stp>.SPY250930C548</stp>
        <tr r="R39" s="2"/>
      </tp>
      <tp t="e">
        <v>#N/A</v>
        <stp/>
        <stp>VOLUME</stp>
        <stp>.SPY250919P560</stp>
        <tr r="Q27" s="2"/>
      </tp>
      <tp t="e">
        <v>#N/A</v>
        <stp/>
        <stp>VOLUME</stp>
        <stp>.SPY250930P549</stp>
        <tr r="R38" s="2"/>
      </tp>
      <tp t="e">
        <v>#N/A</v>
        <stp/>
        <stp>VOLUME</stp>
        <stp>.SPY250919C560</stp>
        <tr r="Q27" s="2"/>
      </tp>
      <tp t="e">
        <v>#N/A</v>
        <stp/>
        <stp>VOLUME</stp>
        <stp>.SPY250930C549</stp>
        <tr r="R38" s="2"/>
      </tp>
      <tp t="e">
        <v>#N/A</v>
        <stp/>
        <stp>VOLUME</stp>
        <stp>.QQQ251017P473</stp>
        <tr r="S75" s="2"/>
      </tp>
      <tp t="e">
        <v>#N/A</v>
        <stp/>
        <stp>VOLUME</stp>
        <stp>.SPY250930P556</stp>
        <tr r="R31" s="2"/>
      </tp>
      <tp t="e">
        <v>#N/A</v>
        <stp/>
        <stp>VOLUME</stp>
        <stp>.QQQ251017C473</stp>
        <tr r="S75" s="2"/>
      </tp>
      <tp t="e">
        <v>#N/A</v>
        <stp/>
        <stp>VOLUME</stp>
        <stp>.SPY250930C556</stp>
        <tr r="R31" s="2"/>
      </tp>
      <tp t="e">
        <v>#N/A</v>
        <stp/>
        <stp>VOLUME</stp>
        <stp>.QQQ251017P472</stp>
        <tr r="S76" s="2"/>
      </tp>
      <tp t="e">
        <v>#N/A</v>
        <stp/>
        <stp>VOLUME</stp>
        <stp>.SPY250930P557</stp>
        <tr r="R30" s="2"/>
      </tp>
      <tp t="e">
        <v>#N/A</v>
        <stp/>
        <stp>VOLUME</stp>
        <stp>.QQQ251017C472</stp>
        <tr r="S76" s="2"/>
      </tp>
      <tp t="e">
        <v>#N/A</v>
        <stp/>
        <stp>VOLUME</stp>
        <stp>.SPY250930C557</stp>
        <tr r="R30" s="2"/>
      </tp>
      <tp t="e">
        <v>#N/A</v>
        <stp/>
        <stp>VOLUME</stp>
        <stp>.QQQ251017P471</stp>
        <tr r="S77" s="2"/>
      </tp>
      <tp t="e">
        <v>#N/A</v>
        <stp/>
        <stp>VOLUME</stp>
        <stp>.SPY250930P554</stp>
        <tr r="R33" s="2"/>
      </tp>
      <tp t="e">
        <v>#N/A</v>
        <stp/>
        <stp>VOLUME</stp>
        <stp>.QQQ251017C471</stp>
        <tr r="S77" s="2"/>
      </tp>
      <tp t="e">
        <v>#N/A</v>
        <stp/>
        <stp>VOLUME</stp>
        <stp>.SPY250930C554</stp>
        <tr r="R33" s="2"/>
      </tp>
      <tp t="e">
        <v>#N/A</v>
        <stp/>
        <stp>VOLUME</stp>
        <stp>.QQQ251017P470</stp>
        <tr r="S78" s="2"/>
      </tp>
      <tp t="e">
        <v>#N/A</v>
        <stp/>
        <stp>VOLUME</stp>
        <stp>.SPY250930P555</stp>
        <tr r="R32" s="2"/>
      </tp>
      <tp t="e">
        <v>#N/A</v>
        <stp/>
        <stp>VOLUME</stp>
        <stp>.QQQ251017C470</stp>
        <tr r="S78" s="2"/>
      </tp>
      <tp t="e">
        <v>#N/A</v>
        <stp/>
        <stp>VOLUME</stp>
        <stp>.SPY250930C555</stp>
        <tr r="R32" s="2"/>
      </tp>
      <tp t="e">
        <v>#N/A</v>
        <stp/>
        <stp>VOLUME</stp>
        <stp>.QQQ251017P477</stp>
        <tr r="S71" s="2"/>
      </tp>
      <tp t="e">
        <v>#N/A</v>
        <stp/>
        <stp>VOLUME</stp>
        <stp>.SPY250930P552</stp>
        <tr r="R35" s="2"/>
      </tp>
      <tp t="e">
        <v>#N/A</v>
        <stp/>
        <stp>VOLUME</stp>
        <stp>.QQQ251017C477</stp>
        <tr r="S71" s="2"/>
      </tp>
      <tp t="e">
        <v>#N/A</v>
        <stp/>
        <stp>VOLUME</stp>
        <stp>.SPY250930C552</stp>
        <tr r="R35" s="2"/>
      </tp>
      <tp t="e">
        <v>#N/A</v>
        <stp/>
        <stp>VOLUME</stp>
        <stp>.QQQ251017P476</stp>
        <tr r="S72" s="2"/>
      </tp>
      <tp t="e">
        <v>#N/A</v>
        <stp/>
        <stp>VOLUME</stp>
        <stp>.SPY250930P553</stp>
        <tr r="R34" s="2"/>
      </tp>
      <tp t="e">
        <v>#N/A</v>
        <stp/>
        <stp>VOLUME</stp>
        <stp>.QQQ251017C476</stp>
        <tr r="S72" s="2"/>
      </tp>
      <tp t="e">
        <v>#N/A</v>
        <stp/>
        <stp>VOLUME</stp>
        <stp>.SPY250930C553</stp>
        <tr r="R34" s="2"/>
      </tp>
      <tp t="e">
        <v>#N/A</v>
        <stp/>
        <stp>VOLUME</stp>
        <stp>.QQQ251017P475</stp>
        <tr r="S73" s="2"/>
      </tp>
      <tp t="e">
        <v>#N/A</v>
        <stp/>
        <stp>VOLUME</stp>
        <stp>.SPY250919P579</stp>
        <tr r="Q8" s="2"/>
      </tp>
      <tp t="e">
        <v>#N/A</v>
        <stp/>
        <stp>VOLUME</stp>
        <stp>.SPY250930P550</stp>
        <tr r="R37" s="2"/>
      </tp>
      <tp t="e">
        <v>#N/A</v>
        <stp/>
        <stp>VOLUME</stp>
        <stp>.QQQ251017C475</stp>
        <tr r="S73" s="2"/>
      </tp>
      <tp t="e">
        <v>#N/A</v>
        <stp/>
        <stp>VOLUME</stp>
        <stp>.SPY250919C579</stp>
        <tr r="Q8" s="2"/>
      </tp>
      <tp t="e">
        <v>#N/A</v>
        <stp/>
        <stp>VOLUME</stp>
        <stp>.SPY250930C550</stp>
        <tr r="R37" s="2"/>
      </tp>
      <tp t="e">
        <v>#N/A</v>
        <stp/>
        <stp>VOLUME</stp>
        <stp>.QQQ251017P474</stp>
        <tr r="S74" s="2"/>
      </tp>
      <tp t="e">
        <v>#N/A</v>
        <stp/>
        <stp>VOLUME</stp>
        <stp>.SPY250919P578</stp>
        <tr r="Q9" s="2"/>
      </tp>
      <tp t="e">
        <v>#N/A</v>
        <stp/>
        <stp>VOLUME</stp>
        <stp>.SPY250930P551</stp>
        <tr r="R36" s="2"/>
      </tp>
      <tp t="e">
        <v>#N/A</v>
        <stp/>
        <stp>VOLUME</stp>
        <stp>.QQQ251017C474</stp>
        <tr r="S74" s="2"/>
      </tp>
      <tp t="e">
        <v>#N/A</v>
        <stp/>
        <stp>VOLUME</stp>
        <stp>.SPY250919C578</stp>
        <tr r="Q9" s="2"/>
      </tp>
      <tp t="e">
        <v>#N/A</v>
        <stp/>
        <stp>VOLUME</stp>
        <stp>.SPY250930C551</stp>
        <tr r="R36" s="2"/>
      </tp>
      <tp t="e">
        <v>#N/A</v>
        <stp/>
        <stp>VOLUME</stp>
        <stp>.SPY250919P577</stp>
        <tr r="Q10" s="2"/>
      </tp>
      <tp t="e">
        <v>#N/A</v>
        <stp/>
        <stp>VOLUME</stp>
        <stp>.SPY250919C577</stp>
        <tr r="Q10" s="2"/>
      </tp>
      <tp t="e">
        <v>#N/A</v>
        <stp/>
        <stp>VOLUME</stp>
        <stp>.SPY250919P576</stp>
        <tr r="Q11" s="2"/>
      </tp>
      <tp t="e">
        <v>#N/A</v>
        <stp/>
        <stp>VOLUME</stp>
        <stp>.SPY250919C576</stp>
        <tr r="Q11" s="2"/>
      </tp>
      <tp t="e">
        <v>#N/A</v>
        <stp/>
        <stp>VOLUME</stp>
        <stp>.QQQ251017P479</stp>
        <tr r="S69" s="2"/>
      </tp>
      <tp t="e">
        <v>#N/A</v>
        <stp/>
        <stp>VOLUME</stp>
        <stp>.SPY250919P575</stp>
        <tr r="Q12" s="2"/>
      </tp>
      <tp t="e">
        <v>#N/A</v>
        <stp/>
        <stp>VOLUME</stp>
        <stp>.QQQ251017C479</stp>
        <tr r="S69" s="2"/>
      </tp>
      <tp t="e">
        <v>#N/A</v>
        <stp/>
        <stp>VOLUME</stp>
        <stp>.SPY250919C575</stp>
        <tr r="Q12" s="2"/>
      </tp>
      <tp t="e">
        <v>#N/A</v>
        <stp/>
        <stp>VOLUME</stp>
        <stp>.QQQ251017P478</stp>
        <tr r="S70" s="2"/>
      </tp>
      <tp t="e">
        <v>#N/A</v>
        <stp/>
        <stp>VOLUME</stp>
        <stp>.SPY250919P574</stp>
        <tr r="Q13" s="2"/>
      </tp>
      <tp t="e">
        <v>#N/A</v>
        <stp/>
        <stp>VOLUME</stp>
        <stp>.QQQ251017C478</stp>
        <tr r="S70" s="2"/>
      </tp>
      <tp t="e">
        <v>#N/A</v>
        <stp/>
        <stp>VOLUME</stp>
        <stp>.SPY250919C574</stp>
        <tr r="Q13" s="2"/>
      </tp>
      <tp t="e">
        <v>#N/A</v>
        <stp/>
        <stp>VOLUME</stp>
        <stp>.SPY250919P573</stp>
        <tr r="Q14" s="2"/>
      </tp>
      <tp t="e">
        <v>#N/A</v>
        <stp/>
        <stp>VOLUME</stp>
        <stp>.SPY250919C573</stp>
        <tr r="Q14" s="2"/>
      </tp>
      <tp t="e">
        <v>#N/A</v>
        <stp/>
        <stp>VOLUME</stp>
        <stp>.SPY250919P572</stp>
        <tr r="Q15" s="2"/>
      </tp>
      <tp t="e">
        <v>#N/A</v>
        <stp/>
        <stp>VOLUME</stp>
        <stp>.SPY250919C572</stp>
        <tr r="Q15" s="2"/>
      </tp>
      <tp t="e">
        <v>#N/A</v>
        <stp/>
        <stp>VOLUME</stp>
        <stp>.SPY250919P571</stp>
        <tr r="Q16" s="2"/>
      </tp>
      <tp t="e">
        <v>#N/A</v>
        <stp/>
        <stp>VOLUME</stp>
        <stp>.SPY250930P558</stp>
        <tr r="R29" s="2"/>
      </tp>
      <tp t="e">
        <v>#N/A</v>
        <stp/>
        <stp>VOLUME</stp>
        <stp>.SPY250919C571</stp>
        <tr r="Q16" s="2"/>
      </tp>
      <tp t="e">
        <v>#N/A</v>
        <stp/>
        <stp>VOLUME</stp>
        <stp>.SPY250930C558</stp>
        <tr r="R29" s="2"/>
      </tp>
      <tp t="e">
        <v>#N/A</v>
        <stp/>
        <stp>VOLUME</stp>
        <stp>.SPY250919P570</stp>
        <tr r="Q17" s="2"/>
      </tp>
      <tp t="e">
        <v>#N/A</v>
        <stp/>
        <stp>VOLUME</stp>
        <stp>.SPY250930P559</stp>
        <tr r="R28" s="2"/>
      </tp>
      <tp t="e">
        <v>#N/A</v>
        <stp/>
        <stp>VOLUME</stp>
        <stp>.SPY250919C570</stp>
        <tr r="Q17" s="2"/>
      </tp>
      <tp t="e">
        <v>#N/A</v>
        <stp/>
        <stp>VOLUME</stp>
        <stp>.SPY250930C559</stp>
        <tr r="R28" s="2"/>
      </tp>
      <tp t="e">
        <v>#N/A</v>
        <stp/>
        <stp>DELTA</stp>
        <stp>.SPXW250509P5820</stp>
        <tr r="CG90" s="1"/>
        <tr r="CG90" s="1"/>
      </tp>
      <tp t="e">
        <v>#N/A</v>
        <stp/>
        <stp>DELTA</stp>
        <stp>.SPXW250509C5820</stp>
        <tr r="CF90" s="1"/>
        <tr r="CF90" s="1"/>
      </tp>
      <tp t="e">
        <v>#N/A</v>
        <stp/>
        <stp>DELTA</stp>
        <stp>.SPXW250509P5830</stp>
        <tr r="CG89" s="1"/>
        <tr r="CG89" s="1"/>
      </tp>
      <tp t="e">
        <v>#N/A</v>
        <stp/>
        <stp>DELTA</stp>
        <stp>.SPXW250509C5830</stp>
        <tr r="CF89" s="1"/>
        <tr r="CF89" s="1"/>
      </tp>
      <tp t="e">
        <v>#N/A</v>
        <stp/>
        <stp>DELTA</stp>
        <stp>.SPXW250509P5800</stp>
        <tr r="CG92" s="1"/>
        <tr r="CG92" s="1"/>
      </tp>
      <tp t="e">
        <v>#N/A</v>
        <stp/>
        <stp>DELTA</stp>
        <stp>.SPXW250509C5800</stp>
        <tr r="CF92" s="1"/>
        <tr r="CF92" s="1"/>
      </tp>
      <tp t="e">
        <v>#N/A</v>
        <stp/>
        <stp>DELTA</stp>
        <stp>.SPXW250509P5810</stp>
        <tr r="CG91" s="1"/>
        <tr r="CG91" s="1"/>
      </tp>
      <tp t="e">
        <v>#N/A</v>
        <stp/>
        <stp>DELTA</stp>
        <stp>.SPXW250509C5810</stp>
        <tr r="CF91" s="1"/>
        <tr r="CF91" s="1"/>
      </tp>
      <tp t="e">
        <v>#N/A</v>
        <stp/>
        <stp>DELTA</stp>
        <stp>.SPXW250509P5860</stp>
        <tr r="CG86" s="1"/>
        <tr r="CG86" s="1"/>
      </tp>
      <tp t="e">
        <v>#N/A</v>
        <stp/>
        <stp>DELTA</stp>
        <stp>.SPXW250509C5860</stp>
        <tr r="CF86" s="1"/>
        <tr r="CF86" s="1"/>
      </tp>
      <tp t="e">
        <v>#N/A</v>
        <stp/>
        <stp>DELTA</stp>
        <stp>.SPXW250509P5870</stp>
        <tr r="CG85" s="1"/>
        <tr r="CG85" s="1"/>
      </tp>
      <tp t="e">
        <v>#N/A</v>
        <stp/>
        <stp>DELTA</stp>
        <stp>.SPXW250509C5870</stp>
        <tr r="CF85" s="1"/>
        <tr r="CF85" s="1"/>
      </tp>
      <tp t="e">
        <v>#N/A</v>
        <stp/>
        <stp>DELTA</stp>
        <stp>.SPXW250509P5840</stp>
        <tr r="CG88" s="1"/>
        <tr r="CG88" s="1"/>
      </tp>
      <tp t="e">
        <v>#N/A</v>
        <stp/>
        <stp>DELTA</stp>
        <stp>.SPXW250509C5840</stp>
        <tr r="CF88" s="1"/>
        <tr r="CF88" s="1"/>
      </tp>
      <tp t="e">
        <v>#N/A</v>
        <stp/>
        <stp>DELTA</stp>
        <stp>.SPXW250509P5850</stp>
        <tr r="CG87" s="1"/>
        <tr r="CG87" s="1"/>
      </tp>
      <tp t="e">
        <v>#N/A</v>
        <stp/>
        <stp>DELTA</stp>
        <stp>.SPXW250509C5850</stp>
        <tr r="CF87" s="1"/>
        <tr r="CF87" s="1"/>
      </tp>
      <tp t="e">
        <v>#N/A</v>
        <stp/>
        <stp>DELTA</stp>
        <stp>.SPXW250502P5810</stp>
        <tr r="CE91" s="1"/>
        <tr r="CE91" s="1"/>
      </tp>
      <tp t="e">
        <v>#N/A</v>
        <stp/>
        <stp>DELTA</stp>
        <stp>.SPXW250502C5810</stp>
        <tr r="CD91" s="1"/>
        <tr r="CD91" s="1"/>
      </tp>
      <tp t="e">
        <v>#N/A</v>
        <stp/>
        <stp>DELTA</stp>
        <stp>.SPXW250502P5800</stp>
        <tr r="CE92" s="1"/>
        <tr r="CE92" s="1"/>
      </tp>
      <tp t="e">
        <v>#N/A</v>
        <stp/>
        <stp>DELTA</stp>
        <stp>.SPXW250502C5800</stp>
        <tr r="CD92" s="1"/>
        <tr r="CD92" s="1"/>
      </tp>
      <tp t="e">
        <v>#N/A</v>
        <stp/>
        <stp>DELTA</stp>
        <stp>.SPXW250502P5830</stp>
        <tr r="CE89" s="1"/>
        <tr r="CE89" s="1"/>
      </tp>
      <tp t="e">
        <v>#N/A</v>
        <stp/>
        <stp>DELTA</stp>
        <stp>.SPXW250502C5830</stp>
        <tr r="CD89" s="1"/>
        <tr r="CD89" s="1"/>
      </tp>
      <tp t="e">
        <v>#N/A</v>
        <stp/>
        <stp>DELTA</stp>
        <stp>.SPXW250502P5820</stp>
        <tr r="CE90" s="1"/>
        <tr r="CE90" s="1"/>
      </tp>
      <tp t="e">
        <v>#N/A</v>
        <stp/>
        <stp>DELTA</stp>
        <stp>.SPXW250502C5820</stp>
        <tr r="CD90" s="1"/>
        <tr r="CD90" s="1"/>
      </tp>
      <tp t="e">
        <v>#N/A</v>
        <stp/>
        <stp>DELTA</stp>
        <stp>.SPXW250502P5850</stp>
        <tr r="CE87" s="1"/>
        <tr r="CE87" s="1"/>
      </tp>
      <tp t="e">
        <v>#N/A</v>
        <stp/>
        <stp>DELTA</stp>
        <stp>.SPXW250502C5850</stp>
        <tr r="CD87" s="1"/>
        <tr r="CD87" s="1"/>
      </tp>
      <tp t="e">
        <v>#N/A</v>
        <stp/>
        <stp>DELTA</stp>
        <stp>.SPXW250502P5840</stp>
        <tr r="CE88" s="1"/>
        <tr r="CE88" s="1"/>
      </tp>
      <tp t="e">
        <v>#N/A</v>
        <stp/>
        <stp>DELTA</stp>
        <stp>.SPXW250502C5840</stp>
        <tr r="CD88" s="1"/>
        <tr r="CD88" s="1"/>
      </tp>
      <tp t="e">
        <v>#N/A</v>
        <stp/>
        <stp>DELTA</stp>
        <stp>.SPXW250502P5870</stp>
        <tr r="CE85" s="1"/>
        <tr r="CE85" s="1"/>
      </tp>
      <tp t="e">
        <v>#N/A</v>
        <stp/>
        <stp>DELTA</stp>
        <stp>.SPXW250502C5870</stp>
        <tr r="CD85" s="1"/>
        <tr r="CD85" s="1"/>
      </tp>
      <tp t="e">
        <v>#N/A</v>
        <stp/>
        <stp>DELTA</stp>
        <stp>.SPXW250502P5860</stp>
        <tr r="CE86" s="1"/>
        <tr r="CE86" s="1"/>
      </tp>
      <tp t="e">
        <v>#N/A</v>
        <stp/>
        <stp>DELTA</stp>
        <stp>.SPXW250502C5860</stp>
        <tr r="CD86" s="1"/>
        <tr r="CD86" s="1"/>
      </tp>
      <tp t="e">
        <v>#N/A</v>
        <stp/>
        <stp>VOLUME</stp>
        <stp>.SPY250815P582</stp>
        <tr r="O5" s="2"/>
      </tp>
      <tp t="e">
        <v>#N/A</v>
        <stp/>
        <stp>VOLUME</stp>
        <stp>.SPY250815C582</stp>
        <tr r="O5" s="2"/>
      </tp>
      <tp t="e">
        <v>#N/A</v>
        <stp/>
        <stp>VOLUME</stp>
        <stp>.SPY250815P581</stp>
        <tr r="O6" s="2"/>
      </tp>
      <tp t="e">
        <v>#N/A</v>
        <stp/>
        <stp>VOLUME</stp>
        <stp>.SPY250815C581</stp>
        <tr r="O6" s="2"/>
      </tp>
      <tp t="e">
        <v>#N/A</v>
        <stp/>
        <stp>VOLUME</stp>
        <stp>.SPY250815P580</stp>
        <tr r="O7" s="2"/>
      </tp>
      <tp t="e">
        <v>#N/A</v>
        <stp/>
        <stp>VOLUME</stp>
        <stp>.SPY250815C580</stp>
        <tr r="O7" s="2"/>
      </tp>
      <tp t="e">
        <v>#N/A</v>
        <stp/>
        <stp>VOLUME</stp>
        <stp>.QQQ251121P495</stp>
        <tr r="U53" s="2"/>
      </tp>
      <tp t="e">
        <v>#N/A</v>
        <stp/>
        <stp>VOLUME</stp>
        <stp>.QQQ251121C495</stp>
        <tr r="U53" s="2"/>
      </tp>
      <tp t="e">
        <v>#N/A</v>
        <stp/>
        <stp>VOLUME</stp>
        <stp>.QQQ251121P494</stp>
        <tr r="U54" s="2"/>
      </tp>
      <tp t="e">
        <v>#N/A</v>
        <stp/>
        <stp>VOLUME</stp>
        <stp>.QQQ251121C494</stp>
        <tr r="U54" s="2"/>
      </tp>
      <tp t="e">
        <v>#N/A</v>
        <stp/>
        <stp>VOLUME</stp>
        <stp>.QQQ251121P497</stp>
        <tr r="U51" s="2"/>
      </tp>
      <tp t="e">
        <v>#N/A</v>
        <stp/>
        <stp>VOLUME</stp>
        <stp>.QQQ251121C497</stp>
        <tr r="U51" s="2"/>
      </tp>
      <tp t="e">
        <v>#N/A</v>
        <stp/>
        <stp>VOLUME</stp>
        <stp>.QQQ251121P496</stp>
        <tr r="U52" s="2"/>
      </tp>
      <tp t="e">
        <v>#N/A</v>
        <stp/>
        <stp>VOLUME</stp>
        <stp>.QQQ251121C496</stp>
        <tr r="U52" s="2"/>
      </tp>
      <tp t="e">
        <v>#N/A</v>
        <stp/>
        <stp>VOLUME</stp>
        <stp>.QQQ251121P491</stp>
        <tr r="U57" s="2"/>
      </tp>
      <tp t="e">
        <v>#N/A</v>
        <stp/>
        <stp>VOLUME</stp>
        <stp>.QQQ251128P498</stp>
        <tr r="V50" s="2"/>
      </tp>
      <tp t="e">
        <v>#N/A</v>
        <stp/>
        <stp>VOLUME</stp>
        <stp>.QQQ251121C491</stp>
        <tr r="U57" s="2"/>
      </tp>
      <tp t="e">
        <v>#N/A</v>
        <stp/>
        <stp>VOLUME</stp>
        <stp>.QQQ251128C498</stp>
        <tr r="V50" s="2"/>
      </tp>
      <tp t="e">
        <v>#N/A</v>
        <stp/>
        <stp>VOLUME</stp>
        <stp>.QQQ251121P490</stp>
        <tr r="U58" s="2"/>
      </tp>
      <tp t="e">
        <v>#N/A</v>
        <stp/>
        <stp>VOLUME</stp>
        <stp>.QQQ251128P499</stp>
        <tr r="V49" s="2"/>
      </tp>
      <tp t="e">
        <v>#N/A</v>
        <stp/>
        <stp>VOLUME</stp>
        <stp>.QQQ251121C490</stp>
        <tr r="U58" s="2"/>
      </tp>
      <tp t="e">
        <v>#N/A</v>
        <stp/>
        <stp>VOLUME</stp>
        <stp>.QQQ251128C499</stp>
        <tr r="V49" s="2"/>
      </tp>
      <tp t="e">
        <v>#N/A</v>
        <stp/>
        <stp>VOLUME</stp>
        <stp>.QQQ251121P493</stp>
        <tr r="U55" s="2"/>
      </tp>
      <tp t="e">
        <v>#N/A</v>
        <stp/>
        <stp>VOLUME</stp>
        <stp>.QQQ251121C493</stp>
        <tr r="U55" s="2"/>
      </tp>
      <tp t="e">
        <v>#N/A</v>
        <stp/>
        <stp>VOLUME</stp>
        <stp>.QQQ251121P492</stp>
        <tr r="U56" s="2"/>
      </tp>
      <tp t="e">
        <v>#N/A</v>
        <stp/>
        <stp>VOLUME</stp>
        <stp>.QQQ251121C492</stp>
        <tr r="U56" s="2"/>
      </tp>
      <tp t="e">
        <v>#N/A</v>
        <stp/>
        <stp>VOLUME</stp>
        <stp>.QQQ251128P494</stp>
        <tr r="V54" s="2"/>
      </tp>
      <tp t="e">
        <v>#N/A</v>
        <stp/>
        <stp>VOLUME</stp>
        <stp>.QQQ251128C494</stp>
        <tr r="V54" s="2"/>
      </tp>
      <tp t="e">
        <v>#N/A</v>
        <stp/>
        <stp>VOLUME</stp>
        <stp>.QQQ251128P495</stp>
        <tr r="V53" s="2"/>
      </tp>
      <tp t="e">
        <v>#N/A</v>
        <stp/>
        <stp>VOLUME</stp>
        <stp>.QQQ251128C495</stp>
        <tr r="V53" s="2"/>
      </tp>
      <tp t="e">
        <v>#N/A</v>
        <stp/>
        <stp>VOLUME</stp>
        <stp>.QQQ251128P496</stp>
        <tr r="V52" s="2"/>
      </tp>
      <tp t="e">
        <v>#N/A</v>
        <stp/>
        <stp>VOLUME</stp>
        <stp>.QQQ251128C496</stp>
        <tr r="V52" s="2"/>
      </tp>
      <tp t="e">
        <v>#N/A</v>
        <stp/>
        <stp>VOLUME</stp>
        <stp>.QQQ251128P497</stp>
        <tr r="V51" s="2"/>
      </tp>
      <tp t="e">
        <v>#N/A</v>
        <stp/>
        <stp>VOLUME</stp>
        <stp>.QQQ251128C497</stp>
        <tr r="V51" s="2"/>
      </tp>
      <tp t="e">
        <v>#N/A</v>
        <stp/>
        <stp>VOLUME</stp>
        <stp>.QQQ251121P499</stp>
        <tr r="U49" s="2"/>
      </tp>
      <tp t="e">
        <v>#N/A</v>
        <stp/>
        <stp>VOLUME</stp>
        <stp>.QQQ251128P490</stp>
        <tr r="V58" s="2"/>
      </tp>
      <tp t="e">
        <v>#N/A</v>
        <stp/>
        <stp>VOLUME</stp>
        <stp>.QQQ251121C499</stp>
        <tr r="U49" s="2"/>
      </tp>
      <tp t="e">
        <v>#N/A</v>
        <stp/>
        <stp>VOLUME</stp>
        <stp>.QQQ251128C490</stp>
        <tr r="V58" s="2"/>
      </tp>
      <tp t="e">
        <v>#N/A</v>
        <stp/>
        <stp>VOLUME</stp>
        <stp>.QQQ251121P498</stp>
        <tr r="U50" s="2"/>
      </tp>
      <tp t="e">
        <v>#N/A</v>
        <stp/>
        <stp>VOLUME</stp>
        <stp>.QQQ251128P491</stp>
        <tr r="V57" s="2"/>
      </tp>
      <tp t="e">
        <v>#N/A</v>
        <stp/>
        <stp>VOLUME</stp>
        <stp>.QQQ251121C498</stp>
        <tr r="U50" s="2"/>
      </tp>
      <tp t="e">
        <v>#N/A</v>
        <stp/>
        <stp>VOLUME</stp>
        <stp>.QQQ251128C491</stp>
        <tr r="V57" s="2"/>
      </tp>
      <tp t="e">
        <v>#N/A</v>
        <stp/>
        <stp>VOLUME</stp>
        <stp>.QQQ251128P492</stp>
        <tr r="V56" s="2"/>
      </tp>
      <tp t="e">
        <v>#N/A</v>
        <stp/>
        <stp>VOLUME</stp>
        <stp>.QQQ251128C492</stp>
        <tr r="V56" s="2"/>
      </tp>
      <tp t="e">
        <v>#N/A</v>
        <stp/>
        <stp>VOLUME</stp>
        <stp>.QQQ251128P493</stp>
        <tr r="V55" s="2"/>
      </tp>
      <tp t="e">
        <v>#N/A</v>
        <stp/>
        <stp>VOLUME</stp>
        <stp>.QQQ251128C493</stp>
        <tr r="V55" s="2"/>
      </tp>
      <tp t="e">
        <v>#N/A</v>
        <stp/>
        <stp>VOLUME</stp>
        <stp>.QQQ251121P485</stp>
        <tr r="U63" s="2"/>
      </tp>
      <tp t="e">
        <v>#N/A</v>
        <stp/>
        <stp>VOLUME</stp>
        <stp>.QQQ251121C485</stp>
        <tr r="U63" s="2"/>
      </tp>
      <tp t="e">
        <v>#N/A</v>
        <stp/>
        <stp>VOLUME</stp>
        <stp>.QQQ251121P484</stp>
        <tr r="U64" s="2"/>
      </tp>
      <tp t="e">
        <v>#N/A</v>
        <stp/>
        <stp>VOLUME</stp>
        <stp>.QQQ251121C484</stp>
        <tr r="U64" s="2"/>
      </tp>
      <tp t="e">
        <v>#N/A</v>
        <stp/>
        <stp>VOLUME</stp>
        <stp>.QQQ251121P487</stp>
        <tr r="U61" s="2"/>
      </tp>
      <tp t="e">
        <v>#N/A</v>
        <stp/>
        <stp>VOLUME</stp>
        <stp>.QQQ251121C487</stp>
        <tr r="U61" s="2"/>
      </tp>
      <tp t="e">
        <v>#N/A</v>
        <stp/>
        <stp>VOLUME</stp>
        <stp>.QQQ251121P486</stp>
        <tr r="U62" s="2"/>
      </tp>
      <tp t="e">
        <v>#N/A</v>
        <stp/>
        <stp>VOLUME</stp>
        <stp>.QQQ251121C486</stp>
        <tr r="U62" s="2"/>
      </tp>
      <tp t="e">
        <v>#N/A</v>
        <stp/>
        <stp>VOLUME</stp>
        <stp>.QQQ251121P481</stp>
        <tr r="U67" s="2"/>
      </tp>
      <tp t="e">
        <v>#N/A</v>
        <stp/>
        <stp>VOLUME</stp>
        <stp>.QQQ251128P488</stp>
        <tr r="V60" s="2"/>
      </tp>
      <tp t="e">
        <v>#N/A</v>
        <stp/>
        <stp>VOLUME</stp>
        <stp>.QQQ251121C481</stp>
        <tr r="U67" s="2"/>
      </tp>
      <tp t="e">
        <v>#N/A</v>
        <stp/>
        <stp>VOLUME</stp>
        <stp>.QQQ251128C488</stp>
        <tr r="V60" s="2"/>
      </tp>
      <tp t="e">
        <v>#N/A</v>
        <stp/>
        <stp>VOLUME</stp>
        <stp>.QQQ251121P480</stp>
        <tr r="U68" s="2"/>
      </tp>
      <tp t="e">
        <v>#N/A</v>
        <stp/>
        <stp>VOLUME</stp>
        <stp>.QQQ251128P489</stp>
        <tr r="V59" s="2"/>
      </tp>
      <tp t="e">
        <v>#N/A</v>
        <stp/>
        <stp>VOLUME</stp>
        <stp>.QQQ251121C480</stp>
        <tr r="U68" s="2"/>
      </tp>
      <tp t="e">
        <v>#N/A</v>
        <stp/>
        <stp>VOLUME</stp>
        <stp>.QQQ251128C489</stp>
        <tr r="V59" s="2"/>
      </tp>
      <tp t="e">
        <v>#N/A</v>
        <stp/>
        <stp>VOLUME</stp>
        <stp>.QQQ251121P483</stp>
        <tr r="U65" s="2"/>
      </tp>
      <tp t="e">
        <v>#N/A</v>
        <stp/>
        <stp>VOLUME</stp>
        <stp>.QQQ251121C483</stp>
        <tr r="U65" s="2"/>
      </tp>
      <tp t="e">
        <v>#N/A</v>
        <stp/>
        <stp>VOLUME</stp>
        <stp>.QQQ251121P482</stp>
        <tr r="U66" s="2"/>
      </tp>
      <tp t="e">
        <v>#N/A</v>
        <stp/>
        <stp>VOLUME</stp>
        <stp>.QQQ251121C482</stp>
        <tr r="U66" s="2"/>
      </tp>
      <tp t="e">
        <v>#N/A</v>
        <stp/>
        <stp>VOLUME</stp>
        <stp>.QQQ251128P484</stp>
        <tr r="V64" s="2"/>
      </tp>
      <tp t="e">
        <v>#N/A</v>
        <stp/>
        <stp>VOLUME</stp>
        <stp>.QQQ251128C484</stp>
        <tr r="V64" s="2"/>
      </tp>
      <tp t="e">
        <v>#N/A</v>
        <stp/>
        <stp>VOLUME</stp>
        <stp>.QQQ251128P485</stp>
        <tr r="V63" s="2"/>
      </tp>
      <tp t="e">
        <v>#N/A</v>
        <stp/>
        <stp>VOLUME</stp>
        <stp>.QQQ251128C485</stp>
        <tr r="V63" s="2"/>
      </tp>
      <tp t="e">
        <v>#N/A</v>
        <stp/>
        <stp>VOLUME</stp>
        <stp>.QQQ251128P486</stp>
        <tr r="V62" s="2"/>
      </tp>
      <tp t="e">
        <v>#N/A</v>
        <stp/>
        <stp>VOLUME</stp>
        <stp>.QQQ251128C486</stp>
        <tr r="V62" s="2"/>
      </tp>
      <tp t="e">
        <v>#N/A</v>
        <stp/>
        <stp>VOLUME</stp>
        <stp>.QQQ251128P487</stp>
        <tr r="V61" s="2"/>
      </tp>
      <tp t="e">
        <v>#N/A</v>
        <stp/>
        <stp>VOLUME</stp>
        <stp>.QQQ251128C487</stp>
        <tr r="V61" s="2"/>
      </tp>
      <tp t="e">
        <v>#N/A</v>
        <stp/>
        <stp>VOLUME</stp>
        <stp>.QQQ251121P489</stp>
        <tr r="U59" s="2"/>
      </tp>
      <tp t="e">
        <v>#N/A</v>
        <stp/>
        <stp>VOLUME</stp>
        <stp>.QQQ251128P480</stp>
        <tr r="V68" s="2"/>
      </tp>
      <tp t="e">
        <v>#N/A</v>
        <stp/>
        <stp>VOLUME</stp>
        <stp>.QQQ251121C489</stp>
        <tr r="U59" s="2"/>
      </tp>
      <tp t="e">
        <v>#N/A</v>
        <stp/>
        <stp>VOLUME</stp>
        <stp>.QQQ251128C480</stp>
        <tr r="V68" s="2"/>
      </tp>
      <tp t="e">
        <v>#N/A</v>
        <stp/>
        <stp>VOLUME</stp>
        <stp>.QQQ251121P488</stp>
        <tr r="U60" s="2"/>
      </tp>
      <tp t="e">
        <v>#N/A</v>
        <stp/>
        <stp>VOLUME</stp>
        <stp>.QQQ251128P481</stp>
        <tr r="V67" s="2"/>
      </tp>
      <tp t="e">
        <v>#N/A</v>
        <stp/>
        <stp>VOLUME</stp>
        <stp>.SPY250829P582</stp>
        <tr r="P5" s="2"/>
      </tp>
      <tp t="e">
        <v>#N/A</v>
        <stp/>
        <stp>VOLUME</stp>
        <stp>.QQQ251121C488</stp>
        <tr r="U60" s="2"/>
      </tp>
      <tp t="e">
        <v>#N/A</v>
        <stp/>
        <stp>VOLUME</stp>
        <stp>.QQQ251128C481</stp>
        <tr r="V67" s="2"/>
      </tp>
      <tp t="e">
        <v>#N/A</v>
        <stp/>
        <stp>VOLUME</stp>
        <stp>.SPY250829C582</stp>
        <tr r="P5" s="2"/>
      </tp>
      <tp t="e">
        <v>#N/A</v>
        <stp/>
        <stp>VOLUME</stp>
        <stp>.QQQ251128P482</stp>
        <tr r="V66" s="2"/>
      </tp>
      <tp t="e">
        <v>#N/A</v>
        <stp/>
        <stp>VOLUME</stp>
        <stp>.SPY250829P581</stp>
        <tr r="P6" s="2"/>
      </tp>
      <tp t="e">
        <v>#N/A</v>
        <stp/>
        <stp>VOLUME</stp>
        <stp>.QQQ251128C482</stp>
        <tr r="V66" s="2"/>
      </tp>
      <tp t="e">
        <v>#N/A</v>
        <stp/>
        <stp>VOLUME</stp>
        <stp>.SPY250829C581</stp>
        <tr r="P6" s="2"/>
      </tp>
      <tp t="e">
        <v>#N/A</v>
        <stp/>
        <stp>VOLUME</stp>
        <stp>.QQQ251128P483</stp>
        <tr r="V65" s="2"/>
      </tp>
      <tp t="e">
        <v>#N/A</v>
        <stp/>
        <stp>VOLUME</stp>
        <stp>.SPY250829P580</stp>
        <tr r="P7" s="2"/>
      </tp>
      <tp t="e">
        <v>#N/A</v>
        <stp/>
        <stp>VOLUME</stp>
        <stp>.QQQ251128C483</stp>
        <tr r="V65" s="2"/>
      </tp>
      <tp t="e">
        <v>#N/A</v>
        <stp/>
        <stp>VOLUME</stp>
        <stp>.SPY250829C580</stp>
        <tr r="P7" s="2"/>
      </tp>
      <tp t="e">
        <v>#N/A</v>
        <stp/>
        <stp>VOLUME</stp>
        <stp>.QQQ251017P502</stp>
        <tr r="S46" s="2"/>
      </tp>
      <tp t="e">
        <v>#N/A</v>
        <stp/>
        <stp>VOLUME</stp>
        <stp>.QQQ251017C502</stp>
        <tr r="S46" s="2"/>
      </tp>
      <tp t="e">
        <v>#N/A</v>
        <stp/>
        <stp>VOLUME</stp>
        <stp>.QQQ251017P501</stp>
        <tr r="S47" s="2"/>
      </tp>
      <tp t="e">
        <v>#N/A</v>
        <stp/>
        <stp>VOLUME</stp>
        <stp>.QQQ251017C501</stp>
        <tr r="S47" s="2"/>
      </tp>
      <tp t="e">
        <v>#N/A</v>
        <stp/>
        <stp>VOLUME</stp>
        <stp>.QQQ251017P500</stp>
        <tr r="S48" s="2"/>
      </tp>
      <tp t="e">
        <v>#N/A</v>
        <stp/>
        <stp>VOLUME</stp>
        <stp>.QQQ251017C500</stp>
        <tr r="S48" s="2"/>
      </tp>
      <tp t="e">
        <v>#N/A</v>
        <stp/>
        <stp>VOLUME</stp>
        <stp>.QQQ251031P501</stp>
        <tr r="T47" s="2"/>
      </tp>
      <tp t="e">
        <v>#N/A</v>
        <stp/>
        <stp>VOLUME</stp>
        <stp>.QQQ251031C501</stp>
        <tr r="T47" s="2"/>
      </tp>
      <tp t="e">
        <v>#N/A</v>
        <stp/>
        <stp>VOLUME</stp>
        <stp>.QQQ251031P500</stp>
        <tr r="T48" s="2"/>
      </tp>
      <tp t="e">
        <v>#N/A</v>
        <stp/>
        <stp>VOLUME</stp>
        <stp>.QQQ251031C500</stp>
        <tr r="T48" s="2"/>
      </tp>
      <tp t="e">
        <v>#N/A</v>
        <stp/>
        <stp>VOLUME</stp>
        <stp>.QQQ251031P502</stp>
        <tr r="T46" s="2"/>
      </tp>
      <tp t="e">
        <v>#N/A</v>
        <stp/>
        <stp>VOLUME</stp>
        <stp>.QQQ251031C502</stp>
        <tr r="T46" s="2"/>
      </tp>
      <tp t="e">
        <v>#N/A</v>
        <stp/>
        <stp>VOLUME</stp>
        <stp>.QQQ251121P475</stp>
        <tr r="U73" s="2"/>
      </tp>
      <tp t="e">
        <v>#N/A</v>
        <stp/>
        <stp>VOLUME</stp>
        <stp>.QQQ251121C475</stp>
        <tr r="U73" s="2"/>
      </tp>
      <tp t="e">
        <v>#N/A</v>
        <stp/>
        <stp>VOLUME</stp>
        <stp>.QQQ251121P474</stp>
        <tr r="U74" s="2"/>
      </tp>
      <tp t="e">
        <v>#N/A</v>
        <stp/>
        <stp>VOLUME</stp>
        <stp>.QQQ251121C474</stp>
        <tr r="U74" s="2"/>
      </tp>
      <tp t="e">
        <v>#N/A</v>
        <stp/>
        <stp>VOLUME</stp>
        <stp>.QQQ251121P477</stp>
        <tr r="U71" s="2"/>
      </tp>
      <tp t="e">
        <v>#N/A</v>
        <stp/>
        <stp>VOLUME</stp>
        <stp>.QQQ251121C477</stp>
        <tr r="U71" s="2"/>
      </tp>
      <tp t="e">
        <v>#N/A</v>
        <stp/>
        <stp>VOLUME</stp>
        <stp>.QQQ251121P476</stp>
        <tr r="U72" s="2"/>
      </tp>
      <tp t="e">
        <v>#N/A</v>
        <stp/>
        <stp>VOLUME</stp>
        <stp>.QQQ251121C476</stp>
        <tr r="U72" s="2"/>
      </tp>
      <tp t="e">
        <v>#N/A</v>
        <stp/>
        <stp>VOLUME</stp>
        <stp>.QQQ251121P471</stp>
        <tr r="U77" s="2"/>
      </tp>
      <tp t="e">
        <v>#N/A</v>
        <stp/>
        <stp>VOLUME</stp>
        <stp>.QQQ251128P478</stp>
        <tr r="V70" s="2"/>
      </tp>
      <tp t="e">
        <v>#N/A</v>
        <stp/>
        <stp>VOLUME</stp>
        <stp>.QQQ251121C471</stp>
        <tr r="U77" s="2"/>
      </tp>
      <tp t="e">
        <v>#N/A</v>
        <stp/>
        <stp>VOLUME</stp>
        <stp>.QQQ251128C478</stp>
        <tr r="V70" s="2"/>
      </tp>
      <tp t="e">
        <v>#N/A</v>
        <stp/>
        <stp>VOLUME</stp>
        <stp>.QQQ251121P470</stp>
        <tr r="U78" s="2"/>
      </tp>
      <tp t="e">
        <v>#N/A</v>
        <stp/>
        <stp>VOLUME</stp>
        <stp>.QQQ251128P479</stp>
        <tr r="V69" s="2"/>
      </tp>
      <tp t="e">
        <v>#N/A</v>
        <stp/>
        <stp>VOLUME</stp>
        <stp>.QQQ251121C470</stp>
        <tr r="U78" s="2"/>
      </tp>
      <tp t="e">
        <v>#N/A</v>
        <stp/>
        <stp>VOLUME</stp>
        <stp>.QQQ251128C479</stp>
        <tr r="V69" s="2"/>
      </tp>
      <tp t="e">
        <v>#N/A</v>
        <stp/>
        <stp>VOLUME</stp>
        <stp>.QQQ251121P473</stp>
        <tr r="U75" s="2"/>
      </tp>
      <tp t="e">
        <v>#N/A</v>
        <stp/>
        <stp>VOLUME</stp>
        <stp>.SPY250829P579</stp>
        <tr r="P8" s="2"/>
      </tp>
      <tp t="e">
        <v>#N/A</v>
        <stp/>
        <stp>VOLUME</stp>
        <stp>.QQQ251121C473</stp>
        <tr r="U75" s="2"/>
      </tp>
      <tp t="e">
        <v>#N/A</v>
        <stp/>
        <stp>VOLUME</stp>
        <stp>.SPY250829C579</stp>
        <tr r="P8" s="2"/>
      </tp>
      <tp t="e">
        <v>#N/A</v>
        <stp/>
        <stp>VOLUME</stp>
        <stp>.QQQ251121P472</stp>
        <tr r="U76" s="2"/>
      </tp>
      <tp t="e">
        <v>#N/A</v>
        <stp/>
        <stp>VOLUME</stp>
        <stp>.SPY250829P578</stp>
        <tr r="P9" s="2"/>
      </tp>
      <tp t="e">
        <v>#N/A</v>
        <stp/>
        <stp>VOLUME</stp>
        <stp>.QQQ251121C472</stp>
        <tr r="U76" s="2"/>
      </tp>
      <tp t="e">
        <v>#N/A</v>
        <stp/>
        <stp>VOLUME</stp>
        <stp>.SPY250829C578</stp>
        <tr r="P9" s="2"/>
      </tp>
      <tp t="e">
        <v>#N/A</v>
        <stp/>
        <stp>VOLUME</stp>
        <stp>.QQQ251128P474</stp>
        <tr r="V74" s="2"/>
      </tp>
      <tp t="e">
        <v>#N/A</v>
        <stp/>
        <stp>VOLUME</stp>
        <stp>.SPY250829P577</stp>
        <tr r="P10" s="2"/>
      </tp>
      <tp t="e">
        <v>#N/A</v>
        <stp/>
        <stp>VOLUME</stp>
        <stp>.QQQ251128C474</stp>
        <tr r="V74" s="2"/>
      </tp>
      <tp t="e">
        <v>#N/A</v>
        <stp/>
        <stp>VOLUME</stp>
        <stp>.SPY250829C577</stp>
        <tr r="P10" s="2"/>
      </tp>
      <tp t="e">
        <v>#N/A</v>
        <stp/>
        <stp>VOLUME</stp>
        <stp>.QQQ251128P475</stp>
        <tr r="V73" s="2"/>
      </tp>
      <tp t="e">
        <v>#N/A</v>
        <stp/>
        <stp>VOLUME</stp>
        <stp>.SPY250829P576</stp>
        <tr r="P11" s="2"/>
      </tp>
      <tp t="e">
        <v>#N/A</v>
        <stp/>
        <stp>VOLUME</stp>
        <stp>.QQQ251128C475</stp>
        <tr r="V73" s="2"/>
      </tp>
      <tp t="e">
        <v>#N/A</v>
        <stp/>
        <stp>VOLUME</stp>
        <stp>.SPY250829C576</stp>
        <tr r="P11" s="2"/>
      </tp>
      <tp t="e">
        <v>#N/A</v>
        <stp/>
        <stp>VOLUME</stp>
        <stp>.QQQ251128P476</stp>
        <tr r="V72" s="2"/>
      </tp>
      <tp t="e">
        <v>#N/A</v>
        <stp/>
        <stp>VOLUME</stp>
        <stp>.SPY250815P549</stp>
        <tr r="O38" s="2"/>
      </tp>
      <tp t="e">
        <v>#N/A</v>
        <stp/>
        <stp>VOLUME</stp>
        <stp>.SPY250829P575</stp>
        <tr r="P12" s="2"/>
      </tp>
      <tp t="e">
        <v>#N/A</v>
        <stp/>
        <stp>VOLUME</stp>
        <stp>.QQQ251128C476</stp>
        <tr r="V72" s="2"/>
      </tp>
      <tp t="e">
        <v>#N/A</v>
        <stp/>
        <stp>VOLUME</stp>
        <stp>.SPY250815C549</stp>
        <tr r="O38" s="2"/>
      </tp>
      <tp t="e">
        <v>#N/A</v>
        <stp/>
        <stp>VOLUME</stp>
        <stp>.SPY250829C575</stp>
        <tr r="P12" s="2"/>
      </tp>
      <tp t="e">
        <v>#N/A</v>
        <stp/>
        <stp>VOLUME</stp>
        <stp>.QQQ251128P477</stp>
        <tr r="V71" s="2"/>
      </tp>
      <tp t="e">
        <v>#N/A</v>
        <stp/>
        <stp>VOLUME</stp>
        <stp>.SPY250815P548</stp>
        <tr r="O39" s="2"/>
      </tp>
      <tp t="e">
        <v>#N/A</v>
        <stp/>
        <stp>VOLUME</stp>
        <stp>.SPY250829P574</stp>
        <tr r="P13" s="2"/>
      </tp>
      <tp t="e">
        <v>#N/A</v>
        <stp/>
        <stp>VOLUME</stp>
        <stp>.QQQ251128C477</stp>
        <tr r="V71" s="2"/>
      </tp>
      <tp t="e">
        <v>#N/A</v>
        <stp/>
        <stp>VOLUME</stp>
        <stp>.SPY250815C548</stp>
        <tr r="O39" s="2"/>
      </tp>
      <tp t="e">
        <v>#N/A</v>
        <stp/>
        <stp>VOLUME</stp>
        <stp>.SPY250829C574</stp>
        <tr r="P13" s="2"/>
      </tp>
      <tp t="e">
        <v>#N/A</v>
        <stp/>
        <stp>VOLUME</stp>
        <stp>.QQQ251121P479</stp>
        <tr r="U69" s="2"/>
      </tp>
      <tp t="e">
        <v>#N/A</v>
        <stp/>
        <stp>VOLUME</stp>
        <stp>.QQQ251128P470</stp>
        <tr r="V78" s="2"/>
      </tp>
      <tp t="e">
        <v>#N/A</v>
        <stp/>
        <stp>VOLUME</stp>
        <stp>.SPY250829P573</stp>
        <tr r="P14" s="2"/>
      </tp>
      <tp t="e">
        <v>#N/A</v>
        <stp/>
        <stp>VOLUME</stp>
        <stp>.QQQ251121C479</stp>
        <tr r="U69" s="2"/>
      </tp>
      <tp t="e">
        <v>#N/A</v>
        <stp/>
        <stp>VOLUME</stp>
        <stp>.QQQ251128C470</stp>
        <tr r="V78" s="2"/>
      </tp>
      <tp t="e">
        <v>#N/A</v>
        <stp/>
        <stp>VOLUME</stp>
        <stp>.SPY250829C573</stp>
        <tr r="P14" s="2"/>
      </tp>
      <tp t="e">
        <v>#N/A</v>
        <stp/>
        <stp>VOLUME</stp>
        <stp>.QQQ251121P478</stp>
        <tr r="U70" s="2"/>
      </tp>
      <tp t="e">
        <v>#N/A</v>
        <stp/>
        <stp>VOLUME</stp>
        <stp>.QQQ251128P471</stp>
        <tr r="V77" s="2"/>
      </tp>
      <tp t="e">
        <v>#N/A</v>
        <stp/>
        <stp>VOLUME</stp>
        <stp>.SPY250829P572</stp>
        <tr r="P15" s="2"/>
      </tp>
      <tp t="e">
        <v>#N/A</v>
        <stp/>
        <stp>VOLUME</stp>
        <stp>.QQQ251121C478</stp>
        <tr r="U70" s="2"/>
      </tp>
      <tp t="e">
        <v>#N/A</v>
        <stp/>
        <stp>VOLUME</stp>
        <stp>.QQQ251128C471</stp>
        <tr r="V77" s="2"/>
      </tp>
      <tp t="e">
        <v>#N/A</v>
        <stp/>
        <stp>VOLUME</stp>
        <stp>.SPY250829C572</stp>
        <tr r="P15" s="2"/>
      </tp>
      <tp t="e">
        <v>#N/A</v>
        <stp/>
        <stp>VOLUME</stp>
        <stp>.QQQ251128P472</stp>
        <tr r="V76" s="2"/>
      </tp>
      <tp t="e">
        <v>#N/A</v>
        <stp/>
        <stp>VOLUME</stp>
        <stp>.SPY250829P571</stp>
        <tr r="P16" s="2"/>
      </tp>
      <tp t="e">
        <v>#N/A</v>
        <stp/>
        <stp>VOLUME</stp>
        <stp>.QQQ251128C472</stp>
        <tr r="V76" s="2"/>
      </tp>
      <tp t="e">
        <v>#N/A</v>
        <stp/>
        <stp>VOLUME</stp>
        <stp>.SPY250829C571</stp>
        <tr r="P16" s="2"/>
      </tp>
      <tp t="e">
        <v>#N/A</v>
        <stp/>
        <stp>VOLUME</stp>
        <stp>.QQQ251128P473</stp>
        <tr r="V75" s="2"/>
      </tp>
      <tp t="e">
        <v>#N/A</v>
        <stp/>
        <stp>VOLUME</stp>
        <stp>.SPY250829P570</stp>
        <tr r="P17" s="2"/>
      </tp>
      <tp t="e">
        <v>#N/A</v>
        <stp/>
        <stp>VOLUME</stp>
        <stp>.QQQ251128C473</stp>
        <tr r="V75" s="2"/>
      </tp>
      <tp t="e">
        <v>#N/A</v>
        <stp/>
        <stp>VOLUME</stp>
        <stp>.SPY250829C570</stp>
        <tr r="P17" s="2"/>
      </tp>
      <tp t="e">
        <v>#N/A</v>
        <stp/>
        <stp>VOLUME</stp>
        <stp>.SPY250815P553</stp>
        <tr r="O34" s="2"/>
      </tp>
      <tp t="e">
        <v>#N/A</v>
        <stp/>
        <stp>VOLUME</stp>
        <stp>.SPY250815C553</stp>
        <tr r="O34" s="2"/>
      </tp>
      <tp t="e">
        <v>#N/A</v>
        <stp/>
        <stp>VOLUME</stp>
        <stp>.SPY250815P552</stp>
        <tr r="O35" s="2"/>
      </tp>
      <tp t="e">
        <v>#N/A</v>
        <stp/>
        <stp>VOLUME</stp>
        <stp>.SPY250815C552</stp>
        <tr r="O35" s="2"/>
      </tp>
      <tp t="e">
        <v>#N/A</v>
        <stp/>
        <stp>VOLUME</stp>
        <stp>.SPY250815P551</stp>
        <tr r="O36" s="2"/>
      </tp>
      <tp t="e">
        <v>#N/A</v>
        <stp/>
        <stp>VOLUME</stp>
        <stp>.SPY250815C551</stp>
        <tr r="O36" s="2"/>
      </tp>
      <tp t="e">
        <v>#N/A</v>
        <stp/>
        <stp>VOLUME</stp>
        <stp>.SPY250815P550</stp>
        <tr r="O37" s="2"/>
      </tp>
      <tp t="e">
        <v>#N/A</v>
        <stp/>
        <stp>VOLUME</stp>
        <stp>.SPY250815C550</stp>
        <tr r="O37" s="2"/>
      </tp>
      <tp t="e">
        <v>#N/A</v>
        <stp/>
        <stp>VOLUME</stp>
        <stp>.QQQ251128P468</stp>
        <tr r="V80" s="2"/>
      </tp>
      <tp t="e">
        <v>#N/A</v>
        <stp/>
        <stp>VOLUME</stp>
        <stp>.SPY250815P557</stp>
        <tr r="O30" s="2"/>
      </tp>
      <tp t="e">
        <v>#N/A</v>
        <stp/>
        <stp>VOLUME</stp>
        <stp>.QQQ251128C468</stp>
        <tr r="V80" s="2"/>
      </tp>
      <tp t="e">
        <v>#N/A</v>
        <stp/>
        <stp>VOLUME</stp>
        <stp>.SPY250815C557</stp>
        <tr r="O30" s="2"/>
      </tp>
      <tp t="e">
        <v>#N/A</v>
        <stp/>
        <stp>VOLUME</stp>
        <stp>.QQQ251128P469</stp>
        <tr r="V79" s="2"/>
      </tp>
      <tp t="e">
        <v>#N/A</v>
        <stp/>
        <stp>VOLUME</stp>
        <stp>.SPY250815P556</stp>
        <tr r="O31" s="2"/>
      </tp>
      <tp t="e">
        <v>#N/A</v>
        <stp/>
        <stp>VOLUME</stp>
        <stp>.QQQ251128C469</stp>
        <tr r="V79" s="2"/>
      </tp>
      <tp t="e">
        <v>#N/A</v>
        <stp/>
        <stp>VOLUME</stp>
        <stp>.SPY250815C556</stp>
        <tr r="O31" s="2"/>
      </tp>
      <tp t="e">
        <v>#N/A</v>
        <stp/>
        <stp>VOLUME</stp>
        <stp>.SPY250815P555</stp>
        <tr r="O32" s="2"/>
      </tp>
      <tp t="e">
        <v>#N/A</v>
        <stp/>
        <stp>VOLUME</stp>
        <stp>.SPY250829P569</stp>
        <tr r="P18" s="2"/>
      </tp>
      <tp t="e">
        <v>#N/A</v>
        <stp/>
        <stp>VOLUME</stp>
        <stp>.SPY250815C555</stp>
        <tr r="O32" s="2"/>
      </tp>
      <tp t="e">
        <v>#N/A</v>
        <stp/>
        <stp>VOLUME</stp>
        <stp>.SPY250829C569</stp>
        <tr r="P18" s="2"/>
      </tp>
      <tp t="e">
        <v>#N/A</v>
        <stp/>
        <stp>VOLUME</stp>
        <stp>.SPY250815P554</stp>
        <tr r="O33" s="2"/>
      </tp>
      <tp t="e">
        <v>#N/A</v>
        <stp/>
        <stp>VOLUME</stp>
        <stp>.SPY250829P568</stp>
        <tr r="P19" s="2"/>
      </tp>
      <tp t="e">
        <v>#N/A</v>
        <stp/>
        <stp>VOLUME</stp>
        <stp>.SPY250815C554</stp>
        <tr r="O33" s="2"/>
      </tp>
      <tp t="e">
        <v>#N/A</v>
        <stp/>
        <stp>VOLUME</stp>
        <stp>.SPY250829C568</stp>
        <tr r="P19" s="2"/>
      </tp>
      <tp t="e">
        <v>#N/A</v>
        <stp/>
        <stp>VOLUME</stp>
        <stp>.SPY250829P567</stp>
        <tr r="P20" s="2"/>
      </tp>
      <tp t="e">
        <v>#N/A</v>
        <stp/>
        <stp>VOLUME</stp>
        <stp>.SPY250829C567</stp>
        <tr r="P20" s="2"/>
      </tp>
      <tp t="e">
        <v>#N/A</v>
        <stp/>
        <stp>VOLUME</stp>
        <stp>.SPY250829P566</stp>
        <tr r="P21" s="2"/>
      </tp>
      <tp t="e">
        <v>#N/A</v>
        <stp/>
        <stp>VOLUME</stp>
        <stp>.SPY250829C566</stp>
        <tr r="P21" s="2"/>
      </tp>
      <tp t="e">
        <v>#N/A</v>
        <stp/>
        <stp>VOLUME</stp>
        <stp>.SPY250815P559</stp>
        <tr r="O28" s="2"/>
      </tp>
      <tp t="e">
        <v>#N/A</v>
        <stp/>
        <stp>VOLUME</stp>
        <stp>.SPY250829P565</stp>
        <tr r="P22" s="2"/>
      </tp>
      <tp t="e">
        <v>#N/A</v>
        <stp/>
        <stp>VOLUME</stp>
        <stp>.SPY250815C559</stp>
        <tr r="O28" s="2"/>
      </tp>
      <tp t="e">
        <v>#N/A</v>
        <stp/>
        <stp>VOLUME</stp>
        <stp>.SPY250829C565</stp>
        <tr r="P22" s="2"/>
      </tp>
      <tp t="e">
        <v>#N/A</v>
        <stp/>
        <stp>VOLUME</stp>
        <stp>.SPY250815P558</stp>
        <tr r="O29" s="2"/>
      </tp>
      <tp t="e">
        <v>#N/A</v>
        <stp/>
        <stp>VOLUME</stp>
        <stp>.SPY250829P564</stp>
        <tr r="P23" s="2"/>
      </tp>
      <tp t="e">
        <v>#N/A</v>
        <stp/>
        <stp>VOLUME</stp>
        <stp>.SPY250815C558</stp>
        <tr r="O29" s="2"/>
      </tp>
      <tp t="e">
        <v>#N/A</v>
        <stp/>
        <stp>VOLUME</stp>
        <stp>.SPY250829C564</stp>
        <tr r="P23" s="2"/>
      </tp>
      <tp t="e">
        <v>#N/A</v>
        <stp/>
        <stp>VOLUME</stp>
        <stp>.QQQ251121P469</stp>
        <tr r="U79" s="2"/>
      </tp>
      <tp t="e">
        <v>#N/A</v>
        <stp/>
        <stp>VOLUME</stp>
        <stp>.SPY250829P563</stp>
        <tr r="P24" s="2"/>
      </tp>
      <tp t="e">
        <v>#N/A</v>
        <stp/>
        <stp>VOLUME</stp>
        <stp>.QQQ251121C469</stp>
        <tr r="U79" s="2"/>
      </tp>
      <tp t="e">
        <v>#N/A</v>
        <stp/>
        <stp>VOLUME</stp>
        <stp>.SPY250829C563</stp>
        <tr r="P24" s="2"/>
      </tp>
      <tp t="e">
        <v>#N/A</v>
        <stp/>
        <stp>VOLUME</stp>
        <stp>.QQQ251121P468</stp>
        <tr r="U80" s="2"/>
      </tp>
      <tp t="e">
        <v>#N/A</v>
        <stp/>
        <stp>VOLUME</stp>
        <stp>.SPY250829P562</stp>
        <tr r="P25" s="2"/>
      </tp>
      <tp t="e">
        <v>#N/A</v>
        <stp/>
        <stp>VOLUME</stp>
        <stp>.QQQ251121C468</stp>
        <tr r="U80" s="2"/>
      </tp>
      <tp t="e">
        <v>#N/A</v>
        <stp/>
        <stp>VOLUME</stp>
        <stp>.SPY250829C562</stp>
        <tr r="P25" s="2"/>
      </tp>
      <tp t="e">
        <v>#N/A</v>
        <stp/>
        <stp>VOLUME</stp>
        <stp>.SPY250829P561</stp>
        <tr r="P26" s="2"/>
      </tp>
      <tp t="e">
        <v>#N/A</v>
        <stp/>
        <stp>VOLUME</stp>
        <stp>.SPY250829C561</stp>
        <tr r="P26" s="2"/>
      </tp>
      <tp t="e">
        <v>#N/A</v>
        <stp/>
        <stp>VOLUME</stp>
        <stp>.SPY250829P560</stp>
        <tr r="P27" s="2"/>
      </tp>
      <tp t="e">
        <v>#N/A</v>
        <stp/>
        <stp>VOLUME</stp>
        <stp>.SPY250829C560</stp>
        <tr r="P27" s="2"/>
      </tp>
      <tp t="e">
        <v>#N/A</v>
        <stp/>
        <stp>VOLUME</stp>
        <stp>.SPY250815P563</stp>
        <tr r="O24" s="2"/>
      </tp>
      <tp t="e">
        <v>#N/A</v>
        <stp/>
        <stp>VOLUME</stp>
        <stp>.SPY250815C563</stp>
        <tr r="O24" s="2"/>
      </tp>
      <tp t="e">
        <v>#N/A</v>
        <stp/>
        <stp>VOLUME</stp>
        <stp>.SPY250815P562</stp>
        <tr r="O25" s="2"/>
      </tp>
      <tp t="e">
        <v>#N/A</v>
        <stp/>
        <stp>VOLUME</stp>
        <stp>.SPY250815C562</stp>
        <tr r="O25" s="2"/>
      </tp>
      <tp t="e">
        <v>#N/A</v>
        <stp/>
        <stp>VOLUME</stp>
        <stp>.SPY250815P561</stp>
        <tr r="O26" s="2"/>
      </tp>
      <tp t="e">
        <v>#N/A</v>
        <stp/>
        <stp>VOLUME</stp>
        <stp>.SPY250815C561</stp>
        <tr r="O26" s="2"/>
      </tp>
      <tp t="e">
        <v>#N/A</v>
        <stp/>
        <stp>VOLUME</stp>
        <stp>.SPY250815P560</stp>
        <tr r="O27" s="2"/>
      </tp>
      <tp t="e">
        <v>#N/A</v>
        <stp/>
        <stp>VOLUME</stp>
        <stp>.SPY250815C560</stp>
        <tr r="O27" s="2"/>
      </tp>
      <tp t="e">
        <v>#N/A</v>
        <stp/>
        <stp>VOLUME</stp>
        <stp>.SPY250815P567</stp>
        <tr r="O20" s="2"/>
      </tp>
      <tp t="e">
        <v>#N/A</v>
        <stp/>
        <stp>VOLUME</stp>
        <stp>.SPY250815C567</stp>
        <tr r="O20" s="2"/>
      </tp>
      <tp t="e">
        <v>#N/A</v>
        <stp/>
        <stp>VOLUME</stp>
        <stp>.SPY250815P566</stp>
        <tr r="O21" s="2"/>
      </tp>
      <tp t="e">
        <v>#N/A</v>
        <stp/>
        <stp>VOLUME</stp>
        <stp>.SPY250815C566</stp>
        <tr r="O21" s="2"/>
      </tp>
      <tp t="e">
        <v>#N/A</v>
        <stp/>
        <stp>VOLUME</stp>
        <stp>.SPY250815P565</stp>
        <tr r="O22" s="2"/>
      </tp>
      <tp t="e">
        <v>#N/A</v>
        <stp/>
        <stp>VOLUME</stp>
        <stp>.SPY250829P559</stp>
        <tr r="P28" s="2"/>
      </tp>
      <tp t="e">
        <v>#N/A</v>
        <stp/>
        <stp>VOLUME</stp>
        <stp>.SPY250815C565</stp>
        <tr r="O22" s="2"/>
      </tp>
      <tp t="e">
        <v>#N/A</v>
        <stp/>
        <stp>VOLUME</stp>
        <stp>.SPY250829C559</stp>
        <tr r="P28" s="2"/>
      </tp>
      <tp t="e">
        <v>#N/A</v>
        <stp/>
        <stp>VOLUME</stp>
        <stp>.SPY250815P564</stp>
        <tr r="O23" s="2"/>
      </tp>
      <tp t="e">
        <v>#N/A</v>
        <stp/>
        <stp>VOLUME</stp>
        <stp>.SPY250829P558</stp>
        <tr r="P29" s="2"/>
      </tp>
      <tp t="e">
        <v>#N/A</v>
        <stp/>
        <stp>VOLUME</stp>
        <stp>.SPY250815C564</stp>
        <tr r="O23" s="2"/>
      </tp>
      <tp t="e">
        <v>#N/A</v>
        <stp/>
        <stp>VOLUME</stp>
        <stp>.SPY250829C558</stp>
        <tr r="P29" s="2"/>
      </tp>
      <tp t="e">
        <v>#N/A</v>
        <stp/>
        <stp>VOLUME</stp>
        <stp>.SPY250829P557</stp>
        <tr r="P30" s="2"/>
      </tp>
      <tp t="e">
        <v>#N/A</v>
        <stp/>
        <stp>VOLUME</stp>
        <stp>.SPY250829C557</stp>
        <tr r="P30" s="2"/>
      </tp>
      <tp t="e">
        <v>#N/A</v>
        <stp/>
        <stp>VOLUME</stp>
        <stp>.SPY250829P556</stp>
        <tr r="P31" s="2"/>
      </tp>
      <tp t="e">
        <v>#N/A</v>
        <stp/>
        <stp>VOLUME</stp>
        <stp>.SPY250829C556</stp>
        <tr r="P31" s="2"/>
      </tp>
      <tp t="e">
        <v>#N/A</v>
        <stp/>
        <stp>VOLUME</stp>
        <stp>.SPY250815P569</stp>
        <tr r="O18" s="2"/>
      </tp>
      <tp t="e">
        <v>#N/A</v>
        <stp/>
        <stp>VOLUME</stp>
        <stp>.SPY250829P555</stp>
        <tr r="P32" s="2"/>
      </tp>
      <tp t="e">
        <v>#N/A</v>
        <stp/>
        <stp>VOLUME</stp>
        <stp>.SPY250815C569</stp>
        <tr r="O18" s="2"/>
      </tp>
      <tp t="e">
        <v>#N/A</v>
        <stp/>
        <stp>VOLUME</stp>
        <stp>.SPY250829C555</stp>
        <tr r="P32" s="2"/>
      </tp>
      <tp t="e">
        <v>#N/A</v>
        <stp/>
        <stp>VOLUME</stp>
        <stp>.SPY250815P568</stp>
        <tr r="O19" s="2"/>
      </tp>
      <tp t="e">
        <v>#N/A</v>
        <stp/>
        <stp>VOLUME</stp>
        <stp>.SPY250829P554</stp>
        <tr r="P33" s="2"/>
      </tp>
      <tp t="e">
        <v>#N/A</v>
        <stp/>
        <stp>VOLUME</stp>
        <stp>.SPY250815C568</stp>
        <tr r="O19" s="2"/>
      </tp>
      <tp t="e">
        <v>#N/A</v>
        <stp/>
        <stp>VOLUME</stp>
        <stp>.SPY250829C554</stp>
        <tr r="P33" s="2"/>
      </tp>
      <tp t="e">
        <v>#N/A</v>
        <stp/>
        <stp>VOLUME</stp>
        <stp>.SPY250829P553</stp>
        <tr r="P34" s="2"/>
      </tp>
      <tp t="e">
        <v>#N/A</v>
        <stp/>
        <stp>VOLUME</stp>
        <stp>.SPY250829C553</stp>
        <tr r="P34" s="2"/>
      </tp>
      <tp t="e">
        <v>#N/A</v>
        <stp/>
        <stp>VOLUME</stp>
        <stp>.SPY250829P552</stp>
        <tr r="P35" s="2"/>
      </tp>
      <tp t="e">
        <v>#N/A</v>
        <stp/>
        <stp>VOLUME</stp>
        <stp>.SPY250829C552</stp>
        <tr r="P35" s="2"/>
      </tp>
      <tp t="e">
        <v>#N/A</v>
        <stp/>
        <stp>VOLUME</stp>
        <stp>.SPY250829P551</stp>
        <tr r="P36" s="2"/>
      </tp>
      <tp t="e">
        <v>#N/A</v>
        <stp/>
        <stp>VOLUME</stp>
        <stp>.SPY250829C551</stp>
        <tr r="P36" s="2"/>
      </tp>
      <tp t="e">
        <v>#N/A</v>
        <stp/>
        <stp>VOLUME</stp>
        <stp>.SPY250829P550</stp>
        <tr r="P37" s="2"/>
      </tp>
      <tp t="e">
        <v>#N/A</v>
        <stp/>
        <stp>VOLUME</stp>
        <stp>.SPY250829C550</stp>
        <tr r="P37" s="2"/>
      </tp>
      <tp t="e">
        <v>#N/A</v>
        <stp/>
        <stp>VOLUME</stp>
        <stp>.SPY250815P573</stp>
        <tr r="O14" s="2"/>
      </tp>
      <tp t="e">
        <v>#N/A</v>
        <stp/>
        <stp>VOLUME</stp>
        <stp>.SPY250815C573</stp>
        <tr r="O14" s="2"/>
      </tp>
      <tp t="e">
        <v>#N/A</v>
        <stp/>
        <stp>VOLUME</stp>
        <stp>.SPY250815P572</stp>
        <tr r="O15" s="2"/>
      </tp>
      <tp t="e">
        <v>#N/A</v>
        <stp/>
        <stp>VOLUME</stp>
        <stp>.SPY250815C572</stp>
        <tr r="O15" s="2"/>
      </tp>
      <tp t="e">
        <v>#N/A</v>
        <stp/>
        <stp>VOLUME</stp>
        <stp>.SPY250815P571</stp>
        <tr r="O16" s="2"/>
      </tp>
      <tp t="e">
        <v>#N/A</v>
        <stp/>
        <stp>VOLUME</stp>
        <stp>.SPY250815C571</stp>
        <tr r="O16" s="2"/>
      </tp>
      <tp t="e">
        <v>#N/A</v>
        <stp/>
        <stp>VOLUME</stp>
        <stp>.SPY250815P570</stp>
        <tr r="O17" s="2"/>
      </tp>
      <tp t="e">
        <v>#N/A</v>
        <stp/>
        <stp>VOLUME</stp>
        <stp>.SPY250815C570</stp>
        <tr r="O17" s="2"/>
      </tp>
      <tp t="e">
        <v>#N/A</v>
        <stp/>
        <stp>VOLUME</stp>
        <stp>.SPY250815P577</stp>
        <tr r="O10" s="2"/>
      </tp>
      <tp t="e">
        <v>#N/A</v>
        <stp/>
        <stp>VOLUME</stp>
        <stp>.SPY250815C577</stp>
        <tr r="O10" s="2"/>
      </tp>
      <tp t="e">
        <v>#N/A</v>
        <stp/>
        <stp>VOLUME</stp>
        <stp>.SPY250815P576</stp>
        <tr r="O11" s="2"/>
      </tp>
      <tp t="e">
        <v>#N/A</v>
        <stp/>
        <stp>VOLUME</stp>
        <stp>.SPY250815C576</stp>
        <tr r="O11" s="2"/>
      </tp>
      <tp t="e">
        <v>#N/A</v>
        <stp/>
        <stp>VOLUME</stp>
        <stp>.SPY250815P575</stp>
        <tr r="O12" s="2"/>
      </tp>
      <tp t="e">
        <v>#N/A</v>
        <stp/>
        <stp>VOLUME</stp>
        <stp>.SPY250829P549</stp>
        <tr r="P38" s="2"/>
      </tp>
      <tp t="e">
        <v>#N/A</v>
        <stp/>
        <stp>VOLUME</stp>
        <stp>.SPY250815C575</stp>
        <tr r="O12" s="2"/>
      </tp>
      <tp t="e">
        <v>#N/A</v>
        <stp/>
        <stp>VOLUME</stp>
        <stp>.SPY250829C549</stp>
        <tr r="P38" s="2"/>
      </tp>
      <tp t="e">
        <v>#N/A</v>
        <stp/>
        <stp>VOLUME</stp>
        <stp>.SPY250815P574</stp>
        <tr r="O13" s="2"/>
      </tp>
      <tp t="e">
        <v>#N/A</v>
        <stp/>
        <stp>VOLUME</stp>
        <stp>.SPY250829P548</stp>
        <tr r="P39" s="2"/>
      </tp>
      <tp t="e">
        <v>#N/A</v>
        <stp/>
        <stp>VOLUME</stp>
        <stp>.SPY250815C574</stp>
        <tr r="O13" s="2"/>
      </tp>
      <tp t="e">
        <v>#N/A</v>
        <stp/>
        <stp>VOLUME</stp>
        <stp>.SPY250829C548</stp>
        <tr r="P39" s="2"/>
      </tp>
      <tp t="e">
        <v>#N/A</v>
        <stp/>
        <stp>VOLUME</stp>
        <stp>.SPY250815P579</stp>
        <tr r="O8" s="2"/>
      </tp>
      <tp t="e">
        <v>#N/A</v>
        <stp/>
        <stp>VOLUME</stp>
        <stp>.SPY250815C579</stp>
        <tr r="O8" s="2"/>
      </tp>
      <tp t="e">
        <v>#N/A</v>
        <stp/>
        <stp>VOLUME</stp>
        <stp>.SPY250815P578</stp>
        <tr r="O9" s="2"/>
      </tp>
      <tp t="e">
        <v>#N/A</v>
        <stp/>
        <stp>VOLUME</stp>
        <stp>.SPY250815C578</stp>
        <tr r="O9" s="2"/>
      </tp>
      <tp t="e">
        <v>#N/A</v>
        <stp/>
        <stp>DELTA</stp>
        <stp>.SPXW250516P5850</stp>
        <tr r="CI87" s="1"/>
        <tr r="CI87" s="1"/>
      </tp>
      <tp t="e">
        <v>#N/A</v>
        <stp/>
        <stp>DELTA</stp>
        <stp>.SPXW250516C5850</stp>
        <tr r="CH87" s="1"/>
        <tr r="CH87" s="1"/>
      </tp>
      <tp t="e">
        <v>#N/A</v>
        <stp/>
        <stp>DELTA</stp>
        <stp>.SPXW250516P5840</stp>
        <tr r="CI88" s="1"/>
        <tr r="CI88" s="1"/>
      </tp>
      <tp t="e">
        <v>#N/A</v>
        <stp/>
        <stp>DELTA</stp>
        <stp>.SPXW250516C5840</stp>
        <tr r="CH88" s="1"/>
        <tr r="CH88" s="1"/>
      </tp>
      <tp t="e">
        <v>#N/A</v>
        <stp/>
        <stp>DELTA</stp>
        <stp>.SPXW250516P5870</stp>
        <tr r="CI85" s="1"/>
        <tr r="CI85" s="1"/>
      </tp>
      <tp t="e">
        <v>#N/A</v>
        <stp/>
        <stp>DELTA</stp>
        <stp>.SPXW250516C5870</stp>
        <tr r="CH85" s="1"/>
        <tr r="CH85" s="1"/>
      </tp>
      <tp t="e">
        <v>#N/A</v>
        <stp/>
        <stp>DELTA</stp>
        <stp>.SPXW250516P5860</stp>
        <tr r="CI86" s="1"/>
        <tr r="CI86" s="1"/>
      </tp>
      <tp t="e">
        <v>#N/A</v>
        <stp/>
        <stp>DELTA</stp>
        <stp>.SPXW250516C5860</stp>
        <tr r="CH86" s="1"/>
        <tr r="CH86" s="1"/>
      </tp>
      <tp t="e">
        <v>#N/A</v>
        <stp/>
        <stp>DELTA</stp>
        <stp>.SPXW250516P5810</stp>
        <tr r="CI91" s="1"/>
        <tr r="CI91" s="1"/>
      </tp>
      <tp t="e">
        <v>#N/A</v>
        <stp/>
        <stp>DELTA</stp>
        <stp>.SPXW250516C5810</stp>
        <tr r="CH91" s="1"/>
        <tr r="CH91" s="1"/>
      </tp>
      <tp t="e">
        <v>#N/A</v>
        <stp/>
        <stp>DELTA</stp>
        <stp>.SPXW250516P5800</stp>
        <tr r="CI92" s="1"/>
        <tr r="CI92" s="1"/>
      </tp>
      <tp t="e">
        <v>#N/A</v>
        <stp/>
        <stp>DELTA</stp>
        <stp>.SPXW250516C5800</stp>
        <tr r="CH92" s="1"/>
        <tr r="CH92" s="1"/>
      </tp>
      <tp t="e">
        <v>#N/A</v>
        <stp/>
        <stp>DELTA</stp>
        <stp>.SPXW250516P5830</stp>
        <tr r="CI89" s="1"/>
        <tr r="CI89" s="1"/>
      </tp>
      <tp t="e">
        <v>#N/A</v>
        <stp/>
        <stp>DELTA</stp>
        <stp>.SPXW250516C5830</stp>
        <tr r="CH89" s="1"/>
        <tr r="CH89" s="1"/>
      </tp>
      <tp t="e">
        <v>#N/A</v>
        <stp/>
        <stp>DELTA</stp>
        <stp>.SPXW250516P5820</stp>
        <tr r="CI90" s="1"/>
        <tr r="CI90" s="1"/>
      </tp>
      <tp t="e">
        <v>#N/A</v>
        <stp/>
        <stp>DELTA</stp>
        <stp>.SPXW250516C5820</stp>
        <tr r="CH90" s="1"/>
        <tr r="CH90" s="1"/>
      </tp>
      <tp t="e">
        <v>#N/A</v>
        <stp/>
        <stp>VOLUME</stp>
        <stp>.SPX250815C5830</stp>
        <tr r="O90" s="2"/>
      </tp>
      <tp t="e">
        <v>#N/A</v>
        <stp/>
        <stp>VOLUME</stp>
        <stp>.SPX251017C5810</stp>
        <tr r="S92" s="2"/>
      </tp>
      <tp t="e">
        <v>#N/A</v>
        <stp/>
        <stp>VOLUME</stp>
        <stp>.SPX251017P5810</stp>
        <tr r="S92" s="2"/>
      </tp>
      <tp t="e">
        <v>#N/A</v>
        <stp/>
        <stp>VOLUME</stp>
        <stp>.SPX250815P5830</stp>
        <tr r="O90" s="2"/>
      </tp>
      <tp t="e">
        <v>#N/A</v>
        <stp/>
        <stp>VOLUME</stp>
        <stp>.SPX250815C5820</stp>
        <tr r="O91" s="2"/>
      </tp>
      <tp t="e">
        <v>#N/A</v>
        <stp/>
        <stp>VOLUME</stp>
        <stp>.SPX251017C5800</stp>
        <tr r="S93" s="2"/>
      </tp>
      <tp t="e">
        <v>#N/A</v>
        <stp/>
        <stp>VOLUME</stp>
        <stp>.SPX251017P5800</stp>
        <tr r="S93" s="2"/>
      </tp>
      <tp t="e">
        <v>#N/A</v>
        <stp/>
        <stp>VOLUME</stp>
        <stp>.SPX250815P5820</stp>
        <tr r="O91" s="2"/>
      </tp>
      <tp t="e">
        <v>#N/A</v>
        <stp/>
        <stp>VOLUME</stp>
        <stp>.SPX250815C5810</stp>
        <tr r="O92" s="2"/>
      </tp>
      <tp t="e">
        <v>#N/A</v>
        <stp/>
        <stp>VOLUME</stp>
        <stp>.SPX251017C5830</stp>
        <tr r="S90" s="2"/>
      </tp>
      <tp t="e">
        <v>#N/A</v>
        <stp/>
        <stp>VOLUME</stp>
        <stp>.SPX251017P5830</stp>
        <tr r="S90" s="2"/>
      </tp>
      <tp t="e">
        <v>#N/A</v>
        <stp/>
        <stp>VOLUME</stp>
        <stp>.SPX250815P5810</stp>
        <tr r="O92" s="2"/>
      </tp>
      <tp t="e">
        <v>#N/A</v>
        <stp/>
        <stp>VOLUME</stp>
        <stp>.SPX250815C5800</stp>
        <tr r="O93" s="2"/>
      </tp>
      <tp t="e">
        <v>#N/A</v>
        <stp/>
        <stp>VOLUME</stp>
        <stp>.SPX251017C5820</stp>
        <tr r="S91" s="2"/>
      </tp>
      <tp t="e">
        <v>#N/A</v>
        <stp/>
        <stp>VOLUME</stp>
        <stp>.SPX251017P5820</stp>
        <tr r="S91" s="2"/>
      </tp>
      <tp t="e">
        <v>#N/A</v>
        <stp/>
        <stp>VOLUME</stp>
        <stp>.SPX250815P5800</stp>
        <tr r="O93" s="2"/>
      </tp>
      <tp t="e">
        <v>#N/A</v>
        <stp/>
        <stp>VOLUME</stp>
        <stp>.SPX250815C5870</stp>
        <tr r="O86" s="2"/>
      </tp>
      <tp t="e">
        <v>#N/A</v>
        <stp/>
        <stp>VOLUME</stp>
        <stp>.SPX251017C5850</stp>
        <tr r="S88" s="2"/>
      </tp>
      <tp t="e">
        <v>#N/A</v>
        <stp/>
        <stp>VOLUME</stp>
        <stp>.SPX251017P5850</stp>
        <tr r="S88" s="2"/>
      </tp>
      <tp t="e">
        <v>#N/A</v>
        <stp/>
        <stp>VOLUME</stp>
        <stp>.SPX250815P5870</stp>
        <tr r="O86" s="2"/>
      </tp>
      <tp t="e">
        <v>#N/A</v>
        <stp/>
        <stp>VOLUME</stp>
        <stp>.SPX250815C5860</stp>
        <tr r="O87" s="2"/>
      </tp>
      <tp t="e">
        <v>#N/A</v>
        <stp/>
        <stp>VOLUME</stp>
        <stp>.SPX251017C5840</stp>
        <tr r="S89" s="2"/>
      </tp>
      <tp t="e">
        <v>#N/A</v>
        <stp/>
        <stp>VOLUME</stp>
        <stp>.SPX251017P5840</stp>
        <tr r="S89" s="2"/>
      </tp>
      <tp t="e">
        <v>#N/A</v>
        <stp/>
        <stp>VOLUME</stp>
        <stp>.SPX250815P5860</stp>
        <tr r="O87" s="2"/>
      </tp>
      <tp t="e">
        <v>#N/A</v>
        <stp/>
        <stp>VOLUME</stp>
        <stp>.SPX250815C5850</stp>
        <tr r="O88" s="2"/>
      </tp>
      <tp t="e">
        <v>#N/A</v>
        <stp/>
        <stp>VOLUME</stp>
        <stp>.SPX251017C5870</stp>
        <tr r="S86" s="2"/>
      </tp>
      <tp t="e">
        <v>#N/A</v>
        <stp/>
        <stp>VOLUME</stp>
        <stp>.SPX251017P5870</stp>
        <tr r="S86" s="2"/>
      </tp>
      <tp t="e">
        <v>#N/A</v>
        <stp/>
        <stp>VOLUME</stp>
        <stp>.SPX250815P5850</stp>
        <tr r="O88" s="2"/>
      </tp>
      <tp t="e">
        <v>#N/A</v>
        <stp/>
        <stp>VOLUME</stp>
        <stp>.SPX250815C5840</stp>
        <tr r="O89" s="2"/>
      </tp>
      <tp t="e">
        <v>#N/A</v>
        <stp/>
        <stp>VOLUME</stp>
        <stp>.SPX251017C5860</stp>
        <tr r="S87" s="2"/>
      </tp>
      <tp t="e">
        <v>#N/A</v>
        <stp/>
        <stp>VOLUME</stp>
        <stp>.SPX251017P5860</stp>
        <tr r="S87" s="2"/>
      </tp>
      <tp t="e">
        <v>#N/A</v>
        <stp/>
        <stp>VOLUME</stp>
        <stp>.SPX250815P5840</stp>
        <tr r="O89" s="2"/>
      </tp>
      <tp t="e">
        <v>#N/A</v>
        <stp/>
        <stp>VOLUME</stp>
        <stp>.SPX250718C5860</stp>
        <tr r="M87" s="2"/>
      </tp>
      <tp t="e">
        <v>#N/A</v>
        <stp/>
        <stp>VOLUME</stp>
        <stp>.SPX250919C5870</stp>
        <tr r="Q86" s="2"/>
      </tp>
      <tp t="e">
        <v>#N/A</v>
        <stp/>
        <stp>VOLUME</stp>
        <stp>.SPX251219C5870</stp>
        <tr r="W86" s="2"/>
      </tp>
      <tp t="e">
        <v>#N/A</v>
        <stp/>
        <stp>VOLUME</stp>
        <stp>.SPX251219P5870</stp>
        <tr r="W86" s="2"/>
      </tp>
      <tp t="e">
        <v>#N/A</v>
        <stp/>
        <stp>VOLUME</stp>
        <stp>.SPX250718P5860</stp>
        <tr r="M87" s="2"/>
      </tp>
      <tp t="e">
        <v>#N/A</v>
        <stp/>
        <stp>VOLUME</stp>
        <stp>.SPX250919P5870</stp>
        <tr r="Q86" s="2"/>
      </tp>
      <tp t="e">
        <v>#N/A</v>
        <stp/>
        <stp>VOLUME</stp>
        <stp>.SPX250718C5870</stp>
        <tr r="M86" s="2"/>
      </tp>
      <tp t="e">
        <v>#N/A</v>
        <stp/>
        <stp>VOLUME</stp>
        <stp>.SPX250919C5860</stp>
        <tr r="Q87" s="2"/>
      </tp>
      <tp t="e">
        <v>#N/A</v>
        <stp/>
        <stp>VOLUME</stp>
        <stp>.SPX251219C5860</stp>
        <tr r="W87" s="2"/>
      </tp>
      <tp t="e">
        <v>#N/A</v>
        <stp/>
        <stp>VOLUME</stp>
        <stp>.SPX251219P5860</stp>
        <tr r="W87" s="2"/>
      </tp>
      <tp t="e">
        <v>#N/A</v>
        <stp/>
        <stp>VOLUME</stp>
        <stp>.SPX250718P5870</stp>
        <tr r="M86" s="2"/>
      </tp>
      <tp t="e">
        <v>#N/A</v>
        <stp/>
        <stp>VOLUME</stp>
        <stp>.SPX250919P5860</stp>
        <tr r="Q87" s="2"/>
      </tp>
      <tp t="e">
        <v>#N/A</v>
        <stp/>
        <stp>VOLUME</stp>
        <stp>.SPX250718C5840</stp>
        <tr r="M89" s="2"/>
      </tp>
      <tp t="e">
        <v>#N/A</v>
        <stp/>
        <stp>VOLUME</stp>
        <stp>.SPX250919C5850</stp>
        <tr r="Q88" s="2"/>
      </tp>
      <tp t="e">
        <v>#N/A</v>
        <stp/>
        <stp>VOLUME</stp>
        <stp>.SPX251219C5850</stp>
        <tr r="W88" s="2"/>
      </tp>
      <tp t="e">
        <v>#N/A</v>
        <stp/>
        <stp>VOLUME</stp>
        <stp>.SPX251219P5850</stp>
        <tr r="W88" s="2"/>
      </tp>
      <tp t="e">
        <v>#N/A</v>
        <stp/>
        <stp>VOLUME</stp>
        <stp>.SPX250718P5840</stp>
        <tr r="M89" s="2"/>
      </tp>
      <tp t="e">
        <v>#N/A</v>
        <stp/>
        <stp>VOLUME</stp>
        <stp>.SPX250919P5850</stp>
        <tr r="Q88" s="2"/>
      </tp>
      <tp t="e">
        <v>#N/A</v>
        <stp/>
        <stp>VOLUME</stp>
        <stp>.SPX250718C5850</stp>
        <tr r="M88" s="2"/>
      </tp>
      <tp t="e">
        <v>#N/A</v>
        <stp/>
        <stp>VOLUME</stp>
        <stp>.SPX250919C5840</stp>
        <tr r="Q89" s="2"/>
      </tp>
      <tp t="e">
        <v>#N/A</v>
        <stp/>
        <stp>VOLUME</stp>
        <stp>.SPX251219C5840</stp>
        <tr r="W89" s="2"/>
      </tp>
      <tp t="e">
        <v>#N/A</v>
        <stp/>
        <stp>VOLUME</stp>
        <stp>.SPX251219P5840</stp>
        <tr r="W89" s="2"/>
      </tp>
      <tp t="e">
        <v>#N/A</v>
        <stp/>
        <stp>VOLUME</stp>
        <stp>.SPX250718P5850</stp>
        <tr r="M88" s="2"/>
      </tp>
      <tp t="e">
        <v>#N/A</v>
        <stp/>
        <stp>VOLUME</stp>
        <stp>.SPX250919P5840</stp>
        <tr r="Q89" s="2"/>
      </tp>
      <tp t="e">
        <v>#N/A</v>
        <stp/>
        <stp>VOLUME</stp>
        <stp>.SPX250718C5820</stp>
        <tr r="M91" s="2"/>
      </tp>
      <tp t="e">
        <v>#N/A</v>
        <stp/>
        <stp>VOLUME</stp>
        <stp>.SPX250919C5830</stp>
        <tr r="Q90" s="2"/>
      </tp>
      <tp t="e">
        <v>#N/A</v>
        <stp/>
        <stp>VOLUME</stp>
        <stp>.SPX251219C5830</stp>
        <tr r="W90" s="2"/>
      </tp>
      <tp t="e">
        <v>#N/A</v>
        <stp/>
        <stp>VOLUME</stp>
        <stp>.SPX251219P5830</stp>
        <tr r="W90" s="2"/>
      </tp>
      <tp t="e">
        <v>#N/A</v>
        <stp/>
        <stp>VOLUME</stp>
        <stp>.SPX250718P5820</stp>
        <tr r="M91" s="2"/>
      </tp>
      <tp t="e">
        <v>#N/A</v>
        <stp/>
        <stp>VOLUME</stp>
        <stp>.SPX250919P5830</stp>
        <tr r="Q90" s="2"/>
      </tp>
      <tp t="e">
        <v>#N/A</v>
        <stp/>
        <stp>VOLUME</stp>
        <stp>.SPX250718C5830</stp>
        <tr r="M90" s="2"/>
      </tp>
      <tp t="e">
        <v>#N/A</v>
        <stp/>
        <stp>VOLUME</stp>
        <stp>.SPX250919C5820</stp>
        <tr r="Q91" s="2"/>
      </tp>
      <tp t="e">
        <v>#N/A</v>
        <stp/>
        <stp>VOLUME</stp>
        <stp>.SPX251219C5820</stp>
        <tr r="W91" s="2"/>
      </tp>
      <tp t="e">
        <v>#N/A</v>
        <stp/>
        <stp>VOLUME</stp>
        <stp>.SPX251219P5820</stp>
        <tr r="W91" s="2"/>
      </tp>
      <tp t="e">
        <v>#N/A</v>
        <stp/>
        <stp>VOLUME</stp>
        <stp>.SPX250718P5830</stp>
        <tr r="M90" s="2"/>
      </tp>
      <tp t="e">
        <v>#N/A</v>
        <stp/>
        <stp>VOLUME</stp>
        <stp>.SPX250919P5820</stp>
        <tr r="Q91" s="2"/>
      </tp>
      <tp t="e">
        <v>#N/A</v>
        <stp/>
        <stp>VOLUME</stp>
        <stp>.SPX250718C5800</stp>
        <tr r="M93" s="2"/>
      </tp>
      <tp t="e">
        <v>#N/A</v>
        <stp/>
        <stp>VOLUME</stp>
        <stp>.SPX250919C5810</stp>
        <tr r="Q92" s="2"/>
      </tp>
      <tp t="e">
        <v>#N/A</v>
        <stp/>
        <stp>VOLUME</stp>
        <stp>.SPX251219C5810</stp>
        <tr r="W92" s="2"/>
      </tp>
      <tp t="e">
        <v>#N/A</v>
        <stp/>
        <stp>VOLUME</stp>
        <stp>.SPX251219P5810</stp>
        <tr r="W92" s="2"/>
      </tp>
      <tp t="e">
        <v>#N/A</v>
        <stp/>
        <stp>VOLUME</stp>
        <stp>.SPX250718P5800</stp>
        <tr r="M93" s="2"/>
      </tp>
      <tp t="e">
        <v>#N/A</v>
        <stp/>
        <stp>VOLUME</stp>
        <stp>.SPX250919P5810</stp>
        <tr r="Q92" s="2"/>
      </tp>
      <tp t="e">
        <v>#N/A</v>
        <stp/>
        <stp>VOLUME</stp>
        <stp>.SPX250718C5810</stp>
        <tr r="M92" s="2"/>
      </tp>
      <tp t="e">
        <v>#N/A</v>
        <stp/>
        <stp>VOLUME</stp>
        <stp>.SPX250919C5800</stp>
        <tr r="Q93" s="2"/>
      </tp>
      <tp t="e">
        <v>#N/A</v>
        <stp/>
        <stp>VOLUME</stp>
        <stp>.SPX251219C5800</stp>
        <tr r="W93" s="2"/>
      </tp>
      <tp t="e">
        <v>#N/A</v>
        <stp/>
        <stp>VOLUME</stp>
        <stp>.SPX251219P5800</stp>
        <tr r="W93" s="2"/>
      </tp>
      <tp t="e">
        <v>#N/A</v>
        <stp/>
        <stp>VOLUME</stp>
        <stp>.SPX250718P5810</stp>
        <tr r="M92" s="2"/>
      </tp>
      <tp t="e">
        <v>#N/A</v>
        <stp/>
        <stp>VOLUME</stp>
        <stp>.SPX250919P5800</stp>
        <tr r="Q93" s="2"/>
      </tp>
      <tp t="e">
        <v>#N/A</v>
        <stp/>
        <stp>IMPL_VOL</stp>
        <stp>.NDX250516C19980</stp>
        <tr r="EP160" s="1"/>
      </tp>
      <tp t="e">
        <v>#N/A</v>
        <stp/>
        <stp>IMPL_VOL</stp>
        <stp>.NDX250516C19900</stp>
        <tr r="EP164" s="1"/>
      </tp>
      <tp t="e">
        <v>#N/A</v>
        <stp/>
        <stp>IMPL_VOL</stp>
        <stp>.NDX250516C19920</stp>
        <tr r="EP163" s="1"/>
      </tp>
      <tp t="e">
        <v>#N/A</v>
        <stp/>
        <stp>IMPL_VOL</stp>
        <stp>.NDX250516C19940</stp>
        <tr r="EP162" s="1"/>
      </tp>
      <tp t="e">
        <v>#N/A</v>
        <stp/>
        <stp>IMPL_VOL</stp>
        <stp>.NDX250516C19960</stp>
        <tr r="EP161" s="1"/>
      </tp>
      <tp t="e">
        <v>#N/A</v>
        <stp/>
        <stp>IMPL_VOL</stp>
        <stp>.NDX250516P19980</stp>
        <tr r="EQ160" s="1"/>
      </tp>
      <tp t="e">
        <v>#N/A</v>
        <stp/>
        <stp>IMPL_VOL</stp>
        <stp>.NDX250516P19920</stp>
        <tr r="EQ163" s="1"/>
      </tp>
      <tp t="e">
        <v>#N/A</v>
        <stp/>
        <stp>IMPL_VOL</stp>
        <stp>.NDX250516P19900</stp>
        <tr r="EQ164" s="1"/>
      </tp>
      <tp t="e">
        <v>#N/A</v>
        <stp/>
        <stp>IMPL_VOL</stp>
        <stp>.NDX250516P19960</stp>
        <tr r="EQ161" s="1"/>
      </tp>
      <tp t="e">
        <v>#N/A</v>
        <stp/>
        <stp>IMPL_VOL</stp>
        <stp>.NDX250516P19940</stp>
        <tr r="EQ162" s="1"/>
      </tp>
      <tp t="e">
        <v>#N/A</v>
        <stp/>
        <stp>IMPL_VOL</stp>
        <stp>.NDX250516C19880</stp>
        <tr r="EP165" s="1"/>
      </tp>
      <tp t="e">
        <v>#N/A</v>
        <stp/>
        <stp>IMPL_VOL</stp>
        <stp>.NDX250516C19800</stp>
        <tr r="EP169" s="1"/>
      </tp>
      <tp t="e">
        <v>#N/A</v>
        <stp/>
        <stp>IMPL_VOL</stp>
        <stp>.NDX250516C19820</stp>
        <tr r="EP168" s="1"/>
      </tp>
      <tp t="e">
        <v>#N/A</v>
        <stp/>
        <stp>IMPL_VOL</stp>
        <stp>.NDX250516C19840</stp>
        <tr r="EP167" s="1"/>
      </tp>
      <tp t="e">
        <v>#N/A</v>
        <stp/>
        <stp>IMPL_VOL</stp>
        <stp>.NDX250516C19860</stp>
        <tr r="EP166" s="1"/>
      </tp>
      <tp t="e">
        <v>#N/A</v>
        <stp/>
        <stp>IMPL_VOL</stp>
        <stp>.NDX250516P19880</stp>
        <tr r="EQ165" s="1"/>
      </tp>
      <tp t="e">
        <v>#N/A</v>
        <stp/>
        <stp>IMPL_VOL</stp>
        <stp>.NDX250516P19820</stp>
        <tr r="EQ168" s="1"/>
      </tp>
      <tp t="e">
        <v>#N/A</v>
        <stp/>
        <stp>IMPL_VOL</stp>
        <stp>.NDX250516P19800</stp>
        <tr r="EQ169" s="1"/>
      </tp>
      <tp t="e">
        <v>#N/A</v>
        <stp/>
        <stp>IMPL_VOL</stp>
        <stp>.NDX250516P19860</stp>
        <tr r="EQ166" s="1"/>
      </tp>
      <tp t="e">
        <v>#N/A</v>
        <stp/>
        <stp>IMPL_VOL</stp>
        <stp>.NDX250516P19840</stp>
        <tr r="EQ167" s="1"/>
      </tp>
      <tp t="e">
        <v>#N/A</v>
        <stp/>
        <stp>VOLUME</stp>
        <stp>.SPX250620C5860</stp>
        <tr r="K87" s="2"/>
      </tp>
      <tp t="e">
        <v>#N/A</v>
        <stp/>
        <stp>VOLUME</stp>
        <stp>.SPX250523C5850</stp>
        <tr r="H88" s="2"/>
      </tp>
      <tp t="e">
        <v>#N/A</v>
        <stp/>
        <stp>VOLUME</stp>
        <stp>.SPX251121C5870</stp>
        <tr r="U86" s="2"/>
      </tp>
      <tp t="e">
        <v>#N/A</v>
        <stp/>
        <stp>VOLUME</stp>
        <stp>.SPX251121P5870</stp>
        <tr r="U86" s="2"/>
      </tp>
      <tp t="e">
        <v>#N/A</v>
        <stp/>
        <stp>VOLUME</stp>
        <stp>.SPX250620P5860</stp>
        <tr r="K87" s="2"/>
      </tp>
      <tp t="e">
        <v>#N/A</v>
        <stp/>
        <stp>VOLUME</stp>
        <stp>.SPX250523P5850</stp>
        <tr r="H88" s="2"/>
      </tp>
      <tp t="e">
        <v>#N/A</v>
        <stp/>
        <stp>VOLUME</stp>
        <stp>.SPX250620C5870</stp>
        <tr r="K86" s="2"/>
      </tp>
      <tp t="e">
        <v>#N/A</v>
        <stp/>
        <stp>VOLUME</stp>
        <stp>.SPX250523C5840</stp>
        <tr r="H89" s="2"/>
      </tp>
      <tp t="e">
        <v>#N/A</v>
        <stp/>
        <stp>VOLUME</stp>
        <stp>.SPX251121C5860</stp>
        <tr r="U87" s="2"/>
      </tp>
      <tp t="e">
        <v>#N/A</v>
        <stp/>
        <stp>VOLUME</stp>
        <stp>.SPX251121P5860</stp>
        <tr r="U87" s="2"/>
      </tp>
      <tp t="e">
        <v>#N/A</v>
        <stp/>
        <stp>VOLUME</stp>
        <stp>.SPX250620P5870</stp>
        <tr r="K86" s="2"/>
      </tp>
      <tp t="e">
        <v>#N/A</v>
        <stp/>
        <stp>VOLUME</stp>
        <stp>.SPX250523P5840</stp>
        <tr r="H89" s="2"/>
      </tp>
      <tp t="e">
        <v>#N/A</v>
        <stp/>
        <stp>VOLUME</stp>
        <stp>.SPX250620C5840</stp>
        <tr r="K89" s="2"/>
      </tp>
      <tp t="e">
        <v>#N/A</v>
        <stp/>
        <stp>VOLUME</stp>
        <stp>.SPX250523C5870</stp>
        <tr r="H86" s="2"/>
      </tp>
      <tp t="e">
        <v>#N/A</v>
        <stp/>
        <stp>VOLUME</stp>
        <stp>.SPX251121C5850</stp>
        <tr r="U88" s="2"/>
      </tp>
      <tp t="e">
        <v>#N/A</v>
        <stp/>
        <stp>VOLUME</stp>
        <stp>.SPX251121P5850</stp>
        <tr r="U88" s="2"/>
      </tp>
      <tp t="e">
        <v>#N/A</v>
        <stp/>
        <stp>VOLUME</stp>
        <stp>.SPX250620P5840</stp>
        <tr r="K89" s="2"/>
      </tp>
      <tp t="e">
        <v>#N/A</v>
        <stp/>
        <stp>VOLUME</stp>
        <stp>.SPX250523P5870</stp>
        <tr r="H86" s="2"/>
      </tp>
      <tp t="e">
        <v>#N/A</v>
        <stp/>
        <stp>VOLUME</stp>
        <stp>.SPX250620C5850</stp>
        <tr r="K88" s="2"/>
      </tp>
      <tp t="e">
        <v>#N/A</v>
        <stp/>
        <stp>VOLUME</stp>
        <stp>.SPX250523C5860</stp>
        <tr r="H87" s="2"/>
      </tp>
      <tp t="e">
        <v>#N/A</v>
        <stp/>
        <stp>VOLUME</stp>
        <stp>.SPX251121C5840</stp>
        <tr r="U89" s="2"/>
      </tp>
      <tp t="e">
        <v>#N/A</v>
        <stp/>
        <stp>VOLUME</stp>
        <stp>.SPX251121P5840</stp>
        <tr r="U89" s="2"/>
      </tp>
      <tp t="e">
        <v>#N/A</v>
        <stp/>
        <stp>VOLUME</stp>
        <stp>.SPX250620P5850</stp>
        <tr r="K88" s="2"/>
      </tp>
      <tp t="e">
        <v>#N/A</v>
        <stp/>
        <stp>VOLUME</stp>
        <stp>.SPX250523P5860</stp>
        <tr r="H87" s="2"/>
      </tp>
      <tp t="e">
        <v>#N/A</v>
        <stp/>
        <stp>VOLUME</stp>
        <stp>.SPX250620C5820</stp>
        <tr r="K91" s="2"/>
      </tp>
      <tp t="e">
        <v>#N/A</v>
        <stp/>
        <stp>VOLUME</stp>
        <stp>.SPX250523C5810</stp>
        <tr r="H92" s="2"/>
      </tp>
      <tp t="e">
        <v>#N/A</v>
        <stp/>
        <stp>VOLUME</stp>
        <stp>.SPX251121C5830</stp>
        <tr r="U90" s="2"/>
      </tp>
      <tp t="e">
        <v>#N/A</v>
        <stp/>
        <stp>VOLUME</stp>
        <stp>.SPX251121P5830</stp>
        <tr r="U90" s="2"/>
      </tp>
      <tp t="e">
        <v>#N/A</v>
        <stp/>
        <stp>VOLUME</stp>
        <stp>.SPX250620P5820</stp>
        <tr r="K91" s="2"/>
      </tp>
      <tp t="e">
        <v>#N/A</v>
        <stp/>
        <stp>VOLUME</stp>
        <stp>.SPX250523P5810</stp>
        <tr r="H92" s="2"/>
      </tp>
      <tp t="e">
        <v>#N/A</v>
        <stp/>
        <stp>VOLUME</stp>
        <stp>.SPX250620C5830</stp>
        <tr r="K90" s="2"/>
      </tp>
      <tp t="e">
        <v>#N/A</v>
        <stp/>
        <stp>VOLUME</stp>
        <stp>.SPX250523C5800</stp>
        <tr r="H93" s="2"/>
      </tp>
      <tp t="e">
        <v>#N/A</v>
        <stp/>
        <stp>VOLUME</stp>
        <stp>.SPX251121C5820</stp>
        <tr r="U91" s="2"/>
      </tp>
      <tp t="e">
        <v>#N/A</v>
        <stp/>
        <stp>VOLUME</stp>
        <stp>.SPX251121P5820</stp>
        <tr r="U91" s="2"/>
      </tp>
      <tp t="e">
        <v>#N/A</v>
        <stp/>
        <stp>VOLUME</stp>
        <stp>.SPX250620P5830</stp>
        <tr r="K90" s="2"/>
      </tp>
      <tp t="e">
        <v>#N/A</v>
        <stp/>
        <stp>VOLUME</stp>
        <stp>.SPX250523P5800</stp>
        <tr r="H93" s="2"/>
      </tp>
      <tp t="e">
        <v>#N/A</v>
        <stp/>
        <stp>VOLUME</stp>
        <stp>.SPX250620C5800</stp>
        <tr r="K93" s="2"/>
      </tp>
      <tp t="e">
        <v>#N/A</v>
        <stp/>
        <stp>VOLUME</stp>
        <stp>.SPX250523C5830</stp>
        <tr r="H90" s="2"/>
      </tp>
      <tp t="e">
        <v>#N/A</v>
        <stp/>
        <stp>VOLUME</stp>
        <stp>.SPX251121C5810</stp>
        <tr r="U92" s="2"/>
      </tp>
      <tp t="e">
        <v>#N/A</v>
        <stp/>
        <stp>VOLUME</stp>
        <stp>.SPX251121P5810</stp>
        <tr r="U92" s="2"/>
      </tp>
      <tp t="e">
        <v>#N/A</v>
        <stp/>
        <stp>VOLUME</stp>
        <stp>.SPX250620P5800</stp>
        <tr r="K93" s="2"/>
      </tp>
      <tp t="e">
        <v>#N/A</v>
        <stp/>
        <stp>VOLUME</stp>
        <stp>.SPX250523P5830</stp>
        <tr r="H90" s="2"/>
      </tp>
      <tp t="e">
        <v>#N/A</v>
        <stp/>
        <stp>VOLUME</stp>
        <stp>.SPX250620C5810</stp>
        <tr r="K92" s="2"/>
      </tp>
      <tp t="e">
        <v>#N/A</v>
        <stp/>
        <stp>VOLUME</stp>
        <stp>.SPX250523C5820</stp>
        <tr r="H91" s="2"/>
      </tp>
      <tp t="e">
        <v>#N/A</v>
        <stp/>
        <stp>VOLUME</stp>
        <stp>.SPX251121C5800</stp>
        <tr r="U93" s="2"/>
      </tp>
      <tp t="e">
        <v>#N/A</v>
        <stp/>
        <stp>VOLUME</stp>
        <stp>.SPX251121P5800</stp>
        <tr r="U93" s="2"/>
      </tp>
      <tp t="e">
        <v>#N/A</v>
        <stp/>
        <stp>VOLUME</stp>
        <stp>.SPX250620P5810</stp>
        <tr r="K92" s="2"/>
      </tp>
      <tp t="e">
        <v>#N/A</v>
        <stp/>
        <stp>VOLUME</stp>
        <stp>.SPX250523P5820</stp>
        <tr r="H91" s="2"/>
      </tp>
      <tp t="e">
        <v>#N/A</v>
        <stp/>
        <stp>OPEN_INT</stp>
        <stp>.SPXW250502C5730</stp>
        <tr r="AS99" s="1"/>
        <tr r="AS99" s="1"/>
      </tp>
      <tp t="e">
        <v>#N/A</v>
        <stp/>
        <stp>OPEN_INT</stp>
        <stp>.SPXW250509C5780</stp>
        <tr r="AU94" s="1"/>
        <tr r="AU94" s="1"/>
      </tp>
      <tp t="e">
        <v>#N/A</v>
        <stp/>
        <stp>OPEN_INT</stp>
        <stp>.SPXW250516C5670</stp>
        <tr r="AW105" s="1"/>
        <tr r="AW105" s="1"/>
      </tp>
      <tp t="e">
        <v>#N/A</v>
        <stp/>
        <stp>OPEN_INT</stp>
        <stp>.SPXW250502P5730</stp>
        <tr r="AT99" s="1"/>
        <tr r="AT99" s="1"/>
      </tp>
      <tp t="e">
        <v>#N/A</v>
        <stp/>
        <stp>OPEN_INT</stp>
        <stp>.SPXW250509P5780</stp>
        <tr r="AV94" s="1"/>
        <tr r="AV94" s="1"/>
      </tp>
      <tp t="e">
        <v>#N/A</v>
        <stp/>
        <stp>OPEN_INT</stp>
        <stp>.SPXW250516P5670</stp>
        <tr r="AX105" s="1"/>
        <tr r="AX105" s="1"/>
      </tp>
      <tp t="e">
        <v>#N/A</v>
        <stp/>
        <stp>OPEN_INT</stp>
        <stp>.SPXW250502C5720</stp>
        <tr r="AS100" s="1"/>
        <tr r="AS100" s="1"/>
      </tp>
      <tp t="e">
        <v>#N/A</v>
        <stp/>
        <stp>OPEN_INT</stp>
        <stp>.SPXW250509C5790</stp>
        <tr r="AU93" s="1"/>
        <tr r="AU93" s="1"/>
      </tp>
      <tp t="e">
        <v>#N/A</v>
        <stp/>
        <stp>OPEN_INT</stp>
        <stp>.SPXW250516C5660</stp>
        <tr r="AW106" s="1"/>
        <tr r="AW106" s="1"/>
      </tp>
      <tp t="e">
        <v>#N/A</v>
        <stp/>
        <stp>OPEN_INT</stp>
        <stp>.SPXW250502P5720</stp>
        <tr r="AT100" s="1"/>
        <tr r="AT100" s="1"/>
      </tp>
      <tp t="e">
        <v>#N/A</v>
        <stp/>
        <stp>OPEN_INT</stp>
        <stp>.SPXW250509P5790</stp>
        <tr r="AV93" s="1"/>
        <tr r="AV93" s="1"/>
      </tp>
      <tp t="e">
        <v>#N/A</v>
        <stp/>
        <stp>OPEN_INT</stp>
        <stp>.SPXW250516P5660</stp>
        <tr r="AX106" s="1"/>
        <tr r="AX106" s="1"/>
      </tp>
      <tp t="e">
        <v>#N/A</v>
        <stp/>
        <stp>OPEN_INT</stp>
        <stp>.SPXW250502C5710</stp>
        <tr r="AS101" s="1"/>
        <tr r="AS101" s="1"/>
      </tp>
      <tp t="e">
        <v>#N/A</v>
        <stp/>
        <stp>OPEN_INT</stp>
        <stp>.SPXW250516C5650</stp>
        <tr r="AW107" s="1"/>
        <tr r="AW107" s="1"/>
      </tp>
      <tp t="e">
        <v>#N/A</v>
        <stp/>
        <stp>OPEN_INT</stp>
        <stp>.SPXW250502P5710</stp>
        <tr r="AT101" s="1"/>
        <tr r="AT101" s="1"/>
      </tp>
      <tp t="e">
        <v>#N/A</v>
        <stp/>
        <stp>OPEN_INT</stp>
        <stp>.SPXW250516P5650</stp>
        <tr r="AX107" s="1"/>
        <tr r="AX107" s="1"/>
      </tp>
      <tp t="e">
        <v>#N/A</v>
        <stp/>
        <stp>OPEN_INT</stp>
        <stp>.SPXW250502C5700</stp>
        <tr r="AS102" s="1"/>
        <tr r="AS102" s="1"/>
      </tp>
      <tp t="e">
        <v>#N/A</v>
        <stp/>
        <stp>OPEN_INT</stp>
        <stp>.SPXW250516C5640</stp>
        <tr r="AW108" s="1"/>
        <tr r="AW108" s="1"/>
      </tp>
      <tp t="e">
        <v>#N/A</v>
        <stp/>
        <stp>OPEN_INT</stp>
        <stp>.SPXW250502P5700</stp>
        <tr r="AT102" s="1"/>
        <tr r="AT102" s="1"/>
      </tp>
      <tp t="e">
        <v>#N/A</v>
        <stp/>
        <stp>OPEN_INT</stp>
        <stp>.SPXW250516P5640</stp>
        <tr r="AX108" s="1"/>
        <tr r="AX108" s="1"/>
      </tp>
      <tp t="e">
        <v>#N/A</v>
        <stp/>
        <stp>OPEN_INT</stp>
        <stp>.SPXW250502C5770</stp>
        <tr r="AS95" s="1"/>
        <tr r="AS95" s="1"/>
      </tp>
      <tp t="e">
        <v>#N/A</v>
        <stp/>
        <stp>OPEN_INT</stp>
        <stp>.SPXW250516C5630</stp>
        <tr r="AW109" s="1"/>
        <tr r="AW109" s="1"/>
      </tp>
      <tp t="e">
        <v>#N/A</v>
        <stp/>
        <stp>OPEN_INT</stp>
        <stp>.SPXW250502P5770</stp>
        <tr r="AT95" s="1"/>
        <tr r="AT95" s="1"/>
      </tp>
      <tp t="e">
        <v>#N/A</v>
        <stp/>
        <stp>OPEN_INT</stp>
        <stp>.SPXW250516P5630</stp>
        <tr r="AX109" s="1"/>
        <tr r="AX109" s="1"/>
      </tp>
      <tp t="e">
        <v>#N/A</v>
        <stp/>
        <stp>OPEN_INT</stp>
        <stp>.SPXW250502C5760</stp>
        <tr r="AS96" s="1"/>
        <tr r="AS96" s="1"/>
      </tp>
      <tp t="e">
        <v>#N/A</v>
        <stp/>
        <stp>OPEN_INT</stp>
        <stp>.SPXW250516C5620</stp>
        <tr r="AW110" s="1"/>
        <tr r="AW110" s="1"/>
      </tp>
      <tp t="e">
        <v>#N/A</v>
        <stp/>
        <stp>OPEN_INT</stp>
        <stp>.SPXW250502P5760</stp>
        <tr r="AT96" s="1"/>
        <tr r="AT96" s="1"/>
      </tp>
      <tp t="e">
        <v>#N/A</v>
        <stp/>
        <stp>OPEN_INT</stp>
        <stp>.SPXW250516P5620</stp>
        <tr r="AX110" s="1"/>
        <tr r="AX110" s="1"/>
      </tp>
      <tp t="e">
        <v>#N/A</v>
        <stp/>
        <stp>OPEN_INT</stp>
        <stp>.SPXW250502C5750</stp>
        <tr r="AS97" s="1"/>
        <tr r="AS97" s="1"/>
      </tp>
      <tp t="e">
        <v>#N/A</v>
        <stp/>
        <stp>OPEN_INT</stp>
        <stp>.SPXW250516C5610</stp>
        <tr r="AW111" s="1"/>
        <tr r="AW111" s="1"/>
      </tp>
      <tp t="e">
        <v>#N/A</v>
        <stp/>
        <stp>OPEN_INT</stp>
        <stp>.SPXW250502P5750</stp>
        <tr r="AT97" s="1"/>
        <tr r="AT97" s="1"/>
      </tp>
      <tp t="e">
        <v>#N/A</v>
        <stp/>
        <stp>OPEN_INT</stp>
        <stp>.SPXW250516P5610</stp>
        <tr r="AX111" s="1"/>
        <tr r="AX111" s="1"/>
      </tp>
      <tp t="e">
        <v>#N/A</v>
        <stp/>
        <stp>OPEN_INT</stp>
        <stp>.SPXW250502C5740</stp>
        <tr r="AS98" s="1"/>
        <tr r="AS98" s="1"/>
      </tp>
      <tp t="e">
        <v>#N/A</v>
        <stp/>
        <stp>OPEN_INT</stp>
        <stp>.SPXW250516C5600</stp>
        <tr r="AW112" s="1"/>
        <tr r="AW112" s="1"/>
      </tp>
      <tp t="e">
        <v>#N/A</v>
        <stp/>
        <stp>OPEN_INT</stp>
        <stp>.SPXW250502P5740</stp>
        <tr r="AT98" s="1"/>
        <tr r="AT98" s="1"/>
      </tp>
      <tp t="e">
        <v>#N/A</v>
        <stp/>
        <stp>OPEN_INT</stp>
        <stp>.SPXW250516P5600</stp>
        <tr r="AX112" s="1"/>
        <tr r="AX112" s="1"/>
      </tp>
      <tp t="e">
        <v>#N/A</v>
        <stp/>
        <stp>OPEN_INT</stp>
        <stp>.SPXW250509C5700</stp>
        <tr r="AU102" s="1"/>
        <tr r="AU102" s="1"/>
      </tp>
      <tp t="e">
        <v>#N/A</v>
        <stp/>
        <stp>OPEN_INT</stp>
        <stp>.SPXW250509P5700</stp>
        <tr r="AV102" s="1"/>
        <tr r="AV102" s="1"/>
      </tp>
      <tp t="e">
        <v>#N/A</v>
        <stp/>
        <stp>OPEN_INT</stp>
        <stp>.SPXW250509C5710</stp>
        <tr r="AU101" s="1"/>
        <tr r="AU101" s="1"/>
      </tp>
      <tp t="e">
        <v>#N/A</v>
        <stp/>
        <stp>OPEN_INT</stp>
        <stp>.SPXW250509P5710</stp>
        <tr r="AV101" s="1"/>
        <tr r="AV101" s="1"/>
      </tp>
      <tp t="e">
        <v>#N/A</v>
        <stp/>
        <stp>OPEN_INT</stp>
        <stp>.SPXW250502C5790</stp>
        <tr r="AS93" s="1"/>
        <tr r="AS93" s="1"/>
      </tp>
      <tp t="e">
        <v>#N/A</v>
        <stp/>
        <stp>OPEN_INT</stp>
        <stp>.SPXW250509C5720</stp>
        <tr r="AU100" s="1"/>
      </tp>
      <tp t="e">
        <v>#N/A</v>
        <stp/>
        <stp>OPEN_INT</stp>
        <stp>.SPXW250502P5790</stp>
        <tr r="AT93" s="1"/>
        <tr r="AT93" s="1"/>
      </tp>
      <tp t="e">
        <v>#N/A</v>
        <stp/>
        <stp>OPEN_INT</stp>
        <stp>.SPXW250509P5720</stp>
        <tr r="AV100" s="1"/>
      </tp>
      <tp t="e">
        <v>#N/A</v>
        <stp/>
        <stp>OPEN_INT</stp>
        <stp>.SPXW250502C5780</stp>
        <tr r="AS94" s="1"/>
        <tr r="AS94" s="1"/>
      </tp>
      <tp t="e">
        <v>#N/A</v>
        <stp/>
        <stp>OPEN_INT</stp>
        <stp>.SPXW250509C5730</stp>
        <tr r="AU99" s="1"/>
        <tr r="AU99" s="1"/>
      </tp>
      <tp t="e">
        <v>#N/A</v>
        <stp/>
        <stp>OPEN_INT</stp>
        <stp>.SPXW250502P5780</stp>
        <tr r="AT94" s="1"/>
        <tr r="AT94" s="1"/>
      </tp>
      <tp t="e">
        <v>#N/A</v>
        <stp/>
        <stp>OPEN_INT</stp>
        <stp>.SPXW250509P5730</stp>
        <tr r="AV99" s="1"/>
        <tr r="AV99" s="1"/>
      </tp>
      <tp t="e">
        <v>#N/A</v>
        <stp/>
        <stp>OPEN_INT</stp>
        <stp>.SPXW250509C5740</stp>
        <tr r="AU98" s="1"/>
        <tr r="AU98" s="1"/>
      </tp>
      <tp t="e">
        <v>#N/A</v>
        <stp/>
        <stp>OPEN_INT</stp>
        <stp>.SPXW250509P5740</stp>
        <tr r="AV98" s="1"/>
        <tr r="AV98" s="1"/>
      </tp>
      <tp t="e">
        <v>#N/A</v>
        <stp/>
        <stp>OPEN_INT</stp>
        <stp>.SPXW250509C5750</stp>
        <tr r="AU97" s="1"/>
        <tr r="AU97" s="1"/>
      </tp>
      <tp t="e">
        <v>#N/A</v>
        <stp/>
        <stp>OPEN_INT</stp>
        <stp>.SPXW250509P5750</stp>
        <tr r="AV97" s="1"/>
        <tr r="AV97" s="1"/>
      </tp>
      <tp t="e">
        <v>#N/A</v>
        <stp/>
        <stp>OPEN_INT</stp>
        <stp>.SPXW250509C5760</stp>
        <tr r="AU96" s="1"/>
        <tr r="AU96" s="1"/>
      </tp>
      <tp t="e">
        <v>#N/A</v>
        <stp/>
        <stp>OPEN_INT</stp>
        <stp>.SPXW250516C5690</stp>
        <tr r="AW103" s="1"/>
        <tr r="AW103" s="1"/>
      </tp>
      <tp t="e">
        <v>#N/A</v>
        <stp/>
        <stp>OPEN_INT</stp>
        <stp>.SPXW250509P5760</stp>
        <tr r="AV96" s="1"/>
        <tr r="AV96" s="1"/>
      </tp>
      <tp t="e">
        <v>#N/A</v>
        <stp/>
        <stp>OPEN_INT</stp>
        <stp>.SPXW250516P5690</stp>
        <tr r="AX103" s="1"/>
        <tr r="AX103" s="1"/>
      </tp>
      <tp t="e">
        <v>#N/A</v>
        <stp/>
        <stp>OPEN_INT</stp>
        <stp>.SPXW250509C5770</stp>
        <tr r="AU95" s="1"/>
        <tr r="AU95" s="1"/>
      </tp>
      <tp t="e">
        <v>#N/A</v>
        <stp/>
        <stp>OPEN_INT</stp>
        <stp>.SPXW250516C5680</stp>
        <tr r="AW104" s="1"/>
        <tr r="AW104" s="1"/>
      </tp>
      <tp t="e">
        <v>#N/A</v>
        <stp/>
        <stp>OPEN_INT</stp>
        <stp>.SPXW250509P5770</stp>
        <tr r="AV95" s="1"/>
        <tr r="AV95" s="1"/>
      </tp>
      <tp t="e">
        <v>#N/A</v>
        <stp/>
        <stp>OPEN_INT</stp>
        <stp>.SPXW250516P5680</stp>
        <tr r="AX104" s="1"/>
        <tr r="AX104" s="1"/>
      </tp>
      <tp t="e">
        <v>#N/A</v>
        <stp/>
        <stp>OPEN_INT</stp>
        <stp>.SPXW250502C5630</stp>
        <tr r="AS109" s="1"/>
        <tr r="AS109" s="1"/>
      </tp>
      <tp t="e">
        <v>#N/A</v>
        <stp/>
        <stp>OPEN_INT</stp>
        <stp>.SPXW250509C5680</stp>
        <tr r="AU104" s="1"/>
        <tr r="AU104" s="1"/>
      </tp>
      <tp t="e">
        <v>#N/A</v>
        <stp/>
        <stp>OPEN_INT</stp>
        <stp>.SPXW250516C5770</stp>
        <tr r="AW95" s="1"/>
        <tr r="AW95" s="1"/>
      </tp>
      <tp t="e">
        <v>#N/A</v>
        <stp/>
        <stp>OPEN_INT</stp>
        <stp>.SPXW250502P5630</stp>
        <tr r="AT109" s="1"/>
        <tr r="AT109" s="1"/>
      </tp>
      <tp t="e">
        <v>#N/A</v>
        <stp/>
        <stp>OPEN_INT</stp>
        <stp>.SPXW250509P5680</stp>
        <tr r="AV104" s="1"/>
        <tr r="AV104" s="1"/>
      </tp>
      <tp t="e">
        <v>#N/A</v>
        <stp/>
        <stp>OPEN_INT</stp>
        <stp>.SPXW250516P5770</stp>
        <tr r="AX95" s="1"/>
        <tr r="AX95" s="1"/>
      </tp>
      <tp t="e">
        <v>#N/A</v>
        <stp/>
        <stp>OPEN_INT</stp>
        <stp>.SPXW250502C5620</stp>
        <tr r="AS110" s="1"/>
        <tr r="AS110" s="1"/>
      </tp>
      <tp t="e">
        <v>#N/A</v>
        <stp/>
        <stp>OPEN_INT</stp>
        <stp>.SPXW250509C5690</stp>
        <tr r="AU103" s="1"/>
        <tr r="AU103" s="1"/>
      </tp>
      <tp t="e">
        <v>#N/A</v>
        <stp/>
        <stp>OPEN_INT</stp>
        <stp>.SPXW250516C5760</stp>
        <tr r="AW96" s="1"/>
        <tr r="AW96" s="1"/>
      </tp>
      <tp t="e">
        <v>#N/A</v>
        <stp/>
        <stp>OPEN_INT</stp>
        <stp>.SPXW250502P5620</stp>
        <tr r="AT110" s="1"/>
        <tr r="AT110" s="1"/>
      </tp>
      <tp t="e">
        <v>#N/A</v>
        <stp/>
        <stp>OPEN_INT</stp>
        <stp>.SPXW250509P5690</stp>
        <tr r="AV103" s="1"/>
        <tr r="AV103" s="1"/>
      </tp>
      <tp t="e">
        <v>#N/A</v>
        <stp/>
        <stp>OPEN_INT</stp>
        <stp>.SPXW250516P5760</stp>
        <tr r="AX96" s="1"/>
        <tr r="AX96" s="1"/>
      </tp>
      <tp t="e">
        <v>#N/A</v>
        <stp/>
        <stp>OPEN_INT</stp>
        <stp>.SPXW250502C5610</stp>
        <tr r="AS111" s="1"/>
        <tr r="AS111" s="1"/>
      </tp>
      <tp t="e">
        <v>#N/A</v>
        <stp/>
        <stp>OPEN_INT</stp>
        <stp>.SPXW250516C5750</stp>
        <tr r="AW97" s="1"/>
        <tr r="AW97" s="1"/>
      </tp>
      <tp t="e">
        <v>#N/A</v>
        <stp/>
        <stp>OPEN_INT</stp>
        <stp>.SPXW250502P5610</stp>
        <tr r="AT111" s="1"/>
        <tr r="AT111" s="1"/>
      </tp>
      <tp t="e">
        <v>#N/A</v>
        <stp/>
        <stp>OPEN_INT</stp>
        <stp>.SPXW250516P5750</stp>
        <tr r="AX97" s="1"/>
        <tr r="AX97" s="1"/>
      </tp>
      <tp t="e">
        <v>#N/A</v>
        <stp/>
        <stp>OPEN_INT</stp>
        <stp>.SPXW250502C5600</stp>
        <tr r="AS112" s="1"/>
        <tr r="AS112" s="1"/>
      </tp>
      <tp t="e">
        <v>#N/A</v>
        <stp/>
        <stp>OPEN_INT</stp>
        <stp>.SPXW250516C5740</stp>
        <tr r="AW98" s="1"/>
        <tr r="AW98" s="1"/>
      </tp>
      <tp t="e">
        <v>#N/A</v>
        <stp/>
        <stp>OPEN_INT</stp>
        <stp>.SPXW250502P5600</stp>
        <tr r="AT112" s="1"/>
        <tr r="AT112" s="1"/>
      </tp>
      <tp t="e">
        <v>#N/A</v>
        <stp/>
        <stp>OPEN_INT</stp>
        <stp>.SPXW250516P5740</stp>
        <tr r="AX98" s="1"/>
        <tr r="AX98" s="1"/>
      </tp>
      <tp t="e">
        <v>#N/A</v>
        <stp/>
        <stp>OPEN_INT</stp>
        <stp>.SPXW250502C5670</stp>
        <tr r="AS105" s="1"/>
        <tr r="AS105" s="1"/>
      </tp>
      <tp t="e">
        <v>#N/A</v>
        <stp/>
        <stp>OPEN_INT</stp>
        <stp>.SPXW250516C5730</stp>
        <tr r="AW99" s="1"/>
        <tr r="AW99" s="1"/>
      </tp>
      <tp t="e">
        <v>#N/A</v>
        <stp/>
        <stp>OPEN_INT</stp>
        <stp>.SPXW250502P5670</stp>
        <tr r="AT105" s="1"/>
        <tr r="AT105" s="1"/>
      </tp>
      <tp t="e">
        <v>#N/A</v>
        <stp/>
        <stp>OPEN_INT</stp>
        <stp>.SPXW250516P5730</stp>
        <tr r="AX99" s="1"/>
        <tr r="AX99" s="1"/>
      </tp>
      <tp t="e">
        <v>#N/A</v>
        <stp/>
        <stp>OPEN_INT</stp>
        <stp>.SPXW250502C5660</stp>
        <tr r="AS106" s="1"/>
        <tr r="AS106" s="1"/>
      </tp>
      <tp t="e">
        <v>#N/A</v>
        <stp/>
        <stp>OPEN_INT</stp>
        <stp>.SPXW250516C5720</stp>
        <tr r="AW100" s="1"/>
        <tr r="AW100" s="1"/>
      </tp>
      <tp t="e">
        <v>#N/A</v>
        <stp/>
        <stp>OPEN_INT</stp>
        <stp>.SPXW250502P5660</stp>
        <tr r="AT106" s="1"/>
        <tr r="AT106" s="1"/>
      </tp>
      <tp t="e">
        <v>#N/A</v>
        <stp/>
        <stp>OPEN_INT</stp>
        <stp>.SPXW250516P5720</stp>
        <tr r="AX100" s="1"/>
        <tr r="AX100" s="1"/>
      </tp>
      <tp t="e">
        <v>#N/A</v>
        <stp/>
        <stp>OPEN_INT</stp>
        <stp>.SPXW250502C5650</stp>
        <tr r="AS107" s="1"/>
        <tr r="AS107" s="1"/>
      </tp>
      <tp t="e">
        <v>#N/A</v>
        <stp/>
        <stp>OPEN_INT</stp>
        <stp>.SPXW250516C5710</stp>
        <tr r="AW101" s="1"/>
        <tr r="AW101" s="1"/>
      </tp>
      <tp t="e">
        <v>#N/A</v>
        <stp/>
        <stp>OPEN_INT</stp>
        <stp>.SPXW250502P5650</stp>
        <tr r="AT107" s="1"/>
        <tr r="AT107" s="1"/>
      </tp>
      <tp t="e">
        <v>#N/A</v>
        <stp/>
        <stp>OPEN_INT</stp>
        <stp>.SPXW250516P5710</stp>
        <tr r="AX101" s="1"/>
        <tr r="AX101" s="1"/>
      </tp>
      <tp t="e">
        <v>#N/A</v>
        <stp/>
        <stp>OPEN_INT</stp>
        <stp>.SPXW250502C5640</stp>
        <tr r="AS108" s="1"/>
        <tr r="AS108" s="1"/>
      </tp>
      <tp t="e">
        <v>#N/A</v>
        <stp/>
        <stp>OPEN_INT</stp>
        <stp>.SPXW250516C5700</stp>
        <tr r="AW102" s="1"/>
        <tr r="AW102" s="1"/>
      </tp>
      <tp t="e">
        <v>#N/A</v>
        <stp/>
        <stp>OPEN_INT</stp>
        <stp>.SPXW250502P5640</stp>
        <tr r="AT108" s="1"/>
        <tr r="AT108" s="1"/>
      </tp>
      <tp t="e">
        <v>#N/A</v>
        <stp/>
        <stp>OPEN_INT</stp>
        <stp>.SPXW250516P5700</stp>
        <tr r="AX102" s="1"/>
        <tr r="AX102" s="1"/>
      </tp>
      <tp t="e">
        <v>#N/A</v>
        <stp/>
        <stp>OPEN_INT</stp>
        <stp>.SPXW250509C5600</stp>
        <tr r="AU112" s="1"/>
        <tr r="AU112" s="1"/>
      </tp>
      <tp t="e">
        <v>#N/A</v>
        <stp/>
        <stp>OPEN_INT</stp>
        <stp>.SPXW250509P5600</stp>
        <tr r="AV112" s="1"/>
        <tr r="AV112" s="1"/>
      </tp>
      <tp t="e">
        <v>#N/A</v>
        <stp/>
        <stp>OPEN_INT</stp>
        <stp>.SPXW250509C5610</stp>
        <tr r="AU111" s="1"/>
        <tr r="AU111" s="1"/>
      </tp>
      <tp t="e">
        <v>#N/A</v>
        <stp/>
        <stp>OPEN_INT</stp>
        <stp>.SPXW250509P5610</stp>
        <tr r="AV111" s="1"/>
        <tr r="AV111" s="1"/>
      </tp>
      <tp t="e">
        <v>#N/A</v>
        <stp/>
        <stp>OPEN_INT</stp>
        <stp>.SPXW250502C5690</stp>
        <tr r="AS103" s="1"/>
        <tr r="AS103" s="1"/>
      </tp>
      <tp t="e">
        <v>#N/A</v>
        <stp/>
        <stp>OPEN_INT</stp>
        <stp>.SPXW250509C5620</stp>
        <tr r="AU110" s="1"/>
        <tr r="AU110" s="1"/>
      </tp>
      <tp t="e">
        <v>#N/A</v>
        <stp/>
        <stp>OPEN_INT</stp>
        <stp>.SPXW250502P5690</stp>
        <tr r="AT103" s="1"/>
        <tr r="AT103" s="1"/>
      </tp>
      <tp t="e">
        <v>#N/A</v>
        <stp/>
        <stp>OPEN_INT</stp>
        <stp>.SPXW250509P5620</stp>
        <tr r="AV110" s="1"/>
        <tr r="AV110" s="1"/>
      </tp>
      <tp t="e">
        <v>#N/A</v>
        <stp/>
        <stp>OPEN_INT</stp>
        <stp>.SPXW250502C5680</stp>
        <tr r="AS104" s="1"/>
        <tr r="AS104" s="1"/>
      </tp>
      <tp t="e">
        <v>#N/A</v>
        <stp/>
        <stp>OPEN_INT</stp>
        <stp>.SPXW250509C5630</stp>
        <tr r="AU109" s="1"/>
        <tr r="AU109" s="1"/>
      </tp>
      <tp t="e">
        <v>#N/A</v>
        <stp/>
        <stp>OPEN_INT</stp>
        <stp>.SPXW250502P5680</stp>
        <tr r="AT104" s="1"/>
        <tr r="AT104" s="1"/>
      </tp>
      <tp t="e">
        <v>#N/A</v>
        <stp/>
        <stp>OPEN_INT</stp>
        <stp>.SPXW250509P5630</stp>
        <tr r="AV109" s="1"/>
        <tr r="AV109" s="1"/>
      </tp>
      <tp t="e">
        <v>#N/A</v>
        <stp/>
        <stp>OPEN_INT</stp>
        <stp>.SPXW250509C5640</stp>
        <tr r="AU108" s="1"/>
        <tr r="AU108" s="1"/>
      </tp>
      <tp t="e">
        <v>#N/A</v>
        <stp/>
        <stp>OPEN_INT</stp>
        <stp>.SPXW250509P5640</stp>
        <tr r="AV108" s="1"/>
        <tr r="AV108" s="1"/>
      </tp>
      <tp t="e">
        <v>#N/A</v>
        <stp/>
        <stp>OPEN_INT</stp>
        <stp>.SPXW250509C5650</stp>
        <tr r="AU107" s="1"/>
        <tr r="AU107" s="1"/>
      </tp>
      <tp t="e">
        <v>#N/A</v>
        <stp/>
        <stp>OPEN_INT</stp>
        <stp>.SPXW250509P5650</stp>
        <tr r="AV107" s="1"/>
        <tr r="AV107" s="1"/>
      </tp>
      <tp t="e">
        <v>#N/A</v>
        <stp/>
        <stp>OPEN_INT</stp>
        <stp>.SPXW250509C5660</stp>
        <tr r="AU106" s="1"/>
        <tr r="AU106" s="1"/>
      </tp>
      <tp t="e">
        <v>#N/A</v>
        <stp/>
        <stp>OPEN_INT</stp>
        <stp>.SPXW250516C5790</stp>
        <tr r="AW93" s="1"/>
        <tr r="AW93" s="1"/>
      </tp>
      <tp t="e">
        <v>#N/A</v>
        <stp/>
        <stp>OPEN_INT</stp>
        <stp>.SPXW250509P5660</stp>
        <tr r="AV106" s="1"/>
        <tr r="AV106" s="1"/>
      </tp>
      <tp t="e">
        <v>#N/A</v>
        <stp/>
        <stp>OPEN_INT</stp>
        <stp>.SPXW250516P5790</stp>
        <tr r="AX93" s="1"/>
        <tr r="AX93" s="1"/>
      </tp>
      <tp t="e">
        <v>#N/A</v>
        <stp/>
        <stp>OPEN_INT</stp>
        <stp>.SPXW250509C5670</stp>
        <tr r="AU105" s="1"/>
        <tr r="AU105" s="1"/>
      </tp>
      <tp t="e">
        <v>#N/A</v>
        <stp/>
        <stp>OPEN_INT</stp>
        <stp>.SPXW250516C5780</stp>
        <tr r="AW94" s="1"/>
        <tr r="AW94" s="1"/>
      </tp>
      <tp t="e">
        <v>#N/A</v>
        <stp/>
        <stp>OPEN_INT</stp>
        <stp>.SPXW250509P5670</stp>
        <tr r="AV105" s="1"/>
        <tr r="AV105" s="1"/>
      </tp>
      <tp t="e">
        <v>#N/A</v>
        <stp/>
        <stp>OPEN_INT</stp>
        <stp>.SPXW250516P5780</stp>
        <tr r="AX94" s="1"/>
        <tr r="AX94" s="1"/>
      </tp>
      <tp t="e">
        <v>#N/A</v>
        <stp/>
        <stp>OPEN_INT</stp>
        <stp>.SPXW250502C5530</stp>
        <tr r="AS119" s="1"/>
        <tr r="AS119" s="1"/>
      </tp>
      <tp t="e">
        <v>#N/A</v>
        <stp/>
        <stp>OPEN_INT</stp>
        <stp>.SPXW250509C5580</stp>
        <tr r="AU114" s="1"/>
        <tr r="AU114" s="1"/>
      </tp>
      <tp t="e">
        <v>#N/A</v>
        <stp/>
        <stp>OPEN_INT</stp>
        <stp>.SPXW250516C5470</stp>
        <tr r="AW125" s="1"/>
        <tr r="AW125" s="1"/>
      </tp>
      <tp t="e">
        <v>#N/A</v>
        <stp/>
        <stp>OPEN_INT</stp>
        <stp>.SPXW250502P5530</stp>
        <tr r="AT119" s="1"/>
        <tr r="AT119" s="1"/>
      </tp>
      <tp t="e">
        <v>#N/A</v>
        <stp/>
        <stp>OPEN_INT</stp>
        <stp>.SPXW250509P5580</stp>
        <tr r="AV114" s="1"/>
        <tr r="AV114" s="1"/>
      </tp>
      <tp t="e">
        <v>#N/A</v>
        <stp/>
        <stp>OPEN_INT</stp>
        <stp>.SPXW250516P5470</stp>
        <tr r="AX125" s="1"/>
        <tr r="AX125" s="1"/>
      </tp>
      <tp t="e">
        <v>#N/A</v>
        <stp/>
        <stp>OPEN_INT</stp>
        <stp>.SPXW250502C5520</stp>
        <tr r="AS120" s="1"/>
        <tr r="AS120" s="1"/>
      </tp>
      <tp t="e">
        <v>#N/A</v>
        <stp/>
        <stp>OPEN_INT</stp>
        <stp>.SPXW250509C5590</stp>
        <tr r="AU113" s="1"/>
        <tr r="AU113" s="1"/>
      </tp>
      <tp t="e">
        <v>#N/A</v>
        <stp/>
        <stp>OPEN_INT</stp>
        <stp>.SPXW250516C5460</stp>
        <tr r="AW126" s="1"/>
        <tr r="AW126" s="1"/>
      </tp>
      <tp t="e">
        <v>#N/A</v>
        <stp/>
        <stp>OPEN_INT</stp>
        <stp>.SPXW250502P5520</stp>
        <tr r="AT120" s="1"/>
        <tr r="AT120" s="1"/>
      </tp>
      <tp t="e">
        <v>#N/A</v>
        <stp/>
        <stp>OPEN_INT</stp>
        <stp>.SPXW250509P5590</stp>
        <tr r="AV113" s="1"/>
        <tr r="AV113" s="1"/>
      </tp>
      <tp t="e">
        <v>#N/A</v>
        <stp/>
        <stp>OPEN_INT</stp>
        <stp>.SPXW250516P5460</stp>
        <tr r="AX126" s="1"/>
        <tr r="AX126" s="1"/>
      </tp>
      <tp t="e">
        <v>#N/A</v>
        <stp/>
        <stp>OPEN_INT</stp>
        <stp>.SPXW250502C5510</stp>
        <tr r="AS121" s="1"/>
        <tr r="AS121" s="1"/>
      </tp>
      <tp t="e">
        <v>#N/A</v>
        <stp/>
        <stp>OPEN_INT</stp>
        <stp>.SPXW250516C5450</stp>
        <tr r="AW127" s="1"/>
        <tr r="AW127" s="1"/>
      </tp>
      <tp t="e">
        <v>#N/A</v>
        <stp/>
        <stp>OPEN_INT</stp>
        <stp>.SPXW250502P5510</stp>
        <tr r="AT121" s="1"/>
        <tr r="AT121" s="1"/>
      </tp>
      <tp t="e">
        <v>#N/A</v>
        <stp/>
        <stp>OPEN_INT</stp>
        <stp>.SPXW250516P5450</stp>
        <tr r="AX127" s="1"/>
        <tr r="AX127" s="1"/>
      </tp>
      <tp t="e">
        <v>#N/A</v>
        <stp/>
        <stp>OPEN_INT</stp>
        <stp>.SPXW250502C5500</stp>
        <tr r="AS122" s="1"/>
        <tr r="AS122" s="1"/>
      </tp>
      <tp t="e">
        <v>#N/A</v>
        <stp/>
        <stp>OPEN_INT</stp>
        <stp>.SPXW250516C5440</stp>
        <tr r="AW128" s="1"/>
        <tr r="AW128" s="1"/>
      </tp>
      <tp t="e">
        <v>#N/A</v>
        <stp/>
        <stp>OPEN_INT</stp>
        <stp>.SPXW250502P5500</stp>
        <tr r="AT122" s="1"/>
        <tr r="AT122" s="1"/>
      </tp>
      <tp t="e">
        <v>#N/A</v>
        <stp/>
        <stp>OPEN_INT</stp>
        <stp>.SPXW250516P5440</stp>
        <tr r="AX128" s="1"/>
        <tr r="AX128" s="1"/>
      </tp>
      <tp t="e">
        <v>#N/A</v>
        <stp/>
        <stp>OPEN_INT</stp>
        <stp>.SPXW250502C5570</stp>
        <tr r="AS115" s="1"/>
        <tr r="AS115" s="1"/>
      </tp>
      <tp t="e">
        <v>#N/A</v>
        <stp/>
        <stp>OPEN_INT</stp>
        <stp>.SPXW250516C5430</stp>
        <tr r="AW129" s="1"/>
        <tr r="AW129" s="1"/>
      </tp>
      <tp t="e">
        <v>#N/A</v>
        <stp/>
        <stp>OPEN_INT</stp>
        <stp>.SPXW250502P5570</stp>
        <tr r="AT115" s="1"/>
        <tr r="AT115" s="1"/>
      </tp>
      <tp t="e">
        <v>#N/A</v>
        <stp/>
        <stp>OPEN_INT</stp>
        <stp>.SPXW250516P5430</stp>
        <tr r="AX129" s="1"/>
        <tr r="AX129" s="1"/>
      </tp>
      <tp t="e">
        <v>#N/A</v>
        <stp/>
        <stp>OPEN_INT</stp>
        <stp>.SPXW250502C5560</stp>
        <tr r="AS116" s="1"/>
        <tr r="AS116" s="1"/>
      </tp>
      <tp t="e">
        <v>#N/A</v>
        <stp/>
        <stp>OPEN_INT</stp>
        <stp>.SPXW250516C5420</stp>
        <tr r="AW130" s="1"/>
        <tr r="AW130" s="1"/>
      </tp>
      <tp t="e">
        <v>#N/A</v>
        <stp/>
        <stp>OPEN_INT</stp>
        <stp>.SPXW250502P5560</stp>
        <tr r="AT116" s="1"/>
        <tr r="AT116" s="1"/>
      </tp>
      <tp t="e">
        <v>#N/A</v>
        <stp/>
        <stp>OPEN_INT</stp>
        <stp>.SPXW250516P5420</stp>
        <tr r="AX130" s="1"/>
        <tr r="AX130" s="1"/>
      </tp>
      <tp t="e">
        <v>#N/A</v>
        <stp/>
        <stp>OPEN_INT</stp>
        <stp>.SPXW250502C5550</stp>
        <tr r="AS117" s="1"/>
        <tr r="AS117" s="1"/>
      </tp>
      <tp t="e">
        <v>#N/A</v>
        <stp/>
        <stp>OPEN_INT</stp>
        <stp>.SPXW250502P5550</stp>
        <tr r="AT117" s="1"/>
        <tr r="AT117" s="1"/>
      </tp>
      <tp t="e">
        <v>#N/A</v>
        <stp/>
        <stp>OPEN_INT</stp>
        <stp>.SPXW250502C5540</stp>
        <tr r="AS118" s="1"/>
        <tr r="AS118" s="1"/>
      </tp>
      <tp t="e">
        <v>#N/A</v>
        <stp/>
        <stp>OPEN_INT</stp>
        <stp>.SPXW250502P5540</stp>
        <tr r="AT118" s="1"/>
        <tr r="AT118" s="1"/>
      </tp>
      <tp t="e">
        <v>#N/A</v>
        <stp/>
        <stp>OPEN_INT</stp>
        <stp>.SPXW250509C5500</stp>
        <tr r="AU122" s="1"/>
        <tr r="AU122" s="1"/>
      </tp>
      <tp t="e">
        <v>#N/A</v>
        <stp/>
        <stp>OPEN_INT</stp>
        <stp>.SPXW250509P5500</stp>
        <tr r="AV122" s="1"/>
        <tr r="AV122" s="1"/>
      </tp>
      <tp t="e">
        <v>#N/A</v>
        <stp/>
        <stp>OPEN_INT</stp>
        <stp>.SPXW250509C5510</stp>
        <tr r="AU121" s="1"/>
        <tr r="AU121" s="1"/>
      </tp>
      <tp t="e">
        <v>#N/A</v>
        <stp/>
        <stp>OPEN_INT</stp>
        <stp>.SPXW250509P5510</stp>
        <tr r="AV121" s="1"/>
        <tr r="AV121" s="1"/>
      </tp>
      <tp t="e">
        <v>#N/A</v>
        <stp/>
        <stp>OPEN_INT</stp>
        <stp>.SPXW250502C5590</stp>
        <tr r="AS113" s="1"/>
        <tr r="AS113" s="1"/>
      </tp>
      <tp t="e">
        <v>#N/A</v>
        <stp/>
        <stp>OPEN_INT</stp>
        <stp>.SPXW250509C5520</stp>
        <tr r="AU120" s="1"/>
        <tr r="AU120" s="1"/>
      </tp>
      <tp t="e">
        <v>#N/A</v>
        <stp/>
        <stp>OPEN_INT</stp>
        <stp>.SPXW250502P5590</stp>
        <tr r="AT113" s="1"/>
        <tr r="AT113" s="1"/>
      </tp>
      <tp t="e">
        <v>#N/A</v>
        <stp/>
        <stp>OPEN_INT</stp>
        <stp>.SPXW250509P5520</stp>
        <tr r="AV120" s="1"/>
        <tr r="AV120" s="1"/>
      </tp>
      <tp t="e">
        <v>#N/A</v>
        <stp/>
        <stp>OPEN_INT</stp>
        <stp>.SPXW250502C5580</stp>
        <tr r="AS114" s="1"/>
        <tr r="AS114" s="1"/>
      </tp>
      <tp t="e">
        <v>#N/A</v>
        <stp/>
        <stp>OPEN_INT</stp>
        <stp>.SPXW250509C5530</stp>
        <tr r="AU119" s="1"/>
        <tr r="AU119" s="1"/>
      </tp>
      <tp t="e">
        <v>#N/A</v>
        <stp/>
        <stp>OPEN_INT</stp>
        <stp>.SPXW250502P5580</stp>
        <tr r="AT114" s="1"/>
        <tr r="AT114" s="1"/>
      </tp>
      <tp t="e">
        <v>#N/A</v>
        <stp/>
        <stp>OPEN_INT</stp>
        <stp>.SPXW250509P5530</stp>
        <tr r="AV119" s="1"/>
        <tr r="AV119" s="1"/>
      </tp>
      <tp t="e">
        <v>#N/A</v>
        <stp/>
        <stp>OPEN_INT</stp>
        <stp>.SPXW250509C5540</stp>
        <tr r="AU118" s="1"/>
        <tr r="AU118" s="1"/>
      </tp>
      <tp t="e">
        <v>#N/A</v>
        <stp/>
        <stp>OPEN_INT</stp>
        <stp>.SPXW250509P5540</stp>
        <tr r="AV118" s="1"/>
        <tr r="AV118" s="1"/>
      </tp>
      <tp t="e">
        <v>#N/A</v>
        <stp/>
        <stp>OPEN_INT</stp>
        <stp>.SPXW250509C5550</stp>
        <tr r="AU117" s="1"/>
        <tr r="AU117" s="1"/>
      </tp>
      <tp t="e">
        <v>#N/A</v>
        <stp/>
        <stp>OPEN_INT</stp>
        <stp>.SPXW250509P5550</stp>
        <tr r="AV117" s="1"/>
        <tr r="AV117" s="1"/>
      </tp>
      <tp t="e">
        <v>#N/A</v>
        <stp/>
        <stp>OPEN_INT</stp>
        <stp>.SPXW250509C5560</stp>
        <tr r="AU116" s="1"/>
        <tr r="AU116" s="1"/>
      </tp>
      <tp t="e">
        <v>#N/A</v>
        <stp/>
        <stp>OPEN_INT</stp>
        <stp>.SPXW250516C5490</stp>
        <tr r="AW123" s="1"/>
        <tr r="AW123" s="1"/>
      </tp>
      <tp t="e">
        <v>#N/A</v>
        <stp/>
        <stp>OPEN_INT</stp>
        <stp>.SPXW250509P5560</stp>
        <tr r="AV116" s="1"/>
        <tr r="AV116" s="1"/>
      </tp>
      <tp t="e">
        <v>#N/A</v>
        <stp/>
        <stp>OPEN_INT</stp>
        <stp>.SPXW250516P5490</stp>
        <tr r="AX123" s="1"/>
        <tr r="AX123" s="1"/>
      </tp>
      <tp t="e">
        <v>#N/A</v>
        <stp/>
        <stp>OPEN_INT</stp>
        <stp>.SPXW250509C5570</stp>
        <tr r="AU115" s="1"/>
        <tr r="AU115" s="1"/>
      </tp>
      <tp t="e">
        <v>#N/A</v>
        <stp/>
        <stp>OPEN_INT</stp>
        <stp>.SPXW250516C5480</stp>
        <tr r="AW124" s="1"/>
        <tr r="AW124" s="1"/>
      </tp>
      <tp t="e">
        <v>#N/A</v>
        <stp/>
        <stp>OPEN_INT</stp>
        <stp>.SPXW250509P5570</stp>
        <tr r="AV115" s="1"/>
        <tr r="AV115" s="1"/>
      </tp>
      <tp t="e">
        <v>#N/A</v>
        <stp/>
        <stp>OPEN_INT</stp>
        <stp>.SPXW250516P5480</stp>
        <tr r="AX124" s="1"/>
        <tr r="AX124" s="1"/>
      </tp>
      <tp t="e">
        <v>#N/A</v>
        <stp/>
        <stp>OPEN_INT</stp>
        <stp>.SPXW250502C5430</stp>
        <tr r="AS129" s="1"/>
        <tr r="AS129" s="1"/>
      </tp>
      <tp t="e">
        <v>#N/A</v>
        <stp/>
        <stp>OPEN_INT</stp>
        <stp>.SPXW250509C5480</stp>
        <tr r="AU124" s="1"/>
        <tr r="AU124" s="1"/>
      </tp>
      <tp t="e">
        <v>#N/A</v>
        <stp/>
        <stp>OPEN_INT</stp>
        <stp>.SPXW250516C5570</stp>
        <tr r="AW115" s="1"/>
        <tr r="AW115" s="1"/>
      </tp>
      <tp t="e">
        <v>#N/A</v>
        <stp/>
        <stp>OPEN_INT</stp>
        <stp>.SPXW250502P5430</stp>
        <tr r="AT129" s="1"/>
        <tr r="AT129" s="1"/>
      </tp>
      <tp t="e">
        <v>#N/A</v>
        <stp/>
        <stp>OPEN_INT</stp>
        <stp>.SPXW250509P5480</stp>
        <tr r="AV124" s="1"/>
        <tr r="AV124" s="1"/>
      </tp>
      <tp t="e">
        <v>#N/A</v>
        <stp/>
        <stp>OPEN_INT</stp>
        <stp>.SPXW250516P5570</stp>
        <tr r="AX115" s="1"/>
        <tr r="AX115" s="1"/>
      </tp>
      <tp t="e">
        <v>#N/A</v>
        <stp/>
        <stp>OPEN_INT</stp>
        <stp>.SPXW250502C5420</stp>
        <tr r="AS130" s="1"/>
        <tr r="AS130" s="1"/>
      </tp>
      <tp t="e">
        <v>#N/A</v>
        <stp/>
        <stp>OPEN_INT</stp>
        <stp>.SPXW250509C5490</stp>
        <tr r="AU123" s="1"/>
        <tr r="AU123" s="1"/>
      </tp>
      <tp t="e">
        <v>#N/A</v>
        <stp/>
        <stp>OPEN_INT</stp>
        <stp>.SPXW250516C5560</stp>
        <tr r="AW116" s="1"/>
        <tr r="AW116" s="1"/>
      </tp>
      <tp t="e">
        <v>#N/A</v>
        <stp/>
        <stp>OPEN_INT</stp>
        <stp>.SPXW250502P5420</stp>
        <tr r="AT130" s="1"/>
        <tr r="AT130" s="1"/>
      </tp>
      <tp t="e">
        <v>#N/A</v>
        <stp/>
        <stp>OPEN_INT</stp>
        <stp>.SPXW250509P5490</stp>
        <tr r="AV123" s="1"/>
        <tr r="AV123" s="1"/>
      </tp>
      <tp t="e">
        <v>#N/A</v>
        <stp/>
        <stp>OPEN_INT</stp>
        <stp>.SPXW250516P5560</stp>
        <tr r="AX116" s="1"/>
        <tr r="AX116" s="1"/>
      </tp>
      <tp t="e">
        <v>#N/A</v>
        <stp/>
        <stp>OPEN_INT</stp>
        <stp>.SPXW250516C5550</stp>
        <tr r="AW117" s="1"/>
        <tr r="AW117" s="1"/>
      </tp>
      <tp t="e">
        <v>#N/A</v>
        <stp/>
        <stp>OPEN_INT</stp>
        <stp>.SPXW250516P5550</stp>
        <tr r="AX117" s="1"/>
        <tr r="AX117" s="1"/>
      </tp>
      <tp t="e">
        <v>#N/A</v>
        <stp/>
        <stp>OPEN_INT</stp>
        <stp>.SPXW250516C5540</stp>
        <tr r="AW118" s="1"/>
        <tr r="AW118" s="1"/>
      </tp>
      <tp t="e">
        <v>#N/A</v>
        <stp/>
        <stp>OPEN_INT</stp>
        <stp>.SPXW250516P5540</stp>
        <tr r="AX118" s="1"/>
        <tr r="AX118" s="1"/>
      </tp>
      <tp t="e">
        <v>#N/A</v>
        <stp/>
        <stp>OPEN_INT</stp>
        <stp>.SPXW250502C5470</stp>
        <tr r="AS125" s="1"/>
        <tr r="AS125" s="1"/>
      </tp>
      <tp t="e">
        <v>#N/A</v>
        <stp/>
        <stp>OPEN_INT</stp>
        <stp>.SPXW250516C5530</stp>
        <tr r="AW119" s="1"/>
        <tr r="AW119" s="1"/>
      </tp>
      <tp t="e">
        <v>#N/A</v>
        <stp/>
        <stp>OPEN_INT</stp>
        <stp>.SPXW250502P5470</stp>
        <tr r="AT125" s="1"/>
        <tr r="AT125" s="1"/>
      </tp>
      <tp t="e">
        <v>#N/A</v>
        <stp/>
        <stp>OPEN_INT</stp>
        <stp>.SPXW250516P5530</stp>
        <tr r="AX119" s="1"/>
        <tr r="AX119" s="1"/>
      </tp>
      <tp t="e">
        <v>#N/A</v>
        <stp/>
        <stp>OPEN_INT</stp>
        <stp>.SPXW250502C5460</stp>
        <tr r="AS126" s="1"/>
        <tr r="AS126" s="1"/>
      </tp>
      <tp t="e">
        <v>#N/A</v>
        <stp/>
        <stp>OPEN_INT</stp>
        <stp>.SPXW250516C5520</stp>
        <tr r="AW120" s="1"/>
        <tr r="AW120" s="1"/>
      </tp>
      <tp t="e">
        <v>#N/A</v>
        <stp/>
        <stp>OPEN_INT</stp>
        <stp>.SPXW250502P5460</stp>
        <tr r="AT126" s="1"/>
        <tr r="AT126" s="1"/>
      </tp>
      <tp t="e">
        <v>#N/A</v>
        <stp/>
        <stp>OPEN_INT</stp>
        <stp>.SPXW250516P5520</stp>
        <tr r="AX120" s="1"/>
        <tr r="AX120" s="1"/>
      </tp>
      <tp t="e">
        <v>#N/A</v>
        <stp/>
        <stp>OPEN_INT</stp>
        <stp>.SPXW250502C5450</stp>
        <tr r="AS127" s="1"/>
        <tr r="AS127" s="1"/>
      </tp>
      <tp t="e">
        <v>#N/A</v>
        <stp/>
        <stp>OPEN_INT</stp>
        <stp>.SPXW250516C5510</stp>
        <tr r="AW121" s="1"/>
        <tr r="AW121" s="1"/>
      </tp>
      <tp t="e">
        <v>#N/A</v>
        <stp/>
        <stp>OPEN_INT</stp>
        <stp>.SPXW250502P5450</stp>
        <tr r="AT127" s="1"/>
        <tr r="AT127" s="1"/>
      </tp>
      <tp t="e">
        <v>#N/A</v>
        <stp/>
        <stp>OPEN_INT</stp>
        <stp>.SPXW250516P5510</stp>
        <tr r="AX121" s="1"/>
        <tr r="AX121" s="1"/>
      </tp>
      <tp t="e">
        <v>#N/A</v>
        <stp/>
        <stp>OPEN_INT</stp>
        <stp>.SPXW250502C5440</stp>
        <tr r="AS128" s="1"/>
        <tr r="AS128" s="1"/>
      </tp>
      <tp t="e">
        <v>#N/A</v>
        <stp/>
        <stp>OPEN_INT</stp>
        <stp>.SPXW250516C5500</stp>
        <tr r="AW122" s="1"/>
        <tr r="AW122" s="1"/>
      </tp>
      <tp t="e">
        <v>#N/A</v>
        <stp/>
        <stp>OPEN_INT</stp>
        <stp>.SPXW250502P5440</stp>
        <tr r="AT128" s="1"/>
        <tr r="AT128" s="1"/>
      </tp>
      <tp t="e">
        <v>#N/A</v>
        <stp/>
        <stp>OPEN_INT</stp>
        <stp>.SPXW250516P5500</stp>
        <tr r="AX122" s="1"/>
        <tr r="AX122" s="1"/>
      </tp>
      <tp t="e">
        <v>#N/A</v>
        <stp/>
        <stp>OPEN_INT</stp>
        <stp>.SPXW250502C5490</stp>
        <tr r="AS123" s="1"/>
        <tr r="AS123" s="1"/>
      </tp>
      <tp t="e">
        <v>#N/A</v>
        <stp/>
        <stp>OPEN_INT</stp>
        <stp>.SPXW250509C5420</stp>
        <tr r="AU130" s="1"/>
        <tr r="AU130" s="1"/>
      </tp>
      <tp t="e">
        <v>#N/A</v>
        <stp/>
        <stp>OPEN_INT</stp>
        <stp>.SPXW250502P5490</stp>
        <tr r="AT123" s="1"/>
        <tr r="AT123" s="1"/>
      </tp>
      <tp t="e">
        <v>#N/A</v>
        <stp/>
        <stp>OPEN_INT</stp>
        <stp>.SPXW250509P5420</stp>
        <tr r="AV130" s="1"/>
        <tr r="AV130" s="1"/>
      </tp>
      <tp t="e">
        <v>#N/A</v>
        <stp/>
        <stp>OPEN_INT</stp>
        <stp>.SPXW250502C5480</stp>
        <tr r="AS124" s="1"/>
        <tr r="AS124" s="1"/>
      </tp>
      <tp t="e">
        <v>#N/A</v>
        <stp/>
        <stp>OPEN_INT</stp>
        <stp>.SPXW250509C5430</stp>
        <tr r="AU129" s="1"/>
        <tr r="AU129" s="1"/>
      </tp>
      <tp t="e">
        <v>#N/A</v>
        <stp/>
        <stp>OPEN_INT</stp>
        <stp>.SPXW250502P5480</stp>
        <tr r="AT124" s="1"/>
        <tr r="AT124" s="1"/>
      </tp>
      <tp t="e">
        <v>#N/A</v>
        <stp/>
        <stp>OPEN_INT</stp>
        <stp>.SPXW250509P5430</stp>
        <tr r="AV129" s="1"/>
        <tr r="AV129" s="1"/>
      </tp>
      <tp t="e">
        <v>#N/A</v>
        <stp/>
        <stp>OPEN_INT</stp>
        <stp>.SPXW250509C5440</stp>
        <tr r="AU128" s="1"/>
        <tr r="AU128" s="1"/>
      </tp>
      <tp t="e">
        <v>#N/A</v>
        <stp/>
        <stp>OPEN_INT</stp>
        <stp>.SPXW250509P5440</stp>
        <tr r="AV128" s="1"/>
        <tr r="AV128" s="1"/>
      </tp>
      <tp t="e">
        <v>#N/A</v>
        <stp/>
        <stp>OPEN_INT</stp>
        <stp>.SPXW250509C5450</stp>
        <tr r="AU127" s="1"/>
        <tr r="AU127" s="1"/>
      </tp>
      <tp t="e">
        <v>#N/A</v>
        <stp/>
        <stp>OPEN_INT</stp>
        <stp>.SPXW250509P5450</stp>
        <tr r="AV127" s="1"/>
        <tr r="AV127" s="1"/>
      </tp>
      <tp t="e">
        <v>#N/A</v>
        <stp/>
        <stp>OPEN_INT</stp>
        <stp>.SPXW250509C5460</stp>
        <tr r="AU126" s="1"/>
        <tr r="AU126" s="1"/>
      </tp>
      <tp t="e">
        <v>#N/A</v>
        <stp/>
        <stp>OPEN_INT</stp>
        <stp>.SPXW250516C5590</stp>
        <tr r="AW113" s="1"/>
        <tr r="AW113" s="1"/>
      </tp>
      <tp t="e">
        <v>#N/A</v>
        <stp/>
        <stp>OPEN_INT</stp>
        <stp>.SPXW250509P5460</stp>
        <tr r="AV126" s="1"/>
        <tr r="AV126" s="1"/>
      </tp>
      <tp t="e">
        <v>#N/A</v>
        <stp/>
        <stp>OPEN_INT</stp>
        <stp>.SPXW250516P5590</stp>
        <tr r="AX113" s="1"/>
        <tr r="AX113" s="1"/>
      </tp>
      <tp t="e">
        <v>#N/A</v>
        <stp/>
        <stp>OPEN_INT</stp>
        <stp>.SPXW250509C5470</stp>
        <tr r="AU125" s="1"/>
        <tr r="AU125" s="1"/>
      </tp>
      <tp t="e">
        <v>#N/A</v>
        <stp/>
        <stp>OPEN_INT</stp>
        <stp>.SPXW250516C5580</stp>
        <tr r="AW114" s="1"/>
        <tr r="AW114" s="1"/>
      </tp>
      <tp t="e">
        <v>#N/A</v>
        <stp/>
        <stp>OPEN_INT</stp>
        <stp>.SPXW250509P5470</stp>
        <tr r="AV125" s="1"/>
        <tr r="AV125" s="1"/>
      </tp>
      <tp t="e">
        <v>#N/A</v>
        <stp/>
        <stp>OPEN_INT</stp>
        <stp>.SPXW250516P5580</stp>
        <tr r="AX114" s="1"/>
        <tr r="AX114" s="1"/>
      </tp>
      <tp t="e">
        <v>#N/A</v>
        <stp/>
        <stp>IMPL_VOL</stp>
        <stp>.NDX250516C20380</stp>
        <tr r="EP140" s="1"/>
      </tp>
      <tp t="e">
        <v>#N/A</v>
        <stp/>
        <stp>IMPL_VOL</stp>
        <stp>.NDX250516C20300</stp>
        <tr r="EP144" s="1"/>
      </tp>
      <tp t="e">
        <v>#N/A</v>
        <stp/>
        <stp>IMPL_VOL</stp>
        <stp>.NDX250516C20320</stp>
        <tr r="EP143" s="1"/>
      </tp>
      <tp t="e">
        <v>#N/A</v>
        <stp/>
        <stp>IMPL_VOL</stp>
        <stp>.NDX250516C20340</stp>
        <tr r="EP142" s="1"/>
      </tp>
      <tp t="e">
        <v>#N/A</v>
        <stp/>
        <stp>IMPL_VOL</stp>
        <stp>.NDX250516C20360</stp>
        <tr r="EP141" s="1"/>
      </tp>
      <tp t="e">
        <v>#N/A</v>
        <stp/>
        <stp>IMPL_VOL</stp>
        <stp>.NDX250516P20380</stp>
        <tr r="EQ140" s="1"/>
      </tp>
      <tp t="e">
        <v>#N/A</v>
        <stp/>
        <stp>IMPL_VOL</stp>
        <stp>.NDX250516P20320</stp>
        <tr r="EQ143" s="1"/>
      </tp>
      <tp t="e">
        <v>#N/A</v>
        <stp/>
        <stp>IMPL_VOL</stp>
        <stp>.NDX250516P20300</stp>
        <tr r="EQ144" s="1"/>
      </tp>
      <tp t="e">
        <v>#N/A</v>
        <stp/>
        <stp>IMPL_VOL</stp>
        <stp>.NDX250516P20360</stp>
        <tr r="EQ141" s="1"/>
      </tp>
      <tp t="e">
        <v>#N/A</v>
        <stp/>
        <stp>IMPL_VOL</stp>
        <stp>.NDX250516P20340</stp>
        <tr r="EQ142" s="1"/>
      </tp>
      <tp t="e">
        <v>#N/A</v>
        <stp/>
        <stp>IMPL_VOL</stp>
        <stp>.NDX250516C20280</stp>
        <tr r="EP145" s="1"/>
      </tp>
      <tp t="e">
        <v>#N/A</v>
        <stp/>
        <stp>IMPL_VOL</stp>
        <stp>.NDX250516C20200</stp>
        <tr r="EP149" s="1"/>
      </tp>
      <tp t="e">
        <v>#N/A</v>
        <stp/>
        <stp>IMPL_VOL</stp>
        <stp>.NDX250516C20220</stp>
        <tr r="EP148" s="1"/>
      </tp>
      <tp t="e">
        <v>#N/A</v>
        <stp/>
        <stp>IMPL_VOL</stp>
        <stp>.NDX250516C20240</stp>
        <tr r="EP147" s="1"/>
      </tp>
      <tp t="e">
        <v>#N/A</v>
        <stp/>
        <stp>IMPL_VOL</stp>
        <stp>.NDX250516C20260</stp>
        <tr r="EP146" s="1"/>
      </tp>
      <tp t="e">
        <v>#N/A</v>
        <stp/>
        <stp>IMPL_VOL</stp>
        <stp>.NDX250516P20280</stp>
        <tr r="EQ145" s="1"/>
      </tp>
      <tp t="e">
        <v>#N/A</v>
        <stp/>
        <stp>IMPL_VOL</stp>
        <stp>.NDX250516P20220</stp>
        <tr r="EQ148" s="1"/>
      </tp>
      <tp t="e">
        <v>#N/A</v>
        <stp/>
        <stp>IMPL_VOL</stp>
        <stp>.NDX250516P20200</stp>
        <tr r="EQ149" s="1"/>
      </tp>
      <tp t="e">
        <v>#N/A</v>
        <stp/>
        <stp>IMPL_VOL</stp>
        <stp>.NDX250516P20260</stp>
        <tr r="EQ146" s="1"/>
      </tp>
      <tp t="e">
        <v>#N/A</v>
        <stp/>
        <stp>IMPL_VOL</stp>
        <stp>.NDX250516P20240</stp>
        <tr r="EQ147" s="1"/>
      </tp>
      <tp t="e">
        <v>#N/A</v>
        <stp/>
        <stp>IMPL_VOL</stp>
        <stp>.NDX250516C20180</stp>
        <tr r="EP150" s="1"/>
      </tp>
      <tp t="e">
        <v>#N/A</v>
        <stp/>
        <stp>IMPL_VOL</stp>
        <stp>.NDX250516C20100</stp>
        <tr r="EP154" s="1"/>
      </tp>
      <tp t="e">
        <v>#N/A</v>
        <stp/>
        <stp>IMPL_VOL</stp>
        <stp>.NDX250516C20120</stp>
        <tr r="EP153" s="1"/>
      </tp>
      <tp t="e">
        <v>#N/A</v>
        <stp/>
        <stp>IMPL_VOL</stp>
        <stp>.NDX250516C20140</stp>
        <tr r="EP152" s="1"/>
      </tp>
      <tp t="e">
        <v>#N/A</v>
        <stp/>
        <stp>IMPL_VOL</stp>
        <stp>.NDX250516C20160</stp>
        <tr r="EP151" s="1"/>
      </tp>
      <tp t="e">
        <v>#N/A</v>
        <stp/>
        <stp>IMPL_VOL</stp>
        <stp>.NDX250516P20180</stp>
        <tr r="EQ150" s="1"/>
      </tp>
      <tp t="e">
        <v>#N/A</v>
        <stp/>
        <stp>IMPL_VOL</stp>
        <stp>.NDX250516P20120</stp>
        <tr r="EQ153" s="1"/>
      </tp>
      <tp t="e">
        <v>#N/A</v>
        <stp/>
        <stp>IMPL_VOL</stp>
        <stp>.NDX250516P20100</stp>
        <tr r="EQ154" s="1"/>
      </tp>
      <tp t="e">
        <v>#N/A</v>
        <stp/>
        <stp>IMPL_VOL</stp>
        <stp>.NDX250516P20160</stp>
        <tr r="EQ151" s="1"/>
      </tp>
      <tp t="e">
        <v>#N/A</v>
        <stp/>
        <stp>IMPL_VOL</stp>
        <stp>.NDX250516P20140</stp>
        <tr r="EQ152" s="1"/>
      </tp>
      <tp t="e">
        <v>#N/A</v>
        <stp/>
        <stp>OPEN_INT</stp>
        <stp>.SPXW250516C5870</stp>
        <tr r="AW85" s="1"/>
        <tr r="AW85" s="1"/>
      </tp>
      <tp t="e">
        <v>#N/A</v>
        <stp/>
        <stp>OPEN_INT</stp>
        <stp>.SPXW250516P5870</stp>
        <tr r="AX85" s="1"/>
        <tr r="AX85" s="1"/>
      </tp>
      <tp t="e">
        <v>#N/A</v>
        <stp/>
        <stp>OPEN_INT</stp>
        <stp>.SPXW250516C5860</stp>
        <tr r="AW86" s="1"/>
        <tr r="AW86" s="1"/>
      </tp>
      <tp t="e">
        <v>#N/A</v>
        <stp/>
        <stp>OPEN_INT</stp>
        <stp>.SPXW250516P5860</stp>
        <tr r="AX86" s="1"/>
        <tr r="AX86" s="1"/>
      </tp>
      <tp t="e">
        <v>#N/A</v>
        <stp/>
        <stp>OPEN_INT</stp>
        <stp>.SPXW250516C5850</stp>
        <tr r="AW87" s="1"/>
        <tr r="AW87" s="1"/>
      </tp>
      <tp t="e">
        <v>#N/A</v>
        <stp/>
        <stp>OPEN_INT</stp>
        <stp>.SPXW250516P5850</stp>
        <tr r="AX87" s="1"/>
        <tr r="AX87" s="1"/>
      </tp>
      <tp t="e">
        <v>#N/A</v>
        <stp/>
        <stp>OPEN_INT</stp>
        <stp>.SPXW250516C5840</stp>
        <tr r="AW88" s="1"/>
        <tr r="AW88" s="1"/>
      </tp>
      <tp t="e">
        <v>#N/A</v>
        <stp/>
        <stp>OPEN_INT</stp>
        <stp>.SPXW250516P5840</stp>
        <tr r="AX88" s="1"/>
        <tr r="AX88" s="1"/>
      </tp>
      <tp t="e">
        <v>#N/A</v>
        <stp/>
        <stp>OPEN_INT</stp>
        <stp>.SPXW250516C5830</stp>
        <tr r="AW89" s="1"/>
        <tr r="AW89" s="1"/>
      </tp>
      <tp t="e">
        <v>#N/A</v>
        <stp/>
        <stp>OPEN_INT</stp>
        <stp>.SPXW250516P5830</stp>
        <tr r="AX89" s="1"/>
        <tr r="AX89" s="1"/>
      </tp>
      <tp t="e">
        <v>#N/A</v>
        <stp/>
        <stp>OPEN_INT</stp>
        <stp>.SPXW250516C5820</stp>
        <tr r="AW90" s="1"/>
        <tr r="AW90" s="1"/>
      </tp>
      <tp t="e">
        <v>#N/A</v>
        <stp/>
        <stp>OPEN_INT</stp>
        <stp>.SPXW250516P5820</stp>
        <tr r="AX90" s="1"/>
        <tr r="AX90" s="1"/>
      </tp>
      <tp t="e">
        <v>#N/A</v>
        <stp/>
        <stp>OPEN_INT</stp>
        <stp>.SPXW250516C5810</stp>
        <tr r="AW91" s="1"/>
        <tr r="AW91" s="1"/>
      </tp>
      <tp t="e">
        <v>#N/A</v>
        <stp/>
        <stp>OPEN_INT</stp>
        <stp>.SPXW250516P5810</stp>
        <tr r="AX91" s="1"/>
        <tr r="AX91" s="1"/>
      </tp>
      <tp t="e">
        <v>#N/A</v>
        <stp/>
        <stp>OPEN_INT</stp>
        <stp>.SPXW250516C5800</stp>
        <tr r="AW92" s="1"/>
        <tr r="AW92" s="1"/>
      </tp>
      <tp t="e">
        <v>#N/A</v>
        <stp/>
        <stp>OPEN_INT</stp>
        <stp>.SPXW250516P5800</stp>
        <tr r="AX92" s="1"/>
        <tr r="AX92" s="1"/>
      </tp>
      <tp t="e">
        <v>#N/A</v>
        <stp/>
        <stp>IMPL_VOL</stp>
        <stp>.NDX250516C20080</stp>
        <tr r="EP155" s="1"/>
      </tp>
      <tp t="e">
        <v>#N/A</v>
        <stp/>
        <stp>IMPL_VOL</stp>
        <stp>.NDX250516C20000</stp>
        <tr r="EP159" s="1"/>
      </tp>
      <tp t="e">
        <v>#N/A</v>
        <stp/>
        <stp>IMPL_VOL</stp>
        <stp>.NDX250516C20020</stp>
        <tr r="EP158" s="1"/>
      </tp>
      <tp t="e">
        <v>#N/A</v>
        <stp/>
        <stp>IMPL_VOL</stp>
        <stp>.NDX250516C20040</stp>
        <tr r="EP157" s="1"/>
      </tp>
      <tp t="e">
        <v>#N/A</v>
        <stp/>
        <stp>IMPL_VOL</stp>
        <stp>.NDX250516C20060</stp>
        <tr r="EP156" s="1"/>
      </tp>
      <tp t="e">
        <v>#N/A</v>
        <stp/>
        <stp>IMPL_VOL</stp>
        <stp>.NDX250516P20080</stp>
        <tr r="EQ155" s="1"/>
      </tp>
      <tp t="e">
        <v>#N/A</v>
        <stp/>
        <stp>IMPL_VOL</stp>
        <stp>.NDX250516P20020</stp>
        <tr r="EQ158" s="1"/>
      </tp>
      <tp t="e">
        <v>#N/A</v>
        <stp/>
        <stp>IMPL_VOL</stp>
        <stp>.NDX250516P20000</stp>
        <tr r="EQ159" s="1"/>
      </tp>
      <tp t="e">
        <v>#N/A</v>
        <stp/>
        <stp>IMPL_VOL</stp>
        <stp>.NDX250516P20060</stp>
        <tr r="EQ156" s="1"/>
      </tp>
      <tp t="e">
        <v>#N/A</v>
        <stp/>
        <stp>IMPL_VOL</stp>
        <stp>.NDX250516P20040</stp>
        <tr r="EQ157" s="1"/>
      </tp>
      <tp t="e">
        <v>#N/A</v>
        <stp/>
        <stp>OPEN_INT</stp>
        <stp>.SPXW250502C5830</stp>
        <tr r="AS89" s="1"/>
        <tr r="AS89" s="1"/>
      </tp>
      <tp t="e">
        <v>#N/A</v>
        <stp/>
        <stp>OPEN_INT</stp>
        <stp>.SPXW250502P5830</stp>
        <tr r="AT89" s="1"/>
        <tr r="AT89" s="1"/>
      </tp>
      <tp t="e">
        <v>#N/A</v>
        <stp/>
        <stp>OPEN_INT</stp>
        <stp>.SPXW250502C5820</stp>
        <tr r="AS90" s="1"/>
        <tr r="AS90" s="1"/>
      </tp>
      <tp t="e">
        <v>#N/A</v>
        <stp/>
        <stp>OPEN_INT</stp>
        <stp>.SPXW250502P5820</stp>
        <tr r="AT90" s="1"/>
        <tr r="AT90" s="1"/>
      </tp>
      <tp t="e">
        <v>#N/A</v>
        <stp/>
        <stp>OPEN_INT</stp>
        <stp>.SPXW250502C5810</stp>
        <tr r="AS91" s="1"/>
        <tr r="AS91" s="1"/>
      </tp>
      <tp t="e">
        <v>#N/A</v>
        <stp/>
        <stp>OPEN_INT</stp>
        <stp>.SPXW250502P5810</stp>
        <tr r="AT91" s="1"/>
        <tr r="AT91" s="1"/>
      </tp>
      <tp t="e">
        <v>#N/A</v>
        <stp/>
        <stp>OPEN_INT</stp>
        <stp>.SPXW250502C5800</stp>
        <tr r="AS92" s="1"/>
        <tr r="AS92" s="1"/>
      </tp>
      <tp t="e">
        <v>#N/A</v>
        <stp/>
        <stp>OPEN_INT</stp>
        <stp>.SPXW250502P5800</stp>
        <tr r="AT92" s="1"/>
        <tr r="AT92" s="1"/>
      </tp>
      <tp t="e">
        <v>#N/A</v>
        <stp/>
        <stp>OPEN_INT</stp>
        <stp>.SPXW250502C5870</stp>
        <tr r="AS85" s="1"/>
        <tr r="AS85" s="1"/>
      </tp>
      <tp t="e">
        <v>#N/A</v>
        <stp/>
        <stp>OPEN_INT</stp>
        <stp>.SPXW250502P5870</stp>
        <tr r="AT85" s="1"/>
        <tr r="AT85" s="1"/>
      </tp>
      <tp t="e">
        <v>#N/A</v>
        <stp/>
        <stp>OPEN_INT</stp>
        <stp>.SPXW250502C5860</stp>
        <tr r="AS86" s="1"/>
        <tr r="AS86" s="1"/>
      </tp>
      <tp t="e">
        <v>#N/A</v>
        <stp/>
        <stp>OPEN_INT</stp>
        <stp>.SPXW250502P5860</stp>
        <tr r="AT86" s="1"/>
        <tr r="AT86" s="1"/>
      </tp>
      <tp t="e">
        <v>#N/A</v>
        <stp/>
        <stp>OPEN_INT</stp>
        <stp>.SPXW250502C5850</stp>
        <tr r="AS87" s="1"/>
        <tr r="AS87" s="1"/>
      </tp>
      <tp t="e">
        <v>#N/A</v>
        <stp/>
        <stp>OPEN_INT</stp>
        <stp>.SPXW250502P5850</stp>
        <tr r="AT87" s="1"/>
        <tr r="AT87" s="1"/>
      </tp>
      <tp t="e">
        <v>#N/A</v>
        <stp/>
        <stp>OPEN_INT</stp>
        <stp>.SPXW250502C5840</stp>
        <tr r="AS88" s="1"/>
        <tr r="AS88" s="1"/>
      </tp>
      <tp t="e">
        <v>#N/A</v>
        <stp/>
        <stp>OPEN_INT</stp>
        <stp>.SPXW250502P5840</stp>
        <tr r="AT88" s="1"/>
        <tr r="AT88" s="1"/>
      </tp>
      <tp t="e">
        <v>#N/A</v>
        <stp/>
        <stp>OPEN_INT</stp>
        <stp>.SPXW250509C5800</stp>
        <tr r="AU92" s="1"/>
        <tr r="AU92" s="1"/>
      </tp>
      <tp t="e">
        <v>#N/A</v>
        <stp/>
        <stp>OPEN_INT</stp>
        <stp>.SPXW250509P5800</stp>
        <tr r="AV92" s="1"/>
        <tr r="AV92" s="1"/>
      </tp>
      <tp t="e">
        <v>#N/A</v>
        <stp/>
        <stp>OPEN_INT</stp>
        <stp>.SPXW250509C5810</stp>
        <tr r="AU91" s="1"/>
        <tr r="AU91" s="1"/>
      </tp>
      <tp t="e">
        <v>#N/A</v>
        <stp/>
        <stp>OPEN_INT</stp>
        <stp>.SPXW250509P5810</stp>
        <tr r="AV91" s="1"/>
        <tr r="AV91" s="1"/>
      </tp>
      <tp t="e">
        <v>#N/A</v>
        <stp/>
        <stp>OPEN_INT</stp>
        <stp>.SPXW250509C5820</stp>
        <tr r="AU90" s="1"/>
        <tr r="AU90" s="1"/>
      </tp>
      <tp t="e">
        <v>#N/A</v>
        <stp/>
        <stp>OPEN_INT</stp>
        <stp>.SPXW250509P5820</stp>
        <tr r="AV90" s="1"/>
        <tr r="AV90" s="1"/>
      </tp>
      <tp t="e">
        <v>#N/A</v>
        <stp/>
        <stp>OPEN_INT</stp>
        <stp>.SPXW250509C5830</stp>
        <tr r="AU89" s="1"/>
        <tr r="AU89" s="1"/>
      </tp>
      <tp t="e">
        <v>#N/A</v>
        <stp/>
        <stp>OPEN_INT</stp>
        <stp>.SPXW250509P5830</stp>
        <tr r="AV89" s="1"/>
        <tr r="AV89" s="1"/>
      </tp>
      <tp t="e">
        <v>#N/A</v>
        <stp/>
        <stp>OPEN_INT</stp>
        <stp>.SPXW250509C5840</stp>
        <tr r="AU88" s="1"/>
        <tr r="AU88" s="1"/>
      </tp>
      <tp t="e">
        <v>#N/A</v>
        <stp/>
        <stp>OPEN_INT</stp>
        <stp>.SPXW250509P5840</stp>
        <tr r="AV88" s="1"/>
        <tr r="AV88" s="1"/>
      </tp>
      <tp t="e">
        <v>#N/A</v>
        <stp/>
        <stp>OPEN_INT</stp>
        <stp>.SPXW250509C5850</stp>
        <tr r="AU87" s="1"/>
        <tr r="AU87" s="1"/>
      </tp>
      <tp t="e">
        <v>#N/A</v>
        <stp/>
        <stp>OPEN_INT</stp>
        <stp>.SPXW250509P5850</stp>
        <tr r="AV87" s="1"/>
        <tr r="AV87" s="1"/>
      </tp>
      <tp t="e">
        <v>#N/A</v>
        <stp/>
        <stp>OPEN_INT</stp>
        <stp>.SPXW250509C5860</stp>
        <tr r="AU86" s="1"/>
        <tr r="AU86" s="1"/>
      </tp>
      <tp t="e">
        <v>#N/A</v>
        <stp/>
        <stp>OPEN_INT</stp>
        <stp>.SPXW250509P5860</stp>
        <tr r="AV86" s="1"/>
        <tr r="AV86" s="1"/>
      </tp>
      <tp t="e">
        <v>#N/A</v>
        <stp/>
        <stp>OPEN_INT</stp>
        <stp>.SPXW250509C5870</stp>
        <tr r="AU85" s="1"/>
        <tr r="AU85" s="1"/>
      </tp>
      <tp t="e">
        <v>#N/A</v>
        <stp/>
        <stp>OPEN_INT</stp>
        <stp>.SPXW250509P5870</stp>
        <tr r="AV85" s="1"/>
        <tr r="AV85" s="1"/>
      </tp>
      <tp t="e">
        <v>#N/A</v>
        <stp/>
        <stp>IMPL_VOL</stp>
        <stp>.NDX250516C19780</stp>
        <tr r="EP170" s="1"/>
      </tp>
      <tp t="e">
        <v>#N/A</v>
        <stp/>
        <stp>IMPL_VOL</stp>
        <stp>.NDX250516C19700</stp>
        <tr r="EP174" s="1"/>
      </tp>
      <tp t="e">
        <v>#N/A</v>
        <stp/>
        <stp>IMPL_VOL</stp>
        <stp>.NDX250516C19720</stp>
        <tr r="EP173" s="1"/>
      </tp>
      <tp t="e">
        <v>#N/A</v>
        <stp/>
        <stp>IMPL_VOL</stp>
        <stp>.NDX250516C19740</stp>
        <tr r="EP172" s="1"/>
      </tp>
      <tp t="e">
        <v>#N/A</v>
        <stp/>
        <stp>IMPL_VOL</stp>
        <stp>.NDX250516C19760</stp>
        <tr r="EP171" s="1"/>
      </tp>
      <tp t="e">
        <v>#N/A</v>
        <stp/>
        <stp>IMPL_VOL</stp>
        <stp>.NDX250516P19780</stp>
        <tr r="EQ170" s="1"/>
      </tp>
      <tp t="e">
        <v>#N/A</v>
        <stp/>
        <stp>IMPL_VOL</stp>
        <stp>.NDX250516P19720</stp>
        <tr r="EQ173" s="1"/>
      </tp>
      <tp t="e">
        <v>#N/A</v>
        <stp/>
        <stp>IMPL_VOL</stp>
        <stp>.NDX250516P19700</stp>
        <tr r="EQ174" s="1"/>
      </tp>
      <tp t="e">
        <v>#N/A</v>
        <stp/>
        <stp>IMPL_VOL</stp>
        <stp>.NDX250516P19760</stp>
        <tr r="EQ171" s="1"/>
      </tp>
      <tp t="e">
        <v>#N/A</v>
        <stp/>
        <stp>IMPL_VOL</stp>
        <stp>.NDX250516P19740</stp>
        <tr r="EQ172" s="1"/>
      </tp>
      <tp t="e">
        <v>#N/A</v>
        <stp/>
        <stp>VOLUME</stp>
        <stp>.SPX250620C5760</stp>
        <tr r="K97" s="2"/>
      </tp>
      <tp t="e">
        <v>#N/A</v>
        <stp/>
        <stp>VOLUME</stp>
        <stp>.SPX250523C5750</stp>
        <tr r="H98" s="2"/>
      </tp>
      <tp t="e">
        <v>#N/A</v>
        <stp/>
        <stp>VOLUME</stp>
        <stp>.SPX250815C5430</stp>
        <tr r="O130" s="2"/>
      </tp>
      <tp t="e">
        <v>#N/A</v>
        <stp/>
        <stp>VOLUME</stp>
        <stp>.SPX251121C5770</stp>
        <tr r="U96" s="2"/>
      </tp>
      <tp t="e">
        <v>#N/A</v>
        <stp/>
        <stp>VOLUME</stp>
        <stp>.SPX251121P5770</stp>
        <tr r="U96" s="2"/>
      </tp>
      <tp t="e">
        <v>#N/A</v>
        <stp/>
        <stp>VOLUME</stp>
        <stp>.SPX250620P5760</stp>
        <tr r="K97" s="2"/>
      </tp>
      <tp t="e">
        <v>#N/A</v>
        <stp/>
        <stp>VOLUME</stp>
        <stp>.SPX250523P5750</stp>
        <tr r="H98" s="2"/>
      </tp>
      <tp t="e">
        <v>#N/A</v>
        <stp/>
        <stp>VOLUME</stp>
        <stp>.SPX250815P5430</stp>
        <tr r="O130" s="2"/>
      </tp>
      <tp t="e">
        <v>#N/A</v>
        <stp/>
        <stp>VOLUME</stp>
        <stp>.SPX250620C5770</stp>
        <tr r="K96" s="2"/>
      </tp>
      <tp t="e">
        <v>#N/A</v>
        <stp/>
        <stp>VOLUME</stp>
        <stp>.SPX250523C5740</stp>
        <tr r="H99" s="2"/>
      </tp>
      <tp t="e">
        <v>#N/A</v>
        <stp/>
        <stp>VOLUME</stp>
        <stp>.SPX250815C5420</stp>
        <tr r="O131" s="2"/>
      </tp>
      <tp t="e">
        <v>#N/A</v>
        <stp/>
        <stp>VOLUME</stp>
        <stp>.SPX251121C5760</stp>
        <tr r="U97" s="2"/>
      </tp>
      <tp t="e">
        <v>#N/A</v>
        <stp/>
        <stp>VOLUME</stp>
        <stp>.SPX251121P5760</stp>
        <tr r="U97" s="2"/>
      </tp>
      <tp t="e">
        <v>#N/A</v>
        <stp/>
        <stp>VOLUME</stp>
        <stp>.SPX250620P5770</stp>
        <tr r="K96" s="2"/>
      </tp>
      <tp t="e">
        <v>#N/A</v>
        <stp/>
        <stp>VOLUME</stp>
        <stp>.SPX250523P5740</stp>
        <tr r="H99" s="2"/>
      </tp>
      <tp t="e">
        <v>#N/A</v>
        <stp/>
        <stp>VOLUME</stp>
        <stp>.SPX250815P5420</stp>
        <tr r="O131" s="2"/>
      </tp>
      <tp t="e">
        <v>#N/A</v>
        <stp/>
        <stp>VOLUME</stp>
        <stp>.SPX250620C5740</stp>
        <tr r="K99" s="2"/>
      </tp>
      <tp t="e">
        <v>#N/A</v>
        <stp/>
        <stp>VOLUME</stp>
        <stp>.SPX250523C5770</stp>
        <tr r="H96" s="2"/>
      </tp>
      <tp t="e">
        <v>#N/A</v>
        <stp/>
        <stp>VOLUME</stp>
        <stp>.SPX251121C5750</stp>
        <tr r="U98" s="2"/>
      </tp>
      <tp t="e">
        <v>#N/A</v>
        <stp/>
        <stp>VOLUME</stp>
        <stp>.SPX251017C5430</stp>
        <tr r="S130" s="2"/>
      </tp>
      <tp t="e">
        <v>#N/A</v>
        <stp/>
        <stp>VOLUME</stp>
        <stp>.SPX251121P5750</stp>
        <tr r="U98" s="2"/>
      </tp>
      <tp t="e">
        <v>#N/A</v>
        <stp/>
        <stp>VOLUME</stp>
        <stp>.SPX251017P5430</stp>
        <tr r="S130" s="2"/>
      </tp>
      <tp t="e">
        <v>#N/A</v>
        <stp/>
        <stp>VOLUME</stp>
        <stp>.SPX250620P5740</stp>
        <tr r="K99" s="2"/>
      </tp>
      <tp t="e">
        <v>#N/A</v>
        <stp/>
        <stp>VOLUME</stp>
        <stp>.SPX250523P5770</stp>
        <tr r="H96" s="2"/>
      </tp>
      <tp t="e">
        <v>#N/A</v>
        <stp/>
        <stp>VOLUME</stp>
        <stp>.SPX250620C5750</stp>
        <tr r="K98" s="2"/>
      </tp>
      <tp t="e">
        <v>#N/A</v>
        <stp/>
        <stp>VOLUME</stp>
        <stp>.SPX250523C5760</stp>
        <tr r="H97" s="2"/>
      </tp>
      <tp t="e">
        <v>#N/A</v>
        <stp/>
        <stp>VOLUME</stp>
        <stp>.SPX251121C5740</stp>
        <tr r="U99" s="2"/>
      </tp>
      <tp t="e">
        <v>#N/A</v>
        <stp/>
        <stp>VOLUME</stp>
        <stp>.SPX251017C5420</stp>
        <tr r="S131" s="2"/>
      </tp>
      <tp t="e">
        <v>#N/A</v>
        <stp/>
        <stp>VOLUME</stp>
        <stp>.SPX251121P5740</stp>
        <tr r="U99" s="2"/>
      </tp>
      <tp t="e">
        <v>#N/A</v>
        <stp/>
        <stp>VOLUME</stp>
        <stp>.SPX251017P5420</stp>
        <tr r="S131" s="2"/>
      </tp>
      <tp t="e">
        <v>#N/A</v>
        <stp/>
        <stp>VOLUME</stp>
        <stp>.SPX250620P5750</stp>
        <tr r="K98" s="2"/>
      </tp>
      <tp t="e">
        <v>#N/A</v>
        <stp/>
        <stp>VOLUME</stp>
        <stp>.SPX250523P5760</stp>
        <tr r="H97" s="2"/>
      </tp>
      <tp t="e">
        <v>#N/A</v>
        <stp/>
        <stp>VOLUME</stp>
        <stp>.SPX250620C5720</stp>
        <tr r="K101" s="2"/>
      </tp>
      <tp t="e">
        <v>#N/A</v>
        <stp/>
        <stp>VOLUME</stp>
        <stp>.SPX250523C5710</stp>
        <tr r="H102" s="2"/>
      </tp>
      <tp t="e">
        <v>#N/A</v>
        <stp/>
        <stp>VOLUME</stp>
        <stp>.SPX250815C5470</stp>
        <tr r="O126" s="2"/>
      </tp>
      <tp t="e">
        <v>#N/A</v>
        <stp/>
        <stp>VOLUME</stp>
        <stp>.SPX251121C5730</stp>
        <tr r="U100" s="2"/>
      </tp>
      <tp t="e">
        <v>#N/A</v>
        <stp/>
        <stp>VOLUME</stp>
        <stp>.SPX251017C5450</stp>
        <tr r="S128" s="2"/>
      </tp>
      <tp t="e">
        <v>#N/A</v>
        <stp/>
        <stp>VOLUME</stp>
        <stp>.SPX251121P5730</stp>
        <tr r="U100" s="2"/>
      </tp>
      <tp t="e">
        <v>#N/A</v>
        <stp/>
        <stp>VOLUME</stp>
        <stp>.SPX251017P5450</stp>
        <tr r="S128" s="2"/>
      </tp>
      <tp t="e">
        <v>#N/A</v>
        <stp/>
        <stp>VOLUME</stp>
        <stp>.SPX250620P5720</stp>
        <tr r="K101" s="2"/>
      </tp>
      <tp t="e">
        <v>#N/A</v>
        <stp/>
        <stp>VOLUME</stp>
        <stp>.SPX250523P5710</stp>
        <tr r="H102" s="2"/>
      </tp>
      <tp t="e">
        <v>#N/A</v>
        <stp/>
        <stp>VOLUME</stp>
        <stp>.SPX250815P5470</stp>
        <tr r="O126" s="2"/>
      </tp>
      <tp t="e">
        <v>#N/A</v>
        <stp/>
        <stp>VOLUME</stp>
        <stp>.SPX250620C5730</stp>
        <tr r="K100" s="2"/>
      </tp>
      <tp t="e">
        <v>#N/A</v>
        <stp/>
        <stp>VOLUME</stp>
        <stp>.SPX250523C5700</stp>
        <tr r="H103" s="2"/>
      </tp>
      <tp t="e">
        <v>#N/A</v>
        <stp/>
        <stp>VOLUME</stp>
        <stp>.SPX250815C5460</stp>
        <tr r="O127" s="2"/>
      </tp>
      <tp t="e">
        <v>#N/A</v>
        <stp/>
        <stp>VOLUME</stp>
        <stp>.SPX251121C5720</stp>
        <tr r="U101" s="2"/>
      </tp>
      <tp t="e">
        <v>#N/A</v>
        <stp/>
        <stp>VOLUME</stp>
        <stp>.SPX251017C5440</stp>
        <tr r="S129" s="2"/>
      </tp>
      <tp t="e">
        <v>#N/A</v>
        <stp/>
        <stp>VOLUME</stp>
        <stp>.SPX251121P5720</stp>
        <tr r="U101" s="2"/>
      </tp>
      <tp t="e">
        <v>#N/A</v>
        <stp/>
        <stp>VOLUME</stp>
        <stp>.SPX251017P5440</stp>
        <tr r="S129" s="2"/>
      </tp>
      <tp t="e">
        <v>#N/A</v>
        <stp/>
        <stp>VOLUME</stp>
        <stp>.SPX250620P5730</stp>
        <tr r="K100" s="2"/>
      </tp>
      <tp t="e">
        <v>#N/A</v>
        <stp/>
        <stp>VOLUME</stp>
        <stp>.SPX250523P5700</stp>
        <tr r="H103" s="2"/>
      </tp>
      <tp t="e">
        <v>#N/A</v>
        <stp/>
        <stp>VOLUME</stp>
        <stp>.SPX250815P5460</stp>
        <tr r="O127" s="2"/>
      </tp>
      <tp t="e">
        <v>#N/A</v>
        <stp/>
        <stp>VOLUME</stp>
        <stp>.SPX250718C5480</stp>
        <tr r="M125" s="2"/>
      </tp>
      <tp t="e">
        <v>#N/A</v>
        <stp/>
        <stp>VOLUME</stp>
        <stp>.SPX250620C5700</stp>
        <tr r="K103" s="2"/>
      </tp>
      <tp t="e">
        <v>#N/A</v>
        <stp/>
        <stp>VOLUME</stp>
        <stp>.SPX250523C5730</stp>
        <tr r="H100" s="2"/>
      </tp>
      <tp t="e">
        <v>#N/A</v>
        <stp/>
        <stp>VOLUME</stp>
        <stp>.SPX250919C5490</stp>
        <tr r="Q124" s="2"/>
      </tp>
      <tp t="e">
        <v>#N/A</v>
        <stp/>
        <stp>VOLUME</stp>
        <stp>.SPX250815C5450</stp>
        <tr r="O128" s="2"/>
      </tp>
      <tp t="e">
        <v>#N/A</v>
        <stp/>
        <stp>VOLUME</stp>
        <stp>.SPX251219C5490</stp>
        <tr r="W124" s="2"/>
      </tp>
      <tp t="e">
        <v>#N/A</v>
        <stp/>
        <stp>VOLUME</stp>
        <stp>.SPX251121C5710</stp>
        <tr r="U102" s="2"/>
      </tp>
      <tp t="e">
        <v>#N/A</v>
        <stp/>
        <stp>VOLUME</stp>
        <stp>.SPX251017C5470</stp>
        <tr r="S126" s="2"/>
      </tp>
      <tp t="e">
        <v>#N/A</v>
        <stp/>
        <stp>VOLUME</stp>
        <stp>.SPX251219P5490</stp>
        <tr r="W124" s="2"/>
      </tp>
      <tp t="e">
        <v>#N/A</v>
        <stp/>
        <stp>VOLUME</stp>
        <stp>.SPX251121P5710</stp>
        <tr r="U102" s="2"/>
      </tp>
      <tp t="e">
        <v>#N/A</v>
        <stp/>
        <stp>VOLUME</stp>
        <stp>.SPX251017P5470</stp>
        <tr r="S126" s="2"/>
      </tp>
      <tp t="e">
        <v>#N/A</v>
        <stp/>
        <stp>VOLUME</stp>
        <stp>.SPX250718P5480</stp>
        <tr r="M125" s="2"/>
      </tp>
      <tp t="e">
        <v>#N/A</v>
        <stp/>
        <stp>VOLUME</stp>
        <stp>.SPX250620P5700</stp>
        <tr r="K103" s="2"/>
      </tp>
      <tp t="e">
        <v>#N/A</v>
        <stp/>
        <stp>VOLUME</stp>
        <stp>.SPX250523P5730</stp>
        <tr r="H100" s="2"/>
      </tp>
      <tp t="e">
        <v>#N/A</v>
        <stp/>
        <stp>VOLUME</stp>
        <stp>.SPX250919P5490</stp>
        <tr r="Q124" s="2"/>
      </tp>
      <tp t="e">
        <v>#N/A</v>
        <stp/>
        <stp>VOLUME</stp>
        <stp>.SPX250815P5450</stp>
        <tr r="O128" s="2"/>
      </tp>
      <tp t="e">
        <v>#N/A</v>
        <stp/>
        <stp>VOLUME</stp>
        <stp>.SPX250718C5490</stp>
        <tr r="M124" s="2"/>
      </tp>
      <tp t="e">
        <v>#N/A</v>
        <stp/>
        <stp>VOLUME</stp>
        <stp>.SPX250620C5710</stp>
        <tr r="K102" s="2"/>
      </tp>
      <tp t="e">
        <v>#N/A</v>
        <stp/>
        <stp>VOLUME</stp>
        <stp>.SPX250523C5720</stp>
        <tr r="H101" s="2"/>
      </tp>
      <tp t="e">
        <v>#N/A</v>
        <stp/>
        <stp>VOLUME</stp>
        <stp>.SPX250919C5480</stp>
        <tr r="Q125" s="2"/>
      </tp>
      <tp t="e">
        <v>#N/A</v>
        <stp/>
        <stp>VOLUME</stp>
        <stp>.SPX250815C5440</stp>
        <tr r="O129" s="2"/>
      </tp>
      <tp t="e">
        <v>#N/A</v>
        <stp/>
        <stp>VOLUME</stp>
        <stp>.SPX251219C5480</stp>
        <tr r="W125" s="2"/>
      </tp>
      <tp t="e">
        <v>#N/A</v>
        <stp/>
        <stp>VOLUME</stp>
        <stp>.SPX251121C5700</stp>
        <tr r="U103" s="2"/>
      </tp>
      <tp t="e">
        <v>#N/A</v>
        <stp/>
        <stp>VOLUME</stp>
        <stp>.SPX251017C5460</stp>
        <tr r="S127" s="2"/>
      </tp>
      <tp t="e">
        <v>#N/A</v>
        <stp/>
        <stp>VOLUME</stp>
        <stp>.SPX251219P5480</stp>
        <tr r="W125" s="2"/>
      </tp>
      <tp t="e">
        <v>#N/A</v>
        <stp/>
        <stp>VOLUME</stp>
        <stp>.SPX251121P5700</stp>
        <tr r="U103" s="2"/>
      </tp>
      <tp t="e">
        <v>#N/A</v>
        <stp/>
        <stp>VOLUME</stp>
        <stp>.SPX251017P5460</stp>
        <tr r="S127" s="2"/>
      </tp>
      <tp t="e">
        <v>#N/A</v>
        <stp/>
        <stp>VOLUME</stp>
        <stp>.SPX250718P5490</stp>
        <tr r="M124" s="2"/>
      </tp>
      <tp t="e">
        <v>#N/A</v>
        <stp/>
        <stp>VOLUME</stp>
        <stp>.SPX250620P5710</stp>
        <tr r="K102" s="2"/>
      </tp>
      <tp t="e">
        <v>#N/A</v>
        <stp/>
        <stp>VOLUME</stp>
        <stp>.SPX250523P5720</stp>
        <tr r="H101" s="2"/>
      </tp>
      <tp t="e">
        <v>#N/A</v>
        <stp/>
        <stp>VOLUME</stp>
        <stp>.SPX250919P5480</stp>
        <tr r="Q125" s="2"/>
      </tp>
      <tp t="e">
        <v>#N/A</v>
        <stp/>
        <stp>VOLUME</stp>
        <stp>.SPX250815P5440</stp>
        <tr r="O129" s="2"/>
      </tp>
      <tp t="e">
        <v>#N/A</v>
        <stp/>
        <stp>VOLUME</stp>
        <stp>.SPX250718C5460</stp>
        <tr r="M127" s="2"/>
      </tp>
      <tp t="e">
        <v>#N/A</v>
        <stp/>
        <stp>VOLUME</stp>
        <stp>.SPX250919C5470</stp>
        <tr r="Q126" s="2"/>
      </tp>
      <tp t="e">
        <v>#N/A</v>
        <stp/>
        <stp>VOLUME</stp>
        <stp>.SPX251219C5470</stp>
        <tr r="W126" s="2"/>
      </tp>
      <tp t="e">
        <v>#N/A</v>
        <stp/>
        <stp>VOLUME</stp>
        <stp>.SPX251017C5490</stp>
        <tr r="S124" s="2"/>
      </tp>
      <tp t="e">
        <v>#N/A</v>
        <stp/>
        <stp>VOLUME</stp>
        <stp>.SPX251219P5470</stp>
        <tr r="W126" s="2"/>
      </tp>
      <tp t="e">
        <v>#N/A</v>
        <stp/>
        <stp>VOLUME</stp>
        <stp>.SPX251017P5490</stp>
        <tr r="S124" s="2"/>
      </tp>
      <tp t="e">
        <v>#N/A</v>
        <stp/>
        <stp>VOLUME</stp>
        <stp>.SPX250718P5460</stp>
        <tr r="M127" s="2"/>
      </tp>
      <tp t="e">
        <v>#N/A</v>
        <stp/>
        <stp>VOLUME</stp>
        <stp>.SPX250919P5470</stp>
        <tr r="Q126" s="2"/>
      </tp>
      <tp t="e">
        <v>#N/A</v>
        <stp/>
        <stp>VOLUME</stp>
        <stp>.SPX250718C5470</stp>
        <tr r="M126" s="2"/>
      </tp>
      <tp t="e">
        <v>#N/A</v>
        <stp/>
        <stp>VOLUME</stp>
        <stp>.SPX250919C5460</stp>
        <tr r="Q127" s="2"/>
      </tp>
      <tp t="e">
        <v>#N/A</v>
        <stp/>
        <stp>VOLUME</stp>
        <stp>.SPX251219C5460</stp>
        <tr r="W127" s="2"/>
      </tp>
      <tp t="e">
        <v>#N/A</v>
        <stp/>
        <stp>VOLUME</stp>
        <stp>.SPX251017C5480</stp>
        <tr r="S125" s="2"/>
      </tp>
      <tp t="e">
        <v>#N/A</v>
        <stp/>
        <stp>VOLUME</stp>
        <stp>.SPX251219P5460</stp>
        <tr r="W127" s="2"/>
      </tp>
      <tp t="e">
        <v>#N/A</v>
        <stp/>
        <stp>VOLUME</stp>
        <stp>.SPX251017P5480</stp>
        <tr r="S125" s="2"/>
      </tp>
      <tp t="e">
        <v>#N/A</v>
        <stp/>
        <stp>VOLUME</stp>
        <stp>.SPX250718P5470</stp>
        <tr r="M126" s="2"/>
      </tp>
      <tp t="e">
        <v>#N/A</v>
        <stp/>
        <stp>VOLUME</stp>
        <stp>.SPX250919P5460</stp>
        <tr r="Q127" s="2"/>
      </tp>
      <tp t="e">
        <v>#N/A</v>
        <stp/>
        <stp>VOLUME</stp>
        <stp>.SPX250718C5440</stp>
        <tr r="M129" s="2"/>
      </tp>
      <tp t="e">
        <v>#N/A</v>
        <stp/>
        <stp>VOLUME</stp>
        <stp>.SPX250919C5450</stp>
        <tr r="Q128" s="2"/>
      </tp>
      <tp t="e">
        <v>#N/A</v>
        <stp/>
        <stp>VOLUME</stp>
        <stp>.SPX250815C5490</stp>
        <tr r="O124" s="2"/>
      </tp>
      <tp t="e">
        <v>#N/A</v>
        <stp/>
        <stp>VOLUME</stp>
        <stp>.SPX251219C5450</stp>
        <tr r="W128" s="2"/>
      </tp>
      <tp t="e">
        <v>#N/A</v>
        <stp/>
        <stp>VOLUME</stp>
        <stp>.SPX251219P5450</stp>
        <tr r="W128" s="2"/>
      </tp>
      <tp t="e">
        <v>#N/A</v>
        <stp/>
        <stp>VOLUME</stp>
        <stp>.SPX250718P5440</stp>
        <tr r="M129" s="2"/>
      </tp>
      <tp t="e">
        <v>#N/A</v>
        <stp/>
        <stp>VOLUME</stp>
        <stp>.SPX250919P5450</stp>
        <tr r="Q128" s="2"/>
      </tp>
      <tp t="e">
        <v>#N/A</v>
        <stp/>
        <stp>VOLUME</stp>
        <stp>.SPX250815P5490</stp>
        <tr r="O124" s="2"/>
      </tp>
      <tp t="e">
        <v>#N/A</v>
        <stp/>
        <stp>VOLUME</stp>
        <stp>.SPX250718C5450</stp>
        <tr r="M128" s="2"/>
      </tp>
      <tp t="e">
        <v>#N/A</v>
        <stp/>
        <stp>VOLUME</stp>
        <stp>.SPX250919C5440</stp>
        <tr r="Q129" s="2"/>
      </tp>
      <tp t="e">
        <v>#N/A</v>
        <stp/>
        <stp>VOLUME</stp>
        <stp>.SPX250815C5480</stp>
        <tr r="O125" s="2"/>
      </tp>
      <tp t="e">
        <v>#N/A</v>
        <stp/>
        <stp>VOLUME</stp>
        <stp>.SPX251219C5440</stp>
        <tr r="W129" s="2"/>
      </tp>
      <tp t="e">
        <v>#N/A</v>
        <stp/>
        <stp>VOLUME</stp>
        <stp>.SPX251219P5440</stp>
        <tr r="W129" s="2"/>
      </tp>
      <tp t="e">
        <v>#N/A</v>
        <stp/>
        <stp>VOLUME</stp>
        <stp>.SPX250718P5450</stp>
        <tr r="M128" s="2"/>
      </tp>
      <tp t="e">
        <v>#N/A</v>
        <stp/>
        <stp>VOLUME</stp>
        <stp>.SPX250919P5440</stp>
        <tr r="Q129" s="2"/>
      </tp>
      <tp t="e">
        <v>#N/A</v>
        <stp/>
        <stp>VOLUME</stp>
        <stp>.SPX250815P5480</stp>
        <tr r="O125" s="2"/>
      </tp>
      <tp t="e">
        <v>#N/A</v>
        <stp/>
        <stp>VOLUME</stp>
        <stp>.SPX250718C5420</stp>
        <tr r="M131" s="2"/>
      </tp>
      <tp t="e">
        <v>#N/A</v>
        <stp/>
        <stp>VOLUME</stp>
        <stp>.SPX250523C5790</stp>
        <tr r="H94" s="2"/>
      </tp>
      <tp t="e">
        <v>#N/A</v>
        <stp/>
        <stp>VOLUME</stp>
        <stp>.SPX250919C5430</stp>
        <tr r="Q130" s="2"/>
      </tp>
      <tp t="e">
        <v>#N/A</v>
        <stp/>
        <stp>VOLUME</stp>
        <stp>.SPX251219C5430</stp>
        <tr r="W130" s="2"/>
      </tp>
      <tp t="e">
        <v>#N/A</v>
        <stp/>
        <stp>VOLUME</stp>
        <stp>.SPX251219P5430</stp>
        <tr r="W130" s="2"/>
      </tp>
      <tp t="e">
        <v>#N/A</v>
        <stp/>
        <stp>VOLUME</stp>
        <stp>.SPX250718P5420</stp>
        <tr r="M131" s="2"/>
      </tp>
      <tp t="e">
        <v>#N/A</v>
        <stp/>
        <stp>VOLUME</stp>
        <stp>.SPX250523P5790</stp>
        <tr r="H94" s="2"/>
      </tp>
      <tp t="e">
        <v>#N/A</v>
        <stp/>
        <stp>VOLUME</stp>
        <stp>.SPX250919P5430</stp>
        <tr r="Q130" s="2"/>
      </tp>
      <tp t="e">
        <v>#N/A</v>
        <stp/>
        <stp>VOLUME</stp>
        <stp>.SPX250718C5430</stp>
        <tr r="M130" s="2"/>
      </tp>
      <tp t="e">
        <v>#N/A</v>
        <stp/>
        <stp>VOLUME</stp>
        <stp>.SPX250523C5780</stp>
        <tr r="H95" s="2"/>
      </tp>
      <tp t="e">
        <v>#N/A</v>
        <stp/>
        <stp>VOLUME</stp>
        <stp>.SPX250919C5420</stp>
        <tr r="Q131" s="2"/>
      </tp>
      <tp t="e">
        <v>#N/A</v>
        <stp/>
        <stp>VOLUME</stp>
        <stp>.SPX251219C5420</stp>
        <tr r="W131" s="2"/>
      </tp>
      <tp t="e">
        <v>#N/A</v>
        <stp/>
        <stp>VOLUME</stp>
        <stp>.SPX251219P5420</stp>
        <tr r="W131" s="2"/>
      </tp>
      <tp t="e">
        <v>#N/A</v>
        <stp/>
        <stp>VOLUME</stp>
        <stp>.SPX250718P5430</stp>
        <tr r="M130" s="2"/>
      </tp>
      <tp t="e">
        <v>#N/A</v>
        <stp/>
        <stp>VOLUME</stp>
        <stp>.SPX250523P5780</stp>
        <tr r="H95" s="2"/>
      </tp>
      <tp t="e">
        <v>#N/A</v>
        <stp/>
        <stp>VOLUME</stp>
        <stp>.SPX250919P5420</stp>
        <tr r="Q131" s="2"/>
      </tp>
      <tp t="e">
        <v>#N/A</v>
        <stp/>
        <stp>VOLUME</stp>
        <stp>.SPX250620C5780</stp>
        <tr r="K95" s="2"/>
      </tp>
      <tp t="e">
        <v>#N/A</v>
        <stp/>
        <stp>VOLUME</stp>
        <stp>.SPX251121C5790</stp>
        <tr r="U94" s="2"/>
      </tp>
      <tp t="e">
        <v>#N/A</v>
        <stp/>
        <stp>VOLUME</stp>
        <stp>.SPX251121P5790</stp>
        <tr r="U94" s="2"/>
      </tp>
      <tp t="e">
        <v>#N/A</v>
        <stp/>
        <stp>VOLUME</stp>
        <stp>.SPX250620P5780</stp>
        <tr r="K95" s="2"/>
      </tp>
      <tp t="e">
        <v>#N/A</v>
        <stp/>
        <stp>VOLUME</stp>
        <stp>.SPX250620C5790</stp>
        <tr r="K94" s="2"/>
      </tp>
      <tp t="e">
        <v>#N/A</v>
        <stp/>
        <stp>VOLUME</stp>
        <stp>.SPX251121C5780</stp>
        <tr r="U95" s="2"/>
      </tp>
      <tp t="e">
        <v>#N/A</v>
        <stp/>
        <stp>VOLUME</stp>
        <stp>.SPX251121P5780</stp>
        <tr r="U95" s="2"/>
      </tp>
      <tp t="e">
        <v>#N/A</v>
        <stp/>
        <stp>VOLUME</stp>
        <stp>.SPX250620P5790</stp>
        <tr r="K94" s="2"/>
      </tp>
      <tp t="e">
        <v>#N/A</v>
        <stp/>
        <stp>IMPL_VOL</stp>
        <stp>.NDX250516C19680</stp>
        <tr r="EP175" s="1"/>
      </tp>
      <tp t="e">
        <v>#N/A</v>
        <stp/>
        <stp>IMPL_VOL</stp>
        <stp>.NDX250516C19600</stp>
        <tr r="EP179" s="1"/>
      </tp>
      <tp t="e">
        <v>#N/A</v>
        <stp/>
        <stp>IMPL_VOL</stp>
        <stp>.NDX250516C19620</stp>
        <tr r="EP178" s="1"/>
      </tp>
      <tp t="e">
        <v>#N/A</v>
        <stp/>
        <stp>IMPL_VOL</stp>
        <stp>.NDX250516C19640</stp>
        <tr r="EP177" s="1"/>
      </tp>
      <tp t="e">
        <v>#N/A</v>
        <stp/>
        <stp>IMPL_VOL</stp>
        <stp>.NDX250516C19660</stp>
        <tr r="EP176" s="1"/>
      </tp>
      <tp t="e">
        <v>#N/A</v>
        <stp/>
        <stp>IMPL_VOL</stp>
        <stp>.NDX250516P19680</stp>
        <tr r="EQ175" s="1"/>
      </tp>
      <tp t="e">
        <v>#N/A</v>
        <stp/>
        <stp>IMPL_VOL</stp>
        <stp>.NDX250516P19620</stp>
        <tr r="EQ178" s="1"/>
      </tp>
      <tp t="e">
        <v>#N/A</v>
        <stp/>
        <stp>IMPL_VOL</stp>
        <stp>.NDX250516P19600</stp>
        <tr r="EQ179" s="1"/>
      </tp>
      <tp t="e">
        <v>#N/A</v>
        <stp/>
        <stp>IMPL_VOL</stp>
        <stp>.NDX250516P19660</stp>
        <tr r="EQ176" s="1"/>
      </tp>
      <tp t="e">
        <v>#N/A</v>
        <stp/>
        <stp>IMPL_VOL</stp>
        <stp>.NDX250516P19640</stp>
        <tr r="EQ177" s="1"/>
      </tp>
      <tp t="e">
        <v>#N/A</v>
        <stp/>
        <stp>VOLUME</stp>
        <stp>.SPX250620C5660</stp>
        <tr r="K107" s="2"/>
      </tp>
      <tp t="e">
        <v>#N/A</v>
        <stp/>
        <stp>VOLUME</stp>
        <stp>.SPX250523C5650</stp>
        <tr r="H108" s="2"/>
      </tp>
      <tp t="e">
        <v>#N/A</v>
        <stp/>
        <stp>VOLUME</stp>
        <stp>.SPX250815C5530</stp>
        <tr r="O120" s="2"/>
      </tp>
      <tp t="e">
        <v>#N/A</v>
        <stp/>
        <stp>VOLUME</stp>
        <stp>.SPX251121C5670</stp>
        <tr r="U106" s="2"/>
      </tp>
      <tp t="e">
        <v>#N/A</v>
        <stp/>
        <stp>VOLUME</stp>
        <stp>.SPX251017C5510</stp>
        <tr r="S122" s="2"/>
      </tp>
      <tp t="e">
        <v>#N/A</v>
        <stp/>
        <stp>VOLUME</stp>
        <stp>.SPX251121P5670</stp>
        <tr r="U106" s="2"/>
      </tp>
      <tp t="e">
        <v>#N/A</v>
        <stp/>
        <stp>VOLUME</stp>
        <stp>.SPX251017P5510</stp>
        <tr r="S122" s="2"/>
      </tp>
      <tp t="e">
        <v>#N/A</v>
        <stp/>
        <stp>VOLUME</stp>
        <stp>.SPX250620P5660</stp>
        <tr r="K107" s="2"/>
      </tp>
      <tp t="e">
        <v>#N/A</v>
        <stp/>
        <stp>VOLUME</stp>
        <stp>.SPX250523P5650</stp>
        <tr r="H108" s="2"/>
      </tp>
      <tp t="e">
        <v>#N/A</v>
        <stp/>
        <stp>VOLUME</stp>
        <stp>.SPX250815P5530</stp>
        <tr r="O120" s="2"/>
      </tp>
      <tp t="e">
        <v>#N/A</v>
        <stp/>
        <stp>VOLUME</stp>
        <stp>.SPX250620C5670</stp>
        <tr r="K106" s="2"/>
      </tp>
      <tp t="e">
        <v>#N/A</v>
        <stp/>
        <stp>VOLUME</stp>
        <stp>.SPX250523C5640</stp>
        <tr r="H109" s="2"/>
      </tp>
      <tp t="e">
        <v>#N/A</v>
        <stp/>
        <stp>VOLUME</stp>
        <stp>.SPX250815C5520</stp>
        <tr r="O121" s="2"/>
      </tp>
      <tp t="e">
        <v>#N/A</v>
        <stp/>
        <stp>VOLUME</stp>
        <stp>.SPX251121C5660</stp>
        <tr r="U107" s="2"/>
      </tp>
      <tp t="e">
        <v>#N/A</v>
        <stp/>
        <stp>VOLUME</stp>
        <stp>.SPX251017C5500</stp>
        <tr r="S123" s="2"/>
      </tp>
      <tp t="e">
        <v>#N/A</v>
        <stp/>
        <stp>VOLUME</stp>
        <stp>.SPX251121P5660</stp>
        <tr r="U107" s="2"/>
      </tp>
      <tp t="e">
        <v>#N/A</v>
        <stp/>
        <stp>VOLUME</stp>
        <stp>.SPX251017P5500</stp>
        <tr r="S123" s="2"/>
      </tp>
      <tp t="e">
        <v>#N/A</v>
        <stp/>
        <stp>VOLUME</stp>
        <stp>.SPX250620P5670</stp>
        <tr r="K106" s="2"/>
      </tp>
      <tp t="e">
        <v>#N/A</v>
        <stp/>
        <stp>VOLUME</stp>
        <stp>.SPX250523P5640</stp>
        <tr r="H109" s="2"/>
      </tp>
      <tp t="e">
        <v>#N/A</v>
        <stp/>
        <stp>VOLUME</stp>
        <stp>.SPX250815P5520</stp>
        <tr r="O121" s="2"/>
      </tp>
      <tp t="e">
        <v>#N/A</v>
        <stp/>
        <stp>VOLUME</stp>
        <stp>.SPX250620C5640</stp>
        <tr r="K109" s="2"/>
      </tp>
      <tp t="e">
        <v>#N/A</v>
        <stp/>
        <stp>VOLUME</stp>
        <stp>.SPX250523C5670</stp>
        <tr r="H106" s="2"/>
      </tp>
      <tp t="e">
        <v>#N/A</v>
        <stp/>
        <stp>VOLUME</stp>
        <stp>.SPX250815C5510</stp>
        <tr r="O122" s="2"/>
      </tp>
      <tp t="e">
        <v>#N/A</v>
        <stp/>
        <stp>VOLUME</stp>
        <stp>.SPX251121C5650</stp>
        <tr r="U108" s="2"/>
      </tp>
      <tp t="e">
        <v>#N/A</v>
        <stp/>
        <stp>VOLUME</stp>
        <stp>.SPX251017C5530</stp>
        <tr r="S120" s="2"/>
      </tp>
      <tp t="e">
        <v>#N/A</v>
        <stp/>
        <stp>VOLUME</stp>
        <stp>.SPX251121P5650</stp>
        <tr r="U108" s="2"/>
      </tp>
      <tp t="e">
        <v>#N/A</v>
        <stp/>
        <stp>VOLUME</stp>
        <stp>.SPX251017P5530</stp>
        <tr r="S120" s="2"/>
      </tp>
      <tp t="e">
        <v>#N/A</v>
        <stp/>
        <stp>VOLUME</stp>
        <stp>.SPX250620P5640</stp>
        <tr r="K109" s="2"/>
      </tp>
      <tp t="e">
        <v>#N/A</v>
        <stp/>
        <stp>VOLUME</stp>
        <stp>.SPX250523P5670</stp>
        <tr r="H106" s="2"/>
      </tp>
      <tp t="e">
        <v>#N/A</v>
        <stp/>
        <stp>VOLUME</stp>
        <stp>.SPX250815P5510</stp>
        <tr r="O122" s="2"/>
      </tp>
      <tp t="e">
        <v>#N/A</v>
        <stp/>
        <stp>VOLUME</stp>
        <stp>.SPX250620C5650</stp>
        <tr r="K108" s="2"/>
      </tp>
      <tp t="e">
        <v>#N/A</v>
        <stp/>
        <stp>VOLUME</stp>
        <stp>.SPX250523C5660</stp>
        <tr r="H107" s="2"/>
      </tp>
      <tp t="e">
        <v>#N/A</v>
        <stp/>
        <stp>VOLUME</stp>
        <stp>.SPX250815C5500</stp>
        <tr r="O123" s="2"/>
      </tp>
      <tp t="e">
        <v>#N/A</v>
        <stp/>
        <stp>VOLUME</stp>
        <stp>.SPX251121C5640</stp>
        <tr r="U109" s="2"/>
      </tp>
      <tp t="e">
        <v>#N/A</v>
        <stp/>
        <stp>VOLUME</stp>
        <stp>.SPX251017C5520</stp>
        <tr r="S121" s="2"/>
      </tp>
      <tp t="e">
        <v>#N/A</v>
        <stp/>
        <stp>VOLUME</stp>
        <stp>.SPX251121P5640</stp>
        <tr r="U109" s="2"/>
      </tp>
      <tp t="e">
        <v>#N/A</v>
        <stp/>
        <stp>VOLUME</stp>
        <stp>.SPX251017P5520</stp>
        <tr r="S121" s="2"/>
      </tp>
      <tp t="e">
        <v>#N/A</v>
        <stp/>
        <stp>VOLUME</stp>
        <stp>.SPX250620P5650</stp>
        <tr r="K108" s="2"/>
      </tp>
      <tp t="e">
        <v>#N/A</v>
        <stp/>
        <stp>VOLUME</stp>
        <stp>.SPX250523P5660</stp>
        <tr r="H107" s="2"/>
      </tp>
      <tp t="e">
        <v>#N/A</v>
        <stp/>
        <stp>VOLUME</stp>
        <stp>.SPX250815P5500</stp>
        <tr r="O123" s="2"/>
      </tp>
      <tp t="e">
        <v>#N/A</v>
        <stp/>
        <stp>VOLUME</stp>
        <stp>.SPX250620C5620</stp>
        <tr r="K111" s="2"/>
      </tp>
      <tp t="e">
        <v>#N/A</v>
        <stp/>
        <stp>VOLUME</stp>
        <stp>.SPX250523C5610</stp>
        <tr r="H112" s="2"/>
      </tp>
      <tp t="e">
        <v>#N/A</v>
        <stp/>
        <stp>VOLUME</stp>
        <stp>.SPX250815C5570</stp>
        <tr r="O116" s="2"/>
      </tp>
      <tp t="e">
        <v>#N/A</v>
        <stp/>
        <stp>VOLUME</stp>
        <stp>.SPX251121C5630</stp>
        <tr r="U110" s="2"/>
      </tp>
      <tp t="e">
        <v>#N/A</v>
        <stp/>
        <stp>VOLUME</stp>
        <stp>.SPX251017C5550</stp>
        <tr r="S118" s="2"/>
      </tp>
      <tp t="e">
        <v>#N/A</v>
        <stp/>
        <stp>VOLUME</stp>
        <stp>.SPX251121P5630</stp>
        <tr r="U110" s="2"/>
      </tp>
      <tp t="e">
        <v>#N/A</v>
        <stp/>
        <stp>VOLUME</stp>
        <stp>.SPX251017P5550</stp>
        <tr r="S118" s="2"/>
      </tp>
      <tp t="e">
        <v>#N/A</v>
        <stp/>
        <stp>VOLUME</stp>
        <stp>.SPX250620P5620</stp>
        <tr r="K111" s="2"/>
      </tp>
      <tp t="e">
        <v>#N/A</v>
        <stp/>
        <stp>VOLUME</stp>
        <stp>.SPX250523P5610</stp>
        <tr r="H112" s="2"/>
      </tp>
      <tp t="e">
        <v>#N/A</v>
        <stp/>
        <stp>VOLUME</stp>
        <stp>.SPX250815P5570</stp>
        <tr r="O116" s="2"/>
      </tp>
      <tp t="e">
        <v>#N/A</v>
        <stp/>
        <stp>VOLUME</stp>
        <stp>.SPX250620C5630</stp>
        <tr r="K110" s="2"/>
      </tp>
      <tp t="e">
        <v>#N/A</v>
        <stp/>
        <stp>VOLUME</stp>
        <stp>.SPX250523C5600</stp>
        <tr r="H113" s="2"/>
      </tp>
      <tp t="e">
        <v>#N/A</v>
        <stp/>
        <stp>VOLUME</stp>
        <stp>.SPX250815C5560</stp>
        <tr r="O117" s="2"/>
      </tp>
      <tp t="e">
        <v>#N/A</v>
        <stp/>
        <stp>VOLUME</stp>
        <stp>.SPX251121C5620</stp>
        <tr r="U111" s="2"/>
      </tp>
      <tp t="e">
        <v>#N/A</v>
        <stp/>
        <stp>VOLUME</stp>
        <stp>.SPX251017C5540</stp>
        <tr r="S119" s="2"/>
      </tp>
      <tp t="e">
        <v>#N/A</v>
        <stp/>
        <stp>VOLUME</stp>
        <stp>.SPX251121P5620</stp>
        <tr r="U111" s="2"/>
      </tp>
      <tp t="e">
        <v>#N/A</v>
        <stp/>
        <stp>VOLUME</stp>
        <stp>.SPX251017P5540</stp>
        <tr r="S119" s="2"/>
      </tp>
      <tp t="e">
        <v>#N/A</v>
        <stp/>
        <stp>VOLUME</stp>
        <stp>.SPX250620P5630</stp>
        <tr r="K110" s="2"/>
      </tp>
      <tp t="e">
        <v>#N/A</v>
        <stp/>
        <stp>VOLUME</stp>
        <stp>.SPX250523P5600</stp>
        <tr r="H113" s="2"/>
      </tp>
      <tp t="e">
        <v>#N/A</v>
        <stp/>
        <stp>VOLUME</stp>
        <stp>.SPX250815P5560</stp>
        <tr r="O117" s="2"/>
      </tp>
      <tp t="e">
        <v>#N/A</v>
        <stp/>
        <stp>VOLUME</stp>
        <stp>.SPX250718C5580</stp>
        <tr r="M115" s="2"/>
      </tp>
      <tp t="e">
        <v>#N/A</v>
        <stp/>
        <stp>VOLUME</stp>
        <stp>.SPX250620C5600</stp>
        <tr r="K113" s="2"/>
      </tp>
      <tp t="e">
        <v>#N/A</v>
        <stp/>
        <stp>VOLUME</stp>
        <stp>.SPX250523C5630</stp>
        <tr r="H110" s="2"/>
      </tp>
      <tp t="e">
        <v>#N/A</v>
        <stp/>
        <stp>VOLUME</stp>
        <stp>.SPX250919C5590</stp>
        <tr r="Q114" s="2"/>
      </tp>
      <tp t="e">
        <v>#N/A</v>
        <stp/>
        <stp>VOLUME</stp>
        <stp>.SPX250815C5550</stp>
        <tr r="O118" s="2"/>
      </tp>
      <tp t="e">
        <v>#N/A</v>
        <stp/>
        <stp>VOLUME</stp>
        <stp>.SPX251219C5590</stp>
        <tr r="W114" s="2"/>
      </tp>
      <tp t="e">
        <v>#N/A</v>
        <stp/>
        <stp>VOLUME</stp>
        <stp>.SPX251121C5610</stp>
        <tr r="U112" s="2"/>
      </tp>
      <tp t="e">
        <v>#N/A</v>
        <stp/>
        <stp>VOLUME</stp>
        <stp>.SPX251017C5570</stp>
        <tr r="S116" s="2"/>
      </tp>
      <tp t="e">
        <v>#N/A</v>
        <stp/>
        <stp>VOLUME</stp>
        <stp>.SPX251219P5590</stp>
        <tr r="W114" s="2"/>
      </tp>
      <tp t="e">
        <v>#N/A</v>
        <stp/>
        <stp>VOLUME</stp>
        <stp>.SPX251121P5610</stp>
        <tr r="U112" s="2"/>
      </tp>
      <tp t="e">
        <v>#N/A</v>
        <stp/>
        <stp>VOLUME</stp>
        <stp>.SPX251017P5570</stp>
        <tr r="S116" s="2"/>
      </tp>
      <tp t="e">
        <v>#N/A</v>
        <stp/>
        <stp>VOLUME</stp>
        <stp>.SPX250718P5580</stp>
        <tr r="M115" s="2"/>
      </tp>
      <tp t="e">
        <v>#N/A</v>
        <stp/>
        <stp>VOLUME</stp>
        <stp>.SPX250620P5600</stp>
        <tr r="K113" s="2"/>
      </tp>
      <tp t="e">
        <v>#N/A</v>
        <stp/>
        <stp>VOLUME</stp>
        <stp>.SPX250523P5630</stp>
        <tr r="H110" s="2"/>
      </tp>
      <tp t="e">
        <v>#N/A</v>
        <stp/>
        <stp>VOLUME</stp>
        <stp>.SPX250919P5590</stp>
        <tr r="Q114" s="2"/>
      </tp>
      <tp t="e">
        <v>#N/A</v>
        <stp/>
        <stp>VOLUME</stp>
        <stp>.SPX250815P5550</stp>
        <tr r="O118" s="2"/>
      </tp>
      <tp t="e">
        <v>#N/A</v>
        <stp/>
        <stp>VOLUME</stp>
        <stp>.SPX250718C5590</stp>
        <tr r="M114" s="2"/>
      </tp>
      <tp t="e">
        <v>#N/A</v>
        <stp/>
        <stp>VOLUME</stp>
        <stp>.SPX250620C5610</stp>
        <tr r="K112" s="2"/>
      </tp>
      <tp t="e">
        <v>#N/A</v>
        <stp/>
        <stp>VOLUME</stp>
        <stp>.SPX250523C5620</stp>
        <tr r="H111" s="2"/>
      </tp>
      <tp t="e">
        <v>#N/A</v>
        <stp/>
        <stp>VOLUME</stp>
        <stp>.SPX250919C5580</stp>
        <tr r="Q115" s="2"/>
      </tp>
      <tp t="e">
        <v>#N/A</v>
        <stp/>
        <stp>VOLUME</stp>
        <stp>.SPX250815C5540</stp>
        <tr r="O119" s="2"/>
      </tp>
      <tp t="e">
        <v>#N/A</v>
        <stp/>
        <stp>VOLUME</stp>
        <stp>.SPX251219C5580</stp>
        <tr r="W115" s="2"/>
      </tp>
      <tp t="e">
        <v>#N/A</v>
        <stp/>
        <stp>VOLUME</stp>
        <stp>.SPX251121C5600</stp>
        <tr r="U113" s="2"/>
      </tp>
      <tp t="e">
        <v>#N/A</v>
        <stp/>
        <stp>VOLUME</stp>
        <stp>.SPX251017C5560</stp>
        <tr r="S117" s="2"/>
      </tp>
      <tp t="e">
        <v>#N/A</v>
        <stp/>
        <stp>VOLUME</stp>
        <stp>.SPX251219P5580</stp>
        <tr r="W115" s="2"/>
      </tp>
      <tp t="e">
        <v>#N/A</v>
        <stp/>
        <stp>VOLUME</stp>
        <stp>.SPX251121P5600</stp>
        <tr r="U113" s="2"/>
      </tp>
      <tp t="e">
        <v>#N/A</v>
        <stp/>
        <stp>VOLUME</stp>
        <stp>.SPX251017P5560</stp>
        <tr r="S117" s="2"/>
      </tp>
      <tp t="e">
        <v>#N/A</v>
        <stp/>
        <stp>VOLUME</stp>
        <stp>.SPX250718P5590</stp>
        <tr r="M114" s="2"/>
      </tp>
      <tp t="e">
        <v>#N/A</v>
        <stp/>
        <stp>VOLUME</stp>
        <stp>.SPX250620P5610</stp>
        <tr r="K112" s="2"/>
      </tp>
      <tp t="e">
        <v>#N/A</v>
        <stp/>
        <stp>VOLUME</stp>
        <stp>.SPX250523P5620</stp>
        <tr r="H111" s="2"/>
      </tp>
      <tp t="e">
        <v>#N/A</v>
        <stp/>
        <stp>VOLUME</stp>
        <stp>.SPX250919P5580</stp>
        <tr r="Q115" s="2"/>
      </tp>
      <tp t="e">
        <v>#N/A</v>
        <stp/>
        <stp>VOLUME</stp>
        <stp>.SPX250815P5540</stp>
        <tr r="O119" s="2"/>
      </tp>
      <tp t="e">
        <v>#N/A</v>
        <stp/>
        <stp>VOLUME</stp>
        <stp>.SPX250718C5560</stp>
        <tr r="M117" s="2"/>
      </tp>
      <tp t="e">
        <v>#N/A</v>
        <stp/>
        <stp>VOLUME</stp>
        <stp>.SPX250919C5570</stp>
        <tr r="Q116" s="2"/>
      </tp>
      <tp t="e">
        <v>#N/A</v>
        <stp/>
        <stp>VOLUME</stp>
        <stp>.SPX251219C5570</stp>
        <tr r="W116" s="2"/>
      </tp>
      <tp t="e">
        <v>#N/A</v>
        <stp/>
        <stp>VOLUME</stp>
        <stp>.SPX251017C5590</stp>
        <tr r="S114" s="2"/>
      </tp>
      <tp t="e">
        <v>#N/A</v>
        <stp/>
        <stp>VOLUME</stp>
        <stp>.SPX251219P5570</stp>
        <tr r="W116" s="2"/>
      </tp>
      <tp t="e">
        <v>#N/A</v>
        <stp/>
        <stp>VOLUME</stp>
        <stp>.SPX251017P5590</stp>
        <tr r="S114" s="2"/>
      </tp>
      <tp t="e">
        <v>#N/A</v>
        <stp/>
        <stp>VOLUME</stp>
        <stp>.SPX250718P5560</stp>
        <tr r="M117" s="2"/>
      </tp>
      <tp t="e">
        <v>#N/A</v>
        <stp/>
        <stp>VOLUME</stp>
        <stp>.SPX250919P5570</stp>
        <tr r="Q116" s="2"/>
      </tp>
      <tp t="e">
        <v>#N/A</v>
        <stp/>
        <stp>VOLUME</stp>
        <stp>.SPX250718C5570</stp>
        <tr r="M116" s="2"/>
      </tp>
      <tp t="e">
        <v>#N/A</v>
        <stp/>
        <stp>VOLUME</stp>
        <stp>.SPX250919C5560</stp>
        <tr r="Q117" s="2"/>
      </tp>
      <tp t="e">
        <v>#N/A</v>
        <stp/>
        <stp>VOLUME</stp>
        <stp>.SPX251219C5560</stp>
        <tr r="W117" s="2"/>
      </tp>
      <tp t="e">
        <v>#N/A</v>
        <stp/>
        <stp>VOLUME</stp>
        <stp>.SPX251017C5580</stp>
        <tr r="S115" s="2"/>
      </tp>
      <tp t="e">
        <v>#N/A</v>
        <stp/>
        <stp>VOLUME</stp>
        <stp>.SPX251219P5560</stp>
        <tr r="W117" s="2"/>
      </tp>
      <tp t="e">
        <v>#N/A</v>
        <stp/>
        <stp>VOLUME</stp>
        <stp>.SPX251017P5580</stp>
        <tr r="S115" s="2"/>
      </tp>
      <tp t="e">
        <v>#N/A</v>
        <stp/>
        <stp>VOLUME</stp>
        <stp>.SPX250718P5570</stp>
        <tr r="M116" s="2"/>
      </tp>
      <tp t="e">
        <v>#N/A</v>
        <stp/>
        <stp>VOLUME</stp>
        <stp>.SPX250919P5560</stp>
        <tr r="Q117" s="2"/>
      </tp>
      <tp t="e">
        <v>#N/A</v>
        <stp/>
        <stp>VOLUME</stp>
        <stp>.SPX250718C5540</stp>
        <tr r="M119" s="2"/>
      </tp>
      <tp t="e">
        <v>#N/A</v>
        <stp/>
        <stp>VOLUME</stp>
        <stp>.SPX250919C5550</stp>
        <tr r="Q118" s="2"/>
      </tp>
      <tp t="e">
        <v>#N/A</v>
        <stp/>
        <stp>VOLUME</stp>
        <stp>.SPX250815C5590</stp>
        <tr r="O114" s="2"/>
      </tp>
      <tp t="e">
        <v>#N/A</v>
        <stp/>
        <stp>VOLUME</stp>
        <stp>.SPX251219C5550</stp>
        <tr r="W118" s="2"/>
      </tp>
      <tp t="e">
        <v>#N/A</v>
        <stp/>
        <stp>VOLUME</stp>
        <stp>.SPX251219P5550</stp>
        <tr r="W118" s="2"/>
      </tp>
      <tp t="e">
        <v>#N/A</v>
        <stp/>
        <stp>VOLUME</stp>
        <stp>.SPX250718P5540</stp>
        <tr r="M119" s="2"/>
      </tp>
      <tp t="e">
        <v>#N/A</v>
        <stp/>
        <stp>VOLUME</stp>
        <stp>.SPX250919P5550</stp>
        <tr r="Q118" s="2"/>
      </tp>
      <tp t="e">
        <v>#N/A</v>
        <stp/>
        <stp>VOLUME</stp>
        <stp>.SPX250815P5590</stp>
        <tr r="O114" s="2"/>
      </tp>
      <tp t="e">
        <v>#N/A</v>
        <stp/>
        <stp>VOLUME</stp>
        <stp>.SPX250718C5550</stp>
        <tr r="M118" s="2"/>
      </tp>
      <tp t="e">
        <v>#N/A</v>
        <stp/>
        <stp>VOLUME</stp>
        <stp>.SPX250919C5540</stp>
        <tr r="Q119" s="2"/>
      </tp>
      <tp t="e">
        <v>#N/A</v>
        <stp/>
        <stp>VOLUME</stp>
        <stp>.SPX250815C5580</stp>
        <tr r="O115" s="2"/>
      </tp>
      <tp t="e">
        <v>#N/A</v>
        <stp/>
        <stp>VOLUME</stp>
        <stp>.SPX251219C5540</stp>
        <tr r="W119" s="2"/>
      </tp>
      <tp t="e">
        <v>#N/A</v>
        <stp/>
        <stp>VOLUME</stp>
        <stp>.SPX251219P5540</stp>
        <tr r="W119" s="2"/>
      </tp>
      <tp t="e">
        <v>#N/A</v>
        <stp/>
        <stp>VOLUME</stp>
        <stp>.SPX250718P5550</stp>
        <tr r="M118" s="2"/>
      </tp>
      <tp t="e">
        <v>#N/A</v>
        <stp/>
        <stp>VOLUME</stp>
        <stp>.SPX250919P5540</stp>
        <tr r="Q119" s="2"/>
      </tp>
      <tp t="e">
        <v>#N/A</v>
        <stp/>
        <stp>VOLUME</stp>
        <stp>.SPX250815P5580</stp>
        <tr r="O115" s="2"/>
      </tp>
      <tp t="e">
        <v>#N/A</v>
        <stp/>
        <stp>VOLUME</stp>
        <stp>.SPX250718C5520</stp>
        <tr r="M121" s="2"/>
      </tp>
      <tp t="e">
        <v>#N/A</v>
        <stp/>
        <stp>VOLUME</stp>
        <stp>.SPX250523C5690</stp>
        <tr r="H104" s="2"/>
      </tp>
      <tp t="e">
        <v>#N/A</v>
        <stp/>
        <stp>VOLUME</stp>
        <stp>.SPX250919C5530</stp>
        <tr r="Q120" s="2"/>
      </tp>
      <tp t="e">
        <v>#N/A</v>
        <stp/>
        <stp>VOLUME</stp>
        <stp>.SPX251219C5530</stp>
        <tr r="W120" s="2"/>
      </tp>
      <tp t="e">
        <v>#N/A</v>
        <stp/>
        <stp>VOLUME</stp>
        <stp>.SPX251219P5530</stp>
        <tr r="W120" s="2"/>
      </tp>
      <tp t="e">
        <v>#N/A</v>
        <stp/>
        <stp>VOLUME</stp>
        <stp>.SPX250718P5520</stp>
        <tr r="M121" s="2"/>
      </tp>
      <tp t="e">
        <v>#N/A</v>
        <stp/>
        <stp>VOLUME</stp>
        <stp>.SPX250523P5690</stp>
        <tr r="H104" s="2"/>
      </tp>
      <tp t="e">
        <v>#N/A</v>
        <stp/>
        <stp>VOLUME</stp>
        <stp>.SPX250919P5530</stp>
        <tr r="Q120" s="2"/>
      </tp>
      <tp t="e">
        <v>#N/A</v>
        <stp/>
        <stp>VOLUME</stp>
        <stp>.SPX250718C5530</stp>
        <tr r="M120" s="2"/>
      </tp>
      <tp t="e">
        <v>#N/A</v>
        <stp/>
        <stp>VOLUME</stp>
        <stp>.SPX250523C5680</stp>
        <tr r="H105" s="2"/>
      </tp>
      <tp t="e">
        <v>#N/A</v>
        <stp/>
        <stp>VOLUME</stp>
        <stp>.SPX250919C5520</stp>
        <tr r="Q121" s="2"/>
      </tp>
      <tp t="e">
        <v>#N/A</v>
        <stp/>
        <stp>VOLUME</stp>
        <stp>.SPX251219C5520</stp>
        <tr r="W121" s="2"/>
      </tp>
      <tp t="e">
        <v>#N/A</v>
        <stp/>
        <stp>VOLUME</stp>
        <stp>.SPX251219P5520</stp>
        <tr r="W121" s="2"/>
      </tp>
      <tp t="e">
        <v>#N/A</v>
        <stp/>
        <stp>VOLUME</stp>
        <stp>.SPX250718P5530</stp>
        <tr r="M120" s="2"/>
      </tp>
      <tp t="e">
        <v>#N/A</v>
        <stp/>
        <stp>VOLUME</stp>
        <stp>.SPX250523P5680</stp>
        <tr r="H105" s="2"/>
      </tp>
      <tp t="e">
        <v>#N/A</v>
        <stp/>
        <stp>VOLUME</stp>
        <stp>.SPX250919P5520</stp>
        <tr r="Q121" s="2"/>
      </tp>
      <tp t="e">
        <v>#N/A</v>
        <stp/>
        <stp>VOLUME</stp>
        <stp>.SPX250718C5500</stp>
        <tr r="M123" s="2"/>
      </tp>
      <tp t="e">
        <v>#N/A</v>
        <stp/>
        <stp>VOLUME</stp>
        <stp>.SPX250620C5680</stp>
        <tr r="K105" s="2"/>
      </tp>
      <tp t="e">
        <v>#N/A</v>
        <stp/>
        <stp>VOLUME</stp>
        <stp>.SPX250919C5510</stp>
        <tr r="Q122" s="2"/>
      </tp>
      <tp t="e">
        <v>#N/A</v>
        <stp/>
        <stp>VOLUME</stp>
        <stp>.SPX251219C5510</stp>
        <tr r="W122" s="2"/>
      </tp>
      <tp t="e">
        <v>#N/A</v>
        <stp/>
        <stp>VOLUME</stp>
        <stp>.SPX251121C5690</stp>
        <tr r="U104" s="2"/>
      </tp>
      <tp t="e">
        <v>#N/A</v>
        <stp/>
        <stp>VOLUME</stp>
        <stp>.SPX251219P5510</stp>
        <tr r="W122" s="2"/>
      </tp>
      <tp t="e">
        <v>#N/A</v>
        <stp/>
        <stp>VOLUME</stp>
        <stp>.SPX251121P5690</stp>
        <tr r="U104" s="2"/>
      </tp>
      <tp t="e">
        <v>#N/A</v>
        <stp/>
        <stp>VOLUME</stp>
        <stp>.SPX250718P5500</stp>
        <tr r="M123" s="2"/>
      </tp>
      <tp t="e">
        <v>#N/A</v>
        <stp/>
        <stp>VOLUME</stp>
        <stp>.SPX250620P5680</stp>
        <tr r="K105" s="2"/>
      </tp>
      <tp t="e">
        <v>#N/A</v>
        <stp/>
        <stp>VOLUME</stp>
        <stp>.SPX250919P5510</stp>
        <tr r="Q122" s="2"/>
      </tp>
      <tp t="e">
        <v>#N/A</v>
        <stp/>
        <stp>VOLUME</stp>
        <stp>.SPX250718C5510</stp>
        <tr r="M122" s="2"/>
      </tp>
      <tp t="e">
        <v>#N/A</v>
        <stp/>
        <stp>VOLUME</stp>
        <stp>.SPX250620C5690</stp>
        <tr r="K104" s="2"/>
      </tp>
      <tp t="e">
        <v>#N/A</v>
        <stp/>
        <stp>VOLUME</stp>
        <stp>.SPX250919C5500</stp>
        <tr r="Q123" s="2"/>
      </tp>
      <tp t="e">
        <v>#N/A</v>
        <stp/>
        <stp>VOLUME</stp>
        <stp>.SPX251219C5500</stp>
        <tr r="W123" s="2"/>
      </tp>
      <tp t="e">
        <v>#N/A</v>
        <stp/>
        <stp>VOLUME</stp>
        <stp>.SPX251121C5680</stp>
        <tr r="U105" s="2"/>
      </tp>
      <tp t="e">
        <v>#N/A</v>
        <stp/>
        <stp>VOLUME</stp>
        <stp>.SPX251219P5500</stp>
        <tr r="W123" s="2"/>
      </tp>
      <tp t="e">
        <v>#N/A</v>
        <stp/>
        <stp>VOLUME</stp>
        <stp>.SPX251121P5680</stp>
        <tr r="U105" s="2"/>
      </tp>
      <tp t="e">
        <v>#N/A</v>
        <stp/>
        <stp>VOLUME</stp>
        <stp>.SPX250718P5510</stp>
        <tr r="M122" s="2"/>
      </tp>
      <tp t="e">
        <v>#N/A</v>
        <stp/>
        <stp>VOLUME</stp>
        <stp>.SPX250620P5690</stp>
        <tr r="K104" s="2"/>
      </tp>
      <tp t="e">
        <v>#N/A</v>
        <stp/>
        <stp>VOLUME</stp>
        <stp>.SPX250919P5500</stp>
        <tr r="Q123" s="2"/>
      </tp>
      <tp t="e">
        <v>#N/A</v>
        <stp/>
        <stp>IMPL_VOL</stp>
        <stp>.NDX250516C19580</stp>
        <tr r="EP180" s="1"/>
      </tp>
      <tp t="e">
        <v>#N/A</v>
        <stp/>
        <stp>IMPL_VOL</stp>
        <stp>.NDX250516C19500</stp>
        <tr r="EP184" s="1"/>
      </tp>
      <tp t="e">
        <v>#N/A</v>
        <stp/>
        <stp>IMPL_VOL</stp>
        <stp>.NDX250516C19520</stp>
        <tr r="EP183" s="1"/>
      </tp>
      <tp t="e">
        <v>#N/A</v>
        <stp/>
        <stp>IMPL_VOL</stp>
        <stp>.NDX250516C19540</stp>
        <tr r="EP182" s="1"/>
      </tp>
      <tp t="e">
        <v>#N/A</v>
        <stp/>
        <stp>IMPL_VOL</stp>
        <stp>.NDX250516C19560</stp>
        <tr r="EP181" s="1"/>
      </tp>
      <tp t="e">
        <v>#N/A</v>
        <stp/>
        <stp>IMPL_VOL</stp>
        <stp>.NDX250516P19580</stp>
        <tr r="EQ180" s="1"/>
      </tp>
      <tp t="e">
        <v>#N/A</v>
        <stp/>
        <stp>IMPL_VOL</stp>
        <stp>.NDX250516P19520</stp>
        <tr r="EQ183" s="1"/>
      </tp>
      <tp t="e">
        <v>#N/A</v>
        <stp/>
        <stp>IMPL_VOL</stp>
        <stp>.NDX250516P19500</stp>
        <tr r="EQ184" s="1"/>
      </tp>
      <tp t="e">
        <v>#N/A</v>
        <stp/>
        <stp>IMPL_VOL</stp>
        <stp>.NDX250516P19560</stp>
        <tr r="EQ181" s="1"/>
      </tp>
      <tp t="e">
        <v>#N/A</v>
        <stp/>
        <stp>IMPL_VOL</stp>
        <stp>.NDX250516P19540</stp>
        <tr r="EQ182" s="1"/>
      </tp>
      <tp t="e">
        <v>#N/A</v>
        <stp/>
        <stp>VOLUME</stp>
        <stp>.SPX250620C5560</stp>
        <tr r="K117" s="2"/>
      </tp>
      <tp t="e">
        <v>#N/A</v>
        <stp/>
        <stp>VOLUME</stp>
        <stp>.SPX250523C5550</stp>
        <tr r="H118" s="2"/>
      </tp>
      <tp t="e">
        <v>#N/A</v>
        <stp/>
        <stp>VOLUME</stp>
        <stp>.SPX250815C5630</stp>
        <tr r="O110" s="2"/>
      </tp>
      <tp t="e">
        <v>#N/A</v>
        <stp/>
        <stp>VOLUME</stp>
        <stp>.SPX251121C5570</stp>
        <tr r="U116" s="2"/>
      </tp>
      <tp t="e">
        <v>#N/A</v>
        <stp/>
        <stp>VOLUME</stp>
        <stp>.SPX251017C5610</stp>
        <tr r="S112" s="2"/>
      </tp>
      <tp t="e">
        <v>#N/A</v>
        <stp/>
        <stp>VOLUME</stp>
        <stp>.SPX251121P5570</stp>
        <tr r="U116" s="2"/>
      </tp>
      <tp t="e">
        <v>#N/A</v>
        <stp/>
        <stp>VOLUME</stp>
        <stp>.SPX251017P5610</stp>
        <tr r="S112" s="2"/>
      </tp>
      <tp t="e">
        <v>#N/A</v>
        <stp/>
        <stp>VOLUME</stp>
        <stp>.SPX250620P5560</stp>
        <tr r="K117" s="2"/>
      </tp>
      <tp t="e">
        <v>#N/A</v>
        <stp/>
        <stp>VOLUME</stp>
        <stp>.SPX250523P5550</stp>
        <tr r="H118" s="2"/>
      </tp>
      <tp t="e">
        <v>#N/A</v>
        <stp/>
        <stp>VOLUME</stp>
        <stp>.SPX250815P5630</stp>
        <tr r="O110" s="2"/>
      </tp>
      <tp t="e">
        <v>#N/A</v>
        <stp/>
        <stp>VOLUME</stp>
        <stp>.SPX250620C5570</stp>
        <tr r="K116" s="2"/>
      </tp>
      <tp t="e">
        <v>#N/A</v>
        <stp/>
        <stp>VOLUME</stp>
        <stp>.SPX250523C5540</stp>
        <tr r="H119" s="2"/>
      </tp>
      <tp t="e">
        <v>#N/A</v>
        <stp/>
        <stp>VOLUME</stp>
        <stp>.SPX250815C5620</stp>
        <tr r="O111" s="2"/>
      </tp>
      <tp t="e">
        <v>#N/A</v>
        <stp/>
        <stp>VOLUME</stp>
        <stp>.SPX251121C5560</stp>
        <tr r="U117" s="2"/>
      </tp>
      <tp t="e">
        <v>#N/A</v>
        <stp/>
        <stp>VOLUME</stp>
        <stp>.SPX251017C5600</stp>
        <tr r="S113" s="2"/>
      </tp>
      <tp t="e">
        <v>#N/A</v>
        <stp/>
        <stp>VOLUME</stp>
        <stp>.SPX251121P5560</stp>
        <tr r="U117" s="2"/>
      </tp>
      <tp t="e">
        <v>#N/A</v>
        <stp/>
        <stp>VOLUME</stp>
        <stp>.SPX251017P5600</stp>
        <tr r="S113" s="2"/>
      </tp>
      <tp t="e">
        <v>#N/A</v>
        <stp/>
        <stp>VOLUME</stp>
        <stp>.SPX250620P5570</stp>
        <tr r="K116" s="2"/>
      </tp>
      <tp t="e">
        <v>#N/A</v>
        <stp/>
        <stp>VOLUME</stp>
        <stp>.SPX250523P5540</stp>
        <tr r="H119" s="2"/>
      </tp>
      <tp t="e">
        <v>#N/A</v>
        <stp/>
        <stp>VOLUME</stp>
        <stp>.SPX250815P5620</stp>
        <tr r="O111" s="2"/>
      </tp>
      <tp t="e">
        <v>#N/A</v>
        <stp/>
        <stp>VOLUME</stp>
        <stp>.SPX250620C5540</stp>
        <tr r="K119" s="2"/>
      </tp>
      <tp t="e">
        <v>#N/A</v>
        <stp/>
        <stp>VOLUME</stp>
        <stp>.SPX250523C5570</stp>
        <tr r="H116" s="2"/>
      </tp>
      <tp t="e">
        <v>#N/A</v>
        <stp/>
        <stp>VOLUME</stp>
        <stp>.SPX250815C5610</stp>
        <tr r="O112" s="2"/>
      </tp>
      <tp t="e">
        <v>#N/A</v>
        <stp/>
        <stp>VOLUME</stp>
        <stp>.SPX251121C5550</stp>
        <tr r="U118" s="2"/>
      </tp>
      <tp t="e">
        <v>#N/A</v>
        <stp/>
        <stp>VOLUME</stp>
        <stp>.SPX251017C5630</stp>
        <tr r="S110" s="2"/>
      </tp>
      <tp t="e">
        <v>#N/A</v>
        <stp/>
        <stp>VOLUME</stp>
        <stp>.SPX251121P5550</stp>
        <tr r="U118" s="2"/>
      </tp>
      <tp t="e">
        <v>#N/A</v>
        <stp/>
        <stp>VOLUME</stp>
        <stp>.SPX251017P5630</stp>
        <tr r="S110" s="2"/>
      </tp>
      <tp t="e">
        <v>#N/A</v>
        <stp/>
        <stp>VOLUME</stp>
        <stp>.SPX250620P5540</stp>
        <tr r="K119" s="2"/>
      </tp>
      <tp t="e">
        <v>#N/A</v>
        <stp/>
        <stp>VOLUME</stp>
        <stp>.SPX250523P5570</stp>
        <tr r="H116" s="2"/>
      </tp>
      <tp t="e">
        <v>#N/A</v>
        <stp/>
        <stp>VOLUME</stp>
        <stp>.SPX250815P5610</stp>
        <tr r="O112" s="2"/>
      </tp>
      <tp t="e">
        <v>#N/A</v>
        <stp/>
        <stp>VOLUME</stp>
        <stp>.SPX250620C5550</stp>
        <tr r="K118" s="2"/>
      </tp>
      <tp t="e">
        <v>#N/A</v>
        <stp/>
        <stp>VOLUME</stp>
        <stp>.SPX250523C5560</stp>
        <tr r="H117" s="2"/>
      </tp>
      <tp t="e">
        <v>#N/A</v>
        <stp/>
        <stp>VOLUME</stp>
        <stp>.SPX250815C5600</stp>
        <tr r="O113" s="2"/>
      </tp>
      <tp t="e">
        <v>#N/A</v>
        <stp/>
        <stp>VOLUME</stp>
        <stp>.SPX251121C5540</stp>
        <tr r="U119" s="2"/>
      </tp>
      <tp t="e">
        <v>#N/A</v>
        <stp/>
        <stp>VOLUME</stp>
        <stp>.SPX251017C5620</stp>
        <tr r="S111" s="2"/>
      </tp>
      <tp t="e">
        <v>#N/A</v>
        <stp/>
        <stp>VOLUME</stp>
        <stp>.SPX251121P5540</stp>
        <tr r="U119" s="2"/>
      </tp>
      <tp t="e">
        <v>#N/A</v>
        <stp/>
        <stp>VOLUME</stp>
        <stp>.SPX251017P5620</stp>
        <tr r="S111" s="2"/>
      </tp>
      <tp t="e">
        <v>#N/A</v>
        <stp/>
        <stp>VOLUME</stp>
        <stp>.SPX250620P5550</stp>
        <tr r="K118" s="2"/>
      </tp>
      <tp t="e">
        <v>#N/A</v>
        <stp/>
        <stp>VOLUME</stp>
        <stp>.SPX250523P5560</stp>
        <tr r="H117" s="2"/>
      </tp>
      <tp t="e">
        <v>#N/A</v>
        <stp/>
        <stp>VOLUME</stp>
        <stp>.SPX250815P5600</stp>
        <tr r="O113" s="2"/>
      </tp>
      <tp t="e">
        <v>#N/A</v>
        <stp/>
        <stp>VOLUME</stp>
        <stp>.SPX250620C5520</stp>
        <tr r="K121" s="2"/>
      </tp>
      <tp t="e">
        <v>#N/A</v>
        <stp/>
        <stp>VOLUME</stp>
        <stp>.SPX250523C5510</stp>
        <tr r="H122" s="2"/>
      </tp>
      <tp t="e">
        <v>#N/A</v>
        <stp/>
        <stp>VOLUME</stp>
        <stp>.SPX250815C5670</stp>
        <tr r="O106" s="2"/>
      </tp>
      <tp t="e">
        <v>#N/A</v>
        <stp/>
        <stp>VOLUME</stp>
        <stp>.SPX251121C5530</stp>
        <tr r="U120" s="2"/>
      </tp>
      <tp t="e">
        <v>#N/A</v>
        <stp/>
        <stp>VOLUME</stp>
        <stp>.SPX251017C5650</stp>
        <tr r="S108" s="2"/>
      </tp>
      <tp t="e">
        <v>#N/A</v>
        <stp/>
        <stp>VOLUME</stp>
        <stp>.SPX251121P5530</stp>
        <tr r="U120" s="2"/>
      </tp>
      <tp t="e">
        <v>#N/A</v>
        <stp/>
        <stp>VOLUME</stp>
        <stp>.SPX251017P5650</stp>
        <tr r="S108" s="2"/>
      </tp>
      <tp t="e">
        <v>#N/A</v>
        <stp/>
        <stp>VOLUME</stp>
        <stp>.SPX250620P5520</stp>
        <tr r="K121" s="2"/>
      </tp>
      <tp t="e">
        <v>#N/A</v>
        <stp/>
        <stp>VOLUME</stp>
        <stp>.SPX250523P5510</stp>
        <tr r="H122" s="2"/>
      </tp>
      <tp t="e">
        <v>#N/A</v>
        <stp/>
        <stp>VOLUME</stp>
        <stp>.SPX250815P5670</stp>
        <tr r="O106" s="2"/>
      </tp>
      <tp t="e">
        <v>#N/A</v>
        <stp/>
        <stp>VOLUME</stp>
        <stp>.SPX250620C5530</stp>
        <tr r="K120" s="2"/>
      </tp>
      <tp t="e">
        <v>#N/A</v>
        <stp/>
        <stp>VOLUME</stp>
        <stp>.SPX250523C5500</stp>
        <tr r="H123" s="2"/>
      </tp>
      <tp t="e">
        <v>#N/A</v>
        <stp/>
        <stp>VOLUME</stp>
        <stp>.SPX250815C5660</stp>
        <tr r="O107" s="2"/>
      </tp>
      <tp t="e">
        <v>#N/A</v>
        <stp/>
        <stp>VOLUME</stp>
        <stp>.SPX251121C5520</stp>
        <tr r="U121" s="2"/>
      </tp>
      <tp t="e">
        <v>#N/A</v>
        <stp/>
        <stp>VOLUME</stp>
        <stp>.SPX251017C5640</stp>
        <tr r="S109" s="2"/>
      </tp>
      <tp t="e">
        <v>#N/A</v>
        <stp/>
        <stp>VOLUME</stp>
        <stp>.SPX251121P5520</stp>
        <tr r="U121" s="2"/>
      </tp>
      <tp t="e">
        <v>#N/A</v>
        <stp/>
        <stp>VOLUME</stp>
        <stp>.SPX251017P5640</stp>
        <tr r="S109" s="2"/>
      </tp>
      <tp t="e">
        <v>#N/A</v>
        <stp/>
        <stp>VOLUME</stp>
        <stp>.SPX250620P5530</stp>
        <tr r="K120" s="2"/>
      </tp>
      <tp t="e">
        <v>#N/A</v>
        <stp/>
        <stp>VOLUME</stp>
        <stp>.SPX250523P5500</stp>
        <tr r="H123" s="2"/>
      </tp>
      <tp t="e">
        <v>#N/A</v>
        <stp/>
        <stp>VOLUME</stp>
        <stp>.SPX250815P5660</stp>
        <tr r="O107" s="2"/>
      </tp>
      <tp t="e">
        <v>#N/A</v>
        <stp/>
        <stp>VOLUME</stp>
        <stp>.SPX250718C5680</stp>
        <tr r="M105" s="2"/>
      </tp>
      <tp t="e">
        <v>#N/A</v>
        <stp/>
        <stp>VOLUME</stp>
        <stp>.SPX250620C5500</stp>
        <tr r="K123" s="2"/>
      </tp>
      <tp t="e">
        <v>#N/A</v>
        <stp/>
        <stp>VOLUME</stp>
        <stp>.SPX250523C5530</stp>
        <tr r="H120" s="2"/>
      </tp>
      <tp t="e">
        <v>#N/A</v>
        <stp/>
        <stp>VOLUME</stp>
        <stp>.SPX250919C5690</stp>
        <tr r="Q104" s="2"/>
      </tp>
      <tp t="e">
        <v>#N/A</v>
        <stp/>
        <stp>VOLUME</stp>
        <stp>.SPX250815C5650</stp>
        <tr r="O108" s="2"/>
      </tp>
      <tp t="e">
        <v>#N/A</v>
        <stp/>
        <stp>VOLUME</stp>
        <stp>.SPX251219C5690</stp>
        <tr r="W104" s="2"/>
      </tp>
      <tp t="e">
        <v>#N/A</v>
        <stp/>
        <stp>VOLUME</stp>
        <stp>.SPX251121C5510</stp>
        <tr r="U122" s="2"/>
      </tp>
      <tp t="e">
        <v>#N/A</v>
        <stp/>
        <stp>VOLUME</stp>
        <stp>.SPX251017C5670</stp>
        <tr r="S106" s="2"/>
      </tp>
      <tp t="e">
        <v>#N/A</v>
        <stp/>
        <stp>VOLUME</stp>
        <stp>.SPX251219P5690</stp>
        <tr r="W104" s="2"/>
      </tp>
      <tp t="e">
        <v>#N/A</v>
        <stp/>
        <stp>VOLUME</stp>
        <stp>.SPX251121P5510</stp>
        <tr r="U122" s="2"/>
      </tp>
      <tp t="e">
        <v>#N/A</v>
        <stp/>
        <stp>VOLUME</stp>
        <stp>.SPX251017P5670</stp>
        <tr r="S106" s="2"/>
      </tp>
      <tp t="e">
        <v>#N/A</v>
        <stp/>
        <stp>VOLUME</stp>
        <stp>.SPX250718P5680</stp>
        <tr r="M105" s="2"/>
      </tp>
      <tp t="e">
        <v>#N/A</v>
        <stp/>
        <stp>VOLUME</stp>
        <stp>.SPX250620P5500</stp>
        <tr r="K123" s="2"/>
      </tp>
      <tp t="e">
        <v>#N/A</v>
        <stp/>
        <stp>VOLUME</stp>
        <stp>.SPX250523P5530</stp>
        <tr r="H120" s="2"/>
      </tp>
      <tp t="e">
        <v>#N/A</v>
        <stp/>
        <stp>VOLUME</stp>
        <stp>.SPX250919P5690</stp>
        <tr r="Q104" s="2"/>
      </tp>
      <tp t="e">
        <v>#N/A</v>
        <stp/>
        <stp>VOLUME</stp>
        <stp>.SPX250815P5650</stp>
        <tr r="O108" s="2"/>
      </tp>
      <tp t="e">
        <v>#N/A</v>
        <stp/>
        <stp>VOLUME</stp>
        <stp>.SPX250718C5690</stp>
        <tr r="M104" s="2"/>
      </tp>
      <tp t="e">
        <v>#N/A</v>
        <stp/>
        <stp>VOLUME</stp>
        <stp>.SPX250620C5510</stp>
        <tr r="K122" s="2"/>
      </tp>
      <tp t="e">
        <v>#N/A</v>
        <stp/>
        <stp>VOLUME</stp>
        <stp>.SPX250523C5520</stp>
        <tr r="H121" s="2"/>
      </tp>
      <tp t="e">
        <v>#N/A</v>
        <stp/>
        <stp>VOLUME</stp>
        <stp>.SPX250919C5680</stp>
        <tr r="Q105" s="2"/>
      </tp>
      <tp t="e">
        <v>#N/A</v>
        <stp/>
        <stp>VOLUME</stp>
        <stp>.SPX250815C5640</stp>
        <tr r="O109" s="2"/>
      </tp>
      <tp t="e">
        <v>#N/A</v>
        <stp/>
        <stp>VOLUME</stp>
        <stp>.SPX251219C5680</stp>
        <tr r="W105" s="2"/>
      </tp>
      <tp t="e">
        <v>#N/A</v>
        <stp/>
        <stp>VOLUME</stp>
        <stp>.SPX251121C5500</stp>
        <tr r="U123" s="2"/>
      </tp>
      <tp t="e">
        <v>#N/A</v>
        <stp/>
        <stp>VOLUME</stp>
        <stp>.SPX251017C5660</stp>
        <tr r="S107" s="2"/>
      </tp>
      <tp t="e">
        <v>#N/A</v>
        <stp/>
        <stp>VOLUME</stp>
        <stp>.SPX251219P5680</stp>
        <tr r="W105" s="2"/>
      </tp>
      <tp t="e">
        <v>#N/A</v>
        <stp/>
        <stp>VOLUME</stp>
        <stp>.SPX251121P5500</stp>
        <tr r="U123" s="2"/>
      </tp>
      <tp t="e">
        <v>#N/A</v>
        <stp/>
        <stp>VOLUME</stp>
        <stp>.SPX251017P5660</stp>
        <tr r="S107" s="2"/>
      </tp>
      <tp t="e">
        <v>#N/A</v>
        <stp/>
        <stp>VOLUME</stp>
        <stp>.SPX250718P5690</stp>
        <tr r="M104" s="2"/>
      </tp>
      <tp t="e">
        <v>#N/A</v>
        <stp/>
        <stp>VOLUME</stp>
        <stp>.SPX250620P5510</stp>
        <tr r="K122" s="2"/>
      </tp>
      <tp t="e">
        <v>#N/A</v>
        <stp/>
        <stp>VOLUME</stp>
        <stp>.SPX250523P5520</stp>
        <tr r="H121" s="2"/>
      </tp>
      <tp t="e">
        <v>#N/A</v>
        <stp/>
        <stp>VOLUME</stp>
        <stp>.SPX250919P5680</stp>
        <tr r="Q105" s="2"/>
      </tp>
      <tp t="e">
        <v>#N/A</v>
        <stp/>
        <stp>VOLUME</stp>
        <stp>.SPX250815P5640</stp>
        <tr r="O109" s="2"/>
      </tp>
      <tp t="e">
        <v>#N/A</v>
        <stp/>
        <stp>VOLUME</stp>
        <stp>.SPX250718C5660</stp>
        <tr r="M107" s="2"/>
      </tp>
      <tp t="e">
        <v>#N/A</v>
        <stp/>
        <stp>VOLUME</stp>
        <stp>.SPX250919C5670</stp>
        <tr r="Q106" s="2"/>
      </tp>
      <tp t="e">
        <v>#N/A</v>
        <stp/>
        <stp>VOLUME</stp>
        <stp>.SPX251219C5670</stp>
        <tr r="W106" s="2"/>
      </tp>
      <tp t="e">
        <v>#N/A</v>
        <stp/>
        <stp>VOLUME</stp>
        <stp>.SPX251017C5690</stp>
        <tr r="S104" s="2"/>
      </tp>
      <tp t="e">
        <v>#N/A</v>
        <stp/>
        <stp>VOLUME</stp>
        <stp>.SPX251219P5670</stp>
        <tr r="W106" s="2"/>
      </tp>
      <tp t="e">
        <v>#N/A</v>
        <stp/>
        <stp>VOLUME</stp>
        <stp>.SPX251017P5690</stp>
        <tr r="S104" s="2"/>
      </tp>
      <tp t="e">
        <v>#N/A</v>
        <stp/>
        <stp>VOLUME</stp>
        <stp>.SPX250718P5660</stp>
        <tr r="M107" s="2"/>
      </tp>
      <tp t="e">
        <v>#N/A</v>
        <stp/>
        <stp>VOLUME</stp>
        <stp>.SPX250919P5670</stp>
        <tr r="Q106" s="2"/>
      </tp>
      <tp t="e">
        <v>#N/A</v>
        <stp/>
        <stp>VOLUME</stp>
        <stp>.SPX250718C5670</stp>
        <tr r="M106" s="2"/>
      </tp>
      <tp t="e">
        <v>#N/A</v>
        <stp/>
        <stp>VOLUME</stp>
        <stp>.SPX250919C5660</stp>
        <tr r="Q107" s="2"/>
      </tp>
      <tp t="e">
        <v>#N/A</v>
        <stp/>
        <stp>VOLUME</stp>
        <stp>.SPX251219C5660</stp>
        <tr r="W107" s="2"/>
      </tp>
      <tp t="e">
        <v>#N/A</v>
        <stp/>
        <stp>VOLUME</stp>
        <stp>.SPX251017C5680</stp>
        <tr r="S105" s="2"/>
      </tp>
      <tp t="e">
        <v>#N/A</v>
        <stp/>
        <stp>VOLUME</stp>
        <stp>.SPX251219P5660</stp>
        <tr r="W107" s="2"/>
      </tp>
      <tp t="e">
        <v>#N/A</v>
        <stp/>
        <stp>VOLUME</stp>
        <stp>.SPX251017P5680</stp>
        <tr r="S105" s="2"/>
      </tp>
      <tp t="e">
        <v>#N/A</v>
        <stp/>
        <stp>VOLUME</stp>
        <stp>.SPX250718P5670</stp>
        <tr r="M106" s="2"/>
      </tp>
      <tp t="e">
        <v>#N/A</v>
        <stp/>
        <stp>VOLUME</stp>
        <stp>.SPX250919P5660</stp>
        <tr r="Q107" s="2"/>
      </tp>
      <tp t="e">
        <v>#N/A</v>
        <stp/>
        <stp>VOLUME</stp>
        <stp>.SPX250718C5640</stp>
        <tr r="M109" s="2"/>
      </tp>
      <tp t="e">
        <v>#N/A</v>
        <stp/>
        <stp>VOLUME</stp>
        <stp>.SPX250919C5650</stp>
        <tr r="Q108" s="2"/>
      </tp>
      <tp t="e">
        <v>#N/A</v>
        <stp/>
        <stp>VOLUME</stp>
        <stp>.SPX250815C5690</stp>
        <tr r="O104" s="2"/>
      </tp>
      <tp t="e">
        <v>#N/A</v>
        <stp/>
        <stp>VOLUME</stp>
        <stp>.SPX251219C5650</stp>
        <tr r="W108" s="2"/>
      </tp>
      <tp t="e">
        <v>#N/A</v>
        <stp/>
        <stp>VOLUME</stp>
        <stp>.SPX251219P5650</stp>
        <tr r="W108" s="2"/>
      </tp>
      <tp t="e">
        <v>#N/A</v>
        <stp/>
        <stp>VOLUME</stp>
        <stp>.SPX250718P5640</stp>
        <tr r="M109" s="2"/>
      </tp>
      <tp t="e">
        <v>#N/A</v>
        <stp/>
        <stp>VOLUME</stp>
        <stp>.SPX250919P5650</stp>
        <tr r="Q108" s="2"/>
      </tp>
      <tp t="e">
        <v>#N/A</v>
        <stp/>
        <stp>VOLUME</stp>
        <stp>.SPX250815P5690</stp>
        <tr r="O104" s="2"/>
      </tp>
      <tp t="e">
        <v>#N/A</v>
        <stp/>
        <stp>VOLUME</stp>
        <stp>.SPX250718C5650</stp>
        <tr r="M108" s="2"/>
      </tp>
      <tp t="e">
        <v>#N/A</v>
        <stp/>
        <stp>VOLUME</stp>
        <stp>.SPX250919C5640</stp>
        <tr r="Q109" s="2"/>
      </tp>
      <tp t="e">
        <v>#N/A</v>
        <stp/>
        <stp>VOLUME</stp>
        <stp>.SPX250815C5680</stp>
        <tr r="O105" s="2"/>
      </tp>
      <tp t="e">
        <v>#N/A</v>
        <stp/>
        <stp>VOLUME</stp>
        <stp>.SPX251219C5640</stp>
        <tr r="W109" s="2"/>
      </tp>
      <tp t="e">
        <v>#N/A</v>
        <stp/>
        <stp>VOLUME</stp>
        <stp>.SPX251219P5640</stp>
        <tr r="W109" s="2"/>
      </tp>
      <tp t="e">
        <v>#N/A</v>
        <stp/>
        <stp>VOLUME</stp>
        <stp>.SPX250718P5650</stp>
        <tr r="M108" s="2"/>
      </tp>
      <tp t="e">
        <v>#N/A</v>
        <stp/>
        <stp>VOLUME</stp>
        <stp>.SPX250919P5640</stp>
        <tr r="Q109" s="2"/>
      </tp>
      <tp t="e">
        <v>#N/A</v>
        <stp/>
        <stp>VOLUME</stp>
        <stp>.SPX250815P5680</stp>
        <tr r="O105" s="2"/>
      </tp>
      <tp t="e">
        <v>#N/A</v>
        <stp/>
        <stp>VOLUME</stp>
        <stp>.SPX250718C5620</stp>
        <tr r="M111" s="2"/>
      </tp>
      <tp t="e">
        <v>#N/A</v>
        <stp/>
        <stp>VOLUME</stp>
        <stp>.SPX250523C5590</stp>
        <tr r="H114" s="2"/>
      </tp>
      <tp t="e">
        <v>#N/A</v>
        <stp/>
        <stp>VOLUME</stp>
        <stp>.SPX250919C5630</stp>
        <tr r="Q110" s="2"/>
      </tp>
      <tp t="e">
        <v>#N/A</v>
        <stp/>
        <stp>VOLUME</stp>
        <stp>.SPX251219C5630</stp>
        <tr r="W110" s="2"/>
      </tp>
      <tp t="e">
        <v>#N/A</v>
        <stp/>
        <stp>VOLUME</stp>
        <stp>.SPX251219P5630</stp>
        <tr r="W110" s="2"/>
      </tp>
      <tp t="e">
        <v>#N/A</v>
        <stp/>
        <stp>VOLUME</stp>
        <stp>.SPX250718P5620</stp>
        <tr r="M111" s="2"/>
      </tp>
      <tp t="e">
        <v>#N/A</v>
        <stp/>
        <stp>VOLUME</stp>
        <stp>.SPX250523P5590</stp>
        <tr r="H114" s="2"/>
      </tp>
      <tp t="e">
        <v>#N/A</v>
        <stp/>
        <stp>VOLUME</stp>
        <stp>.SPX250919P5630</stp>
        <tr r="Q110" s="2"/>
      </tp>
      <tp t="e">
        <v>#N/A</v>
        <stp/>
        <stp>VOLUME</stp>
        <stp>.SPX250718C5630</stp>
        <tr r="M110" s="2"/>
      </tp>
      <tp t="e">
        <v>#N/A</v>
        <stp/>
        <stp>VOLUME</stp>
        <stp>.SPX250523C5580</stp>
        <tr r="H115" s="2"/>
      </tp>
      <tp t="e">
        <v>#N/A</v>
        <stp/>
        <stp>VOLUME</stp>
        <stp>.SPX250919C5620</stp>
        <tr r="Q111" s="2"/>
      </tp>
      <tp t="e">
        <v>#N/A</v>
        <stp/>
        <stp>VOLUME</stp>
        <stp>.SPX251219C5620</stp>
        <tr r="W111" s="2"/>
      </tp>
      <tp t="e">
        <v>#N/A</v>
        <stp/>
        <stp>VOLUME</stp>
        <stp>.SPX251219P5620</stp>
        <tr r="W111" s="2"/>
      </tp>
      <tp t="e">
        <v>#N/A</v>
        <stp/>
        <stp>VOLUME</stp>
        <stp>.SPX250718P5630</stp>
        <tr r="M110" s="2"/>
      </tp>
      <tp t="e">
        <v>#N/A</v>
        <stp/>
        <stp>VOLUME</stp>
        <stp>.SPX250523P5580</stp>
        <tr r="H115" s="2"/>
      </tp>
      <tp t="e">
        <v>#N/A</v>
        <stp/>
        <stp>VOLUME</stp>
        <stp>.SPX250919P5620</stp>
        <tr r="Q111" s="2"/>
      </tp>
      <tp t="e">
        <v>#N/A</v>
        <stp/>
        <stp>VOLUME</stp>
        <stp>.SPX250718C5600</stp>
        <tr r="M113" s="2"/>
      </tp>
      <tp t="e">
        <v>#N/A</v>
        <stp/>
        <stp>VOLUME</stp>
        <stp>.SPX250620C5580</stp>
        <tr r="K115" s="2"/>
      </tp>
      <tp t="e">
        <v>#N/A</v>
        <stp/>
        <stp>VOLUME</stp>
        <stp>.SPX250919C5610</stp>
        <tr r="Q112" s="2"/>
      </tp>
      <tp t="e">
        <v>#N/A</v>
        <stp/>
        <stp>VOLUME</stp>
        <stp>.SPX251219C5610</stp>
        <tr r="W112" s="2"/>
      </tp>
      <tp t="e">
        <v>#N/A</v>
        <stp/>
        <stp>VOLUME</stp>
        <stp>.SPX251121C5590</stp>
        <tr r="U114" s="2"/>
      </tp>
      <tp t="e">
        <v>#N/A</v>
        <stp/>
        <stp>VOLUME</stp>
        <stp>.SPX251219P5610</stp>
        <tr r="W112" s="2"/>
      </tp>
      <tp t="e">
        <v>#N/A</v>
        <stp/>
        <stp>VOLUME</stp>
        <stp>.SPX251121P5590</stp>
        <tr r="U114" s="2"/>
      </tp>
      <tp t="e">
        <v>#N/A</v>
        <stp/>
        <stp>VOLUME</stp>
        <stp>.SPX250718P5600</stp>
        <tr r="M113" s="2"/>
      </tp>
      <tp t="e">
        <v>#N/A</v>
        <stp/>
        <stp>VOLUME</stp>
        <stp>.SPX250620P5580</stp>
        <tr r="K115" s="2"/>
      </tp>
      <tp t="e">
        <v>#N/A</v>
        <stp/>
        <stp>VOLUME</stp>
        <stp>.SPX250919P5610</stp>
        <tr r="Q112" s="2"/>
      </tp>
      <tp t="e">
        <v>#N/A</v>
        <stp/>
        <stp>VOLUME</stp>
        <stp>.SPX250718C5610</stp>
        <tr r="M112" s="2"/>
      </tp>
      <tp t="e">
        <v>#N/A</v>
        <stp/>
        <stp>VOLUME</stp>
        <stp>.SPX250620C5590</stp>
        <tr r="K114" s="2"/>
      </tp>
      <tp t="e">
        <v>#N/A</v>
        <stp/>
        <stp>VOLUME</stp>
        <stp>.SPX250919C5600</stp>
        <tr r="Q113" s="2"/>
      </tp>
      <tp t="e">
        <v>#N/A</v>
        <stp/>
        <stp>VOLUME</stp>
        <stp>.SPX251219C5600</stp>
        <tr r="W113" s="2"/>
      </tp>
      <tp t="e">
        <v>#N/A</v>
        <stp/>
        <stp>VOLUME</stp>
        <stp>.SPX251121C5580</stp>
        <tr r="U115" s="2"/>
      </tp>
      <tp t="e">
        <v>#N/A</v>
        <stp/>
        <stp>VOLUME</stp>
        <stp>.SPX251219P5600</stp>
        <tr r="W113" s="2"/>
      </tp>
      <tp t="e">
        <v>#N/A</v>
        <stp/>
        <stp>VOLUME</stp>
        <stp>.SPX251121P5580</stp>
        <tr r="U115" s="2"/>
      </tp>
      <tp t="e">
        <v>#N/A</v>
        <stp/>
        <stp>VOLUME</stp>
        <stp>.SPX250718P5610</stp>
        <tr r="M112" s="2"/>
      </tp>
      <tp t="e">
        <v>#N/A</v>
        <stp/>
        <stp>VOLUME</stp>
        <stp>.SPX250620P5590</stp>
        <tr r="K114" s="2"/>
      </tp>
      <tp t="e">
        <v>#N/A</v>
        <stp/>
        <stp>VOLUME</stp>
        <stp>.SPX250919P5600</stp>
        <tr r="Q113" s="2"/>
      </tp>
      <tp t="e">
        <v>#N/A</v>
        <stp/>
        <stp>IMPL_VOL</stp>
        <stp>.NDX250516C19480</stp>
        <tr r="EP185" s="1"/>
      </tp>
      <tp t="e">
        <v>#N/A</v>
        <stp/>
        <stp>IMPL_VOL</stp>
        <stp>.NDX250516C19400</stp>
        <tr r="EP189" s="1"/>
      </tp>
      <tp t="e">
        <v>#N/A</v>
        <stp/>
        <stp>IMPL_VOL</stp>
        <stp>.NDX250516C20400</stp>
        <tr r="EP139" s="1"/>
      </tp>
      <tp t="e">
        <v>#N/A</v>
        <stp/>
        <stp>IMPL_VOL</stp>
        <stp>.NDX250516C19420</stp>
        <tr r="EP188" s="1"/>
      </tp>
      <tp t="e">
        <v>#N/A</v>
        <stp/>
        <stp>IMPL_VOL</stp>
        <stp>.NDX250516C20420</stp>
        <tr r="EP138" s="1"/>
      </tp>
      <tp t="e">
        <v>#N/A</v>
        <stp/>
        <stp>IMPL_VOL</stp>
        <stp>.NDX250516C19440</stp>
        <tr r="EP187" s="1"/>
      </tp>
      <tp t="e">
        <v>#N/A</v>
        <stp/>
        <stp>IMPL_VOL</stp>
        <stp>.NDX250516C20440</stp>
        <tr r="EP137" s="1"/>
      </tp>
      <tp t="e">
        <v>#N/A</v>
        <stp/>
        <stp>IMPL_VOL</stp>
        <stp>.NDX250516C19460</stp>
        <tr r="EP186" s="1"/>
      </tp>
      <tp t="e">
        <v>#N/A</v>
        <stp/>
        <stp>IMPL_VOL</stp>
        <stp>.NDX250516P19480</stp>
        <tr r="EQ185" s="1"/>
      </tp>
      <tp t="e">
        <v>#N/A</v>
        <stp/>
        <stp>IMPL_VOL</stp>
        <stp>.NDX250516P19420</stp>
        <tr r="EQ188" s="1"/>
      </tp>
      <tp t="e">
        <v>#N/A</v>
        <stp/>
        <stp>IMPL_VOL</stp>
        <stp>.NDX250516P20420</stp>
        <tr r="EQ138" s="1"/>
      </tp>
      <tp t="e">
        <v>#N/A</v>
        <stp/>
        <stp>IMPL_VOL</stp>
        <stp>.NDX250516P19400</stp>
        <tr r="EQ189" s="1"/>
      </tp>
      <tp t="e">
        <v>#N/A</v>
        <stp/>
        <stp>IMPL_VOL</stp>
        <stp>.NDX250516P20400</stp>
        <tr r="EQ139" s="1"/>
      </tp>
      <tp t="e">
        <v>#N/A</v>
        <stp/>
        <stp>IMPL_VOL</stp>
        <stp>.NDX250516P19460</stp>
        <tr r="EQ186" s="1"/>
      </tp>
      <tp t="e">
        <v>#N/A</v>
        <stp/>
        <stp>IMPL_VOL</stp>
        <stp>.NDX250516P19440</stp>
        <tr r="EQ187" s="1"/>
      </tp>
      <tp t="e">
        <v>#N/A</v>
        <stp/>
        <stp>IMPL_VOL</stp>
        <stp>.NDX250516P20440</stp>
        <tr r="EQ137" s="1"/>
      </tp>
      <tp t="e">
        <v>#N/A</v>
        <stp/>
        <stp>VOLUME</stp>
        <stp>.SPX250620C5460</stp>
        <tr r="K127" s="2"/>
      </tp>
      <tp t="e">
        <v>#N/A</v>
        <stp/>
        <stp>VOLUME</stp>
        <stp>.SPX250523C5450</stp>
        <tr r="H128" s="2"/>
      </tp>
      <tp t="e">
        <v>#N/A</v>
        <stp/>
        <stp>VOLUME</stp>
        <stp>.SPX250815C5730</stp>
        <tr r="O100" s="2"/>
      </tp>
      <tp t="e">
        <v>#N/A</v>
        <stp/>
        <stp>VOLUME</stp>
        <stp>.SPX251121C5470</stp>
        <tr r="U126" s="2"/>
      </tp>
      <tp t="e">
        <v>#N/A</v>
        <stp/>
        <stp>VOLUME</stp>
        <stp>.SPX251017C5710</stp>
        <tr r="S102" s="2"/>
      </tp>
      <tp t="e">
        <v>#N/A</v>
        <stp/>
        <stp>VOLUME</stp>
        <stp>.SPX251121P5470</stp>
        <tr r="U126" s="2"/>
      </tp>
      <tp t="e">
        <v>#N/A</v>
        <stp/>
        <stp>VOLUME</stp>
        <stp>.SPX251017P5710</stp>
        <tr r="S102" s="2"/>
      </tp>
      <tp t="e">
        <v>#N/A</v>
        <stp/>
        <stp>VOLUME</stp>
        <stp>.SPX250620P5460</stp>
        <tr r="K127" s="2"/>
      </tp>
      <tp t="e">
        <v>#N/A</v>
        <stp/>
        <stp>VOLUME</stp>
        <stp>.SPX250523P5450</stp>
        <tr r="H128" s="2"/>
      </tp>
      <tp t="e">
        <v>#N/A</v>
        <stp/>
        <stp>VOLUME</stp>
        <stp>.SPX250815P5730</stp>
        <tr r="O100" s="2"/>
      </tp>
      <tp t="e">
        <v>#N/A</v>
        <stp/>
        <stp>VOLUME</stp>
        <stp>.SPX250620C5470</stp>
        <tr r="K126" s="2"/>
      </tp>
      <tp t="e">
        <v>#N/A</v>
        <stp/>
        <stp>VOLUME</stp>
        <stp>.SPX250523C5440</stp>
        <tr r="H129" s="2"/>
      </tp>
      <tp t="e">
        <v>#N/A</v>
        <stp/>
        <stp>VOLUME</stp>
        <stp>.SPX250815C5720</stp>
        <tr r="O101" s="2"/>
      </tp>
      <tp t="e">
        <v>#N/A</v>
        <stp/>
        <stp>VOLUME</stp>
        <stp>.SPX251121C5460</stp>
        <tr r="U127" s="2"/>
      </tp>
      <tp t="e">
        <v>#N/A</v>
        <stp/>
        <stp>VOLUME</stp>
        <stp>.SPX251017C5700</stp>
        <tr r="S103" s="2"/>
      </tp>
      <tp t="e">
        <v>#N/A</v>
        <stp/>
        <stp>VOLUME</stp>
        <stp>.SPX251121P5460</stp>
        <tr r="U127" s="2"/>
      </tp>
      <tp t="e">
        <v>#N/A</v>
        <stp/>
        <stp>VOLUME</stp>
        <stp>.SPX251017P5700</stp>
        <tr r="S103" s="2"/>
      </tp>
      <tp t="e">
        <v>#N/A</v>
        <stp/>
        <stp>VOLUME</stp>
        <stp>.SPX250620P5470</stp>
        <tr r="K126" s="2"/>
      </tp>
      <tp t="e">
        <v>#N/A</v>
        <stp/>
        <stp>VOLUME</stp>
        <stp>.SPX250523P5440</stp>
        <tr r="H129" s="2"/>
      </tp>
      <tp t="e">
        <v>#N/A</v>
        <stp/>
        <stp>VOLUME</stp>
        <stp>.SPX250815P5720</stp>
        <tr r="O101" s="2"/>
      </tp>
      <tp t="e">
        <v>#N/A</v>
        <stp/>
        <stp>VOLUME</stp>
        <stp>.SPX250620C5440</stp>
        <tr r="K129" s="2"/>
      </tp>
      <tp t="e">
        <v>#N/A</v>
        <stp/>
        <stp>VOLUME</stp>
        <stp>.SPX250523C5470</stp>
        <tr r="H126" s="2"/>
      </tp>
      <tp t="e">
        <v>#N/A</v>
        <stp/>
        <stp>VOLUME</stp>
        <stp>.SPX250815C5710</stp>
        <tr r="O102" s="2"/>
      </tp>
      <tp t="e">
        <v>#N/A</v>
        <stp/>
        <stp>VOLUME</stp>
        <stp>.SPX251121C5450</stp>
        <tr r="U128" s="2"/>
      </tp>
      <tp t="e">
        <v>#N/A</v>
        <stp/>
        <stp>VOLUME</stp>
        <stp>.SPX251017C5730</stp>
        <tr r="S100" s="2"/>
      </tp>
      <tp t="e">
        <v>#N/A</v>
        <stp/>
        <stp>VOLUME</stp>
        <stp>.SPX251121P5450</stp>
        <tr r="U128" s="2"/>
      </tp>
      <tp t="e">
        <v>#N/A</v>
        <stp/>
        <stp>VOLUME</stp>
        <stp>.SPX251017P5730</stp>
        <tr r="S100" s="2"/>
      </tp>
      <tp t="e">
        <v>#N/A</v>
        <stp/>
        <stp>VOLUME</stp>
        <stp>.SPX250620P5440</stp>
        <tr r="K129" s="2"/>
      </tp>
      <tp t="e">
        <v>#N/A</v>
        <stp/>
        <stp>VOLUME</stp>
        <stp>.SPX250523P5470</stp>
        <tr r="H126" s="2"/>
      </tp>
      <tp t="e">
        <v>#N/A</v>
        <stp/>
        <stp>VOLUME</stp>
        <stp>.SPX250815P5710</stp>
        <tr r="O102" s="2"/>
      </tp>
      <tp t="e">
        <v>#N/A</v>
        <stp/>
        <stp>VOLUME</stp>
        <stp>.SPX250620C5450</stp>
        <tr r="K128" s="2"/>
      </tp>
      <tp t="e">
        <v>#N/A</v>
        <stp/>
        <stp>VOLUME</stp>
        <stp>.SPX250523C5460</stp>
        <tr r="H127" s="2"/>
      </tp>
      <tp t="e">
        <v>#N/A</v>
        <stp/>
        <stp>VOLUME</stp>
        <stp>.SPX250815C5700</stp>
        <tr r="O103" s="2"/>
      </tp>
      <tp t="e">
        <v>#N/A</v>
        <stp/>
        <stp>VOLUME</stp>
        <stp>.SPX251121C5440</stp>
        <tr r="U129" s="2"/>
      </tp>
      <tp t="e">
        <v>#N/A</v>
        <stp/>
        <stp>VOLUME</stp>
        <stp>.SPX251017C5720</stp>
        <tr r="S101" s="2"/>
      </tp>
      <tp t="e">
        <v>#N/A</v>
        <stp/>
        <stp>VOLUME</stp>
        <stp>.SPX251121P5440</stp>
        <tr r="U129" s="2"/>
      </tp>
      <tp t="e">
        <v>#N/A</v>
        <stp/>
        <stp>VOLUME</stp>
        <stp>.SPX251017P5720</stp>
        <tr r="S101" s="2"/>
      </tp>
      <tp t="e">
        <v>#N/A</v>
        <stp/>
        <stp>VOLUME</stp>
        <stp>.SPX250620P5450</stp>
        <tr r="K128" s="2"/>
      </tp>
      <tp t="e">
        <v>#N/A</v>
        <stp/>
        <stp>VOLUME</stp>
        <stp>.SPX250523P5460</stp>
        <tr r="H127" s="2"/>
      </tp>
      <tp t="e">
        <v>#N/A</v>
        <stp/>
        <stp>VOLUME</stp>
        <stp>.SPX250815P5700</stp>
        <tr r="O103" s="2"/>
      </tp>
      <tp t="e">
        <v>#N/A</v>
        <stp/>
        <stp>VOLUME</stp>
        <stp>.SPX250620C5420</stp>
        <tr r="K131" s="2"/>
      </tp>
      <tp t="e">
        <v>#N/A</v>
        <stp/>
        <stp>VOLUME</stp>
        <stp>.SPX250815C5770</stp>
        <tr r="O96" s="2"/>
      </tp>
      <tp t="e">
        <v>#N/A</v>
        <stp/>
        <stp>VOLUME</stp>
        <stp>.SPX251121C5430</stp>
        <tr r="U130" s="2"/>
      </tp>
      <tp t="e">
        <v>#N/A</v>
        <stp/>
        <stp>VOLUME</stp>
        <stp>.SPX251017C5750</stp>
        <tr r="S98" s="2"/>
      </tp>
      <tp t="e">
        <v>#N/A</v>
        <stp/>
        <stp>VOLUME</stp>
        <stp>.SPX251121P5430</stp>
        <tr r="U130" s="2"/>
      </tp>
      <tp t="e">
        <v>#N/A</v>
        <stp/>
        <stp>VOLUME</stp>
        <stp>.SPX251017P5750</stp>
        <tr r="S98" s="2"/>
      </tp>
      <tp t="e">
        <v>#N/A</v>
        <stp/>
        <stp>VOLUME</stp>
        <stp>.SPX250620P5420</stp>
        <tr r="K131" s="2"/>
      </tp>
      <tp t="e">
        <v>#N/A</v>
        <stp/>
        <stp>VOLUME</stp>
        <stp>.SPX250815P5770</stp>
        <tr r="O96" s="2"/>
      </tp>
      <tp t="e">
        <v>#N/A</v>
        <stp/>
        <stp>VOLUME</stp>
        <stp>.SPX250620C5430</stp>
        <tr r="K130" s="2"/>
      </tp>
      <tp t="e">
        <v>#N/A</v>
        <stp/>
        <stp>VOLUME</stp>
        <stp>.SPX250815C5760</stp>
        <tr r="O97" s="2"/>
      </tp>
      <tp t="e">
        <v>#N/A</v>
        <stp/>
        <stp>VOLUME</stp>
        <stp>.SPX251121C5420</stp>
        <tr r="U131" s="2"/>
      </tp>
      <tp t="e">
        <v>#N/A</v>
        <stp/>
        <stp>VOLUME</stp>
        <stp>.SPX251017C5740</stp>
        <tr r="S99" s="2"/>
      </tp>
      <tp t="e">
        <v>#N/A</v>
        <stp/>
        <stp>VOLUME</stp>
        <stp>.SPX251121P5420</stp>
        <tr r="U131" s="2"/>
      </tp>
      <tp t="e">
        <v>#N/A</v>
        <stp/>
        <stp>VOLUME</stp>
        <stp>.SPX251017P5740</stp>
        <tr r="S99" s="2"/>
      </tp>
      <tp t="e">
        <v>#N/A</v>
        <stp/>
        <stp>VOLUME</stp>
        <stp>.SPX250620P5430</stp>
        <tr r="K130" s="2"/>
      </tp>
      <tp t="e">
        <v>#N/A</v>
        <stp/>
        <stp>VOLUME</stp>
        <stp>.SPX250815P5760</stp>
        <tr r="O97" s="2"/>
      </tp>
      <tp t="e">
        <v>#N/A</v>
        <stp/>
        <stp>VOLUME</stp>
        <stp>.SPX250718C5780</stp>
        <tr r="M95" s="2"/>
      </tp>
      <tp t="e">
        <v>#N/A</v>
        <stp/>
        <stp>VOLUME</stp>
        <stp>.SPX250523C5430</stp>
        <tr r="H130" s="2"/>
      </tp>
      <tp t="e">
        <v>#N/A</v>
        <stp/>
        <stp>VOLUME</stp>
        <stp>.SPX250919C5790</stp>
        <tr r="Q94" s="2"/>
      </tp>
      <tp t="e">
        <v>#N/A</v>
        <stp/>
        <stp>VOLUME</stp>
        <stp>.SPX250815C5750</stp>
        <tr r="O98" s="2"/>
      </tp>
      <tp t="e">
        <v>#N/A</v>
        <stp/>
        <stp>VOLUME</stp>
        <stp>.SPX251219C5790</stp>
        <tr r="W94" s="2"/>
      </tp>
      <tp t="e">
        <v>#N/A</v>
        <stp/>
        <stp>VOLUME</stp>
        <stp>.SPX251017C5770</stp>
        <tr r="S96" s="2"/>
      </tp>
      <tp t="e">
        <v>#N/A</v>
        <stp/>
        <stp>VOLUME</stp>
        <stp>.SPX251219P5790</stp>
        <tr r="W94" s="2"/>
      </tp>
      <tp t="e">
        <v>#N/A</v>
        <stp/>
        <stp>VOLUME</stp>
        <stp>.SPX251017P5770</stp>
        <tr r="S96" s="2"/>
      </tp>
      <tp t="e">
        <v>#N/A</v>
        <stp/>
        <stp>VOLUME</stp>
        <stp>.SPX250718P5780</stp>
        <tr r="M95" s="2"/>
      </tp>
      <tp t="e">
        <v>#N/A</v>
        <stp/>
        <stp>VOLUME</stp>
        <stp>.SPX250523P5430</stp>
        <tr r="H130" s="2"/>
      </tp>
      <tp t="e">
        <v>#N/A</v>
        <stp/>
        <stp>VOLUME</stp>
        <stp>.SPX250919P5790</stp>
        <tr r="Q94" s="2"/>
      </tp>
      <tp t="e">
        <v>#N/A</v>
        <stp/>
        <stp>VOLUME</stp>
        <stp>.SPX250815P5750</stp>
        <tr r="O98" s="2"/>
      </tp>
      <tp t="e">
        <v>#N/A</v>
        <stp/>
        <stp>VOLUME</stp>
        <stp>.SPX250718C5790</stp>
        <tr r="M94" s="2"/>
      </tp>
      <tp t="e">
        <v>#N/A</v>
        <stp/>
        <stp>VOLUME</stp>
        <stp>.SPX250523C5420</stp>
        <tr r="H131" s="2"/>
      </tp>
      <tp t="e">
        <v>#N/A</v>
        <stp/>
        <stp>VOLUME</stp>
        <stp>.SPX250919C5780</stp>
        <tr r="Q95" s="2"/>
      </tp>
      <tp t="e">
        <v>#N/A</v>
        <stp/>
        <stp>VOLUME</stp>
        <stp>.SPX250815C5740</stp>
        <tr r="O99" s="2"/>
      </tp>
      <tp t="e">
        <v>#N/A</v>
        <stp/>
        <stp>VOLUME</stp>
        <stp>.SPX251219C5780</stp>
        <tr r="W95" s="2"/>
      </tp>
      <tp t="e">
        <v>#N/A</v>
        <stp/>
        <stp>VOLUME</stp>
        <stp>.SPX251017C5760</stp>
        <tr r="S97" s="2"/>
      </tp>
      <tp t="e">
        <v>#N/A</v>
        <stp/>
        <stp>VOLUME</stp>
        <stp>.SPX251219P5780</stp>
        <tr r="W95" s="2"/>
      </tp>
      <tp t="e">
        <v>#N/A</v>
        <stp/>
        <stp>VOLUME</stp>
        <stp>.SPX251017P5760</stp>
        <tr r="S97" s="2"/>
      </tp>
      <tp t="e">
        <v>#N/A</v>
        <stp/>
        <stp>VOLUME</stp>
        <stp>.SPX250718P5790</stp>
        <tr r="M94" s="2"/>
      </tp>
      <tp t="e">
        <v>#N/A</v>
        <stp/>
        <stp>VOLUME</stp>
        <stp>.SPX250523P5420</stp>
        <tr r="H131" s="2"/>
      </tp>
      <tp t="e">
        <v>#N/A</v>
        <stp/>
        <stp>VOLUME</stp>
        <stp>.SPX250919P5780</stp>
        <tr r="Q95" s="2"/>
      </tp>
      <tp t="e">
        <v>#N/A</v>
        <stp/>
        <stp>VOLUME</stp>
        <stp>.SPX250815P5740</stp>
        <tr r="O99" s="2"/>
      </tp>
      <tp t="e">
        <v>#N/A</v>
        <stp/>
        <stp>VOLUME</stp>
        <stp>.SPX250718C5760</stp>
        <tr r="M97" s="2"/>
      </tp>
      <tp t="e">
        <v>#N/A</v>
        <stp/>
        <stp>VOLUME</stp>
        <stp>.SPX250919C5770</stp>
        <tr r="Q96" s="2"/>
      </tp>
      <tp t="e">
        <v>#N/A</v>
        <stp/>
        <stp>VOLUME</stp>
        <stp>.SPX251219C5770</stp>
        <tr r="W96" s="2"/>
      </tp>
      <tp t="e">
        <v>#N/A</v>
        <stp/>
        <stp>VOLUME</stp>
        <stp>.SPX251017C5790</stp>
        <tr r="S94" s="2"/>
      </tp>
      <tp t="e">
        <v>#N/A</v>
        <stp/>
        <stp>VOLUME</stp>
        <stp>.SPX251219P5770</stp>
        <tr r="W96" s="2"/>
      </tp>
      <tp t="e">
        <v>#N/A</v>
        <stp/>
        <stp>VOLUME</stp>
        <stp>.SPX251017P5790</stp>
        <tr r="S94" s="2"/>
      </tp>
      <tp t="e">
        <v>#N/A</v>
        <stp/>
        <stp>VOLUME</stp>
        <stp>.SPX250718P5760</stp>
        <tr r="M97" s="2"/>
      </tp>
      <tp t="e">
        <v>#N/A</v>
        <stp/>
        <stp>VOLUME</stp>
        <stp>.SPX250919P5770</stp>
        <tr r="Q96" s="2"/>
      </tp>
      <tp t="e">
        <v>#N/A</v>
        <stp/>
        <stp>VOLUME</stp>
        <stp>.SPX250718C5770</stp>
        <tr r="M96" s="2"/>
      </tp>
      <tp t="e">
        <v>#N/A</v>
        <stp/>
        <stp>VOLUME</stp>
        <stp>.SPX250919C5760</stp>
        <tr r="Q97" s="2"/>
      </tp>
      <tp t="e">
        <v>#N/A</v>
        <stp/>
        <stp>VOLUME</stp>
        <stp>.SPX251219C5760</stp>
        <tr r="W97" s="2"/>
      </tp>
      <tp t="e">
        <v>#N/A</v>
        <stp/>
        <stp>VOLUME</stp>
        <stp>.SPX251017C5780</stp>
        <tr r="S95" s="2"/>
      </tp>
      <tp t="e">
        <v>#N/A</v>
        <stp/>
        <stp>VOLUME</stp>
        <stp>.SPX251219P5760</stp>
        <tr r="W97" s="2"/>
      </tp>
      <tp t="e">
        <v>#N/A</v>
        <stp/>
        <stp>VOLUME</stp>
        <stp>.SPX251017P5780</stp>
        <tr r="S95" s="2"/>
      </tp>
      <tp t="e">
        <v>#N/A</v>
        <stp/>
        <stp>VOLUME</stp>
        <stp>.SPX250718P5770</stp>
        <tr r="M96" s="2"/>
      </tp>
      <tp t="e">
        <v>#N/A</v>
        <stp/>
        <stp>VOLUME</stp>
        <stp>.SPX250919P5760</stp>
        <tr r="Q97" s="2"/>
      </tp>
      <tp t="e">
        <v>#N/A</v>
        <stp/>
        <stp>VOLUME</stp>
        <stp>.SPX250718C5740</stp>
        <tr r="M99" s="2"/>
      </tp>
      <tp t="e">
        <v>#N/A</v>
        <stp/>
        <stp>VOLUME</stp>
        <stp>.SPX250919C5750</stp>
        <tr r="Q98" s="2"/>
      </tp>
      <tp t="e">
        <v>#N/A</v>
        <stp/>
        <stp>VOLUME</stp>
        <stp>.SPX250815C5790</stp>
        <tr r="O94" s="2"/>
      </tp>
      <tp t="e">
        <v>#N/A</v>
        <stp/>
        <stp>VOLUME</stp>
        <stp>.SPX251219C5750</stp>
        <tr r="W98" s="2"/>
      </tp>
      <tp t="e">
        <v>#N/A</v>
        <stp/>
        <stp>VOLUME</stp>
        <stp>.SPX251219P5750</stp>
        <tr r="W98" s="2"/>
      </tp>
      <tp t="e">
        <v>#N/A</v>
        <stp/>
        <stp>VOLUME</stp>
        <stp>.SPX250718P5740</stp>
        <tr r="M99" s="2"/>
      </tp>
      <tp t="e">
        <v>#N/A</v>
        <stp/>
        <stp>VOLUME</stp>
        <stp>.SPX250919P5750</stp>
        <tr r="Q98" s="2"/>
      </tp>
      <tp t="e">
        <v>#N/A</v>
        <stp/>
        <stp>VOLUME</stp>
        <stp>.SPX250815P5790</stp>
        <tr r="O94" s="2"/>
      </tp>
      <tp t="e">
        <v>#N/A</v>
        <stp/>
        <stp>VOLUME</stp>
        <stp>.SPX250718C5750</stp>
        <tr r="M98" s="2"/>
      </tp>
      <tp t="e">
        <v>#N/A</v>
        <stp/>
        <stp>VOLUME</stp>
        <stp>.SPX250919C5740</stp>
        <tr r="Q99" s="2"/>
      </tp>
      <tp t="e">
        <v>#N/A</v>
        <stp/>
        <stp>VOLUME</stp>
        <stp>.SPX250815C5780</stp>
        <tr r="O95" s="2"/>
      </tp>
      <tp t="e">
        <v>#N/A</v>
        <stp/>
        <stp>VOLUME</stp>
        <stp>.SPX251219C5740</stp>
        <tr r="W99" s="2"/>
      </tp>
      <tp t="e">
        <v>#N/A</v>
        <stp/>
        <stp>VOLUME</stp>
        <stp>.SPX251219P5740</stp>
        <tr r="W99" s="2"/>
      </tp>
      <tp t="e">
        <v>#N/A</v>
        <stp/>
        <stp>VOLUME</stp>
        <stp>.SPX250718P5750</stp>
        <tr r="M98" s="2"/>
      </tp>
      <tp t="e">
        <v>#N/A</v>
        <stp/>
        <stp>VOLUME</stp>
        <stp>.SPX250919P5740</stp>
        <tr r="Q99" s="2"/>
      </tp>
      <tp t="e">
        <v>#N/A</v>
        <stp/>
        <stp>VOLUME</stp>
        <stp>.SPX250815P5780</stp>
        <tr r="O95" s="2"/>
      </tp>
      <tp t="e">
        <v>#N/A</v>
        <stp/>
        <stp>VOLUME</stp>
        <stp>.SPX250718C5720</stp>
        <tr r="M101" s="2"/>
      </tp>
      <tp t="e">
        <v>#N/A</v>
        <stp/>
        <stp>VOLUME</stp>
        <stp>.SPX250523C5490</stp>
        <tr r="H124" s="2"/>
      </tp>
      <tp t="e">
        <v>#N/A</v>
        <stp/>
        <stp>VOLUME</stp>
        <stp>.SPX250919C5730</stp>
        <tr r="Q100" s="2"/>
      </tp>
      <tp t="e">
        <v>#N/A</v>
        <stp/>
        <stp>VOLUME</stp>
        <stp>.SPX251219C5730</stp>
        <tr r="W100" s="2"/>
      </tp>
      <tp t="e">
        <v>#N/A</v>
        <stp/>
        <stp>VOLUME</stp>
        <stp>.SPX251219P5730</stp>
        <tr r="W100" s="2"/>
      </tp>
      <tp t="e">
        <v>#N/A</v>
        <stp/>
        <stp>VOLUME</stp>
        <stp>.SPX250718P5720</stp>
        <tr r="M101" s="2"/>
      </tp>
      <tp t="e">
        <v>#N/A</v>
        <stp/>
        <stp>VOLUME</stp>
        <stp>.SPX250523P5490</stp>
        <tr r="H124" s="2"/>
      </tp>
      <tp t="e">
        <v>#N/A</v>
        <stp/>
        <stp>VOLUME</stp>
        <stp>.SPX250919P5730</stp>
        <tr r="Q100" s="2"/>
      </tp>
      <tp t="e">
        <v>#N/A</v>
        <stp/>
        <stp>VOLUME</stp>
        <stp>.SPX250718C5730</stp>
        <tr r="M100" s="2"/>
      </tp>
      <tp t="e">
        <v>#N/A</v>
        <stp/>
        <stp>VOLUME</stp>
        <stp>.SPX250523C5480</stp>
        <tr r="H125" s="2"/>
      </tp>
      <tp t="e">
        <v>#N/A</v>
        <stp/>
        <stp>VOLUME</stp>
        <stp>.SPX250919C5720</stp>
        <tr r="Q101" s="2"/>
      </tp>
      <tp t="e">
        <v>#N/A</v>
        <stp/>
        <stp>VOLUME</stp>
        <stp>.SPX251219C5720</stp>
        <tr r="W101" s="2"/>
      </tp>
      <tp t="e">
        <v>#N/A</v>
        <stp/>
        <stp>VOLUME</stp>
        <stp>.SPX251219P5720</stp>
        <tr r="W101" s="2"/>
      </tp>
      <tp t="e">
        <v>#N/A</v>
        <stp/>
        <stp>VOLUME</stp>
        <stp>.SPX250718P5730</stp>
        <tr r="M100" s="2"/>
      </tp>
      <tp t="e">
        <v>#N/A</v>
        <stp/>
        <stp>VOLUME</stp>
        <stp>.SPX250523P5480</stp>
        <tr r="H125" s="2"/>
      </tp>
      <tp t="e">
        <v>#N/A</v>
        <stp/>
        <stp>VOLUME</stp>
        <stp>.SPX250919P5720</stp>
        <tr r="Q101" s="2"/>
      </tp>
      <tp t="e">
        <v>#N/A</v>
        <stp/>
        <stp>VOLUME</stp>
        <stp>.SPX250718C5700</stp>
        <tr r="M103" s="2"/>
      </tp>
      <tp t="e">
        <v>#N/A</v>
        <stp/>
        <stp>VOLUME</stp>
        <stp>.SPX250620C5480</stp>
        <tr r="K125" s="2"/>
      </tp>
      <tp t="e">
        <v>#N/A</v>
        <stp/>
        <stp>VOLUME</stp>
        <stp>.SPX250919C5710</stp>
        <tr r="Q102" s="2"/>
      </tp>
      <tp t="e">
        <v>#N/A</v>
        <stp/>
        <stp>VOLUME</stp>
        <stp>.SPX251219C5710</stp>
        <tr r="W102" s="2"/>
      </tp>
      <tp t="e">
        <v>#N/A</v>
        <stp/>
        <stp>VOLUME</stp>
        <stp>.SPX251121C5490</stp>
        <tr r="U124" s="2"/>
      </tp>
      <tp t="e">
        <v>#N/A</v>
        <stp/>
        <stp>VOLUME</stp>
        <stp>.SPX251219P5710</stp>
        <tr r="W102" s="2"/>
      </tp>
      <tp t="e">
        <v>#N/A</v>
        <stp/>
        <stp>VOLUME</stp>
        <stp>.SPX251121P5490</stp>
        <tr r="U124" s="2"/>
      </tp>
      <tp t="e">
        <v>#N/A</v>
        <stp/>
        <stp>VOLUME</stp>
        <stp>.SPX250718P5700</stp>
        <tr r="M103" s="2"/>
      </tp>
      <tp t="e">
        <v>#N/A</v>
        <stp/>
        <stp>VOLUME</stp>
        <stp>.SPX250620P5480</stp>
        <tr r="K125" s="2"/>
      </tp>
      <tp t="e">
        <v>#N/A</v>
        <stp/>
        <stp>VOLUME</stp>
        <stp>.SPX250919P5710</stp>
        <tr r="Q102" s="2"/>
      </tp>
      <tp t="e">
        <v>#N/A</v>
        <stp/>
        <stp>VOLUME</stp>
        <stp>.SPX250718C5710</stp>
        <tr r="M102" s="2"/>
      </tp>
      <tp t="e">
        <v>#N/A</v>
        <stp/>
        <stp>VOLUME</stp>
        <stp>.SPX250620C5490</stp>
        <tr r="K124" s="2"/>
      </tp>
      <tp t="e">
        <v>#N/A</v>
        <stp/>
        <stp>VOLUME</stp>
        <stp>.SPX250919C5700</stp>
        <tr r="Q103" s="2"/>
      </tp>
      <tp t="e">
        <v>#N/A</v>
        <stp/>
        <stp>VOLUME</stp>
        <stp>.SPX251219C5700</stp>
        <tr r="W103" s="2"/>
      </tp>
      <tp t="e">
        <v>#N/A</v>
        <stp/>
        <stp>VOLUME</stp>
        <stp>.SPX251121C5480</stp>
        <tr r="U125" s="2"/>
      </tp>
      <tp t="e">
        <v>#N/A</v>
        <stp/>
        <stp>VOLUME</stp>
        <stp>.SPX251219P5700</stp>
        <tr r="W103" s="2"/>
      </tp>
      <tp t="e">
        <v>#N/A</v>
        <stp/>
        <stp>VOLUME</stp>
        <stp>.SPX251121P5480</stp>
        <tr r="U125" s="2"/>
      </tp>
      <tp t="e">
        <v>#N/A</v>
        <stp/>
        <stp>VOLUME</stp>
        <stp>.SPX250718P5710</stp>
        <tr r="M102" s="2"/>
      </tp>
      <tp t="e">
        <v>#N/A</v>
        <stp/>
        <stp>VOLUME</stp>
        <stp>.SPX250620P5490</stp>
        <tr r="K124" s="2"/>
      </tp>
      <tp t="e">
        <v>#N/A</v>
        <stp/>
        <stp>VOLUME</stp>
        <stp>.SPX250919P5700</stp>
        <tr r="Q103" s="2"/>
      </tp>
      <tp t="e">
        <v>#N/A</v>
        <stp/>
        <stp>IMPL_VOL</stp>
        <stp>.SPXW250502C5790</stp>
        <tr r="EL93" s="1"/>
      </tp>
      <tp t="e">
        <v>#N/A</v>
        <stp/>
        <stp>IMPL_VOL</stp>
        <stp>.SPXW250509C5720</stp>
        <tr r="EN100" s="1"/>
      </tp>
      <tp t="e">
        <v>#N/A</v>
        <stp/>
        <stp>IMPL_VOL</stp>
        <stp>.SPXW250502P5790</stp>
        <tr r="EM93" s="1"/>
      </tp>
      <tp t="e">
        <v>#N/A</v>
        <stp/>
        <stp>IMPL_VOL</stp>
        <stp>.SPXW250509P5720</stp>
        <tr r="EO100" s="1"/>
      </tp>
      <tp t="e">
        <v>#N/A</v>
        <stp/>
        <stp>IMPL_VOL</stp>
        <stp>.SPXW250502C5780</stp>
        <tr r="EL94" s="1"/>
      </tp>
      <tp t="e">
        <v>#N/A</v>
        <stp/>
        <stp>IMPL_VOL</stp>
        <stp>.SPXW250509C5730</stp>
        <tr r="EN99" s="1"/>
      </tp>
      <tp t="e">
        <v>#N/A</v>
        <stp/>
        <stp>IMPL_VOL</stp>
        <stp>.SPXW250502P5780</stp>
        <tr r="EM94" s="1"/>
      </tp>
      <tp t="e">
        <v>#N/A</v>
        <stp/>
        <stp>IMPL_VOL</stp>
        <stp>.SPXW250509P5730</stp>
        <tr r="EO99" s="1"/>
      </tp>
      <tp t="e">
        <v>#N/A</v>
        <stp/>
        <stp>IMPL_VOL</stp>
        <stp>.SPXW250509C5700</stp>
        <tr r="EN102" s="1"/>
      </tp>
      <tp t="e">
        <v>#N/A</v>
        <stp/>
        <stp>IMPL_VOL</stp>
        <stp>.SPXW250509P5700</stp>
        <tr r="EO102" s="1"/>
      </tp>
      <tp t="e">
        <v>#N/A</v>
        <stp/>
        <stp>IMPL_VOL</stp>
        <stp>.SPXW250509C5710</stp>
        <tr r="EN101" s="1"/>
      </tp>
      <tp t="e">
        <v>#N/A</v>
        <stp/>
        <stp>IMPL_VOL</stp>
        <stp>.SPXW250509P5710</stp>
        <tr r="EO101" s="1"/>
      </tp>
      <tp t="e">
        <v>#N/A</v>
        <stp/>
        <stp>IMPL_VOL</stp>
        <stp>.SPXW250509C5760</stp>
        <tr r="EN96" s="1"/>
      </tp>
      <tp t="e">
        <v>#N/A</v>
        <stp/>
        <stp>IMPL_VOL</stp>
        <stp>.SPXW250516C5690</stp>
        <tr r="EP103" s="1"/>
      </tp>
      <tp t="e">
        <v>#N/A</v>
        <stp/>
        <stp>IMPL_VOL</stp>
        <stp>.SPXW250509P5760</stp>
        <tr r="EO96" s="1"/>
      </tp>
      <tp t="e">
        <v>#N/A</v>
        <stp/>
        <stp>IMPL_VOL</stp>
        <stp>.SPXW250516P5690</stp>
        <tr r="EQ103" s="1"/>
      </tp>
      <tp t="e">
        <v>#N/A</v>
        <stp/>
        <stp>IMPL_VOL</stp>
        <stp>.SPXW250509C5770</stp>
        <tr r="EN95" s="1"/>
      </tp>
      <tp t="e">
        <v>#N/A</v>
        <stp/>
        <stp>IMPL_VOL</stp>
        <stp>.SPXW250516C5680</stp>
        <tr r="EP104" s="1"/>
      </tp>
      <tp t="e">
        <v>#N/A</v>
        <stp/>
        <stp>IMPL_VOL</stp>
        <stp>.SPXW250509P5770</stp>
        <tr r="EO95" s="1"/>
      </tp>
      <tp t="e">
        <v>#N/A</v>
        <stp/>
        <stp>IMPL_VOL</stp>
        <stp>.SPXW250516P5680</stp>
        <tr r="EQ104" s="1"/>
      </tp>
      <tp t="e">
        <v>#N/A</v>
        <stp/>
        <stp>IMPL_VOL</stp>
        <stp>.SPXW250509C5740</stp>
        <tr r="EN98" s="1"/>
      </tp>
      <tp t="e">
        <v>#N/A</v>
        <stp/>
        <stp>IMPL_VOL</stp>
        <stp>.SPXW250509P5740</stp>
        <tr r="EO98" s="1"/>
      </tp>
      <tp t="e">
        <v>#N/A</v>
        <stp/>
        <stp>IMPL_VOL</stp>
        <stp>.SPXW250509C5750</stp>
        <tr r="EN97" s="1"/>
      </tp>
      <tp t="e">
        <v>#N/A</v>
        <stp/>
        <stp>IMPL_VOL</stp>
        <stp>.SPXW250509P5750</stp>
        <tr r="EO97" s="1"/>
      </tp>
      <tp t="e">
        <v>#N/A</v>
        <stp/>
        <stp>IMPL_VOL</stp>
        <stp>.SPXW250502C5710</stp>
        <tr r="EL101" s="1"/>
      </tp>
      <tp t="e">
        <v>#N/A</v>
        <stp/>
        <stp>IMPL_VOL</stp>
        <stp>.SPXW250516C5650</stp>
        <tr r="EP107" s="1"/>
      </tp>
      <tp t="e">
        <v>#N/A</v>
        <stp/>
        <stp>IMPL_VOL</stp>
        <stp>.SPXW250502P5710</stp>
        <tr r="EM101" s="1"/>
      </tp>
      <tp t="e">
        <v>#N/A</v>
        <stp/>
        <stp>IMPL_VOL</stp>
        <stp>.SPXW250516P5650</stp>
        <tr r="EQ107" s="1"/>
      </tp>
      <tp t="e">
        <v>#N/A</v>
        <stp/>
        <stp>IMPL_VOL</stp>
        <stp>.SPXW250502C5700</stp>
        <tr r="EL102" s="1"/>
      </tp>
      <tp t="e">
        <v>#N/A</v>
        <stp/>
        <stp>IMPL_VOL</stp>
        <stp>.SPXW250516C5640</stp>
        <tr r="EP108" s="1"/>
      </tp>
      <tp t="e">
        <v>#N/A</v>
        <stp/>
        <stp>IMPL_VOL</stp>
        <stp>.SPXW250502P5700</stp>
        <tr r="EM102" s="1"/>
      </tp>
      <tp t="e">
        <v>#N/A</v>
        <stp/>
        <stp>IMPL_VOL</stp>
        <stp>.SPXW250516P5640</stp>
        <tr r="EQ108" s="1"/>
      </tp>
      <tp t="e">
        <v>#N/A</v>
        <stp/>
        <stp>IMPL_VOL</stp>
        <stp>.SPXW250502C5730</stp>
        <tr r="EL99" s="1"/>
      </tp>
      <tp t="e">
        <v>#N/A</v>
        <stp/>
        <stp>IMPL_VOL</stp>
        <stp>.SPXW250509C5780</stp>
        <tr r="EN94" s="1"/>
      </tp>
      <tp t="e">
        <v>#N/A</v>
        <stp/>
        <stp>IMPL_VOL</stp>
        <stp>.SPXW250516C5670</stp>
        <tr r="EP105" s="1"/>
      </tp>
      <tp t="e">
        <v>#N/A</v>
        <stp/>
        <stp>IMPL_VOL</stp>
        <stp>.SPXW250502P5730</stp>
        <tr r="EM99" s="1"/>
      </tp>
      <tp t="e">
        <v>#N/A</v>
        <stp/>
        <stp>IMPL_VOL</stp>
        <stp>.SPXW250509P5780</stp>
        <tr r="EO94" s="1"/>
      </tp>
      <tp t="e">
        <v>#N/A</v>
        <stp/>
        <stp>IMPL_VOL</stp>
        <stp>.SPXW250516P5670</stp>
        <tr r="EQ105" s="1"/>
      </tp>
      <tp t="e">
        <v>#N/A</v>
        <stp/>
        <stp>IMPL_VOL</stp>
        <stp>.SPXW250502C5720</stp>
        <tr r="EL100" s="1"/>
      </tp>
      <tp t="e">
        <v>#N/A</v>
        <stp/>
        <stp>IMPL_VOL</stp>
        <stp>.SPXW250509C5790</stp>
        <tr r="EN93" s="1"/>
      </tp>
      <tp t="e">
        <v>#N/A</v>
        <stp/>
        <stp>IMPL_VOL</stp>
        <stp>.SPXW250516C5660</stp>
        <tr r="EP106" s="1"/>
      </tp>
      <tp t="e">
        <v>#N/A</v>
        <stp/>
        <stp>IMPL_VOL</stp>
        <stp>.SPXW250502P5720</stp>
        <tr r="EM100" s="1"/>
      </tp>
      <tp t="e">
        <v>#N/A</v>
        <stp/>
        <stp>IMPL_VOL</stp>
        <stp>.SPXW250509P5790</stp>
        <tr r="EO93" s="1"/>
      </tp>
      <tp t="e">
        <v>#N/A</v>
        <stp/>
        <stp>IMPL_VOL</stp>
        <stp>.SPXW250516P5660</stp>
        <tr r="EQ106" s="1"/>
      </tp>
      <tp t="e">
        <v>#N/A</v>
        <stp/>
        <stp>IMPL_VOL</stp>
        <stp>.SPXW250502C5750</stp>
        <tr r="EL97" s="1"/>
      </tp>
      <tp t="e">
        <v>#N/A</v>
        <stp/>
        <stp>IMPL_VOL</stp>
        <stp>.SPXW250516C5610</stp>
        <tr r="EP111" s="1"/>
      </tp>
      <tp t="e">
        <v>#N/A</v>
        <stp/>
        <stp>IMPL_VOL</stp>
        <stp>.SPXW250502P5750</stp>
        <tr r="EM97" s="1"/>
      </tp>
      <tp t="e">
        <v>#N/A</v>
        <stp/>
        <stp>IMPL_VOL</stp>
        <stp>.SPXW250516P5610</stp>
        <tr r="EQ111" s="1"/>
      </tp>
      <tp t="e">
        <v>#N/A</v>
        <stp/>
        <stp>IMPL_VOL</stp>
        <stp>.SPXW250502C5740</stp>
        <tr r="EL98" s="1"/>
      </tp>
      <tp t="e">
        <v>#N/A</v>
        <stp/>
        <stp>IMPL_VOL</stp>
        <stp>.SPXW250516C5600</stp>
        <tr r="EP112" s="1"/>
      </tp>
      <tp t="e">
        <v>#N/A</v>
        <stp/>
        <stp>IMPL_VOL</stp>
        <stp>.SPXW250502P5740</stp>
        <tr r="EM98" s="1"/>
      </tp>
      <tp t="e">
        <v>#N/A</v>
        <stp/>
        <stp>IMPL_VOL</stp>
        <stp>.SPXW250516P5600</stp>
        <tr r="EQ112" s="1"/>
      </tp>
      <tp t="e">
        <v>#N/A</v>
        <stp/>
        <stp>IMPL_VOL</stp>
        <stp>.SPXW250502C5770</stp>
        <tr r="EL95" s="1"/>
      </tp>
      <tp t="e">
        <v>#N/A</v>
        <stp/>
        <stp>IMPL_VOL</stp>
        <stp>.SPXW250516C5630</stp>
        <tr r="EP109" s="1"/>
      </tp>
      <tp t="e">
        <v>#N/A</v>
        <stp/>
        <stp>IMPL_VOL</stp>
        <stp>.SPXW250502P5770</stp>
        <tr r="EM95" s="1"/>
      </tp>
      <tp t="e">
        <v>#N/A</v>
        <stp/>
        <stp>IMPL_VOL</stp>
        <stp>.SPXW250516P5630</stp>
        <tr r="EQ109" s="1"/>
      </tp>
      <tp t="e">
        <v>#N/A</v>
        <stp/>
        <stp>IMPL_VOL</stp>
        <stp>.SPXW250502C5760</stp>
        <tr r="EL96" s="1"/>
      </tp>
      <tp t="e">
        <v>#N/A</v>
        <stp/>
        <stp>IMPL_VOL</stp>
        <stp>.SPXW250516C5620</stp>
        <tr r="EP110" s="1"/>
      </tp>
      <tp t="e">
        <v>#N/A</v>
        <stp/>
        <stp>IMPL_VOL</stp>
        <stp>.SPXW250502P5760</stp>
        <tr r="EM96" s="1"/>
      </tp>
      <tp t="e">
        <v>#N/A</v>
        <stp/>
        <stp>IMPL_VOL</stp>
        <stp>.SPXW250516P5620</stp>
        <tr r="EQ110" s="1"/>
      </tp>
      <tp t="e">
        <v>#N/A</v>
        <stp/>
        <stp>IMPL_VOL</stp>
        <stp>.SPXW250502C5690</stp>
        <tr r="EL103" s="1"/>
      </tp>
      <tp t="e">
        <v>#N/A</v>
        <stp/>
        <stp>IMPL_VOL</stp>
        <stp>.SPXW250509C5620</stp>
        <tr r="EN110" s="1"/>
      </tp>
      <tp t="e">
        <v>#N/A</v>
        <stp/>
        <stp>IMPL_VOL</stp>
        <stp>.SPXW250502P5690</stp>
        <tr r="EM103" s="1"/>
      </tp>
      <tp t="e">
        <v>#N/A</v>
        <stp/>
        <stp>IMPL_VOL</stp>
        <stp>.SPXW250509P5620</stp>
        <tr r="EO110" s="1"/>
      </tp>
      <tp t="e">
        <v>#N/A</v>
        <stp/>
        <stp>IMPL_VOL</stp>
        <stp>.SPXW250502C5680</stp>
        <tr r="EL104" s="1"/>
      </tp>
      <tp t="e">
        <v>#N/A</v>
        <stp/>
        <stp>IMPL_VOL</stp>
        <stp>.SPXW250509C5630</stp>
        <tr r="EN109" s="1"/>
      </tp>
      <tp t="e">
        <v>#N/A</v>
        <stp/>
        <stp>IMPL_VOL</stp>
        <stp>.SPXW250502P5680</stp>
        <tr r="EM104" s="1"/>
      </tp>
      <tp t="e">
        <v>#N/A</v>
        <stp/>
        <stp>IMPL_VOL</stp>
        <stp>.SPXW250509P5630</stp>
        <tr r="EO109" s="1"/>
      </tp>
      <tp t="e">
        <v>#N/A</v>
        <stp/>
        <stp>IMPL_VOL</stp>
        <stp>.SPXW250509C5600</stp>
        <tr r="EN112" s="1"/>
      </tp>
      <tp t="e">
        <v>#N/A</v>
        <stp/>
        <stp>IMPL_VOL</stp>
        <stp>.SPXW250509P5600</stp>
        <tr r="EO112" s="1"/>
      </tp>
      <tp t="e">
        <v>#N/A</v>
        <stp/>
        <stp>IMPL_VOL</stp>
        <stp>.SPXW250509C5610</stp>
        <tr r="EN111" s="1"/>
      </tp>
      <tp t="e">
        <v>#N/A</v>
        <stp/>
        <stp>IMPL_VOL</stp>
        <stp>.SPXW250509P5610</stp>
        <tr r="EO111" s="1"/>
      </tp>
      <tp t="e">
        <v>#N/A</v>
        <stp/>
        <stp>IMPL_VOL</stp>
        <stp>.SPXW250509C5660</stp>
        <tr r="EN106" s="1"/>
      </tp>
      <tp t="e">
        <v>#N/A</v>
        <stp/>
        <stp>IMPL_VOL</stp>
        <stp>.SPXW250516C5790</stp>
        <tr r="EP93" s="1"/>
      </tp>
      <tp t="e">
        <v>#N/A</v>
        <stp/>
        <stp>IMPL_VOL</stp>
        <stp>.SPXW250509P5660</stp>
        <tr r="EO106" s="1"/>
      </tp>
      <tp t="e">
        <v>#N/A</v>
        <stp/>
        <stp>IMPL_VOL</stp>
        <stp>.SPXW250516P5790</stp>
        <tr r="EQ93" s="1"/>
      </tp>
      <tp t="e">
        <v>#N/A</v>
        <stp/>
        <stp>IMPL_VOL</stp>
        <stp>.SPXW250509C5670</stp>
        <tr r="EN105" s="1"/>
      </tp>
      <tp t="e">
        <v>#N/A</v>
        <stp/>
        <stp>IMPL_VOL</stp>
        <stp>.SPXW250516C5780</stp>
        <tr r="EP94" s="1"/>
      </tp>
      <tp t="e">
        <v>#N/A</v>
        <stp/>
        <stp>IMPL_VOL</stp>
        <stp>.SPXW250509P5670</stp>
        <tr r="EO105" s="1"/>
      </tp>
      <tp t="e">
        <v>#N/A</v>
        <stp/>
        <stp>IMPL_VOL</stp>
        <stp>.SPXW250516P5780</stp>
        <tr r="EQ94" s="1"/>
      </tp>
      <tp t="e">
        <v>#N/A</v>
        <stp/>
        <stp>IMPL_VOL</stp>
        <stp>.SPXW250509C5640</stp>
        <tr r="EN108" s="1"/>
      </tp>
      <tp t="e">
        <v>#N/A</v>
        <stp/>
        <stp>IMPL_VOL</stp>
        <stp>.SPXW250509P5640</stp>
        <tr r="EO108" s="1"/>
      </tp>
      <tp t="e">
        <v>#N/A</v>
        <stp/>
        <stp>IMPL_VOL</stp>
        <stp>.SPXW250509C5650</stp>
        <tr r="EN107" s="1"/>
      </tp>
      <tp t="e">
        <v>#N/A</v>
        <stp/>
        <stp>IMPL_VOL</stp>
        <stp>.SPXW250509P5650</stp>
        <tr r="EO107" s="1"/>
      </tp>
      <tp t="e">
        <v>#N/A</v>
        <stp/>
        <stp>IMPL_VOL</stp>
        <stp>.SPXW250502C5610</stp>
        <tr r="EL111" s="1"/>
      </tp>
      <tp t="e">
        <v>#N/A</v>
        <stp/>
        <stp>IMPL_VOL</stp>
        <stp>.SPXW250516C5750</stp>
        <tr r="EP97" s="1"/>
      </tp>
      <tp t="e">
        <v>#N/A</v>
        <stp/>
        <stp>IMPL_VOL</stp>
        <stp>.SPXW250502P5610</stp>
        <tr r="EM111" s="1"/>
      </tp>
      <tp t="e">
        <v>#N/A</v>
        <stp/>
        <stp>IMPL_VOL</stp>
        <stp>.SPXW250516P5750</stp>
        <tr r="EQ97" s="1"/>
      </tp>
      <tp t="e">
        <v>#N/A</v>
        <stp/>
        <stp>IMPL_VOL</stp>
        <stp>.SPXW250502C5600</stp>
        <tr r="EL112" s="1"/>
      </tp>
      <tp t="e">
        <v>#N/A</v>
        <stp/>
        <stp>IMPL_VOL</stp>
        <stp>.SPXW250516C5740</stp>
        <tr r="EP98" s="1"/>
      </tp>
      <tp t="e">
        <v>#N/A</v>
        <stp/>
        <stp>IMPL_VOL</stp>
        <stp>.SPXW250502P5600</stp>
        <tr r="EM112" s="1"/>
      </tp>
      <tp t="e">
        <v>#N/A</v>
        <stp/>
        <stp>IMPL_VOL</stp>
        <stp>.SPXW250516P5740</stp>
        <tr r="EQ98" s="1"/>
      </tp>
      <tp t="e">
        <v>#N/A</v>
        <stp/>
        <stp>IMPL_VOL</stp>
        <stp>.SPXW250502C5630</stp>
        <tr r="EL109" s="1"/>
      </tp>
      <tp t="e">
        <v>#N/A</v>
        <stp/>
        <stp>IMPL_VOL</stp>
        <stp>.SPXW250509C5680</stp>
        <tr r="EN104" s="1"/>
      </tp>
      <tp t="e">
        <v>#N/A</v>
        <stp/>
        <stp>IMPL_VOL</stp>
        <stp>.SPXW250516C5770</stp>
        <tr r="EP95" s="1"/>
      </tp>
      <tp t="e">
        <v>#N/A</v>
        <stp/>
        <stp>IMPL_VOL</stp>
        <stp>.SPXW250502P5630</stp>
        <tr r="EM109" s="1"/>
      </tp>
      <tp t="e">
        <v>#N/A</v>
        <stp/>
        <stp>IMPL_VOL</stp>
        <stp>.SPXW250509P5680</stp>
        <tr r="EO104" s="1"/>
      </tp>
      <tp t="e">
        <v>#N/A</v>
        <stp/>
        <stp>IMPL_VOL</stp>
        <stp>.SPXW250516P5770</stp>
        <tr r="EQ95" s="1"/>
      </tp>
      <tp t="e">
        <v>#N/A</v>
        <stp/>
        <stp>IMPL_VOL</stp>
        <stp>.SPXW250502C5620</stp>
        <tr r="EL110" s="1"/>
      </tp>
      <tp t="e">
        <v>#N/A</v>
        <stp/>
        <stp>IMPL_VOL</stp>
        <stp>.SPXW250509C5690</stp>
        <tr r="EN103" s="1"/>
      </tp>
      <tp t="e">
        <v>#N/A</v>
        <stp/>
        <stp>IMPL_VOL</stp>
        <stp>.SPXW250516C5760</stp>
        <tr r="EP96" s="1"/>
      </tp>
      <tp t="e">
        <v>#N/A</v>
        <stp/>
        <stp>IMPL_VOL</stp>
        <stp>.SPXW250502P5620</stp>
        <tr r="EM110" s="1"/>
      </tp>
      <tp t="e">
        <v>#N/A</v>
        <stp/>
        <stp>IMPL_VOL</stp>
        <stp>.SPXW250509P5690</stp>
        <tr r="EO103" s="1"/>
      </tp>
      <tp t="e">
        <v>#N/A</v>
        <stp/>
        <stp>IMPL_VOL</stp>
        <stp>.SPXW250516P5760</stp>
        <tr r="EQ96" s="1"/>
      </tp>
      <tp t="e">
        <v>#N/A</v>
        <stp/>
        <stp>IMPL_VOL</stp>
        <stp>.SPXW250502C5650</stp>
        <tr r="EL107" s="1"/>
      </tp>
      <tp t="e">
        <v>#N/A</v>
        <stp/>
        <stp>IMPL_VOL</stp>
        <stp>.SPXW250516C5710</stp>
        <tr r="EP101" s="1"/>
      </tp>
      <tp t="e">
        <v>#N/A</v>
        <stp/>
        <stp>IMPL_VOL</stp>
        <stp>.SPXW250502P5650</stp>
        <tr r="EM107" s="1"/>
      </tp>
      <tp t="e">
        <v>#N/A</v>
        <stp/>
        <stp>IMPL_VOL</stp>
        <stp>.SPXW250516P5710</stp>
        <tr r="EQ101" s="1"/>
      </tp>
      <tp t="e">
        <v>#N/A</v>
        <stp/>
        <stp>IMPL_VOL</stp>
        <stp>.SPXW250502C5640</stp>
        <tr r="EL108" s="1"/>
      </tp>
      <tp t="e">
        <v>#N/A</v>
        <stp/>
        <stp>IMPL_VOL</stp>
        <stp>.SPXW250516C5700</stp>
        <tr r="EP102" s="1"/>
      </tp>
      <tp t="e">
        <v>#N/A</v>
        <stp/>
        <stp>IMPL_VOL</stp>
        <stp>.SPXW250502P5640</stp>
        <tr r="EM108" s="1"/>
      </tp>
      <tp t="e">
        <v>#N/A</v>
        <stp/>
        <stp>IMPL_VOL</stp>
        <stp>.SPXW250516P5700</stp>
        <tr r="EQ102" s="1"/>
      </tp>
      <tp t="e">
        <v>#N/A</v>
        <stp/>
        <stp>IMPL_VOL</stp>
        <stp>.SPXW250502C5670</stp>
        <tr r="EL105" s="1"/>
      </tp>
      <tp t="e">
        <v>#N/A</v>
        <stp/>
        <stp>IMPL_VOL</stp>
        <stp>.SPXW250516C5730</stp>
        <tr r="EP99" s="1"/>
      </tp>
      <tp t="e">
        <v>#N/A</v>
        <stp/>
        <stp>IMPL_VOL</stp>
        <stp>.SPXW250502P5670</stp>
        <tr r="EM105" s="1"/>
      </tp>
      <tp t="e">
        <v>#N/A</v>
        <stp/>
        <stp>IMPL_VOL</stp>
        <stp>.SPXW250516P5730</stp>
        <tr r="EQ99" s="1"/>
      </tp>
      <tp t="e">
        <v>#N/A</v>
        <stp/>
        <stp>IMPL_VOL</stp>
        <stp>.SPXW250502C5660</stp>
        <tr r="EL106" s="1"/>
      </tp>
      <tp t="e">
        <v>#N/A</v>
        <stp/>
        <stp>IMPL_VOL</stp>
        <stp>.SPXW250516C5720</stp>
        <tr r="EP100" s="1"/>
      </tp>
      <tp t="e">
        <v>#N/A</v>
        <stp/>
        <stp>IMPL_VOL</stp>
        <stp>.SPXW250502P5660</stp>
        <tr r="EM106" s="1"/>
      </tp>
      <tp t="e">
        <v>#N/A</v>
        <stp/>
        <stp>IMPL_VOL</stp>
        <stp>.SPXW250516P5720</stp>
        <tr r="EQ100" s="1"/>
      </tp>
      <tp t="e">
        <v>#N/A</v>
        <stp/>
        <stp>IMPL_VOL</stp>
        <stp>.QQQ250502C500</stp>
        <tr r="EL47" s="1"/>
      </tp>
      <tp t="e">
        <v>#N/A</v>
        <stp/>
        <stp>IMPL_VOL</stp>
        <stp>.QQQ250502P500</stp>
        <tr r="EM47" s="1"/>
      </tp>
      <tp t="e">
        <v>#N/A</v>
        <stp/>
        <stp>IMPL_VOL</stp>
        <stp>.QQQ250502C501</stp>
        <tr r="EL46" s="1"/>
      </tp>
      <tp t="e">
        <v>#N/A</v>
        <stp/>
        <stp>IMPL_VOL</stp>
        <stp>.QQQ250502P501</stp>
        <tr r="EM46" s="1"/>
      </tp>
      <tp t="e">
        <v>#N/A</v>
        <stp/>
        <stp>IMPL_VOL</stp>
        <stp>.QQQ250502C502</stp>
        <tr r="EL45" s="1"/>
      </tp>
      <tp t="e">
        <v>#N/A</v>
        <stp/>
        <stp>IMPL_VOL</stp>
        <stp>.QQQ250502P502</stp>
        <tr r="EM45" s="1"/>
      </tp>
      <tp t="e">
        <v>#N/A</v>
        <stp/>
        <stp>IMPL_VOL</stp>
        <stp>.QQQ250509C502</stp>
        <tr r="EN45" s="1"/>
      </tp>
      <tp t="e">
        <v>#N/A</v>
        <stp/>
        <stp>IMPL_VOL</stp>
        <stp>.QQQ250509P502</stp>
        <tr r="EO45" s="1"/>
      </tp>
      <tp t="e">
        <v>#N/A</v>
        <stp/>
        <stp>IMPL_VOL</stp>
        <stp>.QQQ250509C501</stp>
        <tr r="EN46" s="1"/>
      </tp>
      <tp t="e">
        <v>#N/A</v>
        <stp/>
        <stp>IMPL_VOL</stp>
        <stp>.QQQ250509P501</stp>
        <tr r="EO46" s="1"/>
      </tp>
      <tp t="e">
        <v>#N/A</v>
        <stp/>
        <stp>IMPL_VOL</stp>
        <stp>.QQQ250509C500</stp>
        <tr r="EN47" s="1"/>
      </tp>
      <tp t="e">
        <v>#N/A</v>
        <stp/>
        <stp>IMPL_VOL</stp>
        <stp>.QQQ250509P500</stp>
        <tr r="EO47" s="1"/>
      </tp>
      <tp t="e">
        <v>#N/A</v>
        <stp/>
        <stp>IMPL_VOL</stp>
        <stp>.QQQ250516C500</stp>
        <tr r="EP47" s="1"/>
      </tp>
      <tp t="e">
        <v>#N/A</v>
        <stp/>
        <stp>IMPL_VOL</stp>
        <stp>.QQQ250516P500</stp>
        <tr r="EQ47" s="1"/>
      </tp>
      <tp t="e">
        <v>#N/A</v>
        <stp/>
        <stp>IMPL_VOL</stp>
        <stp>.QQQ250516C501</stp>
        <tr r="EP46" s="1"/>
      </tp>
      <tp t="e">
        <v>#N/A</v>
        <stp/>
        <stp>IMPL_VOL</stp>
        <stp>.QQQ250516P501</stp>
        <tr r="EQ46" s="1"/>
      </tp>
      <tp t="e">
        <v>#N/A</v>
        <stp/>
        <stp>IMPL_VOL</stp>
        <stp>.QQQ250516C502</stp>
        <tr r="EP45" s="1"/>
      </tp>
      <tp t="e">
        <v>#N/A</v>
        <stp/>
        <stp>IMPL_VOL</stp>
        <stp>.QQQ250516P502</stp>
        <tr r="EQ45" s="1"/>
      </tp>
      <tp t="e">
        <v>#N/A</v>
        <stp/>
        <stp>ASK</stp>
        <stp>.SPY250502C560</stp>
        <tr r="DC26" s="1"/>
        <tr r="DC26" s="1"/>
      </tp>
      <tp t="e">
        <v>#N/A</v>
        <stp/>
        <stp>ASK</stp>
        <stp>.SPY250502P560</stp>
        <tr r="DD26" s="1"/>
        <tr r="DD26" s="1"/>
      </tp>
      <tp t="e">
        <v>#N/A</v>
        <stp/>
        <stp>ASK</stp>
        <stp>.SPY250502C561</stp>
        <tr r="DC25" s="1"/>
        <tr r="DC25" s="1"/>
      </tp>
      <tp t="e">
        <v>#N/A</v>
        <stp/>
        <stp>ASK</stp>
        <stp>.SPY250502P561</stp>
        <tr r="DD25" s="1"/>
        <tr r="DD25" s="1"/>
      </tp>
      <tp t="e">
        <v>#N/A</v>
        <stp/>
        <stp>ASK</stp>
        <stp>.SPY250502C562</stp>
        <tr r="DC24" s="1"/>
        <tr r="DC24" s="1"/>
      </tp>
      <tp t="e">
        <v>#N/A</v>
        <stp/>
        <stp>ASK</stp>
        <stp>.SPY250502P562</stp>
        <tr r="DD24" s="1"/>
        <tr r="DD24" s="1"/>
      </tp>
      <tp t="e">
        <v>#N/A</v>
        <stp/>
        <stp>ASK</stp>
        <stp>.SPY250502C563</stp>
        <tr r="DC23" s="1"/>
        <tr r="DC23" s="1"/>
      </tp>
      <tp t="e">
        <v>#N/A</v>
        <stp/>
        <stp>ASK</stp>
        <stp>.SPY250502P563</stp>
        <tr r="DD23" s="1"/>
        <tr r="DD23" s="1"/>
      </tp>
      <tp t="e">
        <v>#N/A</v>
        <stp/>
        <stp>ASK</stp>
        <stp>.SPY250502C564</stp>
        <tr r="DC22" s="1"/>
        <tr r="DC22" s="1"/>
      </tp>
      <tp t="e">
        <v>#N/A</v>
        <stp/>
        <stp>ASK</stp>
        <stp>.SPY250502P564</stp>
        <tr r="DD22" s="1"/>
        <tr r="DD22" s="1"/>
      </tp>
      <tp t="e">
        <v>#N/A</v>
        <stp/>
        <stp>ASK</stp>
        <stp>.SPY250502C565</stp>
        <tr r="DC21" s="1"/>
        <tr r="DC21" s="1"/>
      </tp>
      <tp t="e">
        <v>#N/A</v>
        <stp/>
        <stp>ASK</stp>
        <stp>.SPY250502P565</stp>
        <tr r="DD21" s="1"/>
        <tr r="DD21" s="1"/>
      </tp>
      <tp t="e">
        <v>#N/A</v>
        <stp/>
        <stp>ASK</stp>
        <stp>.SPY250502C566</stp>
        <tr r="DC20" s="1"/>
        <tr r="DC20" s="1"/>
      </tp>
      <tp t="e">
        <v>#N/A</v>
        <stp/>
        <stp>ASK</stp>
        <stp>.SPY250502P566</stp>
        <tr r="DD20" s="1"/>
        <tr r="DD20" s="1"/>
      </tp>
      <tp t="e">
        <v>#N/A</v>
        <stp/>
        <stp>ASK</stp>
        <stp>.SPY250502C567</stp>
        <tr r="DC19" s="1"/>
        <tr r="DC19" s="1"/>
      </tp>
      <tp t="e">
        <v>#N/A</v>
        <stp/>
        <stp>ASK</stp>
        <stp>.SPY250502P567</stp>
        <tr r="DD19" s="1"/>
        <tr r="DD19" s="1"/>
      </tp>
      <tp t="e">
        <v>#N/A</v>
        <stp/>
        <stp>ASK</stp>
        <stp>.SPY250502C568</stp>
        <tr r="DC18" s="1"/>
        <tr r="DC18" s="1"/>
      </tp>
      <tp t="e">
        <v>#N/A</v>
        <stp/>
        <stp>ASK</stp>
        <stp>.SPY250502P568</stp>
        <tr r="DD18" s="1"/>
        <tr r="DD18" s="1"/>
      </tp>
      <tp t="e">
        <v>#N/A</v>
        <stp/>
        <stp>ASK</stp>
        <stp>.SPY250502C569</stp>
        <tr r="DC17" s="1"/>
        <tr r="DC17" s="1"/>
      </tp>
      <tp t="e">
        <v>#N/A</v>
        <stp/>
        <stp>ASK</stp>
        <stp>.SPY250502P569</stp>
        <tr r="DD17" s="1"/>
        <tr r="DD17" s="1"/>
      </tp>
      <tp t="e">
        <v>#N/A</v>
        <stp/>
        <stp>BID</stp>
        <stp>.SPY250502C558</stp>
        <tr r="DE28" s="1"/>
        <tr r="DE28" s="1"/>
      </tp>
      <tp t="e">
        <v>#N/A</v>
        <stp/>
        <stp>BID</stp>
        <stp>.SPY250502P558</stp>
        <tr r="DF28" s="1"/>
        <tr r="DF28" s="1"/>
      </tp>
      <tp t="e">
        <v>#N/A</v>
        <stp/>
        <stp>BID</stp>
        <stp>.SPY250502C559</stp>
        <tr r="DE27" s="1"/>
        <tr r="DE27" s="1"/>
      </tp>
      <tp t="e">
        <v>#N/A</v>
        <stp/>
        <stp>BID</stp>
        <stp>.SPY250502P559</stp>
        <tr r="DF27" s="1"/>
        <tr r="DF27" s="1"/>
      </tp>
      <tp t="e">
        <v>#N/A</v>
        <stp/>
        <stp>BID</stp>
        <stp>.SPY250502C552</stp>
        <tr r="DE34" s="1"/>
        <tr r="DE34" s="1"/>
      </tp>
      <tp t="e">
        <v>#N/A</v>
        <stp/>
        <stp>BID</stp>
        <stp>.SPY250502P552</stp>
        <tr r="DF34" s="1"/>
        <tr r="DF34" s="1"/>
      </tp>
      <tp t="e">
        <v>#N/A</v>
        <stp/>
        <stp>BID</stp>
        <stp>.SPY250502C553</stp>
        <tr r="DE33" s="1"/>
        <tr r="DE33" s="1"/>
      </tp>
      <tp t="e">
        <v>#N/A</v>
        <stp/>
        <stp>BID</stp>
        <stp>.SPY250502P553</stp>
        <tr r="DF33" s="1"/>
        <tr r="DF33" s="1"/>
      </tp>
      <tp t="e">
        <v>#N/A</v>
        <stp/>
        <stp>BID</stp>
        <stp>.SPY250502C550</stp>
        <tr r="DE36" s="1"/>
        <tr r="DE36" s="1"/>
      </tp>
      <tp t="e">
        <v>#N/A</v>
        <stp/>
        <stp>BID</stp>
        <stp>.SPY250502P550</stp>
        <tr r="DF36" s="1"/>
        <tr r="DF36" s="1"/>
      </tp>
      <tp t="e">
        <v>#N/A</v>
        <stp/>
        <stp>BID</stp>
        <stp>.SPY250502C551</stp>
        <tr r="DE35" s="1"/>
        <tr r="DE35" s="1"/>
      </tp>
      <tp t="e">
        <v>#N/A</v>
        <stp/>
        <stp>BID</stp>
        <stp>.SPY250502P551</stp>
        <tr r="DF35" s="1"/>
        <tr r="DF35" s="1"/>
      </tp>
      <tp t="e">
        <v>#N/A</v>
        <stp/>
        <stp>BID</stp>
        <stp>.SPY250502C556</stp>
        <tr r="DE30" s="1"/>
        <tr r="DE30" s="1"/>
      </tp>
      <tp t="e">
        <v>#N/A</v>
        <stp/>
        <stp>BID</stp>
        <stp>.SPY250502P556</stp>
        <tr r="DF30" s="1"/>
        <tr r="DF30" s="1"/>
      </tp>
      <tp t="e">
        <v>#N/A</v>
        <stp/>
        <stp>BID</stp>
        <stp>.SPY250502C557</stp>
        <tr r="DE29" s="1"/>
        <tr r="DE29" s="1"/>
      </tp>
      <tp t="e">
        <v>#N/A</v>
        <stp/>
        <stp>BID</stp>
        <stp>.SPY250502P557</stp>
        <tr r="DF29" s="1"/>
        <tr r="DF29" s="1"/>
      </tp>
      <tp t="e">
        <v>#N/A</v>
        <stp/>
        <stp>BID</stp>
        <stp>.SPY250502C554</stp>
        <tr r="DE32" s="1"/>
        <tr r="DE32" s="1"/>
      </tp>
      <tp t="e">
        <v>#N/A</v>
        <stp/>
        <stp>BID</stp>
        <stp>.SPY250502P554</stp>
        <tr r="DF32" s="1"/>
        <tr r="DF32" s="1"/>
      </tp>
      <tp t="e">
        <v>#N/A</v>
        <stp/>
        <stp>BID</stp>
        <stp>.SPY250502C555</stp>
        <tr r="DE31" s="1"/>
        <tr r="DE31" s="1"/>
      </tp>
      <tp t="e">
        <v>#N/A</v>
        <stp/>
        <stp>BID</stp>
        <stp>.SPY250502P555</stp>
        <tr r="DF31" s="1"/>
        <tr r="DF31" s="1"/>
      </tp>
      <tp t="e">
        <v>#N/A</v>
        <stp/>
        <stp>ASK</stp>
        <stp>.SPY250502C570</stp>
        <tr r="DC16" s="1"/>
        <tr r="DC16" s="1"/>
      </tp>
      <tp t="e">
        <v>#N/A</v>
        <stp/>
        <stp>ASK</stp>
        <stp>.SPY250502P570</stp>
        <tr r="DD16" s="1"/>
        <tr r="DD16" s="1"/>
      </tp>
      <tp t="e">
        <v>#N/A</v>
        <stp/>
        <stp>ASK</stp>
        <stp>.SPY250502C571</stp>
        <tr r="DC15" s="1"/>
        <tr r="DC15" s="1"/>
      </tp>
      <tp t="e">
        <v>#N/A</v>
        <stp/>
        <stp>ASK</stp>
        <stp>.SPY250502P571</stp>
        <tr r="DD15" s="1"/>
        <tr r="DD15" s="1"/>
      </tp>
      <tp t="e">
        <v>#N/A</v>
        <stp/>
        <stp>ASK</stp>
        <stp>.SPY250502C572</stp>
        <tr r="DC14" s="1"/>
        <tr r="DC14" s="1"/>
      </tp>
      <tp t="e">
        <v>#N/A</v>
        <stp/>
        <stp>ASK</stp>
        <stp>.SPY250502P572</stp>
        <tr r="DD14" s="1"/>
        <tr r="DD14" s="1"/>
      </tp>
      <tp t="e">
        <v>#N/A</v>
        <stp/>
        <stp>ASK</stp>
        <stp>.SPY250502C573</stp>
        <tr r="DC13" s="1"/>
        <tr r="DC13" s="1"/>
      </tp>
      <tp t="e">
        <v>#N/A</v>
        <stp/>
        <stp>ASK</stp>
        <stp>.SPY250502P573</stp>
        <tr r="DD13" s="1"/>
        <tr r="DD13" s="1"/>
      </tp>
      <tp t="e">
        <v>#N/A</v>
        <stp/>
        <stp>ASK</stp>
        <stp>.SPY250502C574</stp>
        <tr r="DC12" s="1"/>
        <tr r="DC12" s="1"/>
      </tp>
      <tp t="e">
        <v>#N/A</v>
        <stp/>
        <stp>ASK</stp>
        <stp>.SPY250502P574</stp>
        <tr r="DD12" s="1"/>
        <tr r="DD12" s="1"/>
      </tp>
      <tp t="e">
        <v>#N/A</v>
        <stp/>
        <stp>ASK</stp>
        <stp>.SPY250502C575</stp>
        <tr r="DC11" s="1"/>
        <tr r="DC11" s="1"/>
      </tp>
      <tp t="e">
        <v>#N/A</v>
        <stp/>
        <stp>ASK</stp>
        <stp>.SPY250502P575</stp>
        <tr r="DD11" s="1"/>
        <tr r="DD11" s="1"/>
      </tp>
      <tp t="e">
        <v>#N/A</v>
        <stp/>
        <stp>ASK</stp>
        <stp>.SPY250502C576</stp>
        <tr r="DC10" s="1"/>
        <tr r="DC10" s="1"/>
      </tp>
      <tp t="e">
        <v>#N/A</v>
        <stp/>
        <stp>ASK</stp>
        <stp>.SPY250502P576</stp>
        <tr r="DD10" s="1"/>
        <tr r="DD10" s="1"/>
      </tp>
      <tp t="e">
        <v>#N/A</v>
        <stp/>
        <stp>ASK</stp>
        <stp>.SPY250502C577</stp>
        <tr r="DC9" s="1"/>
        <tr r="DC9" s="1"/>
      </tp>
      <tp t="e">
        <v>#N/A</v>
        <stp/>
        <stp>ASK</stp>
        <stp>.SPY250502P577</stp>
        <tr r="DD9" s="1"/>
        <tr r="DD9" s="1"/>
      </tp>
      <tp t="e">
        <v>#N/A</v>
        <stp/>
        <stp>ASK</stp>
        <stp>.SPY250502C578</stp>
        <tr r="DC8" s="1"/>
        <tr r="DC8" s="1"/>
      </tp>
      <tp t="e">
        <v>#N/A</v>
        <stp/>
        <stp>ASK</stp>
        <stp>.SPY250502P578</stp>
        <tr r="DD8" s="1"/>
        <tr r="DD8" s="1"/>
      </tp>
      <tp t="e">
        <v>#N/A</v>
        <stp/>
        <stp>ASK</stp>
        <stp>.SPY250502C579</stp>
        <tr r="DC7" s="1"/>
        <tr r="DC7" s="1"/>
      </tp>
      <tp t="e">
        <v>#N/A</v>
        <stp/>
        <stp>ASK</stp>
        <stp>.SPY250502P579</stp>
        <tr r="DD7" s="1"/>
        <tr r="DD7" s="1"/>
      </tp>
      <tp t="e">
        <v>#N/A</v>
        <stp/>
        <stp>BID</stp>
        <stp>.SPY250502C548</stp>
        <tr r="DE38" s="1"/>
        <tr r="DE38" s="1"/>
      </tp>
      <tp t="e">
        <v>#N/A</v>
        <stp/>
        <stp>BID</stp>
        <stp>.SPY250502P548</stp>
        <tr r="DF38" s="1"/>
        <tr r="DF38" s="1"/>
      </tp>
      <tp t="e">
        <v>#N/A</v>
        <stp/>
        <stp>BID</stp>
        <stp>.SPY250502C549</stp>
        <tr r="DE37" s="1"/>
        <tr r="DE37" s="1"/>
      </tp>
      <tp t="e">
        <v>#N/A</v>
        <stp/>
        <stp>BID</stp>
        <stp>.SPY250502P549</stp>
        <tr r="DF37" s="1"/>
        <tr r="DF37" s="1"/>
      </tp>
      <tp t="e">
        <v>#N/A</v>
        <stp/>
        <stp>ASK</stp>
        <stp>.SPY250502C548</stp>
        <tr r="DC38" s="1"/>
        <tr r="DC38" s="1"/>
      </tp>
      <tp t="e">
        <v>#N/A</v>
        <stp/>
        <stp>ASK</stp>
        <stp>.SPY250502P548</stp>
        <tr r="DD38" s="1"/>
        <tr r="DD38" s="1"/>
      </tp>
      <tp t="e">
        <v>#N/A</v>
        <stp/>
        <stp>ASK</stp>
        <stp>.SPY250502C549</stp>
        <tr r="DC37" s="1"/>
        <tr r="DC37" s="1"/>
      </tp>
      <tp t="e">
        <v>#N/A</v>
        <stp/>
        <stp>ASK</stp>
        <stp>.SPY250502P549</stp>
        <tr r="DD37" s="1"/>
        <tr r="DD37" s="1"/>
      </tp>
      <tp t="e">
        <v>#N/A</v>
        <stp/>
        <stp>BID</stp>
        <stp>.SPY250502C578</stp>
        <tr r="DE8" s="1"/>
        <tr r="DE8" s="1"/>
      </tp>
      <tp t="e">
        <v>#N/A</v>
        <stp/>
        <stp>BID</stp>
        <stp>.SPY250502P578</stp>
        <tr r="DF8" s="1"/>
        <tr r="DF8" s="1"/>
      </tp>
      <tp t="e">
        <v>#N/A</v>
        <stp/>
        <stp>BID</stp>
        <stp>.SPY250502C579</stp>
        <tr r="DE7" s="1"/>
        <tr r="DE7" s="1"/>
      </tp>
      <tp t="e">
        <v>#N/A</v>
        <stp/>
        <stp>BID</stp>
        <stp>.SPY250502P579</stp>
        <tr r="DF7" s="1"/>
        <tr r="DF7" s="1"/>
      </tp>
      <tp t="e">
        <v>#N/A</v>
        <stp/>
        <stp>BID</stp>
        <stp>.SPY250502C572</stp>
        <tr r="DE14" s="1"/>
        <tr r="DE14" s="1"/>
      </tp>
      <tp t="e">
        <v>#N/A</v>
        <stp/>
        <stp>BID</stp>
        <stp>.SPY250502P572</stp>
        <tr r="DF14" s="1"/>
        <tr r="DF14" s="1"/>
      </tp>
      <tp t="e">
        <v>#N/A</v>
        <stp/>
        <stp>BID</stp>
        <stp>.SPY250502C573</stp>
        <tr r="DE13" s="1"/>
        <tr r="DE13" s="1"/>
      </tp>
      <tp t="e">
        <v>#N/A</v>
        <stp/>
        <stp>BID</stp>
        <stp>.SPY250502P573</stp>
        <tr r="DF13" s="1"/>
        <tr r="DF13" s="1"/>
      </tp>
      <tp t="e">
        <v>#N/A</v>
        <stp/>
        <stp>BID</stp>
        <stp>.SPY250502C570</stp>
        <tr r="DE16" s="1"/>
        <tr r="DE16" s="1"/>
      </tp>
      <tp t="e">
        <v>#N/A</v>
        <stp/>
        <stp>BID</stp>
        <stp>.SPY250502P570</stp>
        <tr r="DF16" s="1"/>
        <tr r="DF16" s="1"/>
      </tp>
      <tp t="e">
        <v>#N/A</v>
        <stp/>
        <stp>BID</stp>
        <stp>.SPY250502C571</stp>
        <tr r="DE15" s="1"/>
        <tr r="DE15" s="1"/>
      </tp>
      <tp t="e">
        <v>#N/A</v>
        <stp/>
        <stp>BID</stp>
        <stp>.SPY250502P571</stp>
        <tr r="DF15" s="1"/>
        <tr r="DF15" s="1"/>
      </tp>
      <tp t="e">
        <v>#N/A</v>
        <stp/>
        <stp>BID</stp>
        <stp>.SPY250502C576</stp>
        <tr r="DE10" s="1"/>
        <tr r="DE10" s="1"/>
      </tp>
      <tp t="e">
        <v>#N/A</v>
        <stp/>
        <stp>BID</stp>
        <stp>.SPY250502P576</stp>
        <tr r="DF10" s="1"/>
        <tr r="DF10" s="1"/>
      </tp>
      <tp t="e">
        <v>#N/A</v>
        <stp/>
        <stp>BID</stp>
        <stp>.SPY250502C577</stp>
        <tr r="DE9" s="1"/>
        <tr r="DE9" s="1"/>
      </tp>
      <tp t="e">
        <v>#N/A</v>
        <stp/>
        <stp>BID</stp>
        <stp>.SPY250502P577</stp>
        <tr r="DF9" s="1"/>
        <tr r="DF9" s="1"/>
      </tp>
      <tp t="e">
        <v>#N/A</v>
        <stp/>
        <stp>BID</stp>
        <stp>.SPY250502C574</stp>
        <tr r="DE12" s="1"/>
        <tr r="DE12" s="1"/>
      </tp>
      <tp t="e">
        <v>#N/A</v>
        <stp/>
        <stp>BID</stp>
        <stp>.SPY250502P574</stp>
        <tr r="DF12" s="1"/>
        <tr r="DF12" s="1"/>
      </tp>
      <tp t="e">
        <v>#N/A</v>
        <stp/>
        <stp>BID</stp>
        <stp>.SPY250502C575</stp>
        <tr r="DE11" s="1"/>
        <tr r="DE11" s="1"/>
      </tp>
      <tp t="e">
        <v>#N/A</v>
        <stp/>
        <stp>BID</stp>
        <stp>.SPY250502P575</stp>
        <tr r="DF11" s="1"/>
        <tr r="DF11" s="1"/>
      </tp>
      <tp t="e">
        <v>#N/A</v>
        <stp/>
        <stp>ASK</stp>
        <stp>.SPY250502C550</stp>
        <tr r="DC36" s="1"/>
        <tr r="DC36" s="1"/>
      </tp>
      <tp t="e">
        <v>#N/A</v>
        <stp/>
        <stp>ASK</stp>
        <stp>.SPY250502P550</stp>
        <tr r="DD36" s="1"/>
        <tr r="DD36" s="1"/>
      </tp>
      <tp t="e">
        <v>#N/A</v>
        <stp/>
        <stp>ASK</stp>
        <stp>.SPY250502C551</stp>
        <tr r="DC35" s="1"/>
        <tr r="DC35" s="1"/>
      </tp>
      <tp t="e">
        <v>#N/A</v>
        <stp/>
        <stp>ASK</stp>
        <stp>.SPY250502P551</stp>
        <tr r="DD35" s="1"/>
        <tr r="DD35" s="1"/>
      </tp>
      <tp t="e">
        <v>#N/A</v>
        <stp/>
        <stp>ASK</stp>
        <stp>.SPY250502C552</stp>
        <tr r="DC34" s="1"/>
        <tr r="DC34" s="1"/>
      </tp>
      <tp t="e">
        <v>#N/A</v>
        <stp/>
        <stp>ASK</stp>
        <stp>.SPY250502P552</stp>
        <tr r="DD34" s="1"/>
        <tr r="DD34" s="1"/>
      </tp>
      <tp t="e">
        <v>#N/A</v>
        <stp/>
        <stp>ASK</stp>
        <stp>.SPY250502C553</stp>
        <tr r="DC33" s="1"/>
        <tr r="DC33" s="1"/>
      </tp>
      <tp t="e">
        <v>#N/A</v>
        <stp/>
        <stp>ASK</stp>
        <stp>.SPY250502P553</stp>
        <tr r="DD33" s="1"/>
        <tr r="DD33" s="1"/>
      </tp>
      <tp t="e">
        <v>#N/A</v>
        <stp/>
        <stp>ASK</stp>
        <stp>.SPY250502C554</stp>
        <tr r="DC32" s="1"/>
        <tr r="DC32" s="1"/>
      </tp>
      <tp t="e">
        <v>#N/A</v>
        <stp/>
        <stp>ASK</stp>
        <stp>.SPY250502P554</stp>
        <tr r="DD32" s="1"/>
        <tr r="DD32" s="1"/>
      </tp>
      <tp t="e">
        <v>#N/A</v>
        <stp/>
        <stp>ASK</stp>
        <stp>.SPY250502C555</stp>
        <tr r="DC31" s="1"/>
        <tr r="DC31" s="1"/>
      </tp>
      <tp t="e">
        <v>#N/A</v>
        <stp/>
        <stp>ASK</stp>
        <stp>.SPY250502P555</stp>
        <tr r="DD31" s="1"/>
        <tr r="DD31" s="1"/>
      </tp>
      <tp t="e">
        <v>#N/A</v>
        <stp/>
        <stp>ASK</stp>
        <stp>.SPY250502C556</stp>
        <tr r="DC30" s="1"/>
        <tr r="DC30" s="1"/>
      </tp>
      <tp t="e">
        <v>#N/A</v>
        <stp/>
        <stp>ASK</stp>
        <stp>.SPY250502P556</stp>
        <tr r="DD30" s="1"/>
        <tr r="DD30" s="1"/>
      </tp>
      <tp t="e">
        <v>#N/A</v>
        <stp/>
        <stp>ASK</stp>
        <stp>.SPY250502C557</stp>
        <tr r="DC29" s="1"/>
        <tr r="DC29" s="1"/>
      </tp>
      <tp t="e">
        <v>#N/A</v>
        <stp/>
        <stp>ASK</stp>
        <stp>.SPY250502P557</stp>
        <tr r="DD29" s="1"/>
        <tr r="DD29" s="1"/>
      </tp>
      <tp t="e">
        <v>#N/A</v>
        <stp/>
        <stp>ASK</stp>
        <stp>.SPY250502C558</stp>
        <tr r="DC28" s="1"/>
        <tr r="DC28" s="1"/>
      </tp>
      <tp t="e">
        <v>#N/A</v>
        <stp/>
        <stp>ASK</stp>
        <stp>.SPY250502P558</stp>
        <tr r="DD28" s="1"/>
        <tr r="DD28" s="1"/>
      </tp>
      <tp t="e">
        <v>#N/A</v>
        <stp/>
        <stp>ASK</stp>
        <stp>.SPY250502C559</stp>
        <tr r="DC27" s="1"/>
        <tr r="DC27" s="1"/>
      </tp>
      <tp t="e">
        <v>#N/A</v>
        <stp/>
        <stp>ASK</stp>
        <stp>.SPY250502P559</stp>
        <tr r="DD27" s="1"/>
        <tr r="DD27" s="1"/>
      </tp>
      <tp t="e">
        <v>#N/A</v>
        <stp/>
        <stp>BID</stp>
        <stp>.SPY250502C568</stp>
        <tr r="DE18" s="1"/>
        <tr r="DE18" s="1"/>
      </tp>
      <tp t="e">
        <v>#N/A</v>
        <stp/>
        <stp>BID</stp>
        <stp>.SPY250502P568</stp>
        <tr r="DF18" s="1"/>
        <tr r="DF18" s="1"/>
      </tp>
      <tp t="e">
        <v>#N/A</v>
        <stp/>
        <stp>BID</stp>
        <stp>.SPY250502C569</stp>
        <tr r="DE17" s="1"/>
        <tr r="DE17" s="1"/>
      </tp>
      <tp t="e">
        <v>#N/A</v>
        <stp/>
        <stp>BID</stp>
        <stp>.SPY250502P569</stp>
        <tr r="DF17" s="1"/>
        <tr r="DF17" s="1"/>
      </tp>
      <tp t="e">
        <v>#N/A</v>
        <stp/>
        <stp>BID</stp>
        <stp>.SPY250502C562</stp>
        <tr r="DE24" s="1"/>
        <tr r="DE24" s="1"/>
      </tp>
      <tp t="e">
        <v>#N/A</v>
        <stp/>
        <stp>BID</stp>
        <stp>.SPY250502P562</stp>
        <tr r="DF24" s="1"/>
        <tr r="DF24" s="1"/>
      </tp>
      <tp t="e">
        <v>#N/A</v>
        <stp/>
        <stp>BID</stp>
        <stp>.SPY250502C563</stp>
        <tr r="DE23" s="1"/>
        <tr r="DE23" s="1"/>
      </tp>
      <tp t="e">
        <v>#N/A</v>
        <stp/>
        <stp>BID</stp>
        <stp>.SPY250502P563</stp>
        <tr r="DF23" s="1"/>
        <tr r="DF23" s="1"/>
      </tp>
      <tp t="e">
        <v>#N/A</v>
        <stp/>
        <stp>BID</stp>
        <stp>.SPY250502C560</stp>
        <tr r="DE26" s="1"/>
        <tr r="DE26" s="1"/>
      </tp>
      <tp t="e">
        <v>#N/A</v>
        <stp/>
        <stp>BID</stp>
        <stp>.SPY250502P560</stp>
        <tr r="DF26" s="1"/>
        <tr r="DF26" s="1"/>
      </tp>
      <tp t="e">
        <v>#N/A</v>
        <stp/>
        <stp>BID</stp>
        <stp>.SPY250502C561</stp>
        <tr r="DE25" s="1"/>
        <tr r="DE25" s="1"/>
      </tp>
      <tp t="e">
        <v>#N/A</v>
        <stp/>
        <stp>BID</stp>
        <stp>.SPY250502P561</stp>
        <tr r="DF25" s="1"/>
        <tr r="DF25" s="1"/>
      </tp>
      <tp t="e">
        <v>#N/A</v>
        <stp/>
        <stp>BID</stp>
        <stp>.SPY250502C566</stp>
        <tr r="DE20" s="1"/>
        <tr r="DE20" s="1"/>
      </tp>
      <tp t="e">
        <v>#N/A</v>
        <stp/>
        <stp>BID</stp>
        <stp>.SPY250502P566</stp>
        <tr r="DF20" s="1"/>
        <tr r="DF20" s="1"/>
      </tp>
      <tp t="e">
        <v>#N/A</v>
        <stp/>
        <stp>BID</stp>
        <stp>.SPY250502C567</stp>
        <tr r="DE19" s="1"/>
        <tr r="DE19" s="1"/>
      </tp>
      <tp t="e">
        <v>#N/A</v>
        <stp/>
        <stp>BID</stp>
        <stp>.SPY250502P567</stp>
        <tr r="DF19" s="1"/>
        <tr r="DF19" s="1"/>
      </tp>
      <tp t="e">
        <v>#N/A</v>
        <stp/>
        <stp>BID</stp>
        <stp>.SPY250502C564</stp>
        <tr r="DE22" s="1"/>
        <tr r="DE22" s="1"/>
      </tp>
      <tp t="e">
        <v>#N/A</v>
        <stp/>
        <stp>BID</stp>
        <stp>.SPY250502P564</stp>
        <tr r="DF22" s="1"/>
        <tr r="DF22" s="1"/>
      </tp>
      <tp t="e">
        <v>#N/A</v>
        <stp/>
        <stp>BID</stp>
        <stp>.SPY250502C565</stp>
        <tr r="DE21" s="1"/>
        <tr r="DE21" s="1"/>
      </tp>
      <tp t="e">
        <v>#N/A</v>
        <stp/>
        <stp>BID</stp>
        <stp>.SPY250502P565</stp>
        <tr r="DF21" s="1"/>
        <tr r="DF21" s="1"/>
      </tp>
      <tp t="e">
        <v>#N/A</v>
        <stp/>
        <stp>BID</stp>
        <stp>.SPY250502C582</stp>
        <tr r="DE4" s="1"/>
        <tr r="DE4" s="1"/>
      </tp>
      <tp t="e">
        <v>#N/A</v>
        <stp/>
        <stp>BID</stp>
        <stp>.SPY250502P582</stp>
        <tr r="DF4" s="1"/>
        <tr r="DF4" s="1"/>
      </tp>
      <tp t="e">
        <v>#N/A</v>
        <stp/>
        <stp>BID</stp>
        <stp>.SPY250502C580</stp>
        <tr r="DE6" s="1"/>
        <tr r="DE6" s="1"/>
      </tp>
      <tp t="e">
        <v>#N/A</v>
        <stp/>
        <stp>BID</stp>
        <stp>.SPY250502P580</stp>
        <tr r="DF6" s="1"/>
        <tr r="DF6" s="1"/>
      </tp>
      <tp t="e">
        <v>#N/A</v>
        <stp/>
        <stp>BID</stp>
        <stp>.SPY250502C581</stp>
        <tr r="DE5" s="1"/>
        <tr r="DE5" s="1"/>
      </tp>
      <tp t="e">
        <v>#N/A</v>
        <stp/>
        <stp>BID</stp>
        <stp>.SPY250502P581</stp>
        <tr r="DF5" s="1"/>
        <tr r="DF5" s="1"/>
      </tp>
      <tp t="e">
        <v>#N/A</v>
        <stp/>
        <stp>ASK</stp>
        <stp>.SPY250502C580</stp>
        <tr r="DC6" s="1"/>
        <tr r="DC6" s="1"/>
      </tp>
      <tp t="e">
        <v>#N/A</v>
        <stp/>
        <stp>ASK</stp>
        <stp>.SPY250502P580</stp>
        <tr r="DD6" s="1"/>
        <tr r="DD6" s="1"/>
      </tp>
      <tp t="e">
        <v>#N/A</v>
        <stp/>
        <stp>ASK</stp>
        <stp>.SPY250502C581</stp>
        <tr r="DC5" s="1"/>
        <tr r="DC5" s="1"/>
      </tp>
      <tp t="e">
        <v>#N/A</v>
        <stp/>
        <stp>ASK</stp>
        <stp>.SPY250502P581</stp>
        <tr r="DD5" s="1"/>
        <tr r="DD5" s="1"/>
      </tp>
      <tp t="e">
        <v>#N/A</v>
        <stp/>
        <stp>ASK</stp>
        <stp>.SPY250502C582</stp>
        <tr r="DC4" s="1"/>
        <tr r="DC4" s="1"/>
      </tp>
      <tp t="e">
        <v>#N/A</v>
        <stp/>
        <stp>ASK</stp>
        <stp>.SPY250502P582</stp>
        <tr r="DD4" s="1"/>
        <tr r="DD4" s="1"/>
      </tp>
      <tp t="e">
        <v>#N/A</v>
        <stp/>
        <stp>IMPL_VOL</stp>
        <stp>.SPXW250502C5590</stp>
        <tr r="EL113" s="1"/>
      </tp>
      <tp t="e">
        <v>#N/A</v>
        <stp/>
        <stp>IMPL_VOL</stp>
        <stp>.SPXW250509C5520</stp>
        <tr r="EN120" s="1"/>
      </tp>
      <tp t="e">
        <v>#N/A</v>
        <stp/>
        <stp>IMPL_VOL</stp>
        <stp>.SPXW250502P5590</stp>
        <tr r="EM113" s="1"/>
      </tp>
      <tp t="e">
        <v>#N/A</v>
        <stp/>
        <stp>IMPL_VOL</stp>
        <stp>.SPXW250509P5520</stp>
        <tr r="EO120" s="1"/>
      </tp>
      <tp t="e">
        <v>#N/A</v>
        <stp/>
        <stp>IMPL_VOL</stp>
        <stp>.SPXW250502C5580</stp>
        <tr r="EL114" s="1"/>
      </tp>
      <tp t="e">
        <v>#N/A</v>
        <stp/>
        <stp>IMPL_VOL</stp>
        <stp>.SPXW250509C5530</stp>
        <tr r="EN119" s="1"/>
      </tp>
      <tp t="e">
        <v>#N/A</v>
        <stp/>
        <stp>IMPL_VOL</stp>
        <stp>.SPXW250502P5580</stp>
        <tr r="EM114" s="1"/>
      </tp>
      <tp t="e">
        <v>#N/A</v>
        <stp/>
        <stp>IMPL_VOL</stp>
        <stp>.SPXW250509P5530</stp>
        <tr r="EO119" s="1"/>
      </tp>
      <tp t="e">
        <v>#N/A</v>
        <stp/>
        <stp>IMPL_VOL</stp>
        <stp>.SPXW250509C5500</stp>
        <tr r="EN122" s="1"/>
      </tp>
      <tp t="e">
        <v>#N/A</v>
        <stp/>
        <stp>IMPL_VOL</stp>
        <stp>.SPXW250509P5500</stp>
        <tr r="EO122" s="1"/>
      </tp>
      <tp t="e">
        <v>#N/A</v>
        <stp/>
        <stp>IMPL_VOL</stp>
        <stp>.SPXW250509C5510</stp>
        <tr r="EN121" s="1"/>
      </tp>
      <tp t="e">
        <v>#N/A</v>
        <stp/>
        <stp>IMPL_VOL</stp>
        <stp>.SPXW250509P5510</stp>
        <tr r="EO121" s="1"/>
      </tp>
      <tp t="e">
        <v>#N/A</v>
        <stp/>
        <stp>IMPL_VOL</stp>
        <stp>.SPXW250509C5560</stp>
        <tr r="EN116" s="1"/>
      </tp>
      <tp t="e">
        <v>#N/A</v>
        <stp/>
        <stp>IMPL_VOL</stp>
        <stp>.SPXW250516C5490</stp>
        <tr r="EP123" s="1"/>
      </tp>
      <tp t="e">
        <v>#N/A</v>
        <stp/>
        <stp>IMPL_VOL</stp>
        <stp>.SPXW250509P5560</stp>
        <tr r="EO116" s="1"/>
      </tp>
      <tp t="e">
        <v>#N/A</v>
        <stp/>
        <stp>IMPL_VOL</stp>
        <stp>.SPXW250516P5490</stp>
        <tr r="EQ123" s="1"/>
      </tp>
      <tp t="e">
        <v>#N/A</v>
        <stp/>
        <stp>IMPL_VOL</stp>
        <stp>.SPXW250509C5570</stp>
        <tr r="EN115" s="1"/>
      </tp>
      <tp t="e">
        <v>#N/A</v>
        <stp/>
        <stp>IMPL_VOL</stp>
        <stp>.SPXW250516C5480</stp>
        <tr r="EP124" s="1"/>
      </tp>
      <tp t="e">
        <v>#N/A</v>
        <stp/>
        <stp>IMPL_VOL</stp>
        <stp>.SPXW250509P5570</stp>
        <tr r="EO115" s="1"/>
      </tp>
      <tp t="e">
        <v>#N/A</v>
        <stp/>
        <stp>IMPL_VOL</stp>
        <stp>.SPXW250516P5480</stp>
        <tr r="EQ124" s="1"/>
      </tp>
      <tp t="e">
        <v>#N/A</v>
        <stp/>
        <stp>IMPL_VOL</stp>
        <stp>.SPXW250509C5540</stp>
        <tr r="EN118" s="1"/>
      </tp>
      <tp t="e">
        <v>#N/A</v>
        <stp/>
        <stp>IMPL_VOL</stp>
        <stp>.SPXW250509P5540</stp>
        <tr r="EO118" s="1"/>
      </tp>
      <tp t="e">
        <v>#N/A</v>
        <stp/>
        <stp>IMPL_VOL</stp>
        <stp>.SPXW250509C5550</stp>
        <tr r="EN117" s="1"/>
      </tp>
      <tp t="e">
        <v>#N/A</v>
        <stp/>
        <stp>IMPL_VOL</stp>
        <stp>.SPXW250509P5550</stp>
        <tr r="EO117" s="1"/>
      </tp>
      <tp t="e">
        <v>#N/A</v>
        <stp/>
        <stp>IMPL_VOL</stp>
        <stp>.SPXW250502C5510</stp>
        <tr r="EL121" s="1"/>
      </tp>
      <tp t="e">
        <v>#N/A</v>
        <stp/>
        <stp>IMPL_VOL</stp>
        <stp>.SPXW250516C5450</stp>
        <tr r="EP127" s="1"/>
      </tp>
      <tp t="e">
        <v>#N/A</v>
        <stp/>
        <stp>IMPL_VOL</stp>
        <stp>.SPXW250502P5510</stp>
        <tr r="EM121" s="1"/>
      </tp>
      <tp t="e">
        <v>#N/A</v>
        <stp/>
        <stp>IMPL_VOL</stp>
        <stp>.SPXW250516P5450</stp>
        <tr r="EQ127" s="1"/>
      </tp>
      <tp t="e">
        <v>#N/A</v>
        <stp/>
        <stp>IMPL_VOL</stp>
        <stp>.SPXW250502C5500</stp>
        <tr r="EL122" s="1"/>
      </tp>
      <tp t="e">
        <v>#N/A</v>
        <stp/>
        <stp>IMPL_VOL</stp>
        <stp>.SPXW250516C5440</stp>
        <tr r="EP128" s="1"/>
      </tp>
      <tp t="e">
        <v>#N/A</v>
        <stp/>
        <stp>IMPL_VOL</stp>
        <stp>.SPXW250502P5500</stp>
        <tr r="EM122" s="1"/>
      </tp>
      <tp t="e">
        <v>#N/A</v>
        <stp/>
        <stp>IMPL_VOL</stp>
        <stp>.SPXW250516P5440</stp>
        <tr r="EQ128" s="1"/>
      </tp>
      <tp t="e">
        <v>#N/A</v>
        <stp/>
        <stp>IMPL_VOL</stp>
        <stp>.SPXW250502C5530</stp>
        <tr r="EL119" s="1"/>
      </tp>
      <tp t="e">
        <v>#N/A</v>
        <stp/>
        <stp>IMPL_VOL</stp>
        <stp>.SPXW250509C5580</stp>
        <tr r="EN114" s="1"/>
      </tp>
      <tp t="e">
        <v>#N/A</v>
        <stp/>
        <stp>IMPL_VOL</stp>
        <stp>.SPXW250516C5470</stp>
        <tr r="EP125" s="1"/>
      </tp>
      <tp t="e">
        <v>#N/A</v>
        <stp/>
        <stp>IMPL_VOL</stp>
        <stp>.SPXW250502P5530</stp>
        <tr r="EM119" s="1"/>
      </tp>
      <tp t="e">
        <v>#N/A</v>
        <stp/>
        <stp>IMPL_VOL</stp>
        <stp>.SPXW250509P5580</stp>
        <tr r="EO114" s="1"/>
      </tp>
      <tp t="e">
        <v>#N/A</v>
        <stp/>
        <stp>IMPL_VOL</stp>
        <stp>.SPXW250516P5470</stp>
        <tr r="EQ125" s="1"/>
      </tp>
      <tp t="e">
        <v>#N/A</v>
        <stp/>
        <stp>IMPL_VOL</stp>
        <stp>.SPXW250502C5520</stp>
        <tr r="EL120" s="1"/>
      </tp>
      <tp t="e">
        <v>#N/A</v>
        <stp/>
        <stp>IMPL_VOL</stp>
        <stp>.SPXW250509C5590</stp>
        <tr r="EN113" s="1"/>
      </tp>
      <tp t="e">
        <v>#N/A</v>
        <stp/>
        <stp>IMPL_VOL</stp>
        <stp>.SPXW250516C5460</stp>
        <tr r="EP126" s="1"/>
      </tp>
      <tp t="e">
        <v>#N/A</v>
        <stp/>
        <stp>IMPL_VOL</stp>
        <stp>.SPXW250502P5520</stp>
        <tr r="EM120" s="1"/>
      </tp>
      <tp t="e">
        <v>#N/A</v>
        <stp/>
        <stp>IMPL_VOL</stp>
        <stp>.SPXW250509P5590</stp>
        <tr r="EO113" s="1"/>
      </tp>
      <tp t="e">
        <v>#N/A</v>
        <stp/>
        <stp>IMPL_VOL</stp>
        <stp>.SPXW250516P5460</stp>
        <tr r="EQ126" s="1"/>
      </tp>
      <tp t="e">
        <v>#N/A</v>
        <stp/>
        <stp>IMPL_VOL</stp>
        <stp>.SPXW250502C5550</stp>
        <tr r="EL117" s="1"/>
      </tp>
      <tp t="e">
        <v>#N/A</v>
        <stp/>
        <stp>IMPL_VOL</stp>
        <stp>.SPXW250502P5550</stp>
        <tr r="EM117" s="1"/>
      </tp>
      <tp t="e">
        <v>#N/A</v>
        <stp/>
        <stp>IMPL_VOL</stp>
        <stp>.SPXW250502C5540</stp>
        <tr r="EL118" s="1"/>
      </tp>
      <tp t="e">
        <v>#N/A</v>
        <stp/>
        <stp>IMPL_VOL</stp>
        <stp>.SPXW250502P5540</stp>
        <tr r="EM118" s="1"/>
      </tp>
      <tp t="e">
        <v>#N/A</v>
        <stp/>
        <stp>IMPL_VOL</stp>
        <stp>.SPXW250502C5570</stp>
        <tr r="EL115" s="1"/>
      </tp>
      <tp t="e">
        <v>#N/A</v>
        <stp/>
        <stp>IMPL_VOL</stp>
        <stp>.SPXW250516C5430</stp>
        <tr r="EP129" s="1"/>
      </tp>
      <tp t="e">
        <v>#N/A</v>
        <stp/>
        <stp>IMPL_VOL</stp>
        <stp>.SPXW250502P5570</stp>
        <tr r="EM115" s="1"/>
      </tp>
      <tp t="e">
        <v>#N/A</v>
        <stp/>
        <stp>IMPL_VOL</stp>
        <stp>.SPXW250516P5430</stp>
        <tr r="EQ129" s="1"/>
      </tp>
      <tp t="e">
        <v>#N/A</v>
        <stp/>
        <stp>IMPL_VOL</stp>
        <stp>.SPXW250502C5560</stp>
        <tr r="EL116" s="1"/>
      </tp>
      <tp t="e">
        <v>#N/A</v>
        <stp/>
        <stp>IMPL_VOL</stp>
        <stp>.SPXW250516C5420</stp>
        <tr r="EP130" s="1"/>
      </tp>
      <tp t="e">
        <v>#N/A</v>
        <stp/>
        <stp>IMPL_VOL</stp>
        <stp>.SPXW250502P5560</stp>
        <tr r="EM116" s="1"/>
      </tp>
      <tp t="e">
        <v>#N/A</v>
        <stp/>
        <stp>IMPL_VOL</stp>
        <stp>.SPXW250516P5420</stp>
        <tr r="EQ130" s="1"/>
      </tp>
      <tp t="e">
        <v>#N/A</v>
        <stp/>
        <stp>IMPL_VOL</stp>
        <stp>.QQQ250516C474</stp>
        <tr r="EP73" s="1"/>
      </tp>
      <tp t="e">
        <v>#N/A</v>
        <stp/>
        <stp>IMPL_VOL</stp>
        <stp>.QQQ250516P474</stp>
        <tr r="EQ73" s="1"/>
      </tp>
      <tp t="e">
        <v>#N/A</v>
        <stp/>
        <stp>IMPL_VOL</stp>
        <stp>.QQQ250516C475</stp>
        <tr r="EP72" s="1"/>
      </tp>
      <tp t="e">
        <v>#N/A</v>
        <stp/>
        <stp>IMPL_VOL</stp>
        <stp>.QQQ250516P475</stp>
        <tr r="EQ72" s="1"/>
      </tp>
      <tp t="e">
        <v>#N/A</v>
        <stp/>
        <stp>IMPL_VOL</stp>
        <stp>.QQQ250509C469</stp>
        <tr r="EN78" s="1"/>
      </tp>
      <tp t="e">
        <v>#N/A</v>
        <stp/>
        <stp>IMPL_VOL</stp>
        <stp>.QQQ250516C476</stp>
        <tr r="EP71" s="1"/>
      </tp>
      <tp t="e">
        <v>#N/A</v>
        <stp/>
        <stp>IMPL_VOL</stp>
        <stp>.QQQ250509P469</stp>
        <tr r="EO78" s="1"/>
      </tp>
      <tp t="e">
        <v>#N/A</v>
        <stp/>
        <stp>IMPL_VOL</stp>
        <stp>.QQQ250516P476</stp>
        <tr r="EQ71" s="1"/>
      </tp>
      <tp t="e">
        <v>#N/A</v>
        <stp/>
        <stp>IMPL_VOL</stp>
        <stp>.QQQ250509C468</stp>
        <tr r="EN79" s="1"/>
      </tp>
      <tp t="e">
        <v>#N/A</v>
        <stp/>
        <stp>IMPL_VOL</stp>
        <stp>.QQQ250516C477</stp>
        <tr r="EP70" s="1"/>
      </tp>
      <tp t="e">
        <v>#N/A</v>
        <stp/>
        <stp>IMPL_VOL</stp>
        <stp>.QQQ250509P468</stp>
        <tr r="EO79" s="1"/>
      </tp>
      <tp t="e">
        <v>#N/A</v>
        <stp/>
        <stp>IMPL_VOL</stp>
        <stp>.QQQ250516P477</stp>
        <tr r="EQ70" s="1"/>
      </tp>
      <tp t="e">
        <v>#N/A</v>
        <stp/>
        <stp>IMPL_VOL</stp>
        <stp>.QQQ250516C470</stp>
        <tr r="EP77" s="1"/>
      </tp>
      <tp t="e">
        <v>#N/A</v>
        <stp/>
        <stp>IMPL_VOL</stp>
        <stp>.QQQ250516P470</stp>
        <tr r="EQ77" s="1"/>
      </tp>
      <tp t="e">
        <v>#N/A</v>
        <stp/>
        <stp>IMPL_VOL</stp>
        <stp>.QQQ250516C471</stp>
        <tr r="EP76" s="1"/>
      </tp>
      <tp t="e">
        <v>#N/A</v>
        <stp/>
        <stp>IMPL_VOL</stp>
        <stp>.QQQ250516P471</stp>
        <tr r="EQ76" s="1"/>
      </tp>
      <tp t="e">
        <v>#N/A</v>
        <stp/>
        <stp>IMPL_VOL</stp>
        <stp>.QQQ250516C472</stp>
        <tr r="EP75" s="1"/>
      </tp>
      <tp t="e">
        <v>#N/A</v>
        <stp/>
        <stp>IMPL_VOL</stp>
        <stp>.QQQ250516P472</stp>
        <tr r="EQ75" s="1"/>
      </tp>
      <tp t="e">
        <v>#N/A</v>
        <stp/>
        <stp>IMPL_VOL</stp>
        <stp>.QQQ250516C473</stp>
        <tr r="EP74" s="1"/>
      </tp>
      <tp t="e">
        <v>#N/A</v>
        <stp/>
        <stp>IMPL_VOL</stp>
        <stp>.QQQ250516P473</stp>
        <tr r="EQ74" s="1"/>
      </tp>
      <tp t="e">
        <v>#N/A</v>
        <stp/>
        <stp>IMPL_VOL</stp>
        <stp>.QQQ250502C468</stp>
        <tr r="EL79" s="1"/>
      </tp>
      <tp t="e">
        <v>#N/A</v>
        <stp/>
        <stp>IMPL_VOL</stp>
        <stp>.QQQ250502P468</stp>
        <tr r="EM79" s="1"/>
      </tp>
      <tp t="e">
        <v>#N/A</v>
        <stp/>
        <stp>IMPL_VOL</stp>
        <stp>.QQQ250502C469</stp>
        <tr r="EL78" s="1"/>
      </tp>
      <tp t="e">
        <v>#N/A</v>
        <stp/>
        <stp>IMPL_VOL</stp>
        <stp>.QQQ250502P469</stp>
        <tr r="EM78" s="1"/>
      </tp>
      <tp t="e">
        <v>#N/A</v>
        <stp/>
        <stp>IMPL_VOL</stp>
        <stp>.QQQ250516C478</stp>
        <tr r="EP69" s="1"/>
      </tp>
      <tp t="e">
        <v>#N/A</v>
        <stp/>
        <stp>IMPL_VOL</stp>
        <stp>.QQQ250516P478</stp>
        <tr r="EQ69" s="1"/>
      </tp>
      <tp t="e">
        <v>#N/A</v>
        <stp/>
        <stp>IMPL_VOL</stp>
        <stp>.QQQ250516C479</stp>
        <tr r="EP68" s="1"/>
      </tp>
      <tp t="e">
        <v>#N/A</v>
        <stp/>
        <stp>IMPL_VOL</stp>
        <stp>.QQQ250516P479</stp>
        <tr r="EQ68" s="1"/>
      </tp>
      <tp t="e">
        <v>#N/A</v>
        <stp/>
        <stp>IMPL_VOL</stp>
        <stp>.QQQ250502C470</stp>
        <tr r="EL77" s="1"/>
      </tp>
      <tp t="e">
        <v>#N/A</v>
        <stp/>
        <stp>IMPL_VOL</stp>
        <stp>.QQQ250502P470</stp>
        <tr r="EM77" s="1"/>
      </tp>
      <tp t="e">
        <v>#N/A</v>
        <stp/>
        <stp>IMPL_VOL</stp>
        <stp>.QQQ250502C471</stp>
        <tr r="EL76" s="1"/>
      </tp>
      <tp t="e">
        <v>#N/A</v>
        <stp/>
        <stp>IMPL_VOL</stp>
        <stp>.QQQ250502P471</stp>
        <tr r="EM76" s="1"/>
      </tp>
      <tp t="e">
        <v>#N/A</v>
        <stp/>
        <stp>IMPL_VOL</stp>
        <stp>.QQQ250502C472</stp>
        <tr r="EL75" s="1"/>
      </tp>
      <tp t="e">
        <v>#N/A</v>
        <stp/>
        <stp>IMPL_VOL</stp>
        <stp>.QQQ250509C479</stp>
        <tr r="EN68" s="1"/>
      </tp>
      <tp t="e">
        <v>#N/A</v>
        <stp/>
        <stp>IMPL_VOL</stp>
        <stp>.QQQ250502P472</stp>
        <tr r="EM75" s="1"/>
      </tp>
      <tp t="e">
        <v>#N/A</v>
        <stp/>
        <stp>IMPL_VOL</stp>
        <stp>.QQQ250509P479</stp>
        <tr r="EO68" s="1"/>
      </tp>
      <tp t="e">
        <v>#N/A</v>
        <stp/>
        <stp>IMPL_VOL</stp>
        <stp>.QQQ250502C473</stp>
        <tr r="EL74" s="1"/>
      </tp>
      <tp t="e">
        <v>#N/A</v>
        <stp/>
        <stp>IMPL_VOL</stp>
        <stp>.QQQ250509C478</stp>
        <tr r="EN69" s="1"/>
      </tp>
      <tp t="e">
        <v>#N/A</v>
        <stp/>
        <stp>IMPL_VOL</stp>
        <stp>.QQQ250502P473</stp>
        <tr r="EM74" s="1"/>
      </tp>
      <tp t="e">
        <v>#N/A</v>
        <stp/>
        <stp>IMPL_VOL</stp>
        <stp>.QQQ250509P478</stp>
        <tr r="EO69" s="1"/>
      </tp>
      <tp t="e">
        <v>#N/A</v>
        <stp/>
        <stp>IMPL_VOL</stp>
        <stp>.QQQ250502C474</stp>
        <tr r="EL73" s="1"/>
      </tp>
      <tp t="e">
        <v>#N/A</v>
        <stp/>
        <stp>IMPL_VOL</stp>
        <stp>.QQQ250502P474</stp>
        <tr r="EM73" s="1"/>
      </tp>
      <tp t="e">
        <v>#N/A</v>
        <stp/>
        <stp>IMPL_VOL</stp>
        <stp>.QQQ250502C475</stp>
        <tr r="EL72" s="1"/>
      </tp>
      <tp t="e">
        <v>#N/A</v>
        <stp/>
        <stp>IMPL_VOL</stp>
        <stp>.QQQ250502P475</stp>
        <tr r="EM72" s="1"/>
      </tp>
      <tp t="e">
        <v>#N/A</v>
        <stp/>
        <stp>IMPL_VOL</stp>
        <stp>.QQQ250502C476</stp>
        <tr r="EL71" s="1"/>
      </tp>
      <tp t="e">
        <v>#N/A</v>
        <stp/>
        <stp>IMPL_VOL</stp>
        <stp>.QQQ250502P476</stp>
        <tr r="EM71" s="1"/>
      </tp>
      <tp t="e">
        <v>#N/A</v>
        <stp/>
        <stp>IMPL_VOL</stp>
        <stp>.QQQ250502C477</stp>
        <tr r="EL70" s="1"/>
      </tp>
      <tp t="e">
        <v>#N/A</v>
        <stp/>
        <stp>IMPL_VOL</stp>
        <stp>.QQQ250502P477</stp>
        <tr r="EM70" s="1"/>
      </tp>
      <tp t="e">
        <v>#N/A</v>
        <stp/>
        <stp>IMPL_VOL</stp>
        <stp>.QQQ250502C478</stp>
        <tr r="EL69" s="1"/>
      </tp>
      <tp t="e">
        <v>#N/A</v>
        <stp/>
        <stp>IMPL_VOL</stp>
        <stp>.QQQ250509C473</stp>
        <tr r="EN74" s="1"/>
      </tp>
      <tp t="e">
        <v>#N/A</v>
        <stp/>
        <stp>IMPL_VOL</stp>
        <stp>.QQQ250502P478</stp>
        <tr r="EM69" s="1"/>
      </tp>
      <tp t="e">
        <v>#N/A</v>
        <stp/>
        <stp>IMPL_VOL</stp>
        <stp>.QQQ250509P473</stp>
        <tr r="EO74" s="1"/>
      </tp>
      <tp t="e">
        <v>#N/A</v>
        <stp/>
        <stp>IMPL_VOL</stp>
        <stp>.QQQ250502C479</stp>
        <tr r="EL68" s="1"/>
      </tp>
      <tp t="e">
        <v>#N/A</v>
        <stp/>
        <stp>IMPL_VOL</stp>
        <stp>.QQQ250509C472</stp>
        <tr r="EN75" s="1"/>
      </tp>
      <tp t="e">
        <v>#N/A</v>
        <stp/>
        <stp>IMPL_VOL</stp>
        <stp>.QQQ250502P479</stp>
        <tr r="EM68" s="1"/>
      </tp>
      <tp t="e">
        <v>#N/A</v>
        <stp/>
        <stp>IMPL_VOL</stp>
        <stp>.QQQ250509P472</stp>
        <tr r="EO75" s="1"/>
      </tp>
      <tp t="e">
        <v>#N/A</v>
        <stp/>
        <stp>IMPL_VOL</stp>
        <stp>.QQQ250509C471</stp>
        <tr r="EN76" s="1"/>
      </tp>
      <tp t="e">
        <v>#N/A</v>
        <stp/>
        <stp>IMPL_VOL</stp>
        <stp>.QQQ250509P471</stp>
        <tr r="EO76" s="1"/>
      </tp>
      <tp t="e">
        <v>#N/A</v>
        <stp/>
        <stp>IMPL_VOL</stp>
        <stp>.QQQ250509C470</stp>
        <tr r="EN77" s="1"/>
      </tp>
      <tp t="e">
        <v>#N/A</v>
        <stp/>
        <stp>IMPL_VOL</stp>
        <stp>.QQQ250509P470</stp>
        <tr r="EO77" s="1"/>
      </tp>
      <tp t="e">
        <v>#N/A</v>
        <stp/>
        <stp>IMPL_VOL</stp>
        <stp>.QQQ250509C477</stp>
        <tr r="EN70" s="1"/>
      </tp>
      <tp t="e">
        <v>#N/A</v>
        <stp/>
        <stp>IMPL_VOL</stp>
        <stp>.QQQ250516C468</stp>
        <tr r="EP79" s="1"/>
      </tp>
      <tp t="e">
        <v>#N/A</v>
        <stp/>
        <stp>IMPL_VOL</stp>
        <stp>.QQQ250509P477</stp>
        <tr r="EO70" s="1"/>
      </tp>
      <tp t="e">
        <v>#N/A</v>
        <stp/>
        <stp>IMPL_VOL</stp>
        <stp>.QQQ250516P468</stp>
        <tr r="EQ79" s="1"/>
      </tp>
      <tp t="e">
        <v>#N/A</v>
        <stp/>
        <stp>IMPL_VOL</stp>
        <stp>.QQQ250509C476</stp>
        <tr r="EN71" s="1"/>
      </tp>
      <tp t="e">
        <v>#N/A</v>
        <stp/>
        <stp>IMPL_VOL</stp>
        <stp>.QQQ250516C469</stp>
        <tr r="EP78" s="1"/>
      </tp>
      <tp t="e">
        <v>#N/A</v>
        <stp/>
        <stp>IMPL_VOL</stp>
        <stp>.QQQ250509P476</stp>
        <tr r="EO71" s="1"/>
      </tp>
      <tp t="e">
        <v>#N/A</v>
        <stp/>
        <stp>IMPL_VOL</stp>
        <stp>.QQQ250516P469</stp>
        <tr r="EQ78" s="1"/>
      </tp>
      <tp t="e">
        <v>#N/A</v>
        <stp/>
        <stp>IMPL_VOL</stp>
        <stp>.QQQ250509C475</stp>
        <tr r="EN72" s="1"/>
      </tp>
      <tp t="e">
        <v>#N/A</v>
        <stp/>
        <stp>IMPL_VOL</stp>
        <stp>.QQQ250509P475</stp>
        <tr r="EO72" s="1"/>
      </tp>
      <tp t="e">
        <v>#N/A</v>
        <stp/>
        <stp>IMPL_VOL</stp>
        <stp>.QQQ250509C474</stp>
        <tr r="EN73" s="1"/>
      </tp>
      <tp t="e">
        <v>#N/A</v>
        <stp/>
        <stp>IMPL_VOL</stp>
        <stp>.QQQ250509P474</stp>
        <tr r="EO73" s="1"/>
      </tp>
      <tp t="e">
        <v>#N/A</v>
        <stp/>
        <stp>IMPL_VOL</stp>
        <stp>.QQQ250502C480</stp>
        <tr r="EL67" s="1"/>
      </tp>
      <tp t="e">
        <v>#N/A</v>
        <stp/>
        <stp>IMPL_VOL</stp>
        <stp>.QQQ250516C494</stp>
        <tr r="EP53" s="1"/>
      </tp>
      <tp t="e">
        <v>#N/A</v>
        <stp/>
        <stp>IMPL_VOL</stp>
        <stp>.QQQ250502P480</stp>
        <tr r="EM67" s="1"/>
      </tp>
      <tp t="e">
        <v>#N/A</v>
        <stp/>
        <stp>IMPL_VOL</stp>
        <stp>.QQQ250516P494</stp>
        <tr r="EQ53" s="1"/>
      </tp>
      <tp t="e">
        <v>#N/A</v>
        <stp/>
        <stp>IMPL_VOL</stp>
        <stp>.QQQ250502C481</stp>
        <tr r="EL66" s="1"/>
      </tp>
      <tp t="e">
        <v>#N/A</v>
        <stp/>
        <stp>IMPL_VOL</stp>
        <stp>.QQQ250516C495</stp>
        <tr r="EP52" s="1"/>
      </tp>
      <tp t="e">
        <v>#N/A</v>
        <stp/>
        <stp>IMPL_VOL</stp>
        <stp>.QQQ250502P481</stp>
        <tr r="EM66" s="1"/>
      </tp>
      <tp t="e">
        <v>#N/A</v>
        <stp/>
        <stp>IMPL_VOL</stp>
        <stp>.QQQ250516P495</stp>
        <tr r="EQ52" s="1"/>
      </tp>
      <tp t="e">
        <v>#N/A</v>
        <stp/>
        <stp>IMPL_VOL</stp>
        <stp>.QQQ250502C482</stp>
        <tr r="EL65" s="1"/>
      </tp>
      <tp t="e">
        <v>#N/A</v>
        <stp/>
        <stp>IMPL_VOL</stp>
        <stp>.QQQ250509C489</stp>
        <tr r="EN58" s="1"/>
      </tp>
      <tp t="e">
        <v>#N/A</v>
        <stp/>
        <stp>IMPL_VOL</stp>
        <stp>.QQQ250516C496</stp>
        <tr r="EP51" s="1"/>
      </tp>
      <tp t="e">
        <v>#N/A</v>
        <stp/>
        <stp>IMPL_VOL</stp>
        <stp>.QQQ250502P482</stp>
        <tr r="EM65" s="1"/>
      </tp>
      <tp t="e">
        <v>#N/A</v>
        <stp/>
        <stp>IMPL_VOL</stp>
        <stp>.QQQ250509P489</stp>
        <tr r="EO58" s="1"/>
      </tp>
      <tp t="e">
        <v>#N/A</v>
        <stp/>
        <stp>IMPL_VOL</stp>
        <stp>.QQQ250516P496</stp>
        <tr r="EQ51" s="1"/>
      </tp>
      <tp t="e">
        <v>#N/A</v>
        <stp/>
        <stp>IMPL_VOL</stp>
        <stp>.QQQ250502C483</stp>
        <tr r="EL64" s="1"/>
      </tp>
      <tp t="e">
        <v>#N/A</v>
        <stp/>
        <stp>IMPL_VOL</stp>
        <stp>.QQQ250509C488</stp>
        <tr r="EN59" s="1"/>
      </tp>
      <tp t="e">
        <v>#N/A</v>
        <stp/>
        <stp>IMPL_VOL</stp>
        <stp>.QQQ250516C497</stp>
        <tr r="EP50" s="1"/>
      </tp>
      <tp t="e">
        <v>#N/A</v>
        <stp/>
        <stp>IMPL_VOL</stp>
        <stp>.QQQ250502P483</stp>
        <tr r="EM64" s="1"/>
      </tp>
      <tp t="e">
        <v>#N/A</v>
        <stp/>
        <stp>IMPL_VOL</stp>
        <stp>.QQQ250509P488</stp>
        <tr r="EO59" s="1"/>
      </tp>
      <tp t="e">
        <v>#N/A</v>
        <stp/>
        <stp>IMPL_VOL</stp>
        <stp>.QQQ250516P497</stp>
        <tr r="EQ50" s="1"/>
      </tp>
      <tp t="e">
        <v>#N/A</v>
        <stp/>
        <stp>IMPL_VOL</stp>
        <stp>.QQQ250502C484</stp>
        <tr r="EL63" s="1"/>
      </tp>
      <tp t="e">
        <v>#N/A</v>
        <stp/>
        <stp>IMPL_VOL</stp>
        <stp>.QQQ250516C490</stp>
        <tr r="EP57" s="1"/>
      </tp>
      <tp t="e">
        <v>#N/A</v>
        <stp/>
        <stp>IMPL_VOL</stp>
        <stp>.QQQ250502P484</stp>
        <tr r="EM63" s="1"/>
      </tp>
      <tp t="e">
        <v>#N/A</v>
        <stp/>
        <stp>IMPL_VOL</stp>
        <stp>.QQQ250516P490</stp>
        <tr r="EQ57" s="1"/>
      </tp>
      <tp t="e">
        <v>#N/A</v>
        <stp/>
        <stp>IMPL_VOL</stp>
        <stp>.QQQ250502C485</stp>
        <tr r="EL62" s="1"/>
      </tp>
      <tp t="e">
        <v>#N/A</v>
        <stp/>
        <stp>IMPL_VOL</stp>
        <stp>.QQQ250516C491</stp>
        <tr r="EP56" s="1"/>
      </tp>
      <tp t="e">
        <v>#N/A</v>
        <stp/>
        <stp>IMPL_VOL</stp>
        <stp>.QQQ250502P485</stp>
        <tr r="EM62" s="1"/>
      </tp>
      <tp t="e">
        <v>#N/A</v>
        <stp/>
        <stp>IMPL_VOL</stp>
        <stp>.QQQ250516P491</stp>
        <tr r="EQ56" s="1"/>
      </tp>
      <tp t="e">
        <v>#N/A</v>
        <stp/>
        <stp>IMPL_VOL</stp>
        <stp>.QQQ250502C486</stp>
        <tr r="EL61" s="1"/>
      </tp>
      <tp t="e">
        <v>#N/A</v>
        <stp/>
        <stp>IMPL_VOL</stp>
        <stp>.QQQ250516C492</stp>
        <tr r="EP55" s="1"/>
      </tp>
      <tp t="e">
        <v>#N/A</v>
        <stp/>
        <stp>IMPL_VOL</stp>
        <stp>.QQQ250502P486</stp>
        <tr r="EM61" s="1"/>
      </tp>
      <tp t="e">
        <v>#N/A</v>
        <stp/>
        <stp>IMPL_VOL</stp>
        <stp>.QQQ250516P492</stp>
        <tr r="EQ55" s="1"/>
      </tp>
      <tp t="e">
        <v>#N/A</v>
        <stp/>
        <stp>IMPL_VOL</stp>
        <stp>.QQQ250502C487</stp>
        <tr r="EL60" s="1"/>
      </tp>
      <tp t="e">
        <v>#N/A</v>
        <stp/>
        <stp>IMPL_VOL</stp>
        <stp>.QQQ250516C493</stp>
        <tr r="EP54" s="1"/>
      </tp>
      <tp t="e">
        <v>#N/A</v>
        <stp/>
        <stp>IMPL_VOL</stp>
        <stp>.QQQ250502P487</stp>
        <tr r="EM60" s="1"/>
      </tp>
      <tp t="e">
        <v>#N/A</v>
        <stp/>
        <stp>IMPL_VOL</stp>
        <stp>.QQQ250516P493</stp>
        <tr r="EQ54" s="1"/>
      </tp>
      <tp t="e">
        <v>#N/A</v>
        <stp/>
        <stp>IMPL_VOL</stp>
        <stp>.QQQ250502C488</stp>
        <tr r="EL59" s="1"/>
      </tp>
      <tp t="e">
        <v>#N/A</v>
        <stp/>
        <stp>IMPL_VOL</stp>
        <stp>.QQQ250509C483</stp>
        <tr r="EN64" s="1"/>
      </tp>
      <tp t="e">
        <v>#N/A</v>
        <stp/>
        <stp>IMPL_VOL</stp>
        <stp>.QQQ250502P488</stp>
        <tr r="EM59" s="1"/>
      </tp>
      <tp t="e">
        <v>#N/A</v>
        <stp/>
        <stp>IMPL_VOL</stp>
        <stp>.QQQ250509P483</stp>
        <tr r="EO64" s="1"/>
      </tp>
      <tp t="e">
        <v>#N/A</v>
        <stp/>
        <stp>IMPL_VOL</stp>
        <stp>.QQQ250502C489</stp>
        <tr r="EL58" s="1"/>
      </tp>
      <tp t="e">
        <v>#N/A</v>
        <stp/>
        <stp>IMPL_VOL</stp>
        <stp>.QQQ250509C482</stp>
        <tr r="EN65" s="1"/>
      </tp>
      <tp t="e">
        <v>#N/A</v>
        <stp/>
        <stp>IMPL_VOL</stp>
        <stp>.QQQ250502P489</stp>
        <tr r="EM58" s="1"/>
      </tp>
      <tp t="e">
        <v>#N/A</v>
        <stp/>
        <stp>IMPL_VOL</stp>
        <stp>.QQQ250509P482</stp>
        <tr r="EO65" s="1"/>
      </tp>
      <tp t="e">
        <v>#N/A</v>
        <stp/>
        <stp>IMPL_VOL</stp>
        <stp>.QQQ250509C481</stp>
        <tr r="EN66" s="1"/>
      </tp>
      <tp t="e">
        <v>#N/A</v>
        <stp/>
        <stp>IMPL_VOL</stp>
        <stp>.QQQ250509P481</stp>
        <tr r="EO66" s="1"/>
      </tp>
      <tp t="e">
        <v>#N/A</v>
        <stp/>
        <stp>IMPL_VOL</stp>
        <stp>.QQQ250509C480</stp>
        <tr r="EN67" s="1"/>
      </tp>
      <tp t="e">
        <v>#N/A</v>
        <stp/>
        <stp>IMPL_VOL</stp>
        <stp>.QQQ250509P480</stp>
        <tr r="EO67" s="1"/>
      </tp>
      <tp t="e">
        <v>#N/A</v>
        <stp/>
        <stp>IMPL_VOL</stp>
        <stp>.QQQ250509C487</stp>
        <tr r="EN60" s="1"/>
      </tp>
      <tp t="e">
        <v>#N/A</v>
        <stp/>
        <stp>IMPL_VOL</stp>
        <stp>.QQQ250516C498</stp>
        <tr r="EP49" s="1"/>
      </tp>
      <tp t="e">
        <v>#N/A</v>
        <stp/>
        <stp>IMPL_VOL</stp>
        <stp>.QQQ250509P487</stp>
        <tr r="EO60" s="1"/>
      </tp>
      <tp t="e">
        <v>#N/A</v>
        <stp/>
        <stp>IMPL_VOL</stp>
        <stp>.QQQ250516P498</stp>
        <tr r="EQ49" s="1"/>
      </tp>
      <tp t="e">
        <v>#N/A</v>
        <stp/>
        <stp>IMPL_VOL</stp>
        <stp>.QQQ250509C486</stp>
        <tr r="EN61" s="1"/>
      </tp>
      <tp t="e">
        <v>#N/A</v>
        <stp/>
        <stp>IMPL_VOL</stp>
        <stp>.QQQ250516C499</stp>
        <tr r="EP48" s="1"/>
      </tp>
      <tp t="e">
        <v>#N/A</v>
        <stp/>
        <stp>IMPL_VOL</stp>
        <stp>.QQQ250509P486</stp>
        <tr r="EO61" s="1"/>
      </tp>
      <tp t="e">
        <v>#N/A</v>
        <stp/>
        <stp>IMPL_VOL</stp>
        <stp>.QQQ250516P499</stp>
        <tr r="EQ48" s="1"/>
      </tp>
      <tp t="e">
        <v>#N/A</v>
        <stp/>
        <stp>IMPL_VOL</stp>
        <stp>.QQQ250509C485</stp>
        <tr r="EN62" s="1"/>
      </tp>
      <tp t="e">
        <v>#N/A</v>
        <stp/>
        <stp>IMPL_VOL</stp>
        <stp>.QQQ250509P485</stp>
        <tr r="EO62" s="1"/>
      </tp>
      <tp t="e">
        <v>#N/A</v>
        <stp/>
        <stp>IMPL_VOL</stp>
        <stp>.QQQ250509C484</stp>
        <tr r="EN63" s="1"/>
      </tp>
      <tp t="e">
        <v>#N/A</v>
        <stp/>
        <stp>IMPL_VOL</stp>
        <stp>.QQQ250509P484</stp>
        <tr r="EO63" s="1"/>
      </tp>
      <tp t="e">
        <v>#N/A</v>
        <stp/>
        <stp>IMPL_VOL</stp>
        <stp>.QQQ250502C490</stp>
        <tr r="EL57" s="1"/>
      </tp>
      <tp t="e">
        <v>#N/A</v>
        <stp/>
        <stp>IMPL_VOL</stp>
        <stp>.QQQ250516C484</stp>
        <tr r="EP63" s="1"/>
      </tp>
      <tp t="e">
        <v>#N/A</v>
        <stp/>
        <stp>IMPL_VOL</stp>
        <stp>.QQQ250502P490</stp>
        <tr r="EM57" s="1"/>
      </tp>
      <tp t="e">
        <v>#N/A</v>
        <stp/>
        <stp>IMPL_VOL</stp>
        <stp>.QQQ250516P484</stp>
        <tr r="EQ63" s="1"/>
      </tp>
      <tp t="e">
        <v>#N/A</v>
        <stp/>
        <stp>IMPL_VOL</stp>
        <stp>.QQQ250502C491</stp>
        <tr r="EL56" s="1"/>
      </tp>
      <tp t="e">
        <v>#N/A</v>
        <stp/>
        <stp>IMPL_VOL</stp>
        <stp>.QQQ250516C485</stp>
        <tr r="EP62" s="1"/>
      </tp>
      <tp t="e">
        <v>#N/A</v>
        <stp/>
        <stp>IMPL_VOL</stp>
        <stp>.QQQ250502P491</stp>
        <tr r="EM56" s="1"/>
      </tp>
      <tp t="e">
        <v>#N/A</v>
        <stp/>
        <stp>IMPL_VOL</stp>
        <stp>.QQQ250516P485</stp>
        <tr r="EQ62" s="1"/>
      </tp>
      <tp t="e">
        <v>#N/A</v>
        <stp/>
        <stp>IMPL_VOL</stp>
        <stp>.QQQ250502C492</stp>
        <tr r="EL55" s="1"/>
      </tp>
      <tp t="e">
        <v>#N/A</v>
        <stp/>
        <stp>IMPL_VOL</stp>
        <stp>.QQQ250509C499</stp>
        <tr r="EN48" s="1"/>
      </tp>
      <tp t="e">
        <v>#N/A</v>
        <stp/>
        <stp>IMPL_VOL</stp>
        <stp>.QQQ250516C486</stp>
        <tr r="EP61" s="1"/>
      </tp>
      <tp t="e">
        <v>#N/A</v>
        <stp/>
        <stp>IMPL_VOL</stp>
        <stp>.QQQ250502P492</stp>
        <tr r="EM55" s="1"/>
      </tp>
      <tp t="e">
        <v>#N/A</v>
        <stp/>
        <stp>IMPL_VOL</stp>
        <stp>.QQQ250509P499</stp>
        <tr r="EO48" s="1"/>
      </tp>
      <tp t="e">
        <v>#N/A</v>
        <stp/>
        <stp>IMPL_VOL</stp>
        <stp>.QQQ250516P486</stp>
        <tr r="EQ61" s="1"/>
      </tp>
      <tp t="e">
        <v>#N/A</v>
        <stp/>
        <stp>IMPL_VOL</stp>
        <stp>.QQQ250502C493</stp>
        <tr r="EL54" s="1"/>
      </tp>
      <tp t="e">
        <v>#N/A</v>
        <stp/>
        <stp>IMPL_VOL</stp>
        <stp>.QQQ250509C498</stp>
        <tr r="EN49" s="1"/>
      </tp>
      <tp t="e">
        <v>#N/A</v>
        <stp/>
        <stp>IMPL_VOL</stp>
        <stp>.QQQ250516C487</stp>
        <tr r="EP60" s="1"/>
      </tp>
      <tp t="e">
        <v>#N/A</v>
        <stp/>
        <stp>IMPL_VOL</stp>
        <stp>.QQQ250502P493</stp>
        <tr r="EM54" s="1"/>
      </tp>
      <tp t="e">
        <v>#N/A</v>
        <stp/>
        <stp>IMPL_VOL</stp>
        <stp>.QQQ250509P498</stp>
        <tr r="EO49" s="1"/>
      </tp>
      <tp t="e">
        <v>#N/A</v>
        <stp/>
        <stp>IMPL_VOL</stp>
        <stp>.QQQ250516P487</stp>
        <tr r="EQ60" s="1"/>
      </tp>
      <tp t="e">
        <v>#N/A</v>
        <stp/>
        <stp>IMPL_VOL</stp>
        <stp>.QQQ250502C494</stp>
        <tr r="EL53" s="1"/>
      </tp>
      <tp t="e">
        <v>#N/A</v>
        <stp/>
        <stp>IMPL_VOL</stp>
        <stp>.QQQ250516C480</stp>
        <tr r="EP67" s="1"/>
      </tp>
      <tp t="e">
        <v>#N/A</v>
        <stp/>
        <stp>IMPL_VOL</stp>
        <stp>.QQQ250502P494</stp>
        <tr r="EM53" s="1"/>
      </tp>
      <tp t="e">
        <v>#N/A</v>
        <stp/>
        <stp>IMPL_VOL</stp>
        <stp>.QQQ250516P480</stp>
        <tr r="EQ67" s="1"/>
      </tp>
      <tp t="e">
        <v>#N/A</v>
        <stp/>
        <stp>IMPL_VOL</stp>
        <stp>.QQQ250502C495</stp>
        <tr r="EL52" s="1"/>
      </tp>
      <tp t="e">
        <v>#N/A</v>
        <stp/>
        <stp>IMPL_VOL</stp>
        <stp>.QQQ250516C481</stp>
        <tr r="EP66" s="1"/>
      </tp>
      <tp t="e">
        <v>#N/A</v>
        <stp/>
        <stp>IMPL_VOL</stp>
        <stp>.QQQ250502P495</stp>
        <tr r="EM52" s="1"/>
      </tp>
      <tp t="e">
        <v>#N/A</v>
        <stp/>
        <stp>IMPL_VOL</stp>
        <stp>.QQQ250516P481</stp>
        <tr r="EQ66" s="1"/>
      </tp>
      <tp t="e">
        <v>#N/A</v>
        <stp/>
        <stp>IMPL_VOL</stp>
        <stp>.QQQ250502C496</stp>
        <tr r="EL51" s="1"/>
      </tp>
      <tp t="e">
        <v>#N/A</v>
        <stp/>
        <stp>IMPL_VOL</stp>
        <stp>.QQQ250516C482</stp>
        <tr r="EP65" s="1"/>
      </tp>
      <tp t="e">
        <v>#N/A</v>
        <stp/>
        <stp>IMPL_VOL</stp>
        <stp>.QQQ250502P496</stp>
        <tr r="EM51" s="1"/>
      </tp>
      <tp t="e">
        <v>#N/A</v>
        <stp/>
        <stp>IMPL_VOL</stp>
        <stp>.QQQ250516P482</stp>
        <tr r="EQ65" s="1"/>
      </tp>
      <tp t="e">
        <v>#N/A</v>
        <stp/>
        <stp>IMPL_VOL</stp>
        <stp>.QQQ250502C497</stp>
        <tr r="EL50" s="1"/>
      </tp>
      <tp t="e">
        <v>#N/A</v>
        <stp/>
        <stp>IMPL_VOL</stp>
        <stp>.QQQ250516C483</stp>
        <tr r="EP64" s="1"/>
      </tp>
      <tp t="e">
        <v>#N/A</v>
        <stp/>
        <stp>IMPL_VOL</stp>
        <stp>.QQQ250502P497</stp>
        <tr r="EM50" s="1"/>
      </tp>
      <tp t="e">
        <v>#N/A</v>
        <stp/>
        <stp>IMPL_VOL</stp>
        <stp>.QQQ250516P483</stp>
        <tr r="EQ64" s="1"/>
      </tp>
      <tp t="e">
        <v>#N/A</v>
        <stp/>
        <stp>IMPL_VOL</stp>
        <stp>.QQQ250502C498</stp>
        <tr r="EL49" s="1"/>
      </tp>
      <tp t="e">
        <v>#N/A</v>
        <stp/>
        <stp>IMPL_VOL</stp>
        <stp>.QQQ250509C493</stp>
        <tr r="EN54" s="1"/>
      </tp>
      <tp t="e">
        <v>#N/A</v>
        <stp/>
        <stp>IMPL_VOL</stp>
        <stp>.QQQ250502P498</stp>
        <tr r="EM49" s="1"/>
      </tp>
      <tp t="e">
        <v>#N/A</v>
        <stp/>
        <stp>IMPL_VOL</stp>
        <stp>.QQQ250509P493</stp>
        <tr r="EO54" s="1"/>
      </tp>
      <tp t="e">
        <v>#N/A</v>
        <stp/>
        <stp>IMPL_VOL</stp>
        <stp>.QQQ250502C499</stp>
        <tr r="EL48" s="1"/>
      </tp>
      <tp t="e">
        <v>#N/A</v>
        <stp/>
        <stp>IMPL_VOL</stp>
        <stp>.QQQ250509C492</stp>
        <tr r="EN55" s="1"/>
      </tp>
      <tp t="e">
        <v>#N/A</v>
        <stp/>
        <stp>IMPL_VOL</stp>
        <stp>.QQQ250502P499</stp>
        <tr r="EM48" s="1"/>
      </tp>
      <tp t="e">
        <v>#N/A</v>
        <stp/>
        <stp>IMPL_VOL</stp>
        <stp>.QQQ250509P492</stp>
        <tr r="EO55" s="1"/>
      </tp>
      <tp t="e">
        <v>#N/A</v>
        <stp/>
        <stp>IMPL_VOL</stp>
        <stp>.QQQ250509C491</stp>
        <tr r="EN56" s="1"/>
      </tp>
      <tp t="e">
        <v>#N/A</v>
        <stp/>
        <stp>IMPL_VOL</stp>
        <stp>.QQQ250509P491</stp>
        <tr r="EO56" s="1"/>
      </tp>
      <tp t="e">
        <v>#N/A</v>
        <stp/>
        <stp>IMPL_VOL</stp>
        <stp>.QQQ250509C490</stp>
        <tr r="EN57" s="1"/>
      </tp>
      <tp t="e">
        <v>#N/A</v>
        <stp/>
        <stp>IMPL_VOL</stp>
        <stp>.QQQ250509P490</stp>
        <tr r="EO57" s="1"/>
      </tp>
      <tp t="e">
        <v>#N/A</v>
        <stp/>
        <stp>IMPL_VOL</stp>
        <stp>.QQQ250509C497</stp>
        <tr r="EN50" s="1"/>
      </tp>
      <tp t="e">
        <v>#N/A</v>
        <stp/>
        <stp>IMPL_VOL</stp>
        <stp>.QQQ250516C488</stp>
        <tr r="EP59" s="1"/>
      </tp>
      <tp t="e">
        <v>#N/A</v>
        <stp/>
        <stp>IMPL_VOL</stp>
        <stp>.QQQ250509P497</stp>
        <tr r="EO50" s="1"/>
      </tp>
      <tp t="e">
        <v>#N/A</v>
        <stp/>
        <stp>IMPL_VOL</stp>
        <stp>.QQQ250516P488</stp>
        <tr r="EQ59" s="1"/>
      </tp>
      <tp t="e">
        <v>#N/A</v>
        <stp/>
        <stp>IMPL_VOL</stp>
        <stp>.QQQ250509C496</stp>
        <tr r="EN51" s="1"/>
      </tp>
      <tp t="e">
        <v>#N/A</v>
        <stp/>
        <stp>IMPL_VOL</stp>
        <stp>.QQQ250516C489</stp>
        <tr r="EP58" s="1"/>
      </tp>
      <tp t="e">
        <v>#N/A</v>
        <stp/>
        <stp>IMPL_VOL</stp>
        <stp>.QQQ250509P496</stp>
        <tr r="EO51" s="1"/>
      </tp>
      <tp t="e">
        <v>#N/A</v>
        <stp/>
        <stp>IMPL_VOL</stp>
        <stp>.QQQ250516P489</stp>
        <tr r="EQ58" s="1"/>
      </tp>
      <tp t="e">
        <v>#N/A</v>
        <stp/>
        <stp>IMPL_VOL</stp>
        <stp>.QQQ250509C495</stp>
        <tr r="EN52" s="1"/>
      </tp>
      <tp t="e">
        <v>#N/A</v>
        <stp/>
        <stp>IMPL_VOL</stp>
        <stp>.QQQ250509P495</stp>
        <tr r="EO52" s="1"/>
      </tp>
      <tp t="e">
        <v>#N/A</v>
        <stp/>
        <stp>IMPL_VOL</stp>
        <stp>.QQQ250509C494</stp>
        <tr r="EN53" s="1"/>
      </tp>
      <tp t="e">
        <v>#N/A</v>
        <stp/>
        <stp>IMPL_VOL</stp>
        <stp>.QQQ250509P494</stp>
        <tr r="EO53" s="1"/>
      </tp>
      <tp t="e">
        <v>#N/A</v>
        <stp/>
        <stp>IMPL_VOL</stp>
        <stp>.SPXW250502C5490</stp>
        <tr r="EL123" s="1"/>
      </tp>
      <tp t="e">
        <v>#N/A</v>
        <stp/>
        <stp>IMPL_VOL</stp>
        <stp>.SPXW250509C5420</stp>
        <tr r="EN130" s="1"/>
      </tp>
      <tp t="e">
        <v>#N/A</v>
        <stp/>
        <stp>IMPL_VOL</stp>
        <stp>.SPXW250502P5490</stp>
        <tr r="EM123" s="1"/>
      </tp>
      <tp t="e">
        <v>#N/A</v>
        <stp/>
        <stp>IMPL_VOL</stp>
        <stp>.SPXW250509P5420</stp>
        <tr r="EO130" s="1"/>
      </tp>
      <tp t="e">
        <v>#N/A</v>
        <stp/>
        <stp>IMPL_VOL</stp>
        <stp>.SPXW250502C5480</stp>
        <tr r="EL124" s="1"/>
      </tp>
      <tp t="e">
        <v>#N/A</v>
        <stp/>
        <stp>IMPL_VOL</stp>
        <stp>.SPXW250509C5430</stp>
        <tr r="EN129" s="1"/>
      </tp>
      <tp t="e">
        <v>#N/A</v>
        <stp/>
        <stp>IMPL_VOL</stp>
        <stp>.SPXW250502P5480</stp>
        <tr r="EM124" s="1"/>
      </tp>
      <tp t="e">
        <v>#N/A</v>
        <stp/>
        <stp>IMPL_VOL</stp>
        <stp>.SPXW250509P5430</stp>
        <tr r="EO129" s="1"/>
      </tp>
      <tp t="e">
        <v>#N/A</v>
        <stp/>
        <stp>IMPL_VOL</stp>
        <stp>.SPXW250509C5460</stp>
        <tr r="EN126" s="1"/>
      </tp>
      <tp t="e">
        <v>#N/A</v>
        <stp/>
        <stp>IMPL_VOL</stp>
        <stp>.SPXW250516C5590</stp>
        <tr r="EP113" s="1"/>
      </tp>
      <tp t="e">
        <v>#N/A</v>
        <stp/>
        <stp>IMPL_VOL</stp>
        <stp>.SPXW250509P5460</stp>
        <tr r="EO126" s="1"/>
      </tp>
      <tp t="e">
        <v>#N/A</v>
        <stp/>
        <stp>IMPL_VOL</stp>
        <stp>.SPXW250516P5590</stp>
        <tr r="EQ113" s="1"/>
      </tp>
      <tp t="e">
        <v>#N/A</v>
        <stp/>
        <stp>IMPL_VOL</stp>
        <stp>.SPXW250509C5470</stp>
        <tr r="EN125" s="1"/>
      </tp>
      <tp t="e">
        <v>#N/A</v>
        <stp/>
        <stp>IMPL_VOL</stp>
        <stp>.SPXW250516C5580</stp>
        <tr r="EP114" s="1"/>
      </tp>
      <tp t="e">
        <v>#N/A</v>
        <stp/>
        <stp>IMPL_VOL</stp>
        <stp>.SPXW250509P5470</stp>
        <tr r="EO125" s="1"/>
      </tp>
      <tp t="e">
        <v>#N/A</v>
        <stp/>
        <stp>IMPL_VOL</stp>
        <stp>.SPXW250516P5580</stp>
        <tr r="EQ114" s="1"/>
      </tp>
      <tp t="e">
        <v>#N/A</v>
        <stp/>
        <stp>IMPL_VOL</stp>
        <stp>.SPXW250509C5440</stp>
        <tr r="EN128" s="1"/>
      </tp>
      <tp t="e">
        <v>#N/A</v>
        <stp/>
        <stp>IMPL_VOL</stp>
        <stp>.SPXW250509P5440</stp>
        <tr r="EO128" s="1"/>
      </tp>
      <tp t="e">
        <v>#N/A</v>
        <stp/>
        <stp>IMPL_VOL</stp>
        <stp>.SPXW250509C5450</stp>
        <tr r="EN127" s="1"/>
      </tp>
      <tp t="e">
        <v>#N/A</v>
        <stp/>
        <stp>IMPL_VOL</stp>
        <stp>.SPXW250509P5450</stp>
        <tr r="EO127" s="1"/>
      </tp>
      <tp t="e">
        <v>#N/A</v>
        <stp/>
        <stp>IMPL_VOL</stp>
        <stp>.SPXW250516C5550</stp>
        <tr r="EP117" s="1"/>
      </tp>
      <tp t="e">
        <v>#N/A</v>
        <stp/>
        <stp>IMPL_VOL</stp>
        <stp>.SPXW250516P5550</stp>
        <tr r="EQ117" s="1"/>
      </tp>
      <tp t="e">
        <v>#N/A</v>
        <stp/>
        <stp>IMPL_VOL</stp>
        <stp>.SPXW250516C5540</stp>
        <tr r="EP118" s="1"/>
      </tp>
      <tp t="e">
        <v>#N/A</v>
        <stp/>
        <stp>IMPL_VOL</stp>
        <stp>.SPXW250516P5540</stp>
        <tr r="EQ118" s="1"/>
      </tp>
      <tp t="e">
        <v>#N/A</v>
        <stp/>
        <stp>IMPL_VOL</stp>
        <stp>.SPXW250502C5430</stp>
        <tr r="EL129" s="1"/>
      </tp>
      <tp t="e">
        <v>#N/A</v>
        <stp/>
        <stp>IMPL_VOL</stp>
        <stp>.SPXW250509C5480</stp>
        <tr r="EN124" s="1"/>
      </tp>
      <tp t="e">
        <v>#N/A</v>
        <stp/>
        <stp>IMPL_VOL</stp>
        <stp>.SPXW250516C5570</stp>
        <tr r="EP115" s="1"/>
      </tp>
      <tp t="e">
        <v>#N/A</v>
        <stp/>
        <stp>IMPL_VOL</stp>
        <stp>.SPXW250502P5430</stp>
        <tr r="EM129" s="1"/>
      </tp>
      <tp t="e">
        <v>#N/A</v>
        <stp/>
        <stp>IMPL_VOL</stp>
        <stp>.SPXW250509P5480</stp>
        <tr r="EO124" s="1"/>
      </tp>
      <tp t="e">
        <v>#N/A</v>
        <stp/>
        <stp>IMPL_VOL</stp>
        <stp>.SPXW250516P5570</stp>
        <tr r="EQ115" s="1"/>
      </tp>
      <tp t="e">
        <v>#N/A</v>
        <stp/>
        <stp>IMPL_VOL</stp>
        <stp>.SPXW250502C5420</stp>
        <tr r="EL130" s="1"/>
      </tp>
      <tp t="e">
        <v>#N/A</v>
        <stp/>
        <stp>IMPL_VOL</stp>
        <stp>.SPXW250509C5490</stp>
        <tr r="EN123" s="1"/>
      </tp>
      <tp t="e">
        <v>#N/A</v>
        <stp/>
        <stp>IMPL_VOL</stp>
        <stp>.SPXW250516C5560</stp>
        <tr r="EP116" s="1"/>
      </tp>
      <tp t="e">
        <v>#N/A</v>
        <stp/>
        <stp>IMPL_VOL</stp>
        <stp>.SPXW250502P5420</stp>
        <tr r="EM130" s="1"/>
      </tp>
      <tp t="e">
        <v>#N/A</v>
        <stp/>
        <stp>IMPL_VOL</stp>
        <stp>.SPXW250509P5490</stp>
        <tr r="EO123" s="1"/>
      </tp>
      <tp t="e">
        <v>#N/A</v>
        <stp/>
        <stp>IMPL_VOL</stp>
        <stp>.SPXW250516P5560</stp>
        <tr r="EQ116" s="1"/>
      </tp>
      <tp t="e">
        <v>#N/A</v>
        <stp/>
        <stp>IMPL_VOL</stp>
        <stp>.SPXW250502C5450</stp>
        <tr r="EL127" s="1"/>
      </tp>
      <tp t="e">
        <v>#N/A</v>
        <stp/>
        <stp>IMPL_VOL</stp>
        <stp>.SPXW250516C5510</stp>
        <tr r="EP121" s="1"/>
      </tp>
      <tp t="e">
        <v>#N/A</v>
        <stp/>
        <stp>IMPL_VOL</stp>
        <stp>.SPXW250502P5450</stp>
        <tr r="EM127" s="1"/>
      </tp>
      <tp t="e">
        <v>#N/A</v>
        <stp/>
        <stp>IMPL_VOL</stp>
        <stp>.SPXW250516P5510</stp>
        <tr r="EQ121" s="1"/>
      </tp>
      <tp t="e">
        <v>#N/A</v>
        <stp/>
        <stp>IMPL_VOL</stp>
        <stp>.SPXW250502C5440</stp>
        <tr r="EL128" s="1"/>
      </tp>
      <tp t="e">
        <v>#N/A</v>
        <stp/>
        <stp>IMPL_VOL</stp>
        <stp>.SPXW250516C5500</stp>
        <tr r="EP122" s="1"/>
      </tp>
      <tp t="e">
        <v>#N/A</v>
        <stp/>
        <stp>IMPL_VOL</stp>
        <stp>.SPXW250502P5440</stp>
        <tr r="EM128" s="1"/>
      </tp>
      <tp t="e">
        <v>#N/A</v>
        <stp/>
        <stp>IMPL_VOL</stp>
        <stp>.SPXW250516P5500</stp>
        <tr r="EQ122" s="1"/>
      </tp>
      <tp t="e">
        <v>#N/A</v>
        <stp/>
        <stp>IMPL_VOL</stp>
        <stp>.SPXW250502C5470</stp>
        <tr r="EL125" s="1"/>
      </tp>
      <tp t="e">
        <v>#N/A</v>
        <stp/>
        <stp>IMPL_VOL</stp>
        <stp>.SPXW250516C5530</stp>
        <tr r="EP119" s="1"/>
      </tp>
      <tp t="e">
        <v>#N/A</v>
        <stp/>
        <stp>IMPL_VOL</stp>
        <stp>.SPXW250502P5470</stp>
        <tr r="EM125" s="1"/>
      </tp>
      <tp t="e">
        <v>#N/A</v>
        <stp/>
        <stp>IMPL_VOL</stp>
        <stp>.SPXW250516P5530</stp>
        <tr r="EQ119" s="1"/>
      </tp>
      <tp t="e">
        <v>#N/A</v>
        <stp/>
        <stp>IMPL_VOL</stp>
        <stp>.SPXW250502C5460</stp>
        <tr r="EL126" s="1"/>
      </tp>
      <tp t="e">
        <v>#N/A</v>
        <stp/>
        <stp>IMPL_VOL</stp>
        <stp>.SPXW250516C5520</stp>
        <tr r="EP120" s="1"/>
      </tp>
      <tp t="e">
        <v>#N/A</v>
        <stp/>
        <stp>IMPL_VOL</stp>
        <stp>.SPXW250502P5460</stp>
        <tr r="EM126" s="1"/>
      </tp>
      <tp t="e">
        <v>#N/A</v>
        <stp/>
        <stp>IMPL_VOL</stp>
        <stp>.SPXW250516P5520</stp>
        <tr r="EQ120" s="1"/>
      </tp>
      <tp t="e">
        <v>#N/A</v>
        <stp/>
        <stp>OPEN_INT</stp>
        <stp>.QQQ250502P500</stp>
        <tr r="AT47" s="1"/>
        <tr r="AT47" s="1"/>
      </tp>
      <tp t="e">
        <v>#N/A</v>
        <stp/>
        <stp>OPEN_INT</stp>
        <stp>.QQQ250502C500</stp>
        <tr r="AS47" s="1"/>
        <tr r="AS47" s="1"/>
      </tp>
      <tp t="e">
        <v>#N/A</v>
        <stp/>
        <stp>OPEN_INT</stp>
        <stp>.QQQ250502P501</stp>
        <tr r="AT46" s="1"/>
        <tr r="AT46" s="1"/>
      </tp>
      <tp t="e">
        <v>#N/A</v>
        <stp/>
        <stp>OPEN_INT</stp>
        <stp>.QQQ250502C501</stp>
        <tr r="AS46" s="1"/>
        <tr r="AS46" s="1"/>
      </tp>
      <tp t="e">
        <v>#N/A</v>
        <stp/>
        <stp>OPEN_INT</stp>
        <stp>.QQQ250502P502</stp>
        <tr r="AT45" s="1"/>
        <tr r="AT45" s="1"/>
      </tp>
      <tp t="e">
        <v>#N/A</v>
        <stp/>
        <stp>OPEN_INT</stp>
        <stp>.QQQ250502C502</stp>
        <tr r="AS45" s="1"/>
        <tr r="AS45" s="1"/>
      </tp>
      <tp t="e">
        <v>#N/A</v>
        <stp/>
        <stp>OPEN_INT</stp>
        <stp>.QQQ250509P502</stp>
        <tr r="AV45" s="1"/>
        <tr r="AV45" s="1"/>
      </tp>
      <tp t="e">
        <v>#N/A</v>
        <stp/>
        <stp>OPEN_INT</stp>
        <stp>.QQQ250509C502</stp>
        <tr r="AU45" s="1"/>
        <tr r="AU45" s="1"/>
      </tp>
      <tp t="e">
        <v>#N/A</v>
        <stp/>
        <stp>OPEN_INT</stp>
        <stp>.QQQ250509P501</stp>
        <tr r="AV46" s="1"/>
        <tr r="AV46" s="1"/>
      </tp>
      <tp t="e">
        <v>#N/A</v>
        <stp/>
        <stp>OPEN_INT</stp>
        <stp>.QQQ250509C501</stp>
        <tr r="AU46" s="1"/>
        <tr r="AU46" s="1"/>
      </tp>
      <tp t="e">
        <v>#N/A</v>
        <stp/>
        <stp>OPEN_INT</stp>
        <stp>.QQQ250509P500</stp>
        <tr r="AV47" s="1"/>
        <tr r="AV47" s="1"/>
      </tp>
      <tp t="e">
        <v>#N/A</v>
        <stp/>
        <stp>OPEN_INT</stp>
        <stp>.QQQ250509C500</stp>
        <tr r="AU47" s="1"/>
        <tr r="AU47" s="1"/>
      </tp>
      <tp t="e">
        <v>#N/A</v>
        <stp/>
        <stp>OPEN_INT</stp>
        <stp>.QQQ250516P500</stp>
        <tr r="AX47" s="1"/>
        <tr r="AX47" s="1"/>
      </tp>
      <tp t="e">
        <v>#N/A</v>
        <stp/>
        <stp>OPEN_INT</stp>
        <stp>.QQQ250516C500</stp>
        <tr r="AW47" s="1"/>
        <tr r="AW47" s="1"/>
      </tp>
      <tp t="e">
        <v>#N/A</v>
        <stp/>
        <stp>OPEN_INT</stp>
        <stp>.QQQ250516P501</stp>
        <tr r="AX46" s="1"/>
        <tr r="AX46" s="1"/>
      </tp>
      <tp t="e">
        <v>#N/A</v>
        <stp/>
        <stp>OPEN_INT</stp>
        <stp>.QQQ250516C501</stp>
        <tr r="AW46" s="1"/>
        <tr r="AW46" s="1"/>
      </tp>
      <tp t="e">
        <v>#N/A</v>
        <stp/>
        <stp>OPEN_INT</stp>
        <stp>.QQQ250516P502</stp>
        <tr r="AX45" s="1"/>
        <tr r="AX45" s="1"/>
      </tp>
      <tp t="e">
        <v>#N/A</v>
        <stp/>
        <stp>OPEN_INT</stp>
        <stp>.QQQ250516C502</stp>
        <tr r="AW45" s="1"/>
        <tr r="AW45" s="1"/>
      </tp>
      <tp t="e">
        <v>#N/A</v>
        <stp/>
        <stp>OPEN_INT</stp>
        <stp>.QQQ250516P470</stp>
        <tr r="AX77" s="1"/>
        <tr r="AX77" s="1"/>
      </tp>
      <tp t="e">
        <v>#N/A</v>
        <stp/>
        <stp>OPEN_INT</stp>
        <stp>.QQQ250516C470</stp>
        <tr r="AW77" s="1"/>
        <tr r="AW77" s="1"/>
      </tp>
      <tp t="e">
        <v>#N/A</v>
        <stp/>
        <stp>OPEN_INT</stp>
        <stp>.QQQ250516P471</stp>
        <tr r="AX76" s="1"/>
      </tp>
      <tp t="e">
        <v>#N/A</v>
        <stp/>
        <stp>OPEN_INT</stp>
        <stp>.QQQ250516C471</stp>
        <tr r="AW76" s="1"/>
      </tp>
      <tp t="e">
        <v>#N/A</v>
        <stp/>
        <stp>OPEN_INT</stp>
        <stp>.QQQ250516P472</stp>
        <tr r="AX75" s="1"/>
      </tp>
      <tp t="e">
        <v>#N/A</v>
        <stp/>
        <stp>OPEN_INT</stp>
        <stp>.QQQ250516C472</stp>
        <tr r="AW75" s="1"/>
      </tp>
      <tp t="e">
        <v>#N/A</v>
        <stp/>
        <stp>OPEN_INT</stp>
        <stp>.QQQ250516P473</stp>
        <tr r="AX74" s="1"/>
      </tp>
      <tp t="e">
        <v>#N/A</v>
        <stp/>
        <stp>OPEN_INT</stp>
        <stp>.QQQ250516C473</stp>
        <tr r="AW74" s="1"/>
      </tp>
      <tp t="e">
        <v>#N/A</v>
        <stp/>
        <stp>OPEN_INT</stp>
        <stp>.QQQ250516P474</stp>
        <tr r="AX73" s="1"/>
      </tp>
      <tp t="e">
        <v>#N/A</v>
        <stp/>
        <stp>OPEN_INT</stp>
        <stp>.QQQ250516C474</stp>
        <tr r="AW73" s="1"/>
      </tp>
      <tp t="e">
        <v>#N/A</v>
        <stp/>
        <stp>OPEN_INT</stp>
        <stp>.QQQ250516P475</stp>
        <tr r="AX72" s="1"/>
        <tr r="AX72" s="1"/>
      </tp>
      <tp t="e">
        <v>#N/A</v>
        <stp/>
        <stp>OPEN_INT</stp>
        <stp>.QQQ250516C475</stp>
        <tr r="AW72" s="1"/>
        <tr r="AW72" s="1"/>
      </tp>
      <tp t="e">
        <v>#N/A</v>
        <stp/>
        <stp>OPEN_INT</stp>
        <stp>.QQQ250509P469</stp>
        <tr r="AV78" s="1"/>
        <tr r="AV78" s="1"/>
      </tp>
      <tp t="e">
        <v>#N/A</v>
        <stp/>
        <stp>OPEN_INT</stp>
        <stp>.QQQ250516P476</stp>
        <tr r="AX71" s="1"/>
      </tp>
      <tp t="e">
        <v>#N/A</v>
        <stp/>
        <stp>OPEN_INT</stp>
        <stp>.QQQ250509C469</stp>
        <tr r="AU78" s="1"/>
        <tr r="AU78" s="1"/>
      </tp>
      <tp t="e">
        <v>#N/A</v>
        <stp/>
        <stp>OPEN_INT</stp>
        <stp>.QQQ250516C476</stp>
        <tr r="AW71" s="1"/>
      </tp>
      <tp t="e">
        <v>#N/A</v>
        <stp/>
        <stp>OPEN_INT</stp>
        <stp>.QQQ250509P468</stp>
        <tr r="AV79" s="1"/>
        <tr r="AV79" s="1"/>
      </tp>
      <tp t="e">
        <v>#N/A</v>
        <stp/>
        <stp>OPEN_INT</stp>
        <stp>.QQQ250516P477</stp>
        <tr r="AX70" s="1"/>
      </tp>
      <tp t="e">
        <v>#N/A</v>
        <stp/>
        <stp>OPEN_INT</stp>
        <stp>.QQQ250509C468</stp>
        <tr r="AU79" s="1"/>
        <tr r="AU79" s="1"/>
      </tp>
      <tp t="e">
        <v>#N/A</v>
        <stp/>
        <stp>OPEN_INT</stp>
        <stp>.QQQ250516C477</stp>
        <tr r="AW70" s="1"/>
      </tp>
      <tp t="e">
        <v>#N/A</v>
        <stp/>
        <stp>OPEN_INT</stp>
        <stp>.QQQ250516P478</stp>
        <tr r="AX69" s="1"/>
      </tp>
      <tp t="e">
        <v>#N/A</v>
        <stp/>
        <stp>OPEN_INT</stp>
        <stp>.QQQ250516C478</stp>
        <tr r="AW69" s="1"/>
      </tp>
      <tp t="e">
        <v>#N/A</v>
        <stp/>
        <stp>OPEN_INT</stp>
        <stp>.QQQ250516P479</stp>
        <tr r="AX68" s="1"/>
      </tp>
      <tp t="e">
        <v>#N/A</v>
        <stp/>
        <stp>OPEN_INT</stp>
        <stp>.QQQ250516C479</stp>
        <tr r="AW68" s="1"/>
      </tp>
      <tp t="e">
        <v>#N/A</v>
        <stp/>
        <stp>OPEN_INT</stp>
        <stp>.QQQ250502P468</stp>
        <tr r="AT79" s="1"/>
        <tr r="AT79" s="1"/>
      </tp>
      <tp t="e">
        <v>#N/A</v>
        <stp/>
        <stp>OPEN_INT</stp>
        <stp>.QQQ250502C468</stp>
        <tr r="AS79" s="1"/>
        <tr r="AS79" s="1"/>
      </tp>
      <tp t="e">
        <v>#N/A</v>
        <stp/>
        <stp>OPEN_INT</stp>
        <stp>.QQQ250502P469</stp>
        <tr r="AT78" s="1"/>
        <tr r="AT78" s="1"/>
      </tp>
      <tp t="e">
        <v>#N/A</v>
        <stp/>
        <stp>OPEN_INT</stp>
        <stp>.QQQ250502C469</stp>
        <tr r="AS78" s="1"/>
        <tr r="AS78" s="1"/>
      </tp>
      <tp t="e">
        <v>#N/A</v>
        <stp/>
        <stp>OPEN_INT</stp>
        <stp>.QQQ250502P474</stp>
        <tr r="AT73" s="1"/>
        <tr r="AT73" s="1"/>
      </tp>
      <tp t="e">
        <v>#N/A</v>
        <stp/>
        <stp>OPEN_INT</stp>
        <stp>.QQQ250502C474</stp>
        <tr r="AS73" s="1"/>
        <tr r="AS73" s="1"/>
      </tp>
      <tp t="e">
        <v>#N/A</v>
        <stp/>
        <stp>OPEN_INT</stp>
        <stp>.QQQ250502P475</stp>
        <tr r="AT72" s="1"/>
        <tr r="AT72" s="1"/>
      </tp>
      <tp t="e">
        <v>#N/A</v>
        <stp/>
        <stp>OPEN_INT</stp>
        <stp>.QQQ250502C475</stp>
        <tr r="AS72" s="1"/>
        <tr r="AS72" s="1"/>
      </tp>
      <tp t="e">
        <v>#N/A</v>
        <stp/>
        <stp>OPEN_INT</stp>
        <stp>.QQQ250502P476</stp>
        <tr r="AT71" s="1"/>
        <tr r="AT71" s="1"/>
      </tp>
      <tp t="e">
        <v>#N/A</v>
        <stp/>
        <stp>OPEN_INT</stp>
        <stp>.QQQ250502C476</stp>
        <tr r="AS71" s="1"/>
        <tr r="AS71" s="1"/>
      </tp>
      <tp t="e">
        <v>#N/A</v>
        <stp/>
        <stp>OPEN_INT</stp>
        <stp>.QQQ250502P477</stp>
        <tr r="AT70" s="1"/>
        <tr r="AT70" s="1"/>
      </tp>
      <tp t="e">
        <v>#N/A</v>
        <stp/>
        <stp>OPEN_INT</stp>
        <stp>.QQQ250502C477</stp>
        <tr r="AS70" s="1"/>
        <tr r="AS70" s="1"/>
      </tp>
      <tp t="e">
        <v>#N/A</v>
        <stp/>
        <stp>OPEN_INT</stp>
        <stp>.QQQ250502P470</stp>
        <tr r="AT77" s="1"/>
        <tr r="AT77" s="1"/>
      </tp>
      <tp t="e">
        <v>#N/A</v>
        <stp/>
        <stp>OPEN_INT</stp>
        <stp>.QQQ250502C470</stp>
        <tr r="AS77" s="1"/>
        <tr r="AS77" s="1"/>
      </tp>
      <tp t="e">
        <v>#N/A</v>
        <stp/>
        <stp>OPEN_INT</stp>
        <stp>.QQQ250502P471</stp>
        <tr r="AT76" s="1"/>
        <tr r="AT76" s="1"/>
      </tp>
      <tp t="e">
        <v>#N/A</v>
        <stp/>
        <stp>OPEN_INT</stp>
        <stp>.QQQ250502C471</stp>
        <tr r="AS76" s="1"/>
        <tr r="AS76" s="1"/>
      </tp>
      <tp t="e">
        <v>#N/A</v>
        <stp/>
        <stp>OPEN_INT</stp>
        <stp>.QQQ250502P472</stp>
        <tr r="AT75" s="1"/>
        <tr r="AT75" s="1"/>
      </tp>
      <tp t="e">
        <v>#N/A</v>
        <stp/>
        <stp>OPEN_INT</stp>
        <stp>.QQQ250509P479</stp>
        <tr r="AV68" s="1"/>
        <tr r="AV68" s="1"/>
      </tp>
      <tp t="e">
        <v>#N/A</v>
        <stp/>
        <stp>OPEN_INT</stp>
        <stp>.QQQ250502C472</stp>
        <tr r="AS75" s="1"/>
        <tr r="AS75" s="1"/>
      </tp>
      <tp t="e">
        <v>#N/A</v>
        <stp/>
        <stp>OPEN_INT</stp>
        <stp>.QQQ250509C479</stp>
        <tr r="AU68" s="1"/>
        <tr r="AU68" s="1"/>
      </tp>
      <tp t="e">
        <v>#N/A</v>
        <stp/>
        <stp>OPEN_INT</stp>
        <stp>.QQQ250502P473</stp>
        <tr r="AT74" s="1"/>
        <tr r="AT74" s="1"/>
      </tp>
      <tp t="e">
        <v>#N/A</v>
        <stp/>
        <stp>OPEN_INT</stp>
        <stp>.QQQ250509P478</stp>
        <tr r="AV69" s="1"/>
        <tr r="AV69" s="1"/>
      </tp>
      <tp t="e">
        <v>#N/A</v>
        <stp/>
        <stp>OPEN_INT</stp>
        <stp>.QQQ250502C473</stp>
        <tr r="AS74" s="1"/>
        <tr r="AS74" s="1"/>
      </tp>
      <tp t="e">
        <v>#N/A</v>
        <stp/>
        <stp>OPEN_INT</stp>
        <stp>.QQQ250509C478</stp>
        <tr r="AU69" s="1"/>
        <tr r="AU69" s="1"/>
      </tp>
      <tp t="e">
        <v>#N/A</v>
        <stp/>
        <stp>OPEN_INT</stp>
        <stp>.QQQ250509P477</stp>
        <tr r="AV70" s="1"/>
        <tr r="AV70" s="1"/>
      </tp>
      <tp t="e">
        <v>#N/A</v>
        <stp/>
        <stp>OPEN_INT</stp>
        <stp>.QQQ250516P468</stp>
        <tr r="AX79" s="1"/>
        <tr r="AX79" s="1"/>
      </tp>
      <tp t="e">
        <v>#N/A</v>
        <stp/>
        <stp>OPEN_INT</stp>
        <stp>.QQQ250509C477</stp>
        <tr r="AU70" s="1"/>
        <tr r="AU70" s="1"/>
      </tp>
      <tp t="e">
        <v>#N/A</v>
        <stp/>
        <stp>OPEN_INT</stp>
        <stp>.QQQ250516C468</stp>
        <tr r="AW79" s="1"/>
        <tr r="AW79" s="1"/>
      </tp>
      <tp t="e">
        <v>#N/A</v>
        <stp/>
        <stp>OPEN_INT</stp>
        <stp>.QQQ250509P476</stp>
        <tr r="AV71" s="1"/>
        <tr r="AV71" s="1"/>
      </tp>
      <tp t="e">
        <v>#N/A</v>
        <stp/>
        <stp>OPEN_INT</stp>
        <stp>.QQQ250516P469</stp>
        <tr r="AX78" s="1"/>
        <tr r="AX78" s="1"/>
      </tp>
      <tp t="e">
        <v>#N/A</v>
        <stp/>
        <stp>OPEN_INT</stp>
        <stp>.QQQ250509C476</stp>
        <tr r="AU71" s="1"/>
        <tr r="AU71" s="1"/>
      </tp>
      <tp t="e">
        <v>#N/A</v>
        <stp/>
        <stp>OPEN_INT</stp>
        <stp>.QQQ250516C469</stp>
        <tr r="AW78" s="1"/>
        <tr r="AW78" s="1"/>
      </tp>
      <tp t="e">
        <v>#N/A</v>
        <stp/>
        <stp>OPEN_INT</stp>
        <stp>.QQQ250509P475</stp>
        <tr r="AV72" s="1"/>
        <tr r="AV72" s="1"/>
      </tp>
      <tp t="e">
        <v>#N/A</v>
        <stp/>
        <stp>OPEN_INT</stp>
        <stp>.QQQ250509C475</stp>
        <tr r="AU72" s="1"/>
        <tr r="AU72" s="1"/>
      </tp>
      <tp t="e">
        <v>#N/A</v>
        <stp/>
        <stp>OPEN_INT</stp>
        <stp>.QQQ250509P474</stp>
        <tr r="AV73" s="1"/>
        <tr r="AV73" s="1"/>
      </tp>
      <tp t="e">
        <v>#N/A</v>
        <stp/>
        <stp>OPEN_INT</stp>
        <stp>.QQQ250509C474</stp>
        <tr r="AU73" s="1"/>
        <tr r="AU73" s="1"/>
      </tp>
      <tp t="e">
        <v>#N/A</v>
        <stp/>
        <stp>OPEN_INT</stp>
        <stp>.QQQ250502P478</stp>
        <tr r="AT69" s="1"/>
        <tr r="AT69" s="1"/>
      </tp>
      <tp t="e">
        <v>#N/A</v>
        <stp/>
        <stp>OPEN_INT</stp>
        <stp>.QQQ250509P473</stp>
        <tr r="AV74" s="1"/>
        <tr r="AV74" s="1"/>
      </tp>
      <tp t="e">
        <v>#N/A</v>
        <stp/>
        <stp>OPEN_INT</stp>
        <stp>.QQQ250502C478</stp>
        <tr r="AS69" s="1"/>
        <tr r="AS69" s="1"/>
      </tp>
      <tp t="e">
        <v>#N/A</v>
        <stp/>
        <stp>OPEN_INT</stp>
        <stp>.QQQ250509C473</stp>
        <tr r="AU74" s="1"/>
        <tr r="AU74" s="1"/>
      </tp>
      <tp t="e">
        <v>#N/A</v>
        <stp/>
        <stp>OPEN_INT</stp>
        <stp>.QQQ250502P479</stp>
        <tr r="AT68" s="1"/>
        <tr r="AT68" s="1"/>
      </tp>
      <tp t="e">
        <v>#N/A</v>
        <stp/>
        <stp>OPEN_INT</stp>
        <stp>.QQQ250509P472</stp>
        <tr r="AV75" s="1"/>
        <tr r="AV75" s="1"/>
      </tp>
      <tp t="e">
        <v>#N/A</v>
        <stp/>
        <stp>OPEN_INT</stp>
        <stp>.QQQ250502C479</stp>
        <tr r="AS68" s="1"/>
        <tr r="AS68" s="1"/>
      </tp>
      <tp t="e">
        <v>#N/A</v>
        <stp/>
        <stp>OPEN_INT</stp>
        <stp>.QQQ250509C472</stp>
        <tr r="AU75" s="1"/>
        <tr r="AU75" s="1"/>
      </tp>
      <tp t="e">
        <v>#N/A</v>
        <stp/>
        <stp>OPEN_INT</stp>
        <stp>.QQQ250509P471</stp>
        <tr r="AV76" s="1"/>
        <tr r="AV76" s="1"/>
      </tp>
      <tp t="e">
        <v>#N/A</v>
        <stp/>
        <stp>OPEN_INT</stp>
        <stp>.QQQ250509C471</stp>
        <tr r="AU76" s="1"/>
        <tr r="AU76" s="1"/>
      </tp>
      <tp t="e">
        <v>#N/A</v>
        <stp/>
        <stp>OPEN_INT</stp>
        <stp>.QQQ250509P470</stp>
        <tr r="AV77" s="1"/>
        <tr r="AV77" s="1"/>
      </tp>
      <tp t="e">
        <v>#N/A</v>
        <stp/>
        <stp>OPEN_INT</stp>
        <stp>.QQQ250509C470</stp>
        <tr r="AU77" s="1"/>
        <tr r="AU77" s="1"/>
      </tp>
      <tp t="e">
        <v>#N/A</v>
        <stp/>
        <stp>OPEN_INT</stp>
        <stp>.QQQ250502P484</stp>
        <tr r="AT63" s="1"/>
        <tr r="AT63" s="1"/>
      </tp>
      <tp t="e">
        <v>#N/A</v>
        <stp/>
        <stp>OPEN_INT</stp>
        <stp>.QQQ250516P490</stp>
        <tr r="AX57" s="1"/>
        <tr r="AX57" s="1"/>
      </tp>
      <tp t="e">
        <v>#N/A</v>
        <stp/>
        <stp>OPEN_INT</stp>
        <stp>.QQQ250502C484</stp>
        <tr r="AS63" s="1"/>
        <tr r="AS63" s="1"/>
      </tp>
      <tp t="e">
        <v>#N/A</v>
        <stp/>
        <stp>OPEN_INT</stp>
        <stp>.QQQ250516C490</stp>
        <tr r="AW57" s="1"/>
        <tr r="AW57" s="1"/>
      </tp>
      <tp t="e">
        <v>#N/A</v>
        <stp/>
        <stp>OPEN_INT</stp>
        <stp>.QQQ250502P485</stp>
        <tr r="AT62" s="1"/>
        <tr r="AT62" s="1"/>
      </tp>
      <tp t="e">
        <v>#N/A</v>
        <stp/>
        <stp>OPEN_INT</stp>
        <stp>.QQQ250516P491</stp>
        <tr r="AX56" s="1"/>
      </tp>
      <tp t="e">
        <v>#N/A</v>
        <stp/>
        <stp>OPEN_INT</stp>
        <stp>.QQQ250502C485</stp>
        <tr r="AS62" s="1"/>
        <tr r="AS62" s="1"/>
      </tp>
      <tp t="e">
        <v>#N/A</v>
        <stp/>
        <stp>OPEN_INT</stp>
        <stp>.QQQ250516C491</stp>
        <tr r="AW56" s="1"/>
      </tp>
      <tp t="e">
        <v>#N/A</v>
        <stp/>
        <stp>OPEN_INT</stp>
        <stp>.QQQ250502P486</stp>
        <tr r="AT61" s="1"/>
        <tr r="AT61" s="1"/>
      </tp>
      <tp t="e">
        <v>#N/A</v>
        <stp/>
        <stp>OPEN_INT</stp>
        <stp>.QQQ250516P492</stp>
        <tr r="AX55" s="1"/>
      </tp>
      <tp t="e">
        <v>#N/A</v>
        <stp/>
        <stp>OPEN_INT</stp>
        <stp>.QQQ250502C486</stp>
        <tr r="AS61" s="1"/>
        <tr r="AS61" s="1"/>
      </tp>
      <tp t="e">
        <v>#N/A</v>
        <stp/>
        <stp>OPEN_INT</stp>
        <stp>.QQQ250516C492</stp>
        <tr r="AW55" s="1"/>
      </tp>
      <tp t="e">
        <v>#N/A</v>
        <stp/>
        <stp>OPEN_INT</stp>
        <stp>.QQQ250502P487</stp>
        <tr r="AT60" s="1"/>
        <tr r="AT60" s="1"/>
      </tp>
      <tp t="e">
        <v>#N/A</v>
        <stp/>
        <stp>OPEN_INT</stp>
        <stp>.QQQ250516P493</stp>
        <tr r="AX54" s="1"/>
      </tp>
      <tp t="e">
        <v>#N/A</v>
        <stp/>
        <stp>OPEN_INT</stp>
        <stp>.QQQ250502C487</stp>
        <tr r="AS60" s="1"/>
        <tr r="AS60" s="1"/>
      </tp>
      <tp t="e">
        <v>#N/A</v>
        <stp/>
        <stp>OPEN_INT</stp>
        <stp>.QQQ250516C493</stp>
        <tr r="AW54" s="1"/>
      </tp>
      <tp t="e">
        <v>#N/A</v>
        <stp/>
        <stp>OPEN_INT</stp>
        <stp>.QQQ250502P480</stp>
        <tr r="AT67" s="1"/>
        <tr r="AT67" s="1"/>
      </tp>
      <tp t="e">
        <v>#N/A</v>
        <stp/>
        <stp>OPEN_INT</stp>
        <stp>.QQQ250516P494</stp>
        <tr r="AX53" s="1"/>
      </tp>
      <tp t="e">
        <v>#N/A</v>
        <stp/>
        <stp>OPEN_INT</stp>
        <stp>.QQQ250502C480</stp>
        <tr r="AS67" s="1"/>
        <tr r="AS67" s="1"/>
      </tp>
      <tp t="e">
        <v>#N/A</v>
        <stp/>
        <stp>OPEN_INT</stp>
        <stp>.QQQ250516C494</stp>
        <tr r="AW53" s="1"/>
      </tp>
      <tp t="e">
        <v>#N/A</v>
        <stp/>
        <stp>OPEN_INT</stp>
        <stp>.QQQ250502P481</stp>
        <tr r="AT66" s="1"/>
        <tr r="AT66" s="1"/>
      </tp>
      <tp t="e">
        <v>#N/A</v>
        <stp/>
        <stp>OPEN_INT</stp>
        <stp>.QQQ250516P495</stp>
        <tr r="AX52" s="1"/>
        <tr r="AX52" s="1"/>
      </tp>
      <tp t="e">
        <v>#N/A</v>
        <stp/>
        <stp>OPEN_INT</stp>
        <stp>.QQQ250502C481</stp>
        <tr r="AS66" s="1"/>
        <tr r="AS66" s="1"/>
      </tp>
      <tp t="e">
        <v>#N/A</v>
        <stp/>
        <stp>OPEN_INT</stp>
        <stp>.QQQ250516C495</stp>
        <tr r="AW52" s="1"/>
        <tr r="AW52" s="1"/>
      </tp>
      <tp t="e">
        <v>#N/A</v>
        <stp/>
        <stp>OPEN_INT</stp>
        <stp>.QQQ250502P482</stp>
        <tr r="AT65" s="1"/>
        <tr r="AT65" s="1"/>
      </tp>
      <tp t="e">
        <v>#N/A</v>
        <stp/>
        <stp>OPEN_INT</stp>
        <stp>.QQQ250509P489</stp>
        <tr r="AV58" s="1"/>
        <tr r="AV58" s="1"/>
      </tp>
      <tp t="e">
        <v>#N/A</v>
        <stp/>
        <stp>OPEN_INT</stp>
        <stp>.QQQ250516P496</stp>
        <tr r="AX51" s="1"/>
      </tp>
      <tp t="e">
        <v>#N/A</v>
        <stp/>
        <stp>OPEN_INT</stp>
        <stp>.QQQ250502C482</stp>
        <tr r="AS65" s="1"/>
        <tr r="AS65" s="1"/>
      </tp>
      <tp t="e">
        <v>#N/A</v>
        <stp/>
        <stp>OPEN_INT</stp>
        <stp>.QQQ250516C496</stp>
        <tr r="AW51" s="1"/>
      </tp>
      <tp t="e">
        <v>#N/A</v>
        <stp/>
        <stp>OPEN_INT</stp>
        <stp>.QQQ250502P483</stp>
        <tr r="AT64" s="1"/>
        <tr r="AT64" s="1"/>
      </tp>
      <tp t="e">
        <v>#N/A</v>
        <stp/>
        <stp>OPEN_INT</stp>
        <stp>.QQQ250509P488</stp>
        <tr r="AV59" s="1"/>
        <tr r="AV59" s="1"/>
      </tp>
      <tp t="e">
        <v>#N/A</v>
        <stp/>
        <stp>OPEN_INT</stp>
        <stp>.QQQ250516P497</stp>
        <tr r="AX50" s="1"/>
      </tp>
      <tp t="e">
        <v>#N/A</v>
        <stp/>
        <stp>OPEN_INT</stp>
        <stp>.QQQ250502C483</stp>
        <tr r="AS64" s="1"/>
        <tr r="AS64" s="1"/>
      </tp>
      <tp t="e">
        <v>#N/A</v>
        <stp/>
        <stp>OPEN_INT</stp>
        <stp>.QQQ250509C488</stp>
        <tr r="AU59" s="1"/>
        <tr r="AU59" s="1"/>
      </tp>
      <tp t="e">
        <v>#N/A</v>
        <stp/>
        <stp>OPEN_INT</stp>
        <stp>.QQQ250516C497</stp>
        <tr r="AW50" s="1"/>
      </tp>
      <tp t="e">
        <v>#N/A</v>
        <stp/>
        <stp>OPEN_INT</stp>
        <stp>.QQQ250509P487</stp>
        <tr r="AV60" s="1"/>
        <tr r="AV60" s="1"/>
      </tp>
      <tp t="e">
        <v>#N/A</v>
        <stp/>
        <stp>OPEN_INT</stp>
        <stp>.QQQ250516P498</stp>
        <tr r="AX49" s="1"/>
      </tp>
      <tp t="e">
        <v>#N/A</v>
        <stp/>
        <stp>OPEN_INT</stp>
        <stp>.QQQ250509C487</stp>
        <tr r="AU60" s="1"/>
        <tr r="AU60" s="1"/>
      </tp>
      <tp t="e">
        <v>#N/A</v>
        <stp/>
        <stp>OPEN_INT</stp>
        <stp>.QQQ250516C498</stp>
        <tr r="AW49" s="1"/>
      </tp>
      <tp t="e">
        <v>#N/A</v>
        <stp/>
        <stp>OPEN_INT</stp>
        <stp>.QQQ250509P486</stp>
        <tr r="AV61" s="1"/>
        <tr r="AV61" s="1"/>
      </tp>
      <tp t="e">
        <v>#N/A</v>
        <stp/>
        <stp>OPEN_INT</stp>
        <stp>.QQQ250516P499</stp>
        <tr r="AX48" s="1"/>
      </tp>
      <tp t="e">
        <v>#N/A</v>
        <stp/>
        <stp>OPEN_INT</stp>
        <stp>.QQQ250509C486</stp>
        <tr r="AU61" s="1"/>
        <tr r="AU61" s="1"/>
      </tp>
      <tp t="e">
        <v>#N/A</v>
        <stp/>
        <stp>OPEN_INT</stp>
        <stp>.QQQ250516C499</stp>
        <tr r="AW48" s="1"/>
      </tp>
      <tp t="e">
        <v>#N/A</v>
        <stp/>
        <stp>OPEN_INT</stp>
        <stp>.QQQ250509P485</stp>
        <tr r="AV62" s="1"/>
        <tr r="AV62" s="1"/>
      </tp>
      <tp t="e">
        <v>#N/A</v>
        <stp/>
        <stp>OPEN_INT</stp>
        <stp>.QQQ250509C485</stp>
        <tr r="AU62" s="1"/>
        <tr r="AU62" s="1"/>
      </tp>
      <tp t="e">
        <v>#N/A</v>
        <stp/>
        <stp>OPEN_INT</stp>
        <stp>.QQQ250509P484</stp>
        <tr r="AV63" s="1"/>
        <tr r="AV63" s="1"/>
      </tp>
      <tp t="e">
        <v>#N/A</v>
        <stp/>
        <stp>OPEN_INT</stp>
        <stp>.QQQ250509C484</stp>
        <tr r="AU63" s="1"/>
        <tr r="AU63" s="1"/>
      </tp>
      <tp t="e">
        <v>#N/A</v>
        <stp/>
        <stp>OPEN_INT</stp>
        <stp>.QQQ250502P488</stp>
        <tr r="AT59" s="1"/>
        <tr r="AT59" s="1"/>
      </tp>
      <tp t="e">
        <v>#N/A</v>
        <stp/>
        <stp>OPEN_INT</stp>
        <stp>.QQQ250509P483</stp>
        <tr r="AV64" s="1"/>
        <tr r="AV64" s="1"/>
      </tp>
      <tp t="e">
        <v>#N/A</v>
        <stp/>
        <stp>OPEN_INT</stp>
        <stp>.QQQ250502C488</stp>
        <tr r="AS59" s="1"/>
        <tr r="AS59" s="1"/>
      </tp>
      <tp t="e">
        <v>#N/A</v>
        <stp/>
        <stp>OPEN_INT</stp>
        <stp>.QQQ250509C483</stp>
        <tr r="AU64" s="1"/>
        <tr r="AU64" s="1"/>
      </tp>
      <tp t="e">
        <v>#N/A</v>
        <stp/>
        <stp>OPEN_INT</stp>
        <stp>.QQQ250502P489</stp>
        <tr r="AT58" s="1"/>
        <tr r="AT58" s="1"/>
      </tp>
      <tp t="e">
        <v>#N/A</v>
        <stp/>
        <stp>OPEN_INT</stp>
        <stp>.QQQ250509P482</stp>
        <tr r="AV65" s="1"/>
        <tr r="AV65" s="1"/>
      </tp>
      <tp t="e">
        <v>#N/A</v>
        <stp/>
        <stp>OPEN_INT</stp>
        <stp>.QQQ250502C489</stp>
        <tr r="AS58" s="1"/>
        <tr r="AS58" s="1"/>
      </tp>
      <tp t="e">
        <v>#N/A</v>
        <stp/>
        <stp>OPEN_INT</stp>
        <stp>.QQQ250509C482</stp>
        <tr r="AU65" s="1"/>
        <tr r="AU65" s="1"/>
      </tp>
      <tp t="e">
        <v>#N/A</v>
        <stp/>
        <stp>OPEN_INT</stp>
        <stp>.QQQ250509P481</stp>
        <tr r="AV66" s="1"/>
        <tr r="AV66" s="1"/>
      </tp>
      <tp t="e">
        <v>#N/A</v>
        <stp/>
        <stp>OPEN_INT</stp>
        <stp>.QQQ250509C481</stp>
        <tr r="AU66" s="1"/>
        <tr r="AU66" s="1"/>
      </tp>
      <tp t="e">
        <v>#N/A</v>
        <stp/>
        <stp>OPEN_INT</stp>
        <stp>.QQQ250509P480</stp>
        <tr r="AV67" s="1"/>
        <tr r="AV67" s="1"/>
      </tp>
      <tp t="e">
        <v>#N/A</v>
        <stp/>
        <stp>OPEN_INT</stp>
        <stp>.QQQ250509C480</stp>
        <tr r="AU67" s="1"/>
        <tr r="AU67" s="1"/>
      </tp>
      <tp t="e">
        <v>#N/A</v>
        <stp/>
        <stp>OPEN_INT</stp>
        <stp>.QQQ250502P494</stp>
        <tr r="AT53" s="1"/>
        <tr r="AT53" s="1"/>
      </tp>
      <tp t="e">
        <v>#N/A</v>
        <stp/>
        <stp>OPEN_INT</stp>
        <stp>.QQQ250516P480</stp>
        <tr r="AX67" s="1"/>
        <tr r="AX67" s="1"/>
      </tp>
      <tp t="e">
        <v>#N/A</v>
        <stp/>
        <stp>OPEN_INT</stp>
        <stp>.QQQ250502C494</stp>
        <tr r="AS53" s="1"/>
        <tr r="AS53" s="1"/>
      </tp>
      <tp t="e">
        <v>#N/A</v>
        <stp/>
        <stp>OPEN_INT</stp>
        <stp>.QQQ250516C480</stp>
        <tr r="AW67" s="1"/>
        <tr r="AW67" s="1"/>
      </tp>
      <tp t="e">
        <v>#N/A</v>
        <stp/>
        <stp>OPEN_INT</stp>
        <stp>.QQQ250502P495</stp>
        <tr r="AT52" s="1"/>
        <tr r="AT52" s="1"/>
      </tp>
      <tp t="e">
        <v>#N/A</v>
        <stp/>
        <stp>OPEN_INT</stp>
        <stp>.QQQ250516P481</stp>
        <tr r="AX66" s="1"/>
      </tp>
      <tp t="e">
        <v>#N/A</v>
        <stp/>
        <stp>OPEN_INT</stp>
        <stp>.QQQ250502C495</stp>
        <tr r="AS52" s="1"/>
        <tr r="AS52" s="1"/>
      </tp>
      <tp t="e">
        <v>#N/A</v>
        <stp/>
        <stp>OPEN_INT</stp>
        <stp>.QQQ250516C481</stp>
        <tr r="AW66" s="1"/>
      </tp>
      <tp t="e">
        <v>#N/A</v>
        <stp/>
        <stp>OPEN_INT</stp>
        <stp>.QQQ250502P496</stp>
        <tr r="AT51" s="1"/>
        <tr r="AT51" s="1"/>
      </tp>
      <tp t="e">
        <v>#N/A</v>
        <stp/>
        <stp>OPEN_INT</stp>
        <stp>.QQQ250516P482</stp>
        <tr r="AX65" s="1"/>
      </tp>
      <tp t="e">
        <v>#N/A</v>
        <stp/>
        <stp>OPEN_INT</stp>
        <stp>.QQQ250502C496</stp>
        <tr r="AS51" s="1"/>
        <tr r="AS51" s="1"/>
      </tp>
      <tp t="e">
        <v>#N/A</v>
        <stp/>
        <stp>OPEN_INT</stp>
        <stp>.QQQ250516C482</stp>
        <tr r="AW65" s="1"/>
      </tp>
      <tp t="e">
        <v>#N/A</v>
        <stp/>
        <stp>OPEN_INT</stp>
        <stp>.QQQ250502P497</stp>
        <tr r="AT50" s="1"/>
        <tr r="AT50" s="1"/>
      </tp>
      <tp t="e">
        <v>#N/A</v>
        <stp/>
        <stp>OPEN_INT</stp>
        <stp>.QQQ250516P483</stp>
        <tr r="AX64" s="1"/>
      </tp>
      <tp t="e">
        <v>#N/A</v>
        <stp/>
        <stp>OPEN_INT</stp>
        <stp>.QQQ250502C497</stp>
        <tr r="AS50" s="1"/>
        <tr r="AS50" s="1"/>
      </tp>
      <tp t="e">
        <v>#N/A</v>
        <stp/>
        <stp>OPEN_INT</stp>
        <stp>.QQQ250516C483</stp>
        <tr r="AW64" s="1"/>
      </tp>
      <tp t="e">
        <v>#N/A</v>
        <stp/>
        <stp>OPEN_INT</stp>
        <stp>.QQQ250502P490</stp>
        <tr r="AT57" s="1"/>
        <tr r="AT57" s="1"/>
      </tp>
      <tp t="e">
        <v>#N/A</v>
        <stp/>
        <stp>OPEN_INT</stp>
        <stp>.QQQ250516P484</stp>
        <tr r="AX63" s="1"/>
      </tp>
      <tp t="e">
        <v>#N/A</v>
        <stp/>
        <stp>OPEN_INT</stp>
        <stp>.QQQ250502C490</stp>
        <tr r="AS57" s="1"/>
        <tr r="AS57" s="1"/>
      </tp>
      <tp t="e">
        <v>#N/A</v>
        <stp/>
        <stp>OPEN_INT</stp>
        <stp>.QQQ250516C484</stp>
        <tr r="AW63" s="1"/>
      </tp>
      <tp t="e">
        <v>#N/A</v>
        <stp/>
        <stp>OPEN_INT</stp>
        <stp>.QQQ250502P491</stp>
        <tr r="AT56" s="1"/>
        <tr r="AT56" s="1"/>
      </tp>
      <tp t="e">
        <v>#N/A</v>
        <stp/>
        <stp>OPEN_INT</stp>
        <stp>.QQQ250516P485</stp>
        <tr r="AX62" s="1"/>
        <tr r="AX62" s="1"/>
      </tp>
      <tp t="e">
        <v>#N/A</v>
        <stp/>
        <stp>OPEN_INT</stp>
        <stp>.QQQ250502C491</stp>
        <tr r="AS56" s="1"/>
        <tr r="AS56" s="1"/>
      </tp>
      <tp t="e">
        <v>#N/A</v>
        <stp/>
        <stp>OPEN_INT</stp>
        <stp>.QQQ250516C485</stp>
        <tr r="AW62" s="1"/>
        <tr r="AW62" s="1"/>
      </tp>
      <tp t="e">
        <v>#N/A</v>
        <stp/>
        <stp>OPEN_INT</stp>
        <stp>.QQQ250502P492</stp>
        <tr r="AT55" s="1"/>
        <tr r="AT55" s="1"/>
      </tp>
      <tp t="e">
        <v>#N/A</v>
        <stp/>
        <stp>OPEN_INT</stp>
        <stp>.QQQ250509P499</stp>
        <tr r="AV48" s="1"/>
        <tr r="AV48" s="1"/>
      </tp>
      <tp t="e">
        <v>#N/A</v>
        <stp/>
        <stp>OPEN_INT</stp>
        <stp>.QQQ250516P486</stp>
        <tr r="AX61" s="1"/>
      </tp>
      <tp t="e">
        <v>#N/A</v>
        <stp/>
        <stp>OPEN_INT</stp>
        <stp>.QQQ250502C492</stp>
        <tr r="AS55" s="1"/>
        <tr r="AS55" s="1"/>
      </tp>
      <tp t="e">
        <v>#N/A</v>
        <stp/>
        <stp>OPEN_INT</stp>
        <stp>.QQQ250509C499</stp>
        <tr r="AU48" s="1"/>
        <tr r="AU48" s="1"/>
      </tp>
      <tp t="e">
        <v>#N/A</v>
        <stp/>
        <stp>OPEN_INT</stp>
        <stp>.QQQ250516C486</stp>
        <tr r="AW61" s="1"/>
      </tp>
      <tp t="e">
        <v>#N/A</v>
        <stp/>
        <stp>OPEN_INT</stp>
        <stp>.QQQ250502P493</stp>
        <tr r="AT54" s="1"/>
        <tr r="AT54" s="1"/>
      </tp>
      <tp t="e">
        <v>#N/A</v>
        <stp/>
        <stp>OPEN_INT</stp>
        <stp>.QQQ250509P498</stp>
        <tr r="AV49" s="1"/>
        <tr r="AV49" s="1"/>
      </tp>
      <tp t="e">
        <v>#N/A</v>
        <stp/>
        <stp>OPEN_INT</stp>
        <stp>.QQQ250516P487</stp>
        <tr r="AX60" s="1"/>
      </tp>
      <tp t="e">
        <v>#N/A</v>
        <stp/>
        <stp>OPEN_INT</stp>
        <stp>.QQQ250502C493</stp>
        <tr r="AS54" s="1"/>
        <tr r="AS54" s="1"/>
      </tp>
      <tp t="e">
        <v>#N/A</v>
        <stp/>
        <stp>OPEN_INT</stp>
        <stp>.QQQ250509C498</stp>
        <tr r="AU49" s="1"/>
        <tr r="AU49" s="1"/>
      </tp>
      <tp t="e">
        <v>#N/A</v>
        <stp/>
        <stp>OPEN_INT</stp>
        <stp>.QQQ250516C487</stp>
        <tr r="AW60" s="1"/>
      </tp>
      <tp t="e">
        <v>#N/A</v>
        <stp/>
        <stp>OPEN_INT</stp>
        <stp>.QQQ250509P497</stp>
        <tr r="AV50" s="1"/>
        <tr r="AV50" s="1"/>
      </tp>
      <tp t="e">
        <v>#N/A</v>
        <stp/>
        <stp>OPEN_INT</stp>
        <stp>.QQQ250516P488</stp>
        <tr r="AX59" s="1"/>
      </tp>
      <tp t="e">
        <v>#N/A</v>
        <stp/>
        <stp>OPEN_INT</stp>
        <stp>.QQQ250509C497</stp>
        <tr r="AU50" s="1"/>
        <tr r="AU50" s="1"/>
      </tp>
      <tp t="e">
        <v>#N/A</v>
        <stp/>
        <stp>OPEN_INT</stp>
        <stp>.QQQ250516C488</stp>
        <tr r="AW59" s="1"/>
      </tp>
      <tp t="e">
        <v>#N/A</v>
        <stp/>
        <stp>OPEN_INT</stp>
        <stp>.QQQ250509P496</stp>
        <tr r="AV51" s="1"/>
        <tr r="AV51" s="1"/>
      </tp>
      <tp t="e">
        <v>#N/A</v>
        <stp/>
        <stp>OPEN_INT</stp>
        <stp>.QQQ250516P489</stp>
        <tr r="AX58" s="1"/>
      </tp>
      <tp t="e">
        <v>#N/A</v>
        <stp/>
        <stp>OPEN_INT</stp>
        <stp>.QQQ250509C496</stp>
        <tr r="AU51" s="1"/>
        <tr r="AU51" s="1"/>
      </tp>
      <tp t="e">
        <v>#N/A</v>
        <stp/>
        <stp>OPEN_INT</stp>
        <stp>.QQQ250516C489</stp>
        <tr r="AW58" s="1"/>
      </tp>
      <tp t="e">
        <v>#N/A</v>
        <stp/>
        <stp>OPEN_INT</stp>
        <stp>.QQQ250509P495</stp>
        <tr r="AV52" s="1"/>
        <tr r="AV52" s="1"/>
      </tp>
      <tp t="e">
        <v>#N/A</v>
        <stp/>
        <stp>OPEN_INT</stp>
        <stp>.QQQ250509C495</stp>
        <tr r="AU52" s="1"/>
        <tr r="AU52" s="1"/>
      </tp>
      <tp t="e">
        <v>#N/A</v>
        <stp/>
        <stp>OPEN_INT</stp>
        <stp>.QQQ250509P494</stp>
        <tr r="AV53" s="1"/>
        <tr r="AV53" s="1"/>
      </tp>
      <tp t="e">
        <v>#N/A</v>
        <stp/>
        <stp>OPEN_INT</stp>
        <stp>.QQQ250509C494</stp>
        <tr r="AU53" s="1"/>
        <tr r="AU53" s="1"/>
      </tp>
      <tp t="e">
        <v>#N/A</v>
        <stp/>
        <stp>OPEN_INT</stp>
        <stp>.QQQ250502P498</stp>
        <tr r="AT49" s="1"/>
        <tr r="AT49" s="1"/>
      </tp>
      <tp t="e">
        <v>#N/A</v>
        <stp/>
        <stp>OPEN_INT</stp>
        <stp>.QQQ250509P493</stp>
        <tr r="AV54" s="1"/>
        <tr r="AV54" s="1"/>
      </tp>
      <tp t="e">
        <v>#N/A</v>
        <stp/>
        <stp>OPEN_INT</stp>
        <stp>.QQQ250502C498</stp>
        <tr r="AS49" s="1"/>
        <tr r="AS49" s="1"/>
      </tp>
      <tp t="e">
        <v>#N/A</v>
        <stp/>
        <stp>OPEN_INT</stp>
        <stp>.QQQ250509C493</stp>
        <tr r="AU54" s="1"/>
        <tr r="AU54" s="1"/>
      </tp>
      <tp t="e">
        <v>#N/A</v>
        <stp/>
        <stp>OPEN_INT</stp>
        <stp>.QQQ250502P499</stp>
        <tr r="AT48" s="1"/>
        <tr r="AT48" s="1"/>
      </tp>
      <tp t="e">
        <v>#N/A</v>
        <stp/>
        <stp>OPEN_INT</stp>
        <stp>.QQQ250509P492</stp>
        <tr r="AV55" s="1"/>
        <tr r="AV55" s="1"/>
      </tp>
      <tp t="e">
        <v>#N/A</v>
        <stp/>
        <stp>OPEN_INT</stp>
        <stp>.QQQ250502C499</stp>
        <tr r="AS48" s="1"/>
        <tr r="AS48" s="1"/>
      </tp>
      <tp t="e">
        <v>#N/A</v>
        <stp/>
        <stp>OPEN_INT</stp>
        <stp>.QQQ250509C492</stp>
        <tr r="AU55" s="1"/>
        <tr r="AU55" s="1"/>
      </tp>
      <tp t="e">
        <v>#N/A</v>
        <stp/>
        <stp>OPEN_INT</stp>
        <stp>.QQQ250509P491</stp>
        <tr r="AV56" s="1"/>
        <tr r="AV56" s="1"/>
      </tp>
      <tp t="e">
        <v>#N/A</v>
        <stp/>
        <stp>OPEN_INT</stp>
        <stp>.QQQ250509C491</stp>
        <tr r="AU56" s="1"/>
        <tr r="AU56" s="1"/>
      </tp>
      <tp t="e">
        <v>#N/A</v>
        <stp/>
        <stp>OPEN_INT</stp>
        <stp>.QQQ250509P490</stp>
        <tr r="AV57" s="1"/>
        <tr r="AV57" s="1"/>
      </tp>
      <tp t="e">
        <v>#N/A</v>
        <stp/>
        <stp>OPEN_INT</stp>
        <stp>.QQQ250509C490</stp>
        <tr r="AU57" s="1"/>
        <tr r="AU57" s="1"/>
      </tp>
      <tp>
        <v>55</v>
        <stp/>
        <stp>OPEN_INT</stp>
        <stp>.NDX250516P19900</stp>
        <tr r="AX164" s="1"/>
        <tr r="AX164" s="1"/>
      </tp>
      <tp t="s">
        <v>N/A</v>
        <stp/>
        <stp>OPEN_INT</stp>
        <stp>.NDX250516P19920</stp>
        <tr r="AX163" s="1"/>
      </tp>
      <tp t="s">
        <v>N/A</v>
        <stp/>
        <stp>OPEN_INT</stp>
        <stp>.NDX250516P19940</stp>
        <tr r="AX162" s="1"/>
      </tp>
      <tp t="s">
        <v>N/A</v>
        <stp/>
        <stp>OPEN_INT</stp>
        <stp>.NDX250516P19960</stp>
        <tr r="AX161" s="1"/>
      </tp>
      <tp t="s">
        <v>N/A</v>
        <stp/>
        <stp>OPEN_INT</stp>
        <stp>.NDX250516P19980</stp>
        <tr r="AX160" s="1"/>
      </tp>
      <tp t="s">
        <v>N/A</v>
        <stp/>
        <stp>OPEN_INT</stp>
        <stp>.NDX250516C19920</stp>
        <tr r="AW163" s="1"/>
      </tp>
      <tp>
        <v>47</v>
        <stp/>
        <stp>OPEN_INT</stp>
        <stp>.NDX250516C19900</stp>
        <tr r="AW164" s="1"/>
        <tr r="AW164" s="1"/>
      </tp>
      <tp t="s">
        <v>N/A</v>
        <stp/>
        <stp>OPEN_INT</stp>
        <stp>.NDX250516C19960</stp>
        <tr r="AW161" s="1"/>
      </tp>
      <tp t="s">
        <v>N/A</v>
        <stp/>
        <stp>OPEN_INT</stp>
        <stp>.NDX250516C19940</stp>
        <tr r="AW162" s="1"/>
      </tp>
      <tp t="s">
        <v>N/A</v>
        <stp/>
        <stp>OPEN_INT</stp>
        <stp>.NDX250516C19980</stp>
        <tr r="AW160" s="1"/>
      </tp>
      <tp>
        <v>27</v>
        <stp/>
        <stp>OPEN_INT</stp>
        <stp>.NDX250516P19800</stp>
        <tr r="AX169" s="1"/>
        <tr r="AX169" s="1"/>
      </tp>
      <tp t="s">
        <v>N/A</v>
        <stp/>
        <stp>OPEN_INT</stp>
        <stp>.NDX250516P19820</stp>
        <tr r="AX168" s="1"/>
      </tp>
      <tp t="s">
        <v>N/A</v>
        <stp/>
        <stp>OPEN_INT</stp>
        <stp>.NDX250516P19840</stp>
        <tr r="AX167" s="1"/>
      </tp>
      <tp t="s">
        <v>N/A</v>
        <stp/>
        <stp>OPEN_INT</stp>
        <stp>.NDX250516P19860</stp>
        <tr r="AX166" s="1"/>
      </tp>
      <tp t="s">
        <v>N/A</v>
        <stp/>
        <stp>OPEN_INT</stp>
        <stp>.NDX250516P19880</stp>
        <tr r="AX165" s="1"/>
      </tp>
      <tp t="s">
        <v>N/A</v>
        <stp/>
        <stp>OPEN_INT</stp>
        <stp>.NDX250516C19820</stp>
        <tr r="AW168" s="1"/>
      </tp>
      <tp>
        <v>26</v>
        <stp/>
        <stp>OPEN_INT</stp>
        <stp>.NDX250516C19800</stp>
        <tr r="AW169" s="1"/>
        <tr r="AW169" s="1"/>
      </tp>
      <tp t="s">
        <v>N/A</v>
        <stp/>
        <stp>OPEN_INT</stp>
        <stp>.NDX250516C19860</stp>
        <tr r="AW166" s="1"/>
      </tp>
      <tp t="s">
        <v>N/A</v>
        <stp/>
        <stp>OPEN_INT</stp>
        <stp>.NDX250516C19840</stp>
        <tr r="AW167" s="1"/>
      </tp>
      <tp t="s">
        <v>N/A</v>
        <stp/>
        <stp>OPEN_INT</stp>
        <stp>.NDX250516C19880</stp>
        <tr r="AW165" s="1"/>
      </tp>
      <tp>
        <v>50</v>
        <stp/>
        <stp>OPEN_INT</stp>
        <stp>.NDX250516P19700</stp>
        <tr r="AX174" s="1"/>
        <tr r="AX174" s="1"/>
      </tp>
      <tp t="s">
        <v>N/A</v>
        <stp/>
        <stp>OPEN_INT</stp>
        <stp>.NDX250516P19720</stp>
        <tr r="AX173" s="1"/>
      </tp>
      <tp t="s">
        <v>N/A</v>
        <stp/>
        <stp>OPEN_INT</stp>
        <stp>.NDX250516P19740</stp>
        <tr r="AX172" s="1"/>
      </tp>
      <tp t="s">
        <v>N/A</v>
        <stp/>
        <stp>OPEN_INT</stp>
        <stp>.NDX250516P19760</stp>
        <tr r="AX171" s="1"/>
      </tp>
      <tp t="s">
        <v>N/A</v>
        <stp/>
        <stp>OPEN_INT</stp>
        <stp>.NDX250516P19780</stp>
        <tr r="AX170" s="1"/>
      </tp>
      <tp t="s">
        <v>N/A</v>
        <stp/>
        <stp>OPEN_INT</stp>
        <stp>.NDX250516C19720</stp>
        <tr r="AW173" s="1"/>
      </tp>
      <tp>
        <v>35</v>
        <stp/>
        <stp>OPEN_INT</stp>
        <stp>.NDX250516C19700</stp>
        <tr r="AW174" s="1"/>
        <tr r="AW174" s="1"/>
      </tp>
      <tp t="s">
        <v>N/A</v>
        <stp/>
        <stp>OPEN_INT</stp>
        <stp>.NDX250516C19760</stp>
        <tr r="AW171" s="1"/>
      </tp>
      <tp t="s">
        <v>N/A</v>
        <stp/>
        <stp>OPEN_INT</stp>
        <stp>.NDX250516C19740</stp>
        <tr r="AW172" s="1"/>
      </tp>
      <tp t="s">
        <v>N/A</v>
        <stp/>
        <stp>OPEN_INT</stp>
        <stp>.NDX250516C19780</stp>
        <tr r="AW170" s="1"/>
      </tp>
      <tp t="e">
        <v>#N/A</v>
        <stp/>
        <stp>OPEN_INT</stp>
        <stp>.NDX250516P19600</stp>
        <tr r="AX179" s="1"/>
        <tr r="AX179" s="1"/>
      </tp>
      <tp t="s">
        <v>N/A</v>
        <stp/>
        <stp>OPEN_INT</stp>
        <stp>.NDX250516P19620</stp>
        <tr r="AX178" s="1"/>
      </tp>
      <tp t="s">
        <v>N/A</v>
        <stp/>
        <stp>OPEN_INT</stp>
        <stp>.NDX250516P19640</stp>
        <tr r="AX177" s="1"/>
      </tp>
      <tp t="s">
        <v>N/A</v>
        <stp/>
        <stp>OPEN_INT</stp>
        <stp>.NDX250516P19660</stp>
        <tr r="AX176" s="1"/>
      </tp>
      <tp t="s">
        <v>N/A</v>
        <stp/>
        <stp>OPEN_INT</stp>
        <stp>.NDX250516P19680</stp>
        <tr r="AX175" s="1"/>
      </tp>
      <tp t="s">
        <v>N/A</v>
        <stp/>
        <stp>OPEN_INT</stp>
        <stp>.NDX250516C19620</stp>
        <tr r="AW178" s="1"/>
      </tp>
      <tp t="e">
        <v>#N/A</v>
        <stp/>
        <stp>OPEN_INT</stp>
        <stp>.NDX250516C19600</stp>
        <tr r="AW179" s="1"/>
        <tr r="AW179" s="1"/>
      </tp>
      <tp t="s">
        <v>N/A</v>
        <stp/>
        <stp>OPEN_INT</stp>
        <stp>.NDX250516C19660</stp>
        <tr r="AW176" s="1"/>
      </tp>
      <tp t="s">
        <v>N/A</v>
        <stp/>
        <stp>OPEN_INT</stp>
        <stp>.NDX250516C19640</stp>
        <tr r="AW177" s="1"/>
      </tp>
      <tp t="s">
        <v>N/A</v>
        <stp/>
        <stp>OPEN_INT</stp>
        <stp>.NDX250516C19680</stp>
        <tr r="AW175" s="1"/>
      </tp>
      <tp t="e">
        <v>#N/A</v>
        <stp/>
        <stp>OPEN_INT</stp>
        <stp>.NDX250516P19500</stp>
        <tr r="AX184" s="1"/>
        <tr r="AX184" s="1"/>
      </tp>
      <tp t="e">
        <v>#N/A</v>
        <stp/>
        <stp>OPEN_INT</stp>
        <stp>.NDX250516P19520</stp>
        <tr r="AX183" s="1"/>
      </tp>
      <tp t="e">
        <v>#N/A</v>
        <stp/>
        <stp>OPEN_INT</stp>
        <stp>.NDX250516P19540</stp>
        <tr r="AX182" s="1"/>
      </tp>
      <tp t="e">
        <v>#N/A</v>
        <stp/>
        <stp>OPEN_INT</stp>
        <stp>.NDX250516P19560</stp>
        <tr r="AX181" s="1"/>
      </tp>
      <tp t="e">
        <v>#N/A</v>
        <stp/>
        <stp>OPEN_INT</stp>
        <stp>.NDX250516P19580</stp>
        <tr r="AX180" s="1"/>
      </tp>
      <tp t="e">
        <v>#N/A</v>
        <stp/>
        <stp>OPEN_INT</stp>
        <stp>.NDX250516C19520</stp>
        <tr r="AW183" s="1"/>
      </tp>
      <tp t="e">
        <v>#N/A</v>
        <stp/>
        <stp>OPEN_INT</stp>
        <stp>.NDX250516C19500</stp>
        <tr r="AW184" s="1"/>
        <tr r="AW184" s="1"/>
      </tp>
      <tp t="e">
        <v>#N/A</v>
        <stp/>
        <stp>IMPL_VOL</stp>
        <stp>.SPY250509C549</stp>
        <tr r="EN37" s="1"/>
      </tp>
      <tp t="e">
        <v>#N/A</v>
        <stp/>
        <stp>IMPL_VOL</stp>
        <stp>.SPY250516C556</stp>
        <tr r="EP30" s="1"/>
      </tp>
      <tp t="e">
        <v>#N/A</v>
        <stp/>
        <stp>IMPL_VOL</stp>
        <stp>.SPY250509P549</stp>
        <tr r="EO37" s="1"/>
      </tp>
      <tp t="e">
        <v>#N/A</v>
        <stp/>
        <stp>IMPL_VOL</stp>
        <stp>.SPY250516P556</stp>
        <tr r="EQ30" s="1"/>
      </tp>
      <tp t="e">
        <v>#N/A</v>
        <stp/>
        <stp>IMPL_VOL</stp>
        <stp>.SPY250509C548</stp>
        <tr r="EN38" s="1"/>
      </tp>
      <tp t="e">
        <v>#N/A</v>
        <stp/>
        <stp>IMPL_VOL</stp>
        <stp>.SPY250516C557</stp>
        <tr r="EP29" s="1"/>
      </tp>
      <tp t="e">
        <v>#N/A</v>
        <stp/>
        <stp>IMPL_VOL</stp>
        <stp>.SPY250509P548</stp>
        <tr r="EO38" s="1"/>
      </tp>
      <tp t="e">
        <v>#N/A</v>
        <stp/>
        <stp>IMPL_VOL</stp>
        <stp>.SPY250516P557</stp>
        <tr r="EQ29" s="1"/>
      </tp>
      <tp t="e">
        <v>#N/A</v>
        <stp/>
        <stp>IMPL_VOL</stp>
        <stp>.SPY250516C554</stp>
        <tr r="EP32" s="1"/>
      </tp>
      <tp t="e">
        <v>#N/A</v>
        <stp/>
        <stp>IMPL_VOL</stp>
        <stp>.SPY250516P554</stp>
        <tr r="EQ32" s="1"/>
      </tp>
      <tp t="e">
        <v>#N/A</v>
        <stp/>
        <stp>IMPL_VOL</stp>
        <stp>.SPY250516C555</stp>
        <tr r="EP31" s="1"/>
      </tp>
      <tp t="e">
        <v>#N/A</v>
        <stp/>
        <stp>IMPL_VOL</stp>
        <stp>.SPY250516P555</stp>
        <tr r="EQ31" s="1"/>
      </tp>
      <tp t="e">
        <v>#N/A</v>
        <stp/>
        <stp>IMPL_VOL</stp>
        <stp>.SPY250516C552</stp>
        <tr r="EP34" s="1"/>
      </tp>
      <tp t="e">
        <v>#N/A</v>
        <stp/>
        <stp>IMPL_VOL</stp>
        <stp>.SPY250516P552</stp>
        <tr r="EQ34" s="1"/>
      </tp>
      <tp t="e">
        <v>#N/A</v>
        <stp/>
        <stp>IMPL_VOL</stp>
        <stp>.SPY250516C553</stp>
        <tr r="EP33" s="1"/>
      </tp>
      <tp t="e">
        <v>#N/A</v>
        <stp/>
        <stp>IMPL_VOL</stp>
        <stp>.SPY250516P553</stp>
        <tr r="EQ33" s="1"/>
      </tp>
      <tp t="e">
        <v>#N/A</v>
        <stp/>
        <stp>IMPL_VOL</stp>
        <stp>.SPY250516C550</stp>
        <tr r="EP36" s="1"/>
      </tp>
      <tp t="e">
        <v>#N/A</v>
        <stp/>
        <stp>IMPL_VOL</stp>
        <stp>.SPY250516P550</stp>
        <tr r="EQ36" s="1"/>
      </tp>
      <tp t="e">
        <v>#N/A</v>
        <stp/>
        <stp>IMPL_VOL</stp>
        <stp>.SPY250516C551</stp>
        <tr r="EP35" s="1"/>
      </tp>
      <tp t="e">
        <v>#N/A</v>
        <stp/>
        <stp>IMPL_VOL</stp>
        <stp>.SPY250516P551</stp>
        <tr r="EQ35" s="1"/>
      </tp>
      <tp t="e">
        <v>#N/A</v>
        <stp/>
        <stp>IMPL_VOL</stp>
        <stp>.SPY250502C548</stp>
        <tr r="EL38" s="1"/>
      </tp>
      <tp t="e">
        <v>#N/A</v>
        <stp/>
        <stp>IMPL_VOL</stp>
        <stp>.SPY250502P548</stp>
        <tr r="EM38" s="1"/>
      </tp>
      <tp t="e">
        <v>#N/A</v>
        <stp/>
        <stp>IMPL_VOL</stp>
        <stp>.SPY250502C549</stp>
        <tr r="EL37" s="1"/>
      </tp>
      <tp t="e">
        <v>#N/A</v>
        <stp/>
        <stp>IMPL_VOL</stp>
        <stp>.SPY250502P549</stp>
        <tr r="EM37" s="1"/>
      </tp>
      <tp t="e">
        <v>#N/A</v>
        <stp/>
        <stp>IMPL_VOL</stp>
        <stp>.SPY250516C558</stp>
        <tr r="EP28" s="1"/>
      </tp>
      <tp t="e">
        <v>#N/A</v>
        <stp/>
        <stp>IMPL_VOL</stp>
        <stp>.SPY250516P558</stp>
        <tr r="EQ28" s="1"/>
      </tp>
      <tp t="e">
        <v>#N/A</v>
        <stp/>
        <stp>IMPL_VOL</stp>
        <stp>.SPY250516C559</stp>
        <tr r="EP27" s="1"/>
      </tp>
      <tp t="e">
        <v>#N/A</v>
        <stp/>
        <stp>IMPL_VOL</stp>
        <stp>.SPY250516P559</stp>
        <tr r="EQ27" s="1"/>
      </tp>
      <tp t="e">
        <v>#N/A</v>
        <stp/>
        <stp>IMPL_VOL</stp>
        <stp>.SPY250502C552</stp>
        <tr r="EL34" s="1"/>
      </tp>
      <tp t="e">
        <v>#N/A</v>
        <stp/>
        <stp>IMPL_VOL</stp>
        <stp>.SPY250509C559</stp>
        <tr r="EN27" s="1"/>
      </tp>
      <tp t="e">
        <v>#N/A</v>
        <stp/>
        <stp>IMPL_VOL</stp>
        <stp>.SPY250502P552</stp>
        <tr r="EM34" s="1"/>
      </tp>
      <tp t="e">
        <v>#N/A</v>
        <stp/>
        <stp>IMPL_VOL</stp>
        <stp>.SPY250509P559</stp>
        <tr r="EO27" s="1"/>
      </tp>
      <tp t="e">
        <v>#N/A</v>
        <stp/>
        <stp>IMPL_VOL</stp>
        <stp>.SPY250502C553</stp>
        <tr r="EL33" s="1"/>
      </tp>
      <tp t="e">
        <v>#N/A</v>
        <stp/>
        <stp>IMPL_VOL</stp>
        <stp>.SPY250509C558</stp>
        <tr r="EN28" s="1"/>
      </tp>
      <tp t="e">
        <v>#N/A</v>
        <stp/>
        <stp>IMPL_VOL</stp>
        <stp>.SPY250502P553</stp>
        <tr r="EM33" s="1"/>
      </tp>
      <tp t="e">
        <v>#N/A</v>
        <stp/>
        <stp>IMPL_VOL</stp>
        <stp>.SPY250509P558</stp>
        <tr r="EO28" s="1"/>
      </tp>
      <tp t="e">
        <v>#N/A</v>
        <stp/>
        <stp>IMPL_VOL</stp>
        <stp>.SPY250502C550</stp>
        <tr r="EL36" s="1"/>
      </tp>
      <tp t="e">
        <v>#N/A</v>
        <stp/>
        <stp>IMPL_VOL</stp>
        <stp>.SPY250502P550</stp>
        <tr r="EM36" s="1"/>
      </tp>
      <tp t="e">
        <v>#N/A</v>
        <stp/>
        <stp>IMPL_VOL</stp>
        <stp>.SPY250502C551</stp>
        <tr r="EL35" s="1"/>
      </tp>
      <tp t="e">
        <v>#N/A</v>
        <stp/>
        <stp>IMPL_VOL</stp>
        <stp>.SPY250502P551</stp>
        <tr r="EM35" s="1"/>
      </tp>
      <tp t="e">
        <v>#N/A</v>
        <stp/>
        <stp>IMPL_VOL</stp>
        <stp>.SPY250502C556</stp>
        <tr r="EL30" s="1"/>
      </tp>
      <tp t="e">
        <v>#N/A</v>
        <stp/>
        <stp>IMPL_VOL</stp>
        <stp>.SPY250502P556</stp>
        <tr r="EM30" s="1"/>
      </tp>
      <tp t="e">
        <v>#N/A</v>
        <stp/>
        <stp>IMPL_VOL</stp>
        <stp>.SPY250502C557</stp>
        <tr r="EL29" s="1"/>
      </tp>
      <tp t="e">
        <v>#N/A</v>
        <stp/>
        <stp>IMPL_VOL</stp>
        <stp>.SPY250502P557</stp>
        <tr r="EM29" s="1"/>
      </tp>
      <tp t="e">
        <v>#N/A</v>
        <stp/>
        <stp>IMPL_VOL</stp>
        <stp>.SPY250502C554</stp>
        <tr r="EL32" s="1"/>
      </tp>
      <tp t="e">
        <v>#N/A</v>
        <stp/>
        <stp>IMPL_VOL</stp>
        <stp>.SPY250502P554</stp>
        <tr r="EM32" s="1"/>
      </tp>
      <tp t="e">
        <v>#N/A</v>
        <stp/>
        <stp>IMPL_VOL</stp>
        <stp>.SPY250502C555</stp>
        <tr r="EL31" s="1"/>
      </tp>
      <tp t="e">
        <v>#N/A</v>
        <stp/>
        <stp>IMPL_VOL</stp>
        <stp>.SPY250502P555</stp>
        <tr r="EM31" s="1"/>
      </tp>
      <tp t="e">
        <v>#N/A</v>
        <stp/>
        <stp>IMPL_VOL</stp>
        <stp>.SPY250509C551</stp>
        <tr r="EN35" s="1"/>
      </tp>
      <tp t="e">
        <v>#N/A</v>
        <stp/>
        <stp>IMPL_VOL</stp>
        <stp>.SPY250509P551</stp>
        <tr r="EO35" s="1"/>
      </tp>
      <tp t="e">
        <v>#N/A</v>
        <stp/>
        <stp>IMPL_VOL</stp>
        <stp>.SPY250509C550</stp>
        <tr r="EN36" s="1"/>
      </tp>
      <tp t="e">
        <v>#N/A</v>
        <stp/>
        <stp>IMPL_VOL</stp>
        <stp>.SPY250509P550</stp>
        <tr r="EO36" s="1"/>
      </tp>
      <tp t="e">
        <v>#N/A</v>
        <stp/>
        <stp>IMPL_VOL</stp>
        <stp>.SPY250502C558</stp>
        <tr r="EL28" s="1"/>
      </tp>
      <tp t="e">
        <v>#N/A</v>
        <stp/>
        <stp>IMPL_VOL</stp>
        <stp>.SPY250509C553</stp>
        <tr r="EN33" s="1"/>
      </tp>
      <tp t="e">
        <v>#N/A</v>
        <stp/>
        <stp>IMPL_VOL</stp>
        <stp>.SPY250502P558</stp>
        <tr r="EM28" s="1"/>
      </tp>
      <tp t="e">
        <v>#N/A</v>
        <stp/>
        <stp>IMPL_VOL</stp>
        <stp>.SPY250509P553</stp>
        <tr r="EO33" s="1"/>
      </tp>
      <tp t="e">
        <v>#N/A</v>
        <stp/>
        <stp>IMPL_VOL</stp>
        <stp>.SPY250502C559</stp>
        <tr r="EL27" s="1"/>
      </tp>
      <tp t="e">
        <v>#N/A</v>
        <stp/>
        <stp>IMPL_VOL</stp>
        <stp>.SPY250509C552</stp>
        <tr r="EN34" s="1"/>
      </tp>
      <tp t="e">
        <v>#N/A</v>
        <stp/>
        <stp>IMPL_VOL</stp>
        <stp>.SPY250502P559</stp>
        <tr r="EM27" s="1"/>
      </tp>
      <tp t="e">
        <v>#N/A</v>
        <stp/>
        <stp>IMPL_VOL</stp>
        <stp>.SPY250509P552</stp>
        <tr r="EO34" s="1"/>
      </tp>
      <tp t="e">
        <v>#N/A</v>
        <stp/>
        <stp>IMPL_VOL</stp>
        <stp>.SPY250509C555</stp>
        <tr r="EN31" s="1"/>
      </tp>
      <tp t="e">
        <v>#N/A</v>
        <stp/>
        <stp>IMPL_VOL</stp>
        <stp>.SPY250509P555</stp>
        <tr r="EO31" s="1"/>
      </tp>
      <tp t="e">
        <v>#N/A</v>
        <stp/>
        <stp>IMPL_VOL</stp>
        <stp>.SPY250509C554</stp>
        <tr r="EN32" s="1"/>
      </tp>
      <tp t="e">
        <v>#N/A</v>
        <stp/>
        <stp>IMPL_VOL</stp>
        <stp>.SPY250509P554</stp>
        <tr r="EO32" s="1"/>
      </tp>
      <tp t="e">
        <v>#N/A</v>
        <stp/>
        <stp>IMPL_VOL</stp>
        <stp>.SPY250509C557</stp>
        <tr r="EN29" s="1"/>
      </tp>
      <tp t="e">
        <v>#N/A</v>
        <stp/>
        <stp>IMPL_VOL</stp>
        <stp>.SPY250516C548</stp>
        <tr r="EP38" s="1"/>
      </tp>
      <tp t="e">
        <v>#N/A</v>
        <stp/>
        <stp>IMPL_VOL</stp>
        <stp>.SPY250509P557</stp>
        <tr r="EO29" s="1"/>
      </tp>
      <tp t="e">
        <v>#N/A</v>
        <stp/>
        <stp>IMPL_VOL</stp>
        <stp>.SPY250516P548</stp>
        <tr r="EQ38" s="1"/>
      </tp>
      <tp t="e">
        <v>#N/A</v>
        <stp/>
        <stp>IMPL_VOL</stp>
        <stp>.SPY250509C556</stp>
        <tr r="EN30" s="1"/>
      </tp>
      <tp t="e">
        <v>#N/A</v>
        <stp/>
        <stp>IMPL_VOL</stp>
        <stp>.SPY250516C549</stp>
        <tr r="EP37" s="1"/>
      </tp>
      <tp t="e">
        <v>#N/A</v>
        <stp/>
        <stp>IMPL_VOL</stp>
        <stp>.SPY250509P556</stp>
        <tr r="EO30" s="1"/>
      </tp>
      <tp t="e">
        <v>#N/A</v>
        <stp/>
        <stp>IMPL_VOL</stp>
        <stp>.SPY250516P549</stp>
        <tr r="EQ37" s="1"/>
      </tp>
      <tp t="e">
        <v>#N/A</v>
        <stp/>
        <stp>OPEN_INT</stp>
        <stp>.NDX250516C19560</stp>
        <tr r="AW181" s="1"/>
      </tp>
      <tp t="e">
        <v>#N/A</v>
        <stp/>
        <stp>IMPL_VOL</stp>
        <stp>.SPY250502C562</stp>
        <tr r="EL24" s="1"/>
      </tp>
      <tp t="e">
        <v>#N/A</v>
        <stp/>
        <stp>IMPL_VOL</stp>
        <stp>.SPY250509C569</stp>
        <tr r="EN17" s="1"/>
      </tp>
      <tp t="e">
        <v>#N/A</v>
        <stp/>
        <stp>IMPL_VOL</stp>
        <stp>.SPY250516C576</stp>
        <tr r="EP10" s="1"/>
      </tp>
      <tp t="e">
        <v>#N/A</v>
        <stp/>
        <stp>IMPL_VOL</stp>
        <stp>.SPY250502P562</stp>
        <tr r="EM24" s="1"/>
      </tp>
      <tp t="e">
        <v>#N/A</v>
        <stp/>
        <stp>IMPL_VOL</stp>
        <stp>.SPY250509P569</stp>
        <tr r="EO17" s="1"/>
      </tp>
      <tp t="e">
        <v>#N/A</v>
        <stp/>
        <stp>IMPL_VOL</stp>
        <stp>.SPY250516P576</stp>
        <tr r="EQ10" s="1"/>
      </tp>
      <tp t="e">
        <v>#N/A</v>
        <stp/>
        <stp>IMPL_VOL</stp>
        <stp>.SPY250502C563</stp>
        <tr r="EL23" s="1"/>
      </tp>
      <tp t="e">
        <v>#N/A</v>
        <stp/>
        <stp>IMPL_VOL</stp>
        <stp>.SPY250509C568</stp>
        <tr r="EN18" s="1"/>
      </tp>
      <tp t="e">
        <v>#N/A</v>
        <stp/>
        <stp>IMPL_VOL</stp>
        <stp>.SPY250516C577</stp>
        <tr r="EP9" s="1"/>
      </tp>
      <tp t="e">
        <v>#N/A</v>
        <stp/>
        <stp>IMPL_VOL</stp>
        <stp>.SPY250502P563</stp>
        <tr r="EM23" s="1"/>
      </tp>
      <tp t="e">
        <v>#N/A</v>
        <stp/>
        <stp>IMPL_VOL</stp>
        <stp>.SPY250509P568</stp>
        <tr r="EO18" s="1"/>
      </tp>
      <tp t="e">
        <v>#N/A</v>
        <stp/>
        <stp>IMPL_VOL</stp>
        <stp>.SPY250516P577</stp>
        <tr r="EQ9" s="1"/>
      </tp>
      <tp t="e">
        <v>#N/A</v>
        <stp/>
        <stp>IMPL_VOL</stp>
        <stp>.SPY250502C560</stp>
        <tr r="EL26" s="1"/>
      </tp>
      <tp t="e">
        <v>#N/A</v>
        <stp/>
        <stp>IMPL_VOL</stp>
        <stp>.SPY250516C574</stp>
        <tr r="EP12" s="1"/>
      </tp>
      <tp t="e">
        <v>#N/A</v>
        <stp/>
        <stp>IMPL_VOL</stp>
        <stp>.SPY250502P560</stp>
        <tr r="EM26" s="1"/>
      </tp>
      <tp t="e">
        <v>#N/A</v>
        <stp/>
        <stp>IMPL_VOL</stp>
        <stp>.SPY250516P574</stp>
        <tr r="EQ12" s="1"/>
      </tp>
      <tp t="e">
        <v>#N/A</v>
        <stp/>
        <stp>IMPL_VOL</stp>
        <stp>.SPY250502C561</stp>
        <tr r="EL25" s="1"/>
      </tp>
      <tp t="e">
        <v>#N/A</v>
        <stp/>
        <stp>IMPL_VOL</stp>
        <stp>.SPY250516C575</stp>
        <tr r="EP11" s="1"/>
      </tp>
      <tp t="e">
        <v>#N/A</v>
        <stp/>
        <stp>IMPL_VOL</stp>
        <stp>.SPY250502P561</stp>
        <tr r="EM25" s="1"/>
      </tp>
      <tp t="e">
        <v>#N/A</v>
        <stp/>
        <stp>IMPL_VOL</stp>
        <stp>.SPY250516P575</stp>
        <tr r="EQ11" s="1"/>
      </tp>
      <tp t="e">
        <v>#N/A</v>
        <stp/>
        <stp>IMPL_VOL</stp>
        <stp>.SPY250502C566</stp>
        <tr r="EL20" s="1"/>
      </tp>
      <tp t="e">
        <v>#N/A</v>
        <stp/>
        <stp>IMPL_VOL</stp>
        <stp>.SPY250516C572</stp>
        <tr r="EP14" s="1"/>
      </tp>
      <tp t="e">
        <v>#N/A</v>
        <stp/>
        <stp>IMPL_VOL</stp>
        <stp>.SPY250502P566</stp>
        <tr r="EM20" s="1"/>
      </tp>
      <tp t="e">
        <v>#N/A</v>
        <stp/>
        <stp>IMPL_VOL</stp>
        <stp>.SPY250516P572</stp>
        <tr r="EQ14" s="1"/>
      </tp>
      <tp t="e">
        <v>#N/A</v>
        <stp/>
        <stp>IMPL_VOL</stp>
        <stp>.SPY250502C567</stp>
        <tr r="EL19" s="1"/>
      </tp>
      <tp t="e">
        <v>#N/A</v>
        <stp/>
        <stp>IMPL_VOL</stp>
        <stp>.SPY250516C573</stp>
        <tr r="EP13" s="1"/>
      </tp>
      <tp t="e">
        <v>#N/A</v>
        <stp/>
        <stp>IMPL_VOL</stp>
        <stp>.SPY250502P567</stp>
        <tr r="EM19" s="1"/>
      </tp>
      <tp t="e">
        <v>#N/A</v>
        <stp/>
        <stp>IMPL_VOL</stp>
        <stp>.SPY250516P573</stp>
        <tr r="EQ13" s="1"/>
      </tp>
      <tp t="e">
        <v>#N/A</v>
        <stp/>
        <stp>IMPL_VOL</stp>
        <stp>.SPY250502C564</stp>
        <tr r="EL22" s="1"/>
      </tp>
      <tp t="e">
        <v>#N/A</v>
        <stp/>
        <stp>IMPL_VOL</stp>
        <stp>.SPY250516C570</stp>
        <tr r="EP16" s="1"/>
      </tp>
      <tp t="e">
        <v>#N/A</v>
        <stp/>
        <stp>IMPL_VOL</stp>
        <stp>.SPY250502P564</stp>
        <tr r="EM22" s="1"/>
      </tp>
      <tp t="e">
        <v>#N/A</v>
        <stp/>
        <stp>IMPL_VOL</stp>
        <stp>.SPY250516P570</stp>
        <tr r="EQ16" s="1"/>
      </tp>
      <tp t="e">
        <v>#N/A</v>
        <stp/>
        <stp>IMPL_VOL</stp>
        <stp>.SPY250502C565</stp>
        <tr r="EL21" s="1"/>
      </tp>
      <tp t="e">
        <v>#N/A</v>
        <stp/>
        <stp>IMPL_VOL</stp>
        <stp>.SPY250516C571</stp>
        <tr r="EP15" s="1"/>
      </tp>
      <tp t="e">
        <v>#N/A</v>
        <stp/>
        <stp>IMPL_VOL</stp>
        <stp>.SPY250502P565</stp>
        <tr r="EM21" s="1"/>
      </tp>
      <tp t="e">
        <v>#N/A</v>
        <stp/>
        <stp>IMPL_VOL</stp>
        <stp>.SPY250516P571</stp>
        <tr r="EQ15" s="1"/>
      </tp>
      <tp t="e">
        <v>#N/A</v>
        <stp/>
        <stp>IMPL_VOL</stp>
        <stp>.SPY250509C561</stp>
        <tr r="EN25" s="1"/>
      </tp>
      <tp t="e">
        <v>#N/A</v>
        <stp/>
        <stp>IMPL_VOL</stp>
        <stp>.SPY250509P561</stp>
        <tr r="EO25" s="1"/>
      </tp>
      <tp t="e">
        <v>#N/A</v>
        <stp/>
        <stp>IMPL_VOL</stp>
        <stp>.SPY250509C560</stp>
        <tr r="EN26" s="1"/>
      </tp>
      <tp t="e">
        <v>#N/A</v>
        <stp/>
        <stp>IMPL_VOL</stp>
        <stp>.SPY250509P560</stp>
        <tr r="EO26" s="1"/>
      </tp>
      <tp t="e">
        <v>#N/A</v>
        <stp/>
        <stp>IMPL_VOL</stp>
        <stp>.SPY250502C568</stp>
        <tr r="EL18" s="1"/>
      </tp>
      <tp t="e">
        <v>#N/A</v>
        <stp/>
        <stp>IMPL_VOL</stp>
        <stp>.SPY250509C563</stp>
        <tr r="EN23" s="1"/>
      </tp>
      <tp t="e">
        <v>#N/A</v>
        <stp/>
        <stp>IMPL_VOL</stp>
        <stp>.SPY250502P568</stp>
        <tr r="EM18" s="1"/>
      </tp>
      <tp t="e">
        <v>#N/A</v>
        <stp/>
        <stp>IMPL_VOL</stp>
        <stp>.SPY250509P563</stp>
        <tr r="EO23" s="1"/>
      </tp>
      <tp t="e">
        <v>#N/A</v>
        <stp/>
        <stp>IMPL_VOL</stp>
        <stp>.SPY250502C569</stp>
        <tr r="EL17" s="1"/>
      </tp>
      <tp t="e">
        <v>#N/A</v>
        <stp/>
        <stp>IMPL_VOL</stp>
        <stp>.SPY250509C562</stp>
        <tr r="EN24" s="1"/>
      </tp>
      <tp t="e">
        <v>#N/A</v>
        <stp/>
        <stp>IMPL_VOL</stp>
        <stp>.SPY250502P569</stp>
        <tr r="EM17" s="1"/>
      </tp>
      <tp t="e">
        <v>#N/A</v>
        <stp/>
        <stp>IMPL_VOL</stp>
        <stp>.SPY250509P562</stp>
        <tr r="EO24" s="1"/>
      </tp>
      <tp t="e">
        <v>#N/A</v>
        <stp/>
        <stp>IMPL_VOL</stp>
        <stp>.SPY250509C565</stp>
        <tr r="EN21" s="1"/>
      </tp>
      <tp t="e">
        <v>#N/A</v>
        <stp/>
        <stp>IMPL_VOL</stp>
        <stp>.SPY250509P565</stp>
        <tr r="EO21" s="1"/>
      </tp>
      <tp t="e">
        <v>#N/A</v>
        <stp/>
        <stp>IMPL_VOL</stp>
        <stp>.SPY250509C564</stp>
        <tr r="EN22" s="1"/>
      </tp>
      <tp t="e">
        <v>#N/A</v>
        <stp/>
        <stp>IMPL_VOL</stp>
        <stp>.SPY250509P564</stp>
        <tr r="EO22" s="1"/>
      </tp>
      <tp t="e">
        <v>#N/A</v>
        <stp/>
        <stp>IMPL_VOL</stp>
        <stp>.SPY250509C567</stp>
        <tr r="EN19" s="1"/>
      </tp>
      <tp t="e">
        <v>#N/A</v>
        <stp/>
        <stp>IMPL_VOL</stp>
        <stp>.SPY250516C578</stp>
        <tr r="EP8" s="1"/>
      </tp>
      <tp t="e">
        <v>#N/A</v>
        <stp/>
        <stp>IMPL_VOL</stp>
        <stp>.SPY250509P567</stp>
        <tr r="EO19" s="1"/>
      </tp>
      <tp t="e">
        <v>#N/A</v>
        <stp/>
        <stp>IMPL_VOL</stp>
        <stp>.SPY250516P578</stp>
        <tr r="EQ8" s="1"/>
      </tp>
      <tp t="e">
        <v>#N/A</v>
        <stp/>
        <stp>IMPL_VOL</stp>
        <stp>.SPY250509C566</stp>
        <tr r="EN20" s="1"/>
      </tp>
      <tp t="e">
        <v>#N/A</v>
        <stp/>
        <stp>IMPL_VOL</stp>
        <stp>.SPY250516C579</stp>
        <tr r="EP7" s="1"/>
      </tp>
      <tp t="e">
        <v>#N/A</v>
        <stp/>
        <stp>IMPL_VOL</stp>
        <stp>.SPY250509P566</stp>
        <tr r="EO20" s="1"/>
      </tp>
      <tp t="e">
        <v>#N/A</v>
        <stp/>
        <stp>IMPL_VOL</stp>
        <stp>.SPY250516P579</stp>
        <tr r="EQ7" s="1"/>
      </tp>
      <tp t="e">
        <v>#N/A</v>
        <stp/>
        <stp>IMPL_VOL</stp>
        <stp>.SPY250502C572</stp>
        <tr r="EL14" s="1"/>
      </tp>
      <tp t="e">
        <v>#N/A</v>
        <stp/>
        <stp>IMPL_VOL</stp>
        <stp>.SPY250509C579</stp>
        <tr r="EN7" s="1"/>
      </tp>
      <tp t="e">
        <v>#N/A</v>
        <stp/>
        <stp>IMPL_VOL</stp>
        <stp>.SPY250516C566</stp>
        <tr r="EP20" s="1"/>
      </tp>
      <tp t="e">
        <v>#N/A</v>
        <stp/>
        <stp>IMPL_VOL</stp>
        <stp>.SPY250502P572</stp>
        <tr r="EM14" s="1"/>
      </tp>
      <tp t="e">
        <v>#N/A</v>
        <stp/>
        <stp>IMPL_VOL</stp>
        <stp>.SPY250509P579</stp>
        <tr r="EO7" s="1"/>
      </tp>
      <tp t="e">
        <v>#N/A</v>
        <stp/>
        <stp>IMPL_VOL</stp>
        <stp>.SPY250516P566</stp>
        <tr r="EQ20" s="1"/>
      </tp>
      <tp t="e">
        <v>#N/A</v>
        <stp/>
        <stp>IMPL_VOL</stp>
        <stp>.SPY250502C573</stp>
        <tr r="EL13" s="1"/>
      </tp>
      <tp t="e">
        <v>#N/A</v>
        <stp/>
        <stp>IMPL_VOL</stp>
        <stp>.SPY250509C578</stp>
        <tr r="EN8" s="1"/>
      </tp>
      <tp t="e">
        <v>#N/A</v>
        <stp/>
        <stp>IMPL_VOL</stp>
        <stp>.SPY250516C567</stp>
        <tr r="EP19" s="1"/>
      </tp>
      <tp t="e">
        <v>#N/A</v>
        <stp/>
        <stp>IMPL_VOL</stp>
        <stp>.SPY250502P573</stp>
        <tr r="EM13" s="1"/>
      </tp>
      <tp t="e">
        <v>#N/A</v>
        <stp/>
        <stp>IMPL_VOL</stp>
        <stp>.SPY250509P578</stp>
        <tr r="EO8" s="1"/>
      </tp>
      <tp t="e">
        <v>#N/A</v>
        <stp/>
        <stp>IMPL_VOL</stp>
        <stp>.SPY250516P567</stp>
        <tr r="EQ19" s="1"/>
      </tp>
      <tp t="e">
        <v>#N/A</v>
        <stp/>
        <stp>IMPL_VOL</stp>
        <stp>.SPY250502C570</stp>
        <tr r="EL16" s="1"/>
      </tp>
      <tp t="e">
        <v>#N/A</v>
        <stp/>
        <stp>IMPL_VOL</stp>
        <stp>.SPY250516C564</stp>
        <tr r="EP22" s="1"/>
      </tp>
      <tp t="e">
        <v>#N/A</v>
        <stp/>
        <stp>IMPL_VOL</stp>
        <stp>.SPY250502P570</stp>
        <tr r="EM16" s="1"/>
      </tp>
      <tp t="e">
        <v>#N/A</v>
        <stp/>
        <stp>IMPL_VOL</stp>
        <stp>.SPY250516P564</stp>
        <tr r="EQ22" s="1"/>
      </tp>
      <tp t="e">
        <v>#N/A</v>
        <stp/>
        <stp>IMPL_VOL</stp>
        <stp>.SPY250502C571</stp>
        <tr r="EL15" s="1"/>
      </tp>
      <tp t="e">
        <v>#N/A</v>
        <stp/>
        <stp>IMPL_VOL</stp>
        <stp>.SPY250516C565</stp>
        <tr r="EP21" s="1"/>
      </tp>
      <tp t="e">
        <v>#N/A</v>
        <stp/>
        <stp>IMPL_VOL</stp>
        <stp>.SPY250502P571</stp>
        <tr r="EM15" s="1"/>
      </tp>
      <tp t="e">
        <v>#N/A</v>
        <stp/>
        <stp>IMPL_VOL</stp>
        <stp>.SPY250516P565</stp>
        <tr r="EQ21" s="1"/>
      </tp>
      <tp t="e">
        <v>#N/A</v>
        <stp/>
        <stp>IMPL_VOL</stp>
        <stp>.SPY250502C576</stp>
        <tr r="EL10" s="1"/>
      </tp>
      <tp t="e">
        <v>#N/A</v>
        <stp/>
        <stp>IMPL_VOL</stp>
        <stp>.SPY250516C562</stp>
        <tr r="EP24" s="1"/>
      </tp>
      <tp t="e">
        <v>#N/A</v>
        <stp/>
        <stp>IMPL_VOL</stp>
        <stp>.SPY250502P576</stp>
        <tr r="EM10" s="1"/>
      </tp>
      <tp t="e">
        <v>#N/A</v>
        <stp/>
        <stp>IMPL_VOL</stp>
        <stp>.SPY250516P562</stp>
        <tr r="EQ24" s="1"/>
      </tp>
      <tp t="e">
        <v>#N/A</v>
        <stp/>
        <stp>IMPL_VOL</stp>
        <stp>.SPY250502C577</stp>
        <tr r="EL9" s="1"/>
      </tp>
      <tp t="e">
        <v>#N/A</v>
        <stp/>
        <stp>IMPL_VOL</stp>
        <stp>.SPY250516C563</stp>
        <tr r="EP23" s="1"/>
      </tp>
      <tp t="e">
        <v>#N/A</v>
        <stp/>
        <stp>IMPL_VOL</stp>
        <stp>.SPY250502P577</stp>
        <tr r="EM9" s="1"/>
      </tp>
      <tp t="e">
        <v>#N/A</v>
        <stp/>
        <stp>IMPL_VOL</stp>
        <stp>.SPY250516P563</stp>
        <tr r="EQ23" s="1"/>
      </tp>
      <tp t="e">
        <v>#N/A</v>
        <stp/>
        <stp>IMPL_VOL</stp>
        <stp>.SPY250502C574</stp>
        <tr r="EL12" s="1"/>
      </tp>
      <tp t="e">
        <v>#N/A</v>
        <stp/>
        <stp>IMPL_VOL</stp>
        <stp>.SPY250516C560</stp>
        <tr r="EP26" s="1"/>
      </tp>
      <tp t="e">
        <v>#N/A</v>
        <stp/>
        <stp>IMPL_VOL</stp>
        <stp>.SPY250502P574</stp>
        <tr r="EM12" s="1"/>
      </tp>
      <tp t="e">
        <v>#N/A</v>
        <stp/>
        <stp>IMPL_VOL</stp>
        <stp>.SPY250516P560</stp>
        <tr r="EQ26" s="1"/>
      </tp>
      <tp t="e">
        <v>#N/A</v>
        <stp/>
        <stp>IMPL_VOL</stp>
        <stp>.SPY250502C575</stp>
        <tr r="EL11" s="1"/>
      </tp>
      <tp t="e">
        <v>#N/A</v>
        <stp/>
        <stp>IMPL_VOL</stp>
        <stp>.SPY250516C561</stp>
        <tr r="EP25" s="1"/>
      </tp>
      <tp t="e">
        <v>#N/A</v>
        <stp/>
        <stp>IMPL_VOL</stp>
        <stp>.SPY250502P575</stp>
        <tr r="EM11" s="1"/>
      </tp>
      <tp t="e">
        <v>#N/A</v>
        <stp/>
        <stp>IMPL_VOL</stp>
        <stp>.SPY250516P561</stp>
        <tr r="EQ25" s="1"/>
      </tp>
      <tp t="e">
        <v>#N/A</v>
        <stp/>
        <stp>IMPL_VOL</stp>
        <stp>.SPY250509C571</stp>
        <tr r="EN15" s="1"/>
      </tp>
      <tp t="e">
        <v>#N/A</v>
        <stp/>
        <stp>IMPL_VOL</stp>
        <stp>.SPY250509P571</stp>
        <tr r="EO15" s="1"/>
      </tp>
      <tp t="e">
        <v>#N/A</v>
        <stp/>
        <stp>IMPL_VOL</stp>
        <stp>.SPY250509C570</stp>
        <tr r="EN16" s="1"/>
      </tp>
      <tp t="e">
        <v>#N/A</v>
        <stp/>
        <stp>IMPL_VOL</stp>
        <stp>.SPY250509P570</stp>
        <tr r="EO16" s="1"/>
      </tp>
      <tp t="e">
        <v>#N/A</v>
        <stp/>
        <stp>IMPL_VOL</stp>
        <stp>.SPY250502C578</stp>
        <tr r="EL8" s="1"/>
      </tp>
      <tp t="e">
        <v>#N/A</v>
        <stp/>
        <stp>IMPL_VOL</stp>
        <stp>.SPY250509C573</stp>
        <tr r="EN13" s="1"/>
      </tp>
      <tp t="e">
        <v>#N/A</v>
        <stp/>
        <stp>IMPL_VOL</stp>
        <stp>.SPY250502P578</stp>
        <tr r="EM8" s="1"/>
      </tp>
      <tp t="e">
        <v>#N/A</v>
        <stp/>
        <stp>IMPL_VOL</stp>
        <stp>.SPY250509P573</stp>
        <tr r="EO13" s="1"/>
      </tp>
      <tp t="e">
        <v>#N/A</v>
        <stp/>
        <stp>IMPL_VOL</stp>
        <stp>.SPY250502C579</stp>
        <tr r="EL7" s="1"/>
      </tp>
      <tp t="e">
        <v>#N/A</v>
        <stp/>
        <stp>IMPL_VOL</stp>
        <stp>.SPY250509C572</stp>
        <tr r="EN14" s="1"/>
      </tp>
      <tp t="e">
        <v>#N/A</v>
        <stp/>
        <stp>IMPL_VOL</stp>
        <stp>.SPY250502P579</stp>
        <tr r="EM7" s="1"/>
      </tp>
      <tp t="e">
        <v>#N/A</v>
        <stp/>
        <stp>IMPL_VOL</stp>
        <stp>.SPY250509P572</stp>
        <tr r="EO14" s="1"/>
      </tp>
      <tp t="e">
        <v>#N/A</v>
        <stp/>
        <stp>IMPL_VOL</stp>
        <stp>.SPY250509C575</stp>
        <tr r="EN11" s="1"/>
      </tp>
      <tp t="e">
        <v>#N/A</v>
        <stp/>
        <stp>IMPL_VOL</stp>
        <stp>.SPY250509P575</stp>
        <tr r="EO11" s="1"/>
      </tp>
      <tp t="e">
        <v>#N/A</v>
        <stp/>
        <stp>IMPL_VOL</stp>
        <stp>.SPY250509C574</stp>
        <tr r="EN12" s="1"/>
      </tp>
      <tp t="e">
        <v>#N/A</v>
        <stp/>
        <stp>IMPL_VOL</stp>
        <stp>.SPY250509P574</stp>
        <tr r="EO12" s="1"/>
      </tp>
      <tp t="e">
        <v>#N/A</v>
        <stp/>
        <stp>IMPL_VOL</stp>
        <stp>.SPY250509C577</stp>
        <tr r="EN9" s="1"/>
      </tp>
      <tp t="e">
        <v>#N/A</v>
        <stp/>
        <stp>IMPL_VOL</stp>
        <stp>.SPY250516C568</stp>
        <tr r="EP18" s="1"/>
      </tp>
      <tp t="e">
        <v>#N/A</v>
        <stp/>
        <stp>IMPL_VOL</stp>
        <stp>.SPY250509P577</stp>
        <tr r="EO9" s="1"/>
      </tp>
      <tp t="e">
        <v>#N/A</v>
        <stp/>
        <stp>IMPL_VOL</stp>
        <stp>.SPY250516P568</stp>
        <tr r="EQ18" s="1"/>
      </tp>
      <tp t="e">
        <v>#N/A</v>
        <stp/>
        <stp>IMPL_VOL</stp>
        <stp>.SPY250509C576</stp>
        <tr r="EN10" s="1"/>
      </tp>
      <tp t="e">
        <v>#N/A</v>
        <stp/>
        <stp>IMPL_VOL</stp>
        <stp>.SPY250516C569</stp>
        <tr r="EP17" s="1"/>
      </tp>
      <tp t="e">
        <v>#N/A</v>
        <stp/>
        <stp>IMPL_VOL</stp>
        <stp>.SPY250509P576</stp>
        <tr r="EO10" s="1"/>
      </tp>
      <tp t="e">
        <v>#N/A</v>
        <stp/>
        <stp>IMPL_VOL</stp>
        <stp>.SPY250516P569</stp>
        <tr r="EQ17" s="1"/>
      </tp>
      <tp t="e">
        <v>#N/A</v>
        <stp/>
        <stp>OPEN_INT</stp>
        <stp>.NDX250516C19540</stp>
        <tr r="AW182" s="1"/>
      </tp>
      <tp t="e">
        <v>#N/A</v>
        <stp/>
        <stp>IMPL_VOL</stp>
        <stp>.SPY250502C582</stp>
        <tr r="EL4" s="1"/>
      </tp>
      <tp t="e">
        <v>#N/A</v>
        <stp/>
        <stp>IMPL_VOL</stp>
        <stp>.SPY250502P582</stp>
        <tr r="EM4" s="1"/>
      </tp>
      <tp t="e">
        <v>#N/A</v>
        <stp/>
        <stp>IMPL_VOL</stp>
        <stp>.SPY250502C580</stp>
        <tr r="EL6" s="1"/>
      </tp>
      <tp t="e">
        <v>#N/A</v>
        <stp/>
        <stp>IMPL_VOL</stp>
        <stp>.SPY250502P580</stp>
        <tr r="EM6" s="1"/>
      </tp>
      <tp t="e">
        <v>#N/A</v>
        <stp/>
        <stp>IMPL_VOL</stp>
        <stp>.SPY250502C581</stp>
        <tr r="EL5" s="1"/>
      </tp>
      <tp t="e">
        <v>#N/A</v>
        <stp/>
        <stp>IMPL_VOL</stp>
        <stp>.SPY250502P581</stp>
        <tr r="EM5" s="1"/>
      </tp>
      <tp t="e">
        <v>#N/A</v>
        <stp/>
        <stp>IMPL_VOL</stp>
        <stp>.SPY250509C581</stp>
        <tr r="EN5" s="1"/>
      </tp>
      <tp t="e">
        <v>#N/A</v>
        <stp/>
        <stp>IMPL_VOL</stp>
        <stp>.SPY250509P581</stp>
        <tr r="EO5" s="1"/>
      </tp>
      <tp t="e">
        <v>#N/A</v>
        <stp/>
        <stp>IMPL_VOL</stp>
        <stp>.SPY250509C580</stp>
        <tr r="EN6" s="1"/>
      </tp>
      <tp t="e">
        <v>#N/A</v>
        <stp/>
        <stp>IMPL_VOL</stp>
        <stp>.SPY250509P580</stp>
        <tr r="EO6" s="1"/>
      </tp>
      <tp t="e">
        <v>#N/A</v>
        <stp/>
        <stp>IMPL_VOL</stp>
        <stp>.SPY250509C582</stp>
        <tr r="EN4" s="1"/>
      </tp>
      <tp t="e">
        <v>#N/A</v>
        <stp/>
        <stp>IMPL_VOL</stp>
        <stp>.SPY250509P582</stp>
        <tr r="EO4" s="1"/>
      </tp>
      <tp t="e">
        <v>#N/A</v>
        <stp/>
        <stp>IMPL_VOL</stp>
        <stp>.SPY250516C582</stp>
        <tr r="EP4" s="1"/>
      </tp>
      <tp t="e">
        <v>#N/A</v>
        <stp/>
        <stp>IMPL_VOL</stp>
        <stp>.SPY250516P582</stp>
        <tr r="EQ4" s="1"/>
      </tp>
      <tp t="e">
        <v>#N/A</v>
        <stp/>
        <stp>IMPL_VOL</stp>
        <stp>.SPY250516C580</stp>
        <tr r="EP6" s="1"/>
      </tp>
      <tp t="e">
        <v>#N/A</v>
        <stp/>
        <stp>IMPL_VOL</stp>
        <stp>.SPY250516P580</stp>
        <tr r="EQ6" s="1"/>
      </tp>
      <tp t="e">
        <v>#N/A</v>
        <stp/>
        <stp>IMPL_VOL</stp>
        <stp>.SPY250516C581</stp>
        <tr r="EP5" s="1"/>
      </tp>
      <tp t="e">
        <v>#N/A</v>
        <stp/>
        <stp>IMPL_VOL</stp>
        <stp>.SPY250516P581</stp>
        <tr r="EQ5" s="1"/>
      </tp>
      <tp t="e">
        <v>#N/A</v>
        <stp/>
        <stp>OPEN_INT</stp>
        <stp>.NDX250516C19580</stp>
        <tr r="AW180" s="1"/>
      </tp>
      <tp t="e">
        <v>#N/A</v>
        <stp/>
        <stp>BID</stp>
        <stp>.QQQ250502C500</stp>
        <tr r="DE47" s="1"/>
        <tr r="DE47" s="1"/>
      </tp>
      <tp t="e">
        <v>#N/A</v>
        <stp/>
        <stp>BID</stp>
        <stp>.QQQ250502P500</stp>
        <tr r="DF47" s="1"/>
        <tr r="DF47" s="1"/>
      </tp>
      <tp t="e">
        <v>#N/A</v>
        <stp/>
        <stp>BID</stp>
        <stp>.QQQ250502C501</stp>
        <tr r="DE46" s="1"/>
        <tr r="DE46" s="1"/>
      </tp>
      <tp t="e">
        <v>#N/A</v>
        <stp/>
        <stp>BID</stp>
        <stp>.QQQ250502P501</stp>
        <tr r="DF46" s="1"/>
        <tr r="DF46" s="1"/>
      </tp>
      <tp t="e">
        <v>#N/A</v>
        <stp/>
        <stp>BID</stp>
        <stp>.QQQ250502C502</stp>
        <tr r="DE45" s="1"/>
        <tr r="DE45" s="1"/>
      </tp>
      <tp t="e">
        <v>#N/A</v>
        <stp/>
        <stp>BID</stp>
        <stp>.QQQ250502P502</stp>
        <tr r="DF45" s="1"/>
        <tr r="DF45" s="1"/>
      </tp>
      <tp t="e">
        <v>#N/A</v>
        <stp/>
        <stp>ASK</stp>
        <stp>.QQQ250502C502</stp>
        <tr r="DC45" s="1"/>
        <tr r="DC45" s="1"/>
      </tp>
      <tp t="e">
        <v>#N/A</v>
        <stp/>
        <stp>ASK</stp>
        <stp>.QQQ250502P502</stp>
        <tr r="DD45" s="1"/>
        <tr r="DD45" s="1"/>
      </tp>
      <tp t="e">
        <v>#N/A</v>
        <stp/>
        <stp>ASK</stp>
        <stp>.QQQ250502C500</stp>
        <tr r="DC47" s="1"/>
        <tr r="DC47" s="1"/>
      </tp>
      <tp t="e">
        <v>#N/A</v>
        <stp/>
        <stp>ASK</stp>
        <stp>.QQQ250502P500</stp>
        <tr r="DD47" s="1"/>
        <tr r="DD47" s="1"/>
      </tp>
      <tp t="e">
        <v>#N/A</v>
        <stp/>
        <stp>ASK</stp>
        <stp>.QQQ250502C501</stp>
        <tr r="DC46" s="1"/>
        <tr r="DC46" s="1"/>
      </tp>
      <tp t="e">
        <v>#N/A</v>
        <stp/>
        <stp>ASK</stp>
        <stp>.QQQ250502P501</stp>
        <tr r="DD46" s="1"/>
        <tr r="DD46" s="1"/>
      </tp>
      <tp>
        <v>95</v>
        <stp/>
        <stp>OPEN_INT</stp>
        <stp>.NDX250516P20400</stp>
        <tr r="AX139" s="1"/>
        <tr r="AX139" s="1"/>
      </tp>
      <tp t="e">
        <v>#N/A</v>
        <stp/>
        <stp>OPEN_INT</stp>
        <stp>.NDX250516P19400</stp>
        <tr r="AX189" s="1"/>
        <tr r="AX189" s="1"/>
      </tp>
      <tp t="s">
        <v>N/A</v>
        <stp/>
        <stp>OPEN_INT</stp>
        <stp>.NDX250516P20420</stp>
        <tr r="AX138" s="1"/>
      </tp>
      <tp t="e">
        <v>#N/A</v>
        <stp/>
        <stp>OPEN_INT</stp>
        <stp>.NDX250516P19420</stp>
        <tr r="AX188" s="1"/>
      </tp>
      <tp t="s">
        <v>N/A</v>
        <stp/>
        <stp>OPEN_INT</stp>
        <stp>.NDX250516P20440</stp>
        <tr r="AX137" s="1"/>
      </tp>
      <tp t="e">
        <v>#N/A</v>
        <stp/>
        <stp>OPEN_INT</stp>
        <stp>.NDX250516P19440</stp>
        <tr r="AX187" s="1"/>
      </tp>
      <tp t="e">
        <v>#N/A</v>
        <stp/>
        <stp>OPEN_INT</stp>
        <stp>.NDX250516P19460</stp>
        <tr r="AX186" s="1"/>
      </tp>
      <tp t="e">
        <v>#N/A</v>
        <stp/>
        <stp>OPEN_INT</stp>
        <stp>.NDX250516P19480</stp>
        <tr r="AX185" s="1"/>
      </tp>
      <tp t="s">
        <v>N/A</v>
        <stp/>
        <stp>OPEN_INT</stp>
        <stp>.NDX250516C20420</stp>
        <tr r="AW138" s="1"/>
      </tp>
      <tp t="e">
        <v>#N/A</v>
        <stp/>
        <stp>OPEN_INT</stp>
        <stp>.NDX250516C19420</stp>
        <tr r="AW188" s="1"/>
      </tp>
      <tp>
        <v>67</v>
        <stp/>
        <stp>OPEN_INT</stp>
        <stp>.NDX250516C20400</stp>
        <tr r="AW139" s="1"/>
        <tr r="AW139" s="1"/>
      </tp>
      <tp t="e">
        <v>#N/A</v>
        <stp/>
        <stp>OPEN_INT</stp>
        <stp>.NDX250516C19400</stp>
        <tr r="AW189" s="1"/>
        <tr r="AW189" s="1"/>
      </tp>
      <tp t="e">
        <v>#N/A</v>
        <stp/>
        <stp>OPEN_INT</stp>
        <stp>.NDX250516C19460</stp>
        <tr r="AW186" s="1"/>
      </tp>
      <tp t="s">
        <v>N/A</v>
        <stp/>
        <stp>OPEN_INT</stp>
        <stp>.NDX250516C20440</stp>
        <tr r="AW137" s="1"/>
      </tp>
      <tp t="e">
        <v>#N/A</v>
        <stp/>
        <stp>OPEN_INT</stp>
        <stp>.NDX250516C19440</stp>
        <tr r="AW187" s="1"/>
      </tp>
      <tp t="e">
        <v>#N/A</v>
        <stp/>
        <stp>OPEN_INT</stp>
        <stp>.NDX250516C19480</stp>
        <tr r="AW185" s="1"/>
      </tp>
      <tp t="e">
        <v>#N/A</v>
        <stp/>
        <stp>ASK</stp>
        <stp>.QQQ250502C468</stp>
        <tr r="DC79" s="1"/>
        <tr r="DC79" s="1"/>
      </tp>
      <tp t="e">
        <v>#N/A</v>
        <stp/>
        <stp>ASK</stp>
        <stp>.QQQ250502P468</stp>
        <tr r="DD79" s="1"/>
        <tr r="DD79" s="1"/>
      </tp>
      <tp t="e">
        <v>#N/A</v>
        <stp/>
        <stp>ASK</stp>
        <stp>.QQQ250502C469</stp>
        <tr r="DC78" s="1"/>
        <tr r="DC78" s="1"/>
      </tp>
      <tp t="e">
        <v>#N/A</v>
        <stp/>
        <stp>ASK</stp>
        <stp>.QQQ250502P469</stp>
        <tr r="DD78" s="1"/>
        <tr r="DD78" s="1"/>
      </tp>
      <tp t="e">
        <v>#N/A</v>
        <stp/>
        <stp>ASK</stp>
        <stp>.QQQ250502C472</stp>
        <tr r="DC75" s="1"/>
        <tr r="DC75" s="1"/>
      </tp>
      <tp t="e">
        <v>#N/A</v>
        <stp/>
        <stp>ASK</stp>
        <stp>.QQQ250502P472</stp>
        <tr r="DD75" s="1"/>
        <tr r="DD75" s="1"/>
      </tp>
      <tp t="e">
        <v>#N/A</v>
        <stp/>
        <stp>ASK</stp>
        <stp>.QQQ250502C473</stp>
        <tr r="DC74" s="1"/>
        <tr r="DC74" s="1"/>
      </tp>
      <tp t="e">
        <v>#N/A</v>
        <stp/>
        <stp>ASK</stp>
        <stp>.QQQ250502P473</stp>
        <tr r="DD74" s="1"/>
        <tr r="DD74" s="1"/>
      </tp>
      <tp t="e">
        <v>#N/A</v>
        <stp/>
        <stp>ASK</stp>
        <stp>.QQQ250502C470</stp>
        <tr r="DC77" s="1"/>
        <tr r="DC77" s="1"/>
      </tp>
      <tp t="e">
        <v>#N/A</v>
        <stp/>
        <stp>ASK</stp>
        <stp>.QQQ250502P470</stp>
        <tr r="DD77" s="1"/>
        <tr r="DD77" s="1"/>
      </tp>
      <tp t="e">
        <v>#N/A</v>
        <stp/>
        <stp>ASK</stp>
        <stp>.QQQ250502C471</stp>
        <tr r="DC76" s="1"/>
        <tr r="DC76" s="1"/>
      </tp>
      <tp t="e">
        <v>#N/A</v>
        <stp/>
        <stp>ASK</stp>
        <stp>.QQQ250502P471</stp>
        <tr r="DD76" s="1"/>
        <tr r="DD76" s="1"/>
      </tp>
      <tp t="e">
        <v>#N/A</v>
        <stp/>
        <stp>ASK</stp>
        <stp>.QQQ250502C476</stp>
        <tr r="DC71" s="1"/>
        <tr r="DC71" s="1"/>
      </tp>
      <tp t="e">
        <v>#N/A</v>
        <stp/>
        <stp>ASK</stp>
        <stp>.QQQ250502P476</stp>
        <tr r="DD71" s="1"/>
        <tr r="DD71" s="1"/>
      </tp>
      <tp t="e">
        <v>#N/A</v>
        <stp/>
        <stp>ASK</stp>
        <stp>.QQQ250502C477</stp>
        <tr r="DC70" s="1"/>
        <tr r="DC70" s="1"/>
      </tp>
      <tp t="e">
        <v>#N/A</v>
        <stp/>
        <stp>ASK</stp>
        <stp>.QQQ250502P477</stp>
        <tr r="DD70" s="1"/>
        <tr r="DD70" s="1"/>
      </tp>
      <tp t="e">
        <v>#N/A</v>
        <stp/>
        <stp>ASK</stp>
        <stp>.QQQ250502C474</stp>
        <tr r="DC73" s="1"/>
        <tr r="DC73" s="1"/>
      </tp>
      <tp t="e">
        <v>#N/A</v>
        <stp/>
        <stp>ASK</stp>
        <stp>.QQQ250502P474</stp>
        <tr r="DD73" s="1"/>
        <tr r="DD73" s="1"/>
      </tp>
      <tp t="e">
        <v>#N/A</v>
        <stp/>
        <stp>ASK</stp>
        <stp>.QQQ250502C475</stp>
        <tr r="DC72" s="1"/>
        <tr r="DC72" s="1"/>
      </tp>
      <tp t="e">
        <v>#N/A</v>
        <stp/>
        <stp>ASK</stp>
        <stp>.QQQ250502P475</stp>
        <tr r="DD72" s="1"/>
        <tr r="DD72" s="1"/>
      </tp>
      <tp t="e">
        <v>#N/A</v>
        <stp/>
        <stp>ASK</stp>
        <stp>.QQQ250502C478</stp>
        <tr r="DC69" s="1"/>
        <tr r="DC69" s="1"/>
      </tp>
      <tp t="e">
        <v>#N/A</v>
        <stp/>
        <stp>ASK</stp>
        <stp>.QQQ250502P478</stp>
        <tr r="DD69" s="1"/>
        <tr r="DD69" s="1"/>
      </tp>
      <tp t="e">
        <v>#N/A</v>
        <stp/>
        <stp>ASK</stp>
        <stp>.QQQ250502C479</stp>
        <tr r="DC68" s="1"/>
        <tr r="DC68" s="1"/>
      </tp>
      <tp t="e">
        <v>#N/A</v>
        <stp/>
        <stp>ASK</stp>
        <stp>.QQQ250502P479</stp>
        <tr r="DD68" s="1"/>
        <tr r="DD68" s="1"/>
      </tp>
      <tp t="e">
        <v>#N/A</v>
        <stp/>
        <stp>BID</stp>
        <stp>.QQQ250502C478</stp>
        <tr r="DE69" s="1"/>
        <tr r="DE69" s="1"/>
      </tp>
      <tp t="e">
        <v>#N/A</v>
        <stp/>
        <stp>BID</stp>
        <stp>.QQQ250502P478</stp>
        <tr r="DF69" s="1"/>
        <tr r="DF69" s="1"/>
      </tp>
      <tp t="e">
        <v>#N/A</v>
        <stp/>
        <stp>BID</stp>
        <stp>.QQQ250502C479</stp>
        <tr r="DE68" s="1"/>
        <tr r="DE68" s="1"/>
      </tp>
      <tp t="e">
        <v>#N/A</v>
        <stp/>
        <stp>BID</stp>
        <stp>.QQQ250502P479</stp>
        <tr r="DF68" s="1"/>
        <tr r="DF68" s="1"/>
      </tp>
      <tp t="e">
        <v>#N/A</v>
        <stp/>
        <stp>BID</stp>
        <stp>.QQQ250502C470</stp>
        <tr r="DE77" s="1"/>
        <tr r="DE77" s="1"/>
      </tp>
      <tp t="e">
        <v>#N/A</v>
        <stp/>
        <stp>BID</stp>
        <stp>.QQQ250502P470</stp>
        <tr r="DF77" s="1"/>
        <tr r="DF77" s="1"/>
      </tp>
      <tp t="e">
        <v>#N/A</v>
        <stp/>
        <stp>BID</stp>
        <stp>.QQQ250502C471</stp>
        <tr r="DE76" s="1"/>
        <tr r="DE76" s="1"/>
      </tp>
      <tp t="e">
        <v>#N/A</v>
        <stp/>
        <stp>BID</stp>
        <stp>.QQQ250502P471</stp>
        <tr r="DF76" s="1"/>
        <tr r="DF76" s="1"/>
      </tp>
      <tp t="e">
        <v>#N/A</v>
        <stp/>
        <stp>BID</stp>
        <stp>.QQQ250502C472</stp>
        <tr r="DE75" s="1"/>
        <tr r="DE75" s="1"/>
      </tp>
      <tp t="e">
        <v>#N/A</v>
        <stp/>
        <stp>BID</stp>
        <stp>.QQQ250502P472</stp>
        <tr r="DF75" s="1"/>
        <tr r="DF75" s="1"/>
      </tp>
      <tp t="e">
        <v>#N/A</v>
        <stp/>
        <stp>BID</stp>
        <stp>.QQQ250502C473</stp>
        <tr r="DE74" s="1"/>
        <tr r="DE74" s="1"/>
      </tp>
      <tp t="e">
        <v>#N/A</v>
        <stp/>
        <stp>BID</stp>
        <stp>.QQQ250502P473</stp>
        <tr r="DF74" s="1"/>
        <tr r="DF74" s="1"/>
      </tp>
      <tp t="e">
        <v>#N/A</v>
        <stp/>
        <stp>BID</stp>
        <stp>.QQQ250502C474</stp>
        <tr r="DE73" s="1"/>
        <tr r="DE73" s="1"/>
      </tp>
      <tp t="e">
        <v>#N/A</v>
        <stp/>
        <stp>BID</stp>
        <stp>.QQQ250502P474</stp>
        <tr r="DF73" s="1"/>
        <tr r="DF73" s="1"/>
      </tp>
      <tp t="e">
        <v>#N/A</v>
        <stp/>
        <stp>BID</stp>
        <stp>.QQQ250502C475</stp>
        <tr r="DE72" s="1"/>
        <tr r="DE72" s="1"/>
      </tp>
      <tp t="e">
        <v>#N/A</v>
        <stp/>
        <stp>BID</stp>
        <stp>.QQQ250502P475</stp>
        <tr r="DF72" s="1"/>
        <tr r="DF72" s="1"/>
      </tp>
      <tp t="e">
        <v>#N/A</v>
        <stp/>
        <stp>BID</stp>
        <stp>.QQQ250502C476</stp>
        <tr r="DE71" s="1"/>
        <tr r="DE71" s="1"/>
      </tp>
      <tp t="e">
        <v>#N/A</v>
        <stp/>
        <stp>BID</stp>
        <stp>.QQQ250502P476</stp>
        <tr r="DF71" s="1"/>
        <tr r="DF71" s="1"/>
      </tp>
      <tp t="e">
        <v>#N/A</v>
        <stp/>
        <stp>BID</stp>
        <stp>.QQQ250502C477</stp>
        <tr r="DE70" s="1"/>
        <tr r="DE70" s="1"/>
      </tp>
      <tp t="e">
        <v>#N/A</v>
        <stp/>
        <stp>BID</stp>
        <stp>.QQQ250502P477</stp>
        <tr r="DF70" s="1"/>
        <tr r="DF70" s="1"/>
      </tp>
      <tp t="e">
        <v>#N/A</v>
        <stp/>
        <stp>BID</stp>
        <stp>.QQQ250502C468</stp>
        <tr r="DE79" s="1"/>
        <tr r="DE79" s="1"/>
      </tp>
      <tp t="e">
        <v>#N/A</v>
        <stp/>
        <stp>BID</stp>
        <stp>.QQQ250502P468</stp>
        <tr r="DF79" s="1"/>
        <tr r="DF79" s="1"/>
      </tp>
      <tp t="e">
        <v>#N/A</v>
        <stp/>
        <stp>BID</stp>
        <stp>.QQQ250502C469</stp>
        <tr r="DE78" s="1"/>
        <tr r="DE78" s="1"/>
      </tp>
      <tp t="e">
        <v>#N/A</v>
        <stp/>
        <stp>BID</stp>
        <stp>.QQQ250502P469</stp>
        <tr r="DF78" s="1"/>
        <tr r="DF78" s="1"/>
      </tp>
      <tp t="e">
        <v>#N/A</v>
        <stp/>
        <stp>BID</stp>
        <stp>.QQQ250502C498</stp>
        <tr r="DE49" s="1"/>
        <tr r="DE49" s="1"/>
      </tp>
      <tp t="e">
        <v>#N/A</v>
        <stp/>
        <stp>BID</stp>
        <stp>.QQQ250502P498</stp>
        <tr r="DF49" s="1"/>
        <tr r="DF49" s="1"/>
      </tp>
      <tp t="e">
        <v>#N/A</v>
        <stp/>
        <stp>BID</stp>
        <stp>.QQQ250502C499</stp>
        <tr r="DE48" s="1"/>
        <tr r="DE48" s="1"/>
      </tp>
      <tp t="e">
        <v>#N/A</v>
        <stp/>
        <stp>BID</stp>
        <stp>.QQQ250502P499</stp>
        <tr r="DF48" s="1"/>
        <tr r="DF48" s="1"/>
      </tp>
      <tp t="e">
        <v>#N/A</v>
        <stp/>
        <stp>BID</stp>
        <stp>.QQQ250502C490</stp>
        <tr r="DE57" s="1"/>
        <tr r="DE57" s="1"/>
      </tp>
      <tp t="e">
        <v>#N/A</v>
        <stp/>
        <stp>BID</stp>
        <stp>.QQQ250502P490</stp>
        <tr r="DF57" s="1"/>
        <tr r="DF57" s="1"/>
      </tp>
      <tp t="e">
        <v>#N/A</v>
        <stp/>
        <stp>BID</stp>
        <stp>.QQQ250502C491</stp>
        <tr r="DE56" s="1"/>
        <tr r="DE56" s="1"/>
      </tp>
      <tp t="e">
        <v>#N/A</v>
        <stp/>
        <stp>BID</stp>
        <stp>.QQQ250502P491</stp>
        <tr r="DF56" s="1"/>
        <tr r="DF56" s="1"/>
      </tp>
      <tp t="e">
        <v>#N/A</v>
        <stp/>
        <stp>BID</stp>
        <stp>.QQQ250502C492</stp>
        <tr r="DE55" s="1"/>
        <tr r="DE55" s="1"/>
      </tp>
      <tp t="e">
        <v>#N/A</v>
        <stp/>
        <stp>BID</stp>
        <stp>.QQQ250502P492</stp>
        <tr r="DF55" s="1"/>
        <tr r="DF55" s="1"/>
      </tp>
      <tp t="e">
        <v>#N/A</v>
        <stp/>
        <stp>BID</stp>
        <stp>.QQQ250502C493</stp>
        <tr r="DE54" s="1"/>
        <tr r="DE54" s="1"/>
      </tp>
      <tp t="e">
        <v>#N/A</v>
        <stp/>
        <stp>BID</stp>
        <stp>.QQQ250502P493</stp>
        <tr r="DF54" s="1"/>
        <tr r="DF54" s="1"/>
      </tp>
      <tp t="e">
        <v>#N/A</v>
        <stp/>
        <stp>BID</stp>
        <stp>.QQQ250502C494</stp>
        <tr r="DE53" s="1"/>
        <tr r="DE53" s="1"/>
      </tp>
      <tp t="e">
        <v>#N/A</v>
        <stp/>
        <stp>BID</stp>
        <stp>.QQQ250502P494</stp>
        <tr r="DF53" s="1"/>
        <tr r="DF53" s="1"/>
      </tp>
      <tp t="e">
        <v>#N/A</v>
        <stp/>
        <stp>BID</stp>
        <stp>.QQQ250502C495</stp>
        <tr r="DE52" s="1"/>
        <tr r="DE52" s="1"/>
      </tp>
      <tp t="e">
        <v>#N/A</v>
        <stp/>
        <stp>BID</stp>
        <stp>.QQQ250502P495</stp>
        <tr r="DF52" s="1"/>
        <tr r="DF52" s="1"/>
      </tp>
      <tp t="e">
        <v>#N/A</v>
        <stp/>
        <stp>BID</stp>
        <stp>.QQQ250502C496</stp>
        <tr r="DE51" s="1"/>
        <tr r="DE51" s="1"/>
      </tp>
      <tp t="e">
        <v>#N/A</v>
        <stp/>
        <stp>BID</stp>
        <stp>.QQQ250502P496</stp>
        <tr r="DF51" s="1"/>
        <tr r="DF51" s="1"/>
      </tp>
      <tp t="e">
        <v>#N/A</v>
        <stp/>
        <stp>BID</stp>
        <stp>.QQQ250502C497</stp>
        <tr r="DE50" s="1"/>
        <tr r="DE50" s="1"/>
      </tp>
      <tp t="e">
        <v>#N/A</v>
        <stp/>
        <stp>BID</stp>
        <stp>.QQQ250502P497</stp>
        <tr r="DF50" s="1"/>
        <tr r="DF50" s="1"/>
      </tp>
      <tp t="e">
        <v>#N/A</v>
        <stp/>
        <stp>BID</stp>
        <stp>.QQQ250502C488</stp>
        <tr r="DE59" s="1"/>
        <tr r="DE59" s="1"/>
      </tp>
      <tp t="e">
        <v>#N/A</v>
        <stp/>
        <stp>BID</stp>
        <stp>.QQQ250502P488</stp>
        <tr r="DF59" s="1"/>
        <tr r="DF59" s="1"/>
      </tp>
      <tp t="e">
        <v>#N/A</v>
        <stp/>
        <stp>BID</stp>
        <stp>.QQQ250502C489</stp>
        <tr r="DE58" s="1"/>
        <tr r="DE58" s="1"/>
      </tp>
      <tp t="e">
        <v>#N/A</v>
        <stp/>
        <stp>BID</stp>
        <stp>.QQQ250502P489</stp>
        <tr r="DF58" s="1"/>
        <tr r="DF58" s="1"/>
      </tp>
      <tp t="e">
        <v>#N/A</v>
        <stp/>
        <stp>BID</stp>
        <stp>.QQQ250502C480</stp>
        <tr r="DE67" s="1"/>
        <tr r="DE67" s="1"/>
      </tp>
      <tp t="e">
        <v>#N/A</v>
        <stp/>
        <stp>BID</stp>
        <stp>.QQQ250502P480</stp>
        <tr r="DF67" s="1"/>
        <tr r="DF67" s="1"/>
      </tp>
      <tp t="e">
        <v>#N/A</v>
        <stp/>
        <stp>BID</stp>
        <stp>.QQQ250502C481</stp>
        <tr r="DE66" s="1"/>
        <tr r="DE66" s="1"/>
      </tp>
      <tp t="e">
        <v>#N/A</v>
        <stp/>
        <stp>BID</stp>
        <stp>.QQQ250502P481</stp>
        <tr r="DF66" s="1"/>
        <tr r="DF66" s="1"/>
      </tp>
      <tp t="e">
        <v>#N/A</v>
        <stp/>
        <stp>BID</stp>
        <stp>.QQQ250502C482</stp>
        <tr r="DE65" s="1"/>
        <tr r="DE65" s="1"/>
      </tp>
      <tp t="e">
        <v>#N/A</v>
        <stp/>
        <stp>BID</stp>
        <stp>.QQQ250502P482</stp>
        <tr r="DF65" s="1"/>
        <tr r="DF65" s="1"/>
      </tp>
      <tp t="e">
        <v>#N/A</v>
        <stp/>
        <stp>BID</stp>
        <stp>.QQQ250502C483</stp>
        <tr r="DE64" s="1"/>
        <tr r="DE64" s="1"/>
      </tp>
      <tp t="e">
        <v>#N/A</v>
        <stp/>
        <stp>BID</stp>
        <stp>.QQQ250502P483</stp>
        <tr r="DF64" s="1"/>
        <tr r="DF64" s="1"/>
      </tp>
      <tp t="e">
        <v>#N/A</v>
        <stp/>
        <stp>BID</stp>
        <stp>.QQQ250502C484</stp>
        <tr r="DE63" s="1"/>
        <tr r="DE63" s="1"/>
      </tp>
      <tp t="e">
        <v>#N/A</v>
        <stp/>
        <stp>BID</stp>
        <stp>.QQQ250502P484</stp>
        <tr r="DF63" s="1"/>
        <tr r="DF63" s="1"/>
      </tp>
      <tp t="e">
        <v>#N/A</v>
        <stp/>
        <stp>BID</stp>
        <stp>.QQQ250502C485</stp>
        <tr r="DE62" s="1"/>
        <tr r="DE62" s="1"/>
      </tp>
      <tp t="e">
        <v>#N/A</v>
        <stp/>
        <stp>BID</stp>
        <stp>.QQQ250502P485</stp>
        <tr r="DF62" s="1"/>
        <tr r="DF62" s="1"/>
      </tp>
      <tp t="e">
        <v>#N/A</v>
        <stp/>
        <stp>BID</stp>
        <stp>.QQQ250502C486</stp>
        <tr r="DE61" s="1"/>
        <tr r="DE61" s="1"/>
      </tp>
      <tp t="e">
        <v>#N/A</v>
        <stp/>
        <stp>BID</stp>
        <stp>.QQQ250502P486</stp>
        <tr r="DF61" s="1"/>
        <tr r="DF61" s="1"/>
      </tp>
      <tp t="e">
        <v>#N/A</v>
        <stp/>
        <stp>BID</stp>
        <stp>.QQQ250502C487</stp>
        <tr r="DE60" s="1"/>
        <tr r="DE60" s="1"/>
      </tp>
      <tp t="e">
        <v>#N/A</v>
        <stp/>
        <stp>BID</stp>
        <stp>.QQQ250502P487</stp>
        <tr r="DF60" s="1"/>
        <tr r="DF60" s="1"/>
      </tp>
      <tp t="e">
        <v>#N/A</v>
        <stp/>
        <stp>ASK</stp>
        <stp>.QQQ250502C482</stp>
        <tr r="DC65" s="1"/>
        <tr r="DC65" s="1"/>
      </tp>
      <tp t="e">
        <v>#N/A</v>
        <stp/>
        <stp>ASK</stp>
        <stp>.QQQ250502P482</stp>
        <tr r="DD65" s="1"/>
        <tr r="DD65" s="1"/>
      </tp>
      <tp t="e">
        <v>#N/A</v>
        <stp/>
        <stp>ASK</stp>
        <stp>.QQQ250502C483</stp>
        <tr r="DC64" s="1"/>
        <tr r="DC64" s="1"/>
      </tp>
      <tp t="e">
        <v>#N/A</v>
        <stp/>
        <stp>ASK</stp>
        <stp>.QQQ250502P483</stp>
        <tr r="DD64" s="1"/>
        <tr r="DD64" s="1"/>
      </tp>
      <tp t="e">
        <v>#N/A</v>
        <stp/>
        <stp>ASK</stp>
        <stp>.QQQ250502C480</stp>
        <tr r="DC67" s="1"/>
        <tr r="DC67" s="1"/>
      </tp>
      <tp t="e">
        <v>#N/A</v>
        <stp/>
        <stp>ASK</stp>
        <stp>.QQQ250502P480</stp>
        <tr r="DD67" s="1"/>
        <tr r="DD67" s="1"/>
      </tp>
      <tp t="e">
        <v>#N/A</v>
        <stp/>
        <stp>ASK</stp>
        <stp>.QQQ250502C481</stp>
        <tr r="DC66" s="1"/>
        <tr r="DC66" s="1"/>
      </tp>
      <tp t="e">
        <v>#N/A</v>
        <stp/>
        <stp>ASK</stp>
        <stp>.QQQ250502P481</stp>
        <tr r="DD66" s="1"/>
        <tr r="DD66" s="1"/>
      </tp>
      <tp t="e">
        <v>#N/A</v>
        <stp/>
        <stp>ASK</stp>
        <stp>.QQQ250502C486</stp>
        <tr r="DC61" s="1"/>
        <tr r="DC61" s="1"/>
      </tp>
      <tp t="e">
        <v>#N/A</v>
        <stp/>
        <stp>ASK</stp>
        <stp>.QQQ250502P486</stp>
        <tr r="DD61" s="1"/>
        <tr r="DD61" s="1"/>
      </tp>
      <tp t="e">
        <v>#N/A</v>
        <stp/>
        <stp>ASK</stp>
        <stp>.QQQ250502C487</stp>
        <tr r="DC60" s="1"/>
        <tr r="DC60" s="1"/>
      </tp>
      <tp t="e">
        <v>#N/A</v>
        <stp/>
        <stp>ASK</stp>
        <stp>.QQQ250502P487</stp>
        <tr r="DD60" s="1"/>
        <tr r="DD60" s="1"/>
      </tp>
      <tp t="e">
        <v>#N/A</v>
        <stp/>
        <stp>ASK</stp>
        <stp>.QQQ250502C484</stp>
        <tr r="DC63" s="1"/>
        <tr r="DC63" s="1"/>
      </tp>
      <tp t="e">
        <v>#N/A</v>
        <stp/>
        <stp>ASK</stp>
        <stp>.QQQ250502P484</stp>
        <tr r="DD63" s="1"/>
        <tr r="DD63" s="1"/>
      </tp>
      <tp t="e">
        <v>#N/A</v>
        <stp/>
        <stp>ASK</stp>
        <stp>.QQQ250502C485</stp>
        <tr r="DC62" s="1"/>
        <tr r="DC62" s="1"/>
      </tp>
      <tp t="e">
        <v>#N/A</v>
        <stp/>
        <stp>ASK</stp>
        <stp>.QQQ250502P485</stp>
        <tr r="DD62" s="1"/>
        <tr r="DD62" s="1"/>
      </tp>
      <tp t="e">
        <v>#N/A</v>
        <stp/>
        <stp>ASK</stp>
        <stp>.QQQ250502C488</stp>
        <tr r="DC59" s="1"/>
        <tr r="DC59" s="1"/>
      </tp>
      <tp t="e">
        <v>#N/A</v>
        <stp/>
        <stp>ASK</stp>
        <stp>.QQQ250502P488</stp>
        <tr r="DD59" s="1"/>
        <tr r="DD59" s="1"/>
      </tp>
      <tp t="e">
        <v>#N/A</v>
        <stp/>
        <stp>ASK</stp>
        <stp>.QQQ250502C489</stp>
        <tr r="DC58" s="1"/>
        <tr r="DC58" s="1"/>
      </tp>
      <tp t="e">
        <v>#N/A</v>
        <stp/>
        <stp>ASK</stp>
        <stp>.QQQ250502P489</stp>
        <tr r="DD58" s="1"/>
        <tr r="DD58" s="1"/>
      </tp>
      <tp t="e">
        <v>#N/A</v>
        <stp/>
        <stp>ASK</stp>
        <stp>.QQQ250502C492</stp>
        <tr r="DC55" s="1"/>
        <tr r="DC55" s="1"/>
      </tp>
      <tp t="e">
        <v>#N/A</v>
        <stp/>
        <stp>ASK</stp>
        <stp>.QQQ250502P492</stp>
        <tr r="DD55" s="1"/>
        <tr r="DD55" s="1"/>
      </tp>
      <tp t="e">
        <v>#N/A</v>
        <stp/>
        <stp>ASK</stp>
        <stp>.QQQ250502C493</stp>
        <tr r="DC54" s="1"/>
        <tr r="DC54" s="1"/>
      </tp>
      <tp t="e">
        <v>#N/A</v>
        <stp/>
        <stp>ASK</stp>
        <stp>.QQQ250502P493</stp>
        <tr r="DD54" s="1"/>
        <tr r="DD54" s="1"/>
      </tp>
      <tp t="e">
        <v>#N/A</v>
        <stp/>
        <stp>ASK</stp>
        <stp>.QQQ250502C490</stp>
        <tr r="DC57" s="1"/>
        <tr r="DC57" s="1"/>
      </tp>
      <tp t="e">
        <v>#N/A</v>
        <stp/>
        <stp>ASK</stp>
        <stp>.QQQ250502P490</stp>
        <tr r="DD57" s="1"/>
        <tr r="DD57" s="1"/>
      </tp>
      <tp t="e">
        <v>#N/A</v>
        <stp/>
        <stp>ASK</stp>
        <stp>.QQQ250502C491</stp>
        <tr r="DC56" s="1"/>
        <tr r="DC56" s="1"/>
      </tp>
      <tp t="e">
        <v>#N/A</v>
        <stp/>
        <stp>ASK</stp>
        <stp>.QQQ250502P491</stp>
        <tr r="DD56" s="1"/>
        <tr r="DD56" s="1"/>
      </tp>
      <tp t="e">
        <v>#N/A</v>
        <stp/>
        <stp>ASK</stp>
        <stp>.QQQ250502C496</stp>
        <tr r="DC51" s="1"/>
        <tr r="DC51" s="1"/>
      </tp>
      <tp t="e">
        <v>#N/A</v>
        <stp/>
        <stp>ASK</stp>
        <stp>.QQQ250502P496</stp>
        <tr r="DD51" s="1"/>
        <tr r="DD51" s="1"/>
      </tp>
      <tp t="e">
        <v>#N/A</v>
        <stp/>
        <stp>ASK</stp>
        <stp>.QQQ250502C497</stp>
        <tr r="DC50" s="1"/>
        <tr r="DC50" s="1"/>
      </tp>
      <tp t="e">
        <v>#N/A</v>
        <stp/>
        <stp>ASK</stp>
        <stp>.QQQ250502P497</stp>
        <tr r="DD50" s="1"/>
        <tr r="DD50" s="1"/>
      </tp>
      <tp t="e">
        <v>#N/A</v>
        <stp/>
        <stp>ASK</stp>
        <stp>.QQQ250502C494</stp>
        <tr r="DC53" s="1"/>
        <tr r="DC53" s="1"/>
      </tp>
      <tp t="e">
        <v>#N/A</v>
        <stp/>
        <stp>ASK</stp>
        <stp>.QQQ250502P494</stp>
        <tr r="DD53" s="1"/>
        <tr r="DD53" s="1"/>
      </tp>
      <tp t="e">
        <v>#N/A</v>
        <stp/>
        <stp>ASK</stp>
        <stp>.QQQ250502C495</stp>
        <tr r="DC52" s="1"/>
        <tr r="DC52" s="1"/>
      </tp>
      <tp t="e">
        <v>#N/A</v>
        <stp/>
        <stp>ASK</stp>
        <stp>.QQQ250502P495</stp>
        <tr r="DD52" s="1"/>
        <tr r="DD52" s="1"/>
      </tp>
      <tp t="e">
        <v>#N/A</v>
        <stp/>
        <stp>ASK</stp>
        <stp>.QQQ250502C498</stp>
        <tr r="DC49" s="1"/>
        <tr r="DC49" s="1"/>
      </tp>
      <tp t="e">
        <v>#N/A</v>
        <stp/>
        <stp>ASK</stp>
        <stp>.QQQ250502P498</stp>
        <tr r="DD49" s="1"/>
        <tr r="DD49" s="1"/>
      </tp>
      <tp t="e">
        <v>#N/A</v>
        <stp/>
        <stp>ASK</stp>
        <stp>.QQQ250502C499</stp>
        <tr r="DC48" s="1"/>
        <tr r="DC48" s="1"/>
      </tp>
      <tp t="e">
        <v>#N/A</v>
        <stp/>
        <stp>ASK</stp>
        <stp>.QQQ250502P499</stp>
        <tr r="DD48" s="1"/>
        <tr r="DD48" s="1"/>
      </tp>
      <tp>
        <v>25</v>
        <stp/>
        <stp>OPEN_INT</stp>
        <stp>.NDX250516P20300</stp>
        <tr r="AX144" s="1"/>
        <tr r="AX144" s="1"/>
      </tp>
      <tp t="s">
        <v>N/A</v>
        <stp/>
        <stp>OPEN_INT</stp>
        <stp>.NDX250516P20320</stp>
        <tr r="AX143" s="1"/>
      </tp>
      <tp t="s">
        <v>N/A</v>
        <stp/>
        <stp>OPEN_INT</stp>
        <stp>.NDX250516P20340</stp>
        <tr r="AX142" s="1"/>
      </tp>
      <tp t="s">
        <v>N/A</v>
        <stp/>
        <stp>OPEN_INT</stp>
        <stp>.NDX250516P20360</stp>
        <tr r="AX141" s="1"/>
      </tp>
      <tp t="s">
        <v>N/A</v>
        <stp/>
        <stp>OPEN_INT</stp>
        <stp>.NDX250516P20380</stp>
        <tr r="AX140" s="1"/>
      </tp>
      <tp t="s">
        <v>N/A</v>
        <stp/>
        <stp>OPEN_INT</stp>
        <stp>.NDX250516C20320</stp>
        <tr r="AW143" s="1"/>
      </tp>
      <tp>
        <v>43</v>
        <stp/>
        <stp>OPEN_INT</stp>
        <stp>.NDX250516C20300</stp>
        <tr r="AW144" s="1"/>
        <tr r="AW144" s="1"/>
      </tp>
      <tp t="e">
        <v>#N/A</v>
        <stp/>
        <stp>OPEN_INT</stp>
        <stp>.SPY250502P566</stp>
        <tr r="AT20" s="1"/>
        <tr r="AT20" s="1"/>
      </tp>
      <tp t="e">
        <v>#N/A</v>
        <stp/>
        <stp>OPEN_INT</stp>
        <stp>.SPY250516P572</stp>
        <tr r="AX14" s="1"/>
        <tr r="AX14" s="1"/>
      </tp>
      <tp t="e">
        <v>#N/A</v>
        <stp/>
        <stp>OPEN_INT</stp>
        <stp>.SPY250502C566</stp>
        <tr r="AS20" s="1"/>
        <tr r="AS20" s="1"/>
      </tp>
      <tp t="e">
        <v>#N/A</v>
        <stp/>
        <stp>OPEN_INT</stp>
        <stp>.SPY250516C572</stp>
        <tr r="AW14" s="1"/>
        <tr r="AW14" s="1"/>
      </tp>
      <tp t="e">
        <v>#N/A</v>
        <stp/>
        <stp>OPEN_INT</stp>
        <stp>.SPY250502P567</stp>
        <tr r="AT19" s="1"/>
        <tr r="AT19" s="1"/>
      </tp>
      <tp t="e">
        <v>#N/A</v>
        <stp/>
        <stp>OPEN_INT</stp>
        <stp>.SPY250516P573</stp>
        <tr r="AX13" s="1"/>
        <tr r="AX13" s="1"/>
      </tp>
      <tp t="e">
        <v>#N/A</v>
        <stp/>
        <stp>OPEN_INT</stp>
        <stp>.SPY250502C567</stp>
        <tr r="AS19" s="1"/>
        <tr r="AS19" s="1"/>
      </tp>
      <tp t="e">
        <v>#N/A</v>
        <stp/>
        <stp>OPEN_INT</stp>
        <stp>.SPY250516C573</stp>
        <tr r="AW13" s="1"/>
        <tr r="AW13" s="1"/>
      </tp>
      <tp t="e">
        <v>#N/A</v>
        <stp/>
        <stp>OPEN_INT</stp>
        <stp>.SPY250502P564</stp>
        <tr r="AT22" s="1"/>
        <tr r="AT22" s="1"/>
      </tp>
      <tp t="e">
        <v>#N/A</v>
        <stp/>
        <stp>OPEN_INT</stp>
        <stp>.SPY250516P570</stp>
        <tr r="AX16" s="1"/>
        <tr r="AX16" s="1"/>
      </tp>
      <tp t="e">
        <v>#N/A</v>
        <stp/>
        <stp>OPEN_INT</stp>
        <stp>.SPY250502C564</stp>
        <tr r="AS22" s="1"/>
        <tr r="AS22" s="1"/>
      </tp>
      <tp t="e">
        <v>#N/A</v>
        <stp/>
        <stp>OPEN_INT</stp>
        <stp>.SPY250516C570</stp>
        <tr r="AW16" s="1"/>
        <tr r="AW16" s="1"/>
      </tp>
      <tp t="e">
        <v>#N/A</v>
        <stp/>
        <stp>OPEN_INT</stp>
        <stp>.SPY250502P565</stp>
        <tr r="AT21" s="1"/>
        <tr r="AT21" s="1"/>
      </tp>
      <tp t="e">
        <v>#N/A</v>
        <stp/>
        <stp>OPEN_INT</stp>
        <stp>.SPY250516P571</stp>
        <tr r="AX15" s="1"/>
        <tr r="AX15" s="1"/>
      </tp>
      <tp t="e">
        <v>#N/A</v>
        <stp/>
        <stp>OPEN_INT</stp>
        <stp>.SPY250502C565</stp>
        <tr r="AS21" s="1"/>
        <tr r="AS21" s="1"/>
      </tp>
      <tp t="e">
        <v>#N/A</v>
        <stp/>
        <stp>OPEN_INT</stp>
        <stp>.SPY250516C571</stp>
        <tr r="AW15" s="1"/>
        <tr r="AW15" s="1"/>
      </tp>
      <tp t="e">
        <v>#N/A</v>
        <stp/>
        <stp>OPEN_INT</stp>
        <stp>.SPY250502P562</stp>
        <tr r="AT24" s="1"/>
        <tr r="AT24" s="1"/>
      </tp>
      <tp t="e">
        <v>#N/A</v>
        <stp/>
        <stp>OPEN_INT</stp>
        <stp>.SPY250509P569</stp>
        <tr r="AV17" s="1"/>
        <tr r="AV17" s="1"/>
      </tp>
      <tp t="e">
        <v>#N/A</v>
        <stp/>
        <stp>OPEN_INT</stp>
        <stp>.SPY250516P576</stp>
        <tr r="AX10" s="1"/>
        <tr r="AX10" s="1"/>
      </tp>
      <tp t="e">
        <v>#N/A</v>
        <stp/>
        <stp>OPEN_INT</stp>
        <stp>.SPY250502C562</stp>
        <tr r="AS24" s="1"/>
        <tr r="AS24" s="1"/>
      </tp>
      <tp t="e">
        <v>#N/A</v>
        <stp/>
        <stp>OPEN_INT</stp>
        <stp>.SPY250509C569</stp>
        <tr r="AU17" s="1"/>
        <tr r="AU17" s="1"/>
      </tp>
      <tp t="e">
        <v>#N/A</v>
        <stp/>
        <stp>OPEN_INT</stp>
        <stp>.SPY250516C576</stp>
        <tr r="AW10" s="1"/>
        <tr r="AW10" s="1"/>
      </tp>
      <tp t="e">
        <v>#N/A</v>
        <stp/>
        <stp>OPEN_INT</stp>
        <stp>.SPY250502P563</stp>
        <tr r="AT23" s="1"/>
        <tr r="AT23" s="1"/>
      </tp>
      <tp t="e">
        <v>#N/A</v>
        <stp/>
        <stp>OPEN_INT</stp>
        <stp>.SPY250509P568</stp>
        <tr r="AV18" s="1"/>
        <tr r="AV18" s="1"/>
      </tp>
      <tp t="e">
        <v>#N/A</v>
        <stp/>
        <stp>OPEN_INT</stp>
        <stp>.SPY250516P577</stp>
        <tr r="AX9" s="1"/>
        <tr r="AX9" s="1"/>
      </tp>
      <tp t="e">
        <v>#N/A</v>
        <stp/>
        <stp>OPEN_INT</stp>
        <stp>.SPY250502C563</stp>
        <tr r="AS23" s="1"/>
        <tr r="AS23" s="1"/>
      </tp>
      <tp t="e">
        <v>#N/A</v>
        <stp/>
        <stp>OPEN_INT</stp>
        <stp>.SPY250509C568</stp>
        <tr r="AU18" s="1"/>
        <tr r="AU18" s="1"/>
      </tp>
      <tp t="e">
        <v>#N/A</v>
        <stp/>
        <stp>OPEN_INT</stp>
        <stp>.SPY250516C577</stp>
        <tr r="AW9" s="1"/>
        <tr r="AW9" s="1"/>
      </tp>
      <tp t="e">
        <v>#N/A</v>
        <stp/>
        <stp>OPEN_INT</stp>
        <stp>.SPY250502P560</stp>
        <tr r="AT26" s="1"/>
        <tr r="AT26" s="1"/>
      </tp>
      <tp t="e">
        <v>#N/A</v>
        <stp/>
        <stp>OPEN_INT</stp>
        <stp>.SPY250516P574</stp>
        <tr r="AX12" s="1"/>
        <tr r="AX12" s="1"/>
      </tp>
      <tp t="e">
        <v>#N/A</v>
        <stp/>
        <stp>OPEN_INT</stp>
        <stp>.SPY250502C560</stp>
        <tr r="AS26" s="1"/>
        <tr r="AS26" s="1"/>
      </tp>
      <tp t="e">
        <v>#N/A</v>
        <stp/>
        <stp>OPEN_INT</stp>
        <stp>.SPY250516C574</stp>
        <tr r="AW12" s="1"/>
        <tr r="AW12" s="1"/>
      </tp>
      <tp t="e">
        <v>#N/A</v>
        <stp/>
        <stp>OPEN_INT</stp>
        <stp>.SPY250502P561</stp>
        <tr r="AT25" s="1"/>
        <tr r="AT25" s="1"/>
      </tp>
      <tp t="e">
        <v>#N/A</v>
        <stp/>
        <stp>OPEN_INT</stp>
        <stp>.SPY250516P575</stp>
        <tr r="AX11" s="1"/>
        <tr r="AX11" s="1"/>
      </tp>
      <tp t="e">
        <v>#N/A</v>
        <stp/>
        <stp>OPEN_INT</stp>
        <stp>.SPY250502C561</stp>
        <tr r="AS25" s="1"/>
        <tr r="AS25" s="1"/>
      </tp>
      <tp t="e">
        <v>#N/A</v>
        <stp/>
        <stp>OPEN_INT</stp>
        <stp>.SPY250516C575</stp>
        <tr r="AW11" s="1"/>
        <tr r="AW11" s="1"/>
      </tp>
      <tp t="e">
        <v>#N/A</v>
        <stp/>
        <stp>OPEN_INT</stp>
        <stp>.SPY250509P565</stp>
        <tr r="AV21" s="1"/>
        <tr r="AV21" s="1"/>
      </tp>
      <tp t="e">
        <v>#N/A</v>
        <stp/>
        <stp>OPEN_INT</stp>
        <stp>.SPY250509C565</stp>
        <tr r="AU21" s="1"/>
        <tr r="AU21" s="1"/>
      </tp>
      <tp t="e">
        <v>#N/A</v>
        <stp/>
        <stp>OPEN_INT</stp>
        <stp>.SPY250509P564</stp>
        <tr r="AV22" s="1"/>
        <tr r="AV22" s="1"/>
      </tp>
      <tp t="e">
        <v>#N/A</v>
        <stp/>
        <stp>OPEN_INT</stp>
        <stp>.SPY250509C564</stp>
        <tr r="AU22" s="1"/>
        <tr r="AU22" s="1"/>
      </tp>
      <tp t="e">
        <v>#N/A</v>
        <stp/>
        <stp>OPEN_INT</stp>
        <stp>.SPY250509P567</stp>
        <tr r="AV19" s="1"/>
        <tr r="AV19" s="1"/>
      </tp>
      <tp t="e">
        <v>#N/A</v>
        <stp/>
        <stp>OPEN_INT</stp>
        <stp>.SPY250516P578</stp>
        <tr r="AX8" s="1"/>
        <tr r="AX8" s="1"/>
      </tp>
      <tp t="e">
        <v>#N/A</v>
        <stp/>
        <stp>OPEN_INT</stp>
        <stp>.SPY250509C567</stp>
        <tr r="AU19" s="1"/>
        <tr r="AU19" s="1"/>
      </tp>
      <tp t="e">
        <v>#N/A</v>
        <stp/>
        <stp>OPEN_INT</stp>
        <stp>.SPY250516C578</stp>
        <tr r="AW8" s="1"/>
        <tr r="AW8" s="1"/>
      </tp>
      <tp t="e">
        <v>#N/A</v>
        <stp/>
        <stp>OPEN_INT</stp>
        <stp>.SPY250509P566</stp>
        <tr r="AV20" s="1"/>
        <tr r="AV20" s="1"/>
      </tp>
      <tp t="e">
        <v>#N/A</v>
        <stp/>
        <stp>OPEN_INT</stp>
        <stp>.SPY250516P579</stp>
        <tr r="AX7" s="1"/>
        <tr r="AX7" s="1"/>
      </tp>
      <tp t="e">
        <v>#N/A</v>
        <stp/>
        <stp>OPEN_INT</stp>
        <stp>.SPY250509C566</stp>
        <tr r="AU20" s="1"/>
        <tr r="AU20" s="1"/>
      </tp>
      <tp t="e">
        <v>#N/A</v>
        <stp/>
        <stp>OPEN_INT</stp>
        <stp>.SPY250516C579</stp>
        <tr r="AW7" s="1"/>
        <tr r="AW7" s="1"/>
      </tp>
      <tp t="e">
        <v>#N/A</v>
        <stp/>
        <stp>OPEN_INT</stp>
        <stp>.SPY250509P561</stp>
        <tr r="AV25" s="1"/>
        <tr r="AV25" s="1"/>
      </tp>
      <tp t="e">
        <v>#N/A</v>
        <stp/>
        <stp>OPEN_INT</stp>
        <stp>.SPY250509C561</stp>
        <tr r="AU25" s="1"/>
        <tr r="AU25" s="1"/>
      </tp>
      <tp t="e">
        <v>#N/A</v>
        <stp/>
        <stp>OPEN_INT</stp>
        <stp>.SPY250509P560</stp>
        <tr r="AV26" s="1"/>
        <tr r="AV26" s="1"/>
      </tp>
      <tp t="e">
        <v>#N/A</v>
        <stp/>
        <stp>OPEN_INT</stp>
        <stp>.SPY250509C560</stp>
        <tr r="AU26" s="1"/>
        <tr r="AU26" s="1"/>
      </tp>
      <tp t="e">
        <v>#N/A</v>
        <stp/>
        <stp>OPEN_INT</stp>
        <stp>.SPY250502P568</stp>
        <tr r="AT18" s="1"/>
        <tr r="AT18" s="1"/>
      </tp>
      <tp t="e">
        <v>#N/A</v>
        <stp/>
        <stp>OPEN_INT</stp>
        <stp>.SPY250509P563</stp>
        <tr r="AV23" s="1"/>
        <tr r="AV23" s="1"/>
      </tp>
      <tp t="e">
        <v>#N/A</v>
        <stp/>
        <stp>OPEN_INT</stp>
        <stp>.SPY250502C568</stp>
        <tr r="AS18" s="1"/>
        <tr r="AS18" s="1"/>
      </tp>
      <tp t="e">
        <v>#N/A</v>
        <stp/>
        <stp>OPEN_INT</stp>
        <stp>.SPY250509C563</stp>
        <tr r="AU23" s="1"/>
        <tr r="AU23" s="1"/>
      </tp>
      <tp t="e">
        <v>#N/A</v>
        <stp/>
        <stp>OPEN_INT</stp>
        <stp>.SPY250502P569</stp>
        <tr r="AT17" s="1"/>
        <tr r="AT17" s="1"/>
      </tp>
      <tp t="e">
        <v>#N/A</v>
        <stp/>
        <stp>OPEN_INT</stp>
        <stp>.SPY250509P562</stp>
        <tr r="AV24" s="1"/>
        <tr r="AV24" s="1"/>
      </tp>
      <tp t="e">
        <v>#N/A</v>
        <stp/>
        <stp>OPEN_INT</stp>
        <stp>.SPY250502C569</stp>
        <tr r="AS17" s="1"/>
        <tr r="AS17" s="1"/>
      </tp>
      <tp t="e">
        <v>#N/A</v>
        <stp/>
        <stp>OPEN_INT</stp>
        <stp>.SPY250509C562</stp>
        <tr r="AU24" s="1"/>
        <tr r="AU24" s="1"/>
      </tp>
      <tp t="e">
        <v>#N/A</v>
        <stp/>
        <stp>OPEN_INT</stp>
        <stp>.SPY250502P576</stp>
        <tr r="AT10" s="1"/>
        <tr r="AT10" s="1"/>
      </tp>
      <tp t="e">
        <v>#N/A</v>
        <stp/>
        <stp>OPEN_INT</stp>
        <stp>.SPY250516P562</stp>
        <tr r="AX24" s="1"/>
        <tr r="AX24" s="1"/>
      </tp>
      <tp t="e">
        <v>#N/A</v>
        <stp/>
        <stp>OPEN_INT</stp>
        <stp>.SPY250502C576</stp>
        <tr r="AS10" s="1"/>
        <tr r="AS10" s="1"/>
      </tp>
      <tp t="e">
        <v>#N/A</v>
        <stp/>
        <stp>OPEN_INT</stp>
        <stp>.SPY250516C562</stp>
        <tr r="AW24" s="1"/>
        <tr r="AW24" s="1"/>
      </tp>
      <tp t="e">
        <v>#N/A</v>
        <stp/>
        <stp>OPEN_INT</stp>
        <stp>.SPY250502P577</stp>
        <tr r="AT9" s="1"/>
        <tr r="AT9" s="1"/>
      </tp>
      <tp t="e">
        <v>#N/A</v>
        <stp/>
        <stp>OPEN_INT</stp>
        <stp>.SPY250516P563</stp>
        <tr r="AX23" s="1"/>
        <tr r="AX23" s="1"/>
      </tp>
      <tp t="e">
        <v>#N/A</v>
        <stp/>
        <stp>OPEN_INT</stp>
        <stp>.SPY250502C577</stp>
        <tr r="AS9" s="1"/>
        <tr r="AS9" s="1"/>
      </tp>
      <tp t="e">
        <v>#N/A</v>
        <stp/>
        <stp>OPEN_INT</stp>
        <stp>.SPY250516C563</stp>
        <tr r="AW23" s="1"/>
        <tr r="AW23" s="1"/>
      </tp>
      <tp t="e">
        <v>#N/A</v>
        <stp/>
        <stp>OPEN_INT</stp>
        <stp>.SPY250502P574</stp>
        <tr r="AT12" s="1"/>
        <tr r="AT12" s="1"/>
      </tp>
      <tp t="e">
        <v>#N/A</v>
        <stp/>
        <stp>OPEN_INT</stp>
        <stp>.SPY250516P560</stp>
        <tr r="AX26" s="1"/>
        <tr r="AX26" s="1"/>
      </tp>
      <tp t="e">
        <v>#N/A</v>
        <stp/>
        <stp>OPEN_INT</stp>
        <stp>.SPY250502C574</stp>
        <tr r="AS12" s="1"/>
        <tr r="AS12" s="1"/>
      </tp>
      <tp t="e">
        <v>#N/A</v>
        <stp/>
        <stp>OPEN_INT</stp>
        <stp>.SPY250516C560</stp>
        <tr r="AW26" s="1"/>
        <tr r="AW26" s="1"/>
      </tp>
      <tp t="e">
        <v>#N/A</v>
        <stp/>
        <stp>OPEN_INT</stp>
        <stp>.SPY250502P575</stp>
        <tr r="AT11" s="1"/>
        <tr r="AT11" s="1"/>
      </tp>
      <tp t="e">
        <v>#N/A</v>
        <stp/>
        <stp>OPEN_INT</stp>
        <stp>.SPY250516P561</stp>
        <tr r="AX25" s="1"/>
        <tr r="AX25" s="1"/>
      </tp>
      <tp t="e">
        <v>#N/A</v>
        <stp/>
        <stp>OPEN_INT</stp>
        <stp>.SPY250502C575</stp>
        <tr r="AS11" s="1"/>
        <tr r="AS11" s="1"/>
      </tp>
      <tp t="e">
        <v>#N/A</v>
        <stp/>
        <stp>OPEN_INT</stp>
        <stp>.SPY250516C561</stp>
        <tr r="AW25" s="1"/>
        <tr r="AW25" s="1"/>
      </tp>
      <tp t="e">
        <v>#N/A</v>
        <stp/>
        <stp>OPEN_INT</stp>
        <stp>.SPY250502P572</stp>
        <tr r="AT14" s="1"/>
        <tr r="AT14" s="1"/>
      </tp>
      <tp t="e">
        <v>#N/A</v>
        <stp/>
        <stp>OPEN_INT</stp>
        <stp>.SPY250509P579</stp>
        <tr r="AV7" s="1"/>
        <tr r="AV7" s="1"/>
      </tp>
      <tp t="e">
        <v>#N/A</v>
        <stp/>
        <stp>OPEN_INT</stp>
        <stp>.SPY250516P566</stp>
        <tr r="AX20" s="1"/>
        <tr r="AX20" s="1"/>
      </tp>
      <tp t="e">
        <v>#N/A</v>
        <stp/>
        <stp>OPEN_INT</stp>
        <stp>.SPY250502C572</stp>
        <tr r="AS14" s="1"/>
        <tr r="AS14" s="1"/>
      </tp>
      <tp t="e">
        <v>#N/A</v>
        <stp/>
        <stp>OPEN_INT</stp>
        <stp>.SPY250509C579</stp>
        <tr r="AU7" s="1"/>
        <tr r="AU7" s="1"/>
      </tp>
      <tp t="e">
        <v>#N/A</v>
        <stp/>
        <stp>OPEN_INT</stp>
        <stp>.SPY250516C566</stp>
        <tr r="AW20" s="1"/>
        <tr r="AW20" s="1"/>
      </tp>
      <tp t="e">
        <v>#N/A</v>
        <stp/>
        <stp>OPEN_INT</stp>
        <stp>.SPY250502P573</stp>
        <tr r="AT13" s="1"/>
        <tr r="AT13" s="1"/>
      </tp>
      <tp t="e">
        <v>#N/A</v>
        <stp/>
        <stp>OPEN_INT</stp>
        <stp>.SPY250509P578</stp>
        <tr r="AV8" s="1"/>
        <tr r="AV8" s="1"/>
      </tp>
      <tp t="e">
        <v>#N/A</v>
        <stp/>
        <stp>OPEN_INT</stp>
        <stp>.SPY250516P567</stp>
        <tr r="AX19" s="1"/>
        <tr r="AX19" s="1"/>
      </tp>
      <tp t="e">
        <v>#N/A</v>
        <stp/>
        <stp>OPEN_INT</stp>
        <stp>.SPY250502C573</stp>
        <tr r="AS13" s="1"/>
        <tr r="AS13" s="1"/>
      </tp>
      <tp t="e">
        <v>#N/A</v>
        <stp/>
        <stp>OPEN_INT</stp>
        <stp>.SPY250509C578</stp>
        <tr r="AU8" s="1"/>
        <tr r="AU8" s="1"/>
      </tp>
      <tp t="e">
        <v>#N/A</v>
        <stp/>
        <stp>OPEN_INT</stp>
        <stp>.SPY250516C567</stp>
        <tr r="AW19" s="1"/>
        <tr r="AW19" s="1"/>
      </tp>
      <tp t="e">
        <v>#N/A</v>
        <stp/>
        <stp>OPEN_INT</stp>
        <stp>.SPY250502P570</stp>
        <tr r="AT16" s="1"/>
        <tr r="AT16" s="1"/>
      </tp>
      <tp t="e">
        <v>#N/A</v>
        <stp/>
        <stp>OPEN_INT</stp>
        <stp>.SPY250516P564</stp>
        <tr r="AX22" s="1"/>
        <tr r="AX22" s="1"/>
      </tp>
      <tp t="e">
        <v>#N/A</v>
        <stp/>
        <stp>OPEN_INT</stp>
        <stp>.SPY250502C570</stp>
        <tr r="AS16" s="1"/>
        <tr r="AS16" s="1"/>
      </tp>
      <tp t="e">
        <v>#N/A</v>
        <stp/>
        <stp>OPEN_INT</stp>
        <stp>.SPY250516C564</stp>
        <tr r="AW22" s="1"/>
        <tr r="AW22" s="1"/>
      </tp>
      <tp t="e">
        <v>#N/A</v>
        <stp/>
        <stp>OPEN_INT</stp>
        <stp>.SPY250502P571</stp>
        <tr r="AT15" s="1"/>
        <tr r="AT15" s="1"/>
      </tp>
      <tp t="e">
        <v>#N/A</v>
        <stp/>
        <stp>OPEN_INT</stp>
        <stp>.SPY250516P565</stp>
        <tr r="AX21" s="1"/>
        <tr r="AX21" s="1"/>
      </tp>
      <tp t="e">
        <v>#N/A</v>
        <stp/>
        <stp>OPEN_INT</stp>
        <stp>.SPY250502C571</stp>
        <tr r="AS15" s="1"/>
        <tr r="AS15" s="1"/>
      </tp>
      <tp t="e">
        <v>#N/A</v>
        <stp/>
        <stp>OPEN_INT</stp>
        <stp>.SPY250516C565</stp>
        <tr r="AW21" s="1"/>
        <tr r="AW21" s="1"/>
      </tp>
      <tp t="e">
        <v>#N/A</v>
        <stp/>
        <stp>OPEN_INT</stp>
        <stp>.SPY250509P575</stp>
        <tr r="AV11" s="1"/>
        <tr r="AV11" s="1"/>
      </tp>
      <tp t="e">
        <v>#N/A</v>
        <stp/>
        <stp>OPEN_INT</stp>
        <stp>.SPY250509C575</stp>
        <tr r="AU11" s="1"/>
        <tr r="AU11" s="1"/>
      </tp>
      <tp t="e">
        <v>#N/A</v>
        <stp/>
        <stp>OPEN_INT</stp>
        <stp>.SPY250509P574</stp>
        <tr r="AV12" s="1"/>
        <tr r="AV12" s="1"/>
      </tp>
      <tp t="e">
        <v>#N/A</v>
        <stp/>
        <stp>OPEN_INT</stp>
        <stp>.SPY250509C574</stp>
        <tr r="AU12" s="1"/>
        <tr r="AU12" s="1"/>
      </tp>
      <tp t="e">
        <v>#N/A</v>
        <stp/>
        <stp>OPEN_INT</stp>
        <stp>.SPY250509P577</stp>
        <tr r="AV9" s="1"/>
        <tr r="AV9" s="1"/>
      </tp>
      <tp t="e">
        <v>#N/A</v>
        <stp/>
        <stp>OPEN_INT</stp>
        <stp>.SPY250516P568</stp>
        <tr r="AX18" s="1"/>
        <tr r="AX18" s="1"/>
      </tp>
      <tp t="e">
        <v>#N/A</v>
        <stp/>
        <stp>OPEN_INT</stp>
        <stp>.SPY250509C577</stp>
        <tr r="AU9" s="1"/>
        <tr r="AU9" s="1"/>
      </tp>
      <tp t="e">
        <v>#N/A</v>
        <stp/>
        <stp>OPEN_INT</stp>
        <stp>.SPY250516C568</stp>
        <tr r="AW18" s="1"/>
        <tr r="AW18" s="1"/>
      </tp>
      <tp t="e">
        <v>#N/A</v>
        <stp/>
        <stp>OPEN_INT</stp>
        <stp>.SPY250509P576</stp>
        <tr r="AV10" s="1"/>
        <tr r="AV10" s="1"/>
      </tp>
      <tp t="e">
        <v>#N/A</v>
        <stp/>
        <stp>OPEN_INT</stp>
        <stp>.SPY250516P569</stp>
        <tr r="AX17" s="1"/>
        <tr r="AX17" s="1"/>
      </tp>
      <tp t="e">
        <v>#N/A</v>
        <stp/>
        <stp>OPEN_INT</stp>
        <stp>.SPY250509C576</stp>
        <tr r="AU10" s="1"/>
        <tr r="AU10" s="1"/>
      </tp>
      <tp t="e">
        <v>#N/A</v>
        <stp/>
        <stp>OPEN_INT</stp>
        <stp>.SPY250516C569</stp>
        <tr r="AW17" s="1"/>
        <tr r="AW17" s="1"/>
      </tp>
      <tp t="e">
        <v>#N/A</v>
        <stp/>
        <stp>OPEN_INT</stp>
        <stp>.SPY250509P571</stp>
        <tr r="AV15" s="1"/>
        <tr r="AV15" s="1"/>
      </tp>
      <tp t="e">
        <v>#N/A</v>
        <stp/>
        <stp>OPEN_INT</stp>
        <stp>.SPY250509C571</stp>
        <tr r="AU15" s="1"/>
        <tr r="AU15" s="1"/>
      </tp>
      <tp t="e">
        <v>#N/A</v>
        <stp/>
        <stp>OPEN_INT</stp>
        <stp>.SPY250509P570</stp>
        <tr r="AV16" s="1"/>
        <tr r="AV16" s="1"/>
      </tp>
      <tp t="e">
        <v>#N/A</v>
        <stp/>
        <stp>OPEN_INT</stp>
        <stp>.SPY250509C570</stp>
        <tr r="AU16" s="1"/>
        <tr r="AU16" s="1"/>
      </tp>
      <tp t="e">
        <v>#N/A</v>
        <stp/>
        <stp>OPEN_INT</stp>
        <stp>.SPY250502P578</stp>
        <tr r="AT8" s="1"/>
        <tr r="AT8" s="1"/>
      </tp>
      <tp t="e">
        <v>#N/A</v>
        <stp/>
        <stp>OPEN_INT</stp>
        <stp>.SPY250509P573</stp>
        <tr r="AV13" s="1"/>
        <tr r="AV13" s="1"/>
      </tp>
      <tp t="e">
        <v>#N/A</v>
        <stp/>
        <stp>OPEN_INT</stp>
        <stp>.SPY250502C578</stp>
        <tr r="AS8" s="1"/>
        <tr r="AS8" s="1"/>
      </tp>
      <tp t="e">
        <v>#N/A</v>
        <stp/>
        <stp>OPEN_INT</stp>
        <stp>.SPY250509C573</stp>
        <tr r="AU13" s="1"/>
        <tr r="AU13" s="1"/>
      </tp>
      <tp t="e">
        <v>#N/A</v>
        <stp/>
        <stp>OPEN_INT</stp>
        <stp>.SPY250502P579</stp>
        <tr r="AT7" s="1"/>
        <tr r="AT7" s="1"/>
      </tp>
      <tp t="e">
        <v>#N/A</v>
        <stp/>
        <stp>OPEN_INT</stp>
        <stp>.SPY250509P572</stp>
        <tr r="AV14" s="1"/>
        <tr r="AV14" s="1"/>
      </tp>
      <tp t="e">
        <v>#N/A</v>
        <stp/>
        <stp>OPEN_INT</stp>
        <stp>.SPY250502C579</stp>
        <tr r="AS7" s="1"/>
        <tr r="AS7" s="1"/>
      </tp>
      <tp t="e">
        <v>#N/A</v>
        <stp/>
        <stp>OPEN_INT</stp>
        <stp>.SPY250509C572</stp>
        <tr r="AU14" s="1"/>
        <tr r="AU14" s="1"/>
      </tp>
      <tp t="s">
        <v>N/A</v>
        <stp/>
        <stp>OPEN_INT</stp>
        <stp>.NDX250516C20360</stp>
        <tr r="AW141" s="1"/>
      </tp>
      <tp t="e">
        <v>#N/A</v>
        <stp/>
        <stp>OPEN_INT</stp>
        <stp>.SPY250516P552</stp>
        <tr r="AX34" s="1"/>
        <tr r="AX34" s="1"/>
      </tp>
      <tp t="e">
        <v>#N/A</v>
        <stp/>
        <stp>OPEN_INT</stp>
        <stp>.SPY250516C552</stp>
        <tr r="AW34" s="1"/>
        <tr r="AW34" s="1"/>
      </tp>
      <tp t="e">
        <v>#N/A</v>
        <stp/>
        <stp>OPEN_INT</stp>
        <stp>.SPY250516P553</stp>
        <tr r="AX33" s="1"/>
        <tr r="AX33" s="1"/>
      </tp>
      <tp t="e">
        <v>#N/A</v>
        <stp/>
        <stp>OPEN_INT</stp>
        <stp>.SPY250516C553</stp>
        <tr r="AW33" s="1"/>
        <tr r="AW33" s="1"/>
      </tp>
      <tp t="e">
        <v>#N/A</v>
        <stp/>
        <stp>OPEN_INT</stp>
        <stp>.SPY250516P550</stp>
        <tr r="AX36" s="1"/>
        <tr r="AX36" s="1"/>
      </tp>
      <tp t="e">
        <v>#N/A</v>
        <stp/>
        <stp>OPEN_INT</stp>
        <stp>.SPY250516C550</stp>
        <tr r="AW36" s="1"/>
        <tr r="AW36" s="1"/>
      </tp>
      <tp t="e">
        <v>#N/A</v>
        <stp/>
        <stp>OPEN_INT</stp>
        <stp>.SPY250516P551</stp>
        <tr r="AX35" s="1"/>
        <tr r="AX35" s="1"/>
      </tp>
      <tp t="e">
        <v>#N/A</v>
        <stp/>
        <stp>OPEN_INT</stp>
        <stp>.SPY250516C551</stp>
        <tr r="AW35" s="1"/>
        <tr r="AW35" s="1"/>
      </tp>
      <tp t="e">
        <v>#N/A</v>
        <stp/>
        <stp>OPEN_INT</stp>
        <stp>.SPY250509P549</stp>
        <tr r="AV37" s="1"/>
        <tr r="AV37" s="1"/>
      </tp>
      <tp t="e">
        <v>#N/A</v>
        <stp/>
        <stp>OPEN_INT</stp>
        <stp>.SPY250516P556</stp>
        <tr r="AX30" s="1"/>
        <tr r="AX30" s="1"/>
      </tp>
      <tp t="e">
        <v>#N/A</v>
        <stp/>
        <stp>OPEN_INT</stp>
        <stp>.SPY250509C549</stp>
        <tr r="AU37" s="1"/>
        <tr r="AU37" s="1"/>
      </tp>
      <tp t="e">
        <v>#N/A</v>
        <stp/>
        <stp>OPEN_INT</stp>
        <stp>.SPY250516C556</stp>
        <tr r="AW30" s="1"/>
        <tr r="AW30" s="1"/>
      </tp>
      <tp t="e">
        <v>#N/A</v>
        <stp/>
        <stp>OPEN_INT</stp>
        <stp>.SPY250509P548</stp>
        <tr r="AV38" s="1"/>
        <tr r="AV38" s="1"/>
      </tp>
      <tp t="e">
        <v>#N/A</v>
        <stp/>
        <stp>OPEN_INT</stp>
        <stp>.SPY250516P557</stp>
        <tr r="AX29" s="1"/>
        <tr r="AX29" s="1"/>
      </tp>
      <tp t="e">
        <v>#N/A</v>
        <stp/>
        <stp>OPEN_INT</stp>
        <stp>.SPY250509C548</stp>
        <tr r="AU38" s="1"/>
        <tr r="AU38" s="1"/>
      </tp>
      <tp t="e">
        <v>#N/A</v>
        <stp/>
        <stp>OPEN_INT</stp>
        <stp>.SPY250516C557</stp>
        <tr r="AW29" s="1"/>
        <tr r="AW29" s="1"/>
      </tp>
      <tp t="e">
        <v>#N/A</v>
        <stp/>
        <stp>OPEN_INT</stp>
        <stp>.SPY250516P554</stp>
        <tr r="AX32" s="1"/>
        <tr r="AX32" s="1"/>
      </tp>
      <tp t="e">
        <v>#N/A</v>
        <stp/>
        <stp>OPEN_INT</stp>
        <stp>.SPY250516C554</stp>
        <tr r="AW32" s="1"/>
        <tr r="AW32" s="1"/>
      </tp>
      <tp t="e">
        <v>#N/A</v>
        <stp/>
        <stp>OPEN_INT</stp>
        <stp>.SPY250516P555</stp>
        <tr r="AX31" s="1"/>
        <tr r="AX31" s="1"/>
      </tp>
      <tp t="e">
        <v>#N/A</v>
        <stp/>
        <stp>OPEN_INT</stp>
        <stp>.SPY250516C555</stp>
        <tr r="AW31" s="1"/>
        <tr r="AW31" s="1"/>
      </tp>
      <tp t="e">
        <v>#N/A</v>
        <stp/>
        <stp>OPEN_INT</stp>
        <stp>.SPY250516P558</stp>
        <tr r="AX28" s="1"/>
        <tr r="AX28" s="1"/>
      </tp>
      <tp t="e">
        <v>#N/A</v>
        <stp/>
        <stp>OPEN_INT</stp>
        <stp>.SPY250516C558</stp>
        <tr r="AW28" s="1"/>
        <tr r="AW28" s="1"/>
      </tp>
      <tp t="e">
        <v>#N/A</v>
        <stp/>
        <stp>OPEN_INT</stp>
        <stp>.SPY250516P559</stp>
        <tr r="AX27" s="1"/>
        <tr r="AX27" s="1"/>
      </tp>
      <tp t="e">
        <v>#N/A</v>
        <stp/>
        <stp>OPEN_INT</stp>
        <stp>.SPY250516C559</stp>
        <tr r="AW27" s="1"/>
        <tr r="AW27" s="1"/>
      </tp>
      <tp t="e">
        <v>#N/A</v>
        <stp/>
        <stp>OPEN_INT</stp>
        <stp>.SPY250502P548</stp>
        <tr r="AT38" s="1"/>
        <tr r="AT38" s="1"/>
      </tp>
      <tp t="e">
        <v>#N/A</v>
        <stp/>
        <stp>OPEN_INT</stp>
        <stp>.SPY250502C548</stp>
        <tr r="AS38" s="1"/>
        <tr r="AS38" s="1"/>
      </tp>
      <tp t="e">
        <v>#N/A</v>
        <stp/>
        <stp>OPEN_INT</stp>
        <stp>.SPY250502P549</stp>
        <tr r="AT37" s="1"/>
        <tr r="AT37" s="1"/>
      </tp>
      <tp t="e">
        <v>#N/A</v>
        <stp/>
        <stp>OPEN_INT</stp>
        <stp>.SPY250502C549</stp>
        <tr r="AS37" s="1"/>
        <tr r="AS37" s="1"/>
      </tp>
      <tp t="e">
        <v>#N/A</v>
        <stp/>
        <stp>OPEN_INT</stp>
        <stp>.SPY250502P556</stp>
        <tr r="AT30" s="1"/>
        <tr r="AT30" s="1"/>
      </tp>
      <tp t="e">
        <v>#N/A</v>
        <stp/>
        <stp>OPEN_INT</stp>
        <stp>.SPY250502C556</stp>
        <tr r="AS30" s="1"/>
        <tr r="AS30" s="1"/>
      </tp>
      <tp t="e">
        <v>#N/A</v>
        <stp/>
        <stp>OPEN_INT</stp>
        <stp>.SPY250502P557</stp>
        <tr r="AT29" s="1"/>
        <tr r="AT29" s="1"/>
      </tp>
      <tp t="e">
        <v>#N/A</v>
        <stp/>
        <stp>OPEN_INT</stp>
        <stp>.SPY250502C557</stp>
        <tr r="AS29" s="1"/>
        <tr r="AS29" s="1"/>
      </tp>
      <tp t="e">
        <v>#N/A</v>
        <stp/>
        <stp>OPEN_INT</stp>
        <stp>.SPY250502P554</stp>
        <tr r="AT32" s="1"/>
        <tr r="AT32" s="1"/>
      </tp>
      <tp t="e">
        <v>#N/A</v>
        <stp/>
        <stp>OPEN_INT</stp>
        <stp>.SPY250502C554</stp>
        <tr r="AS32" s="1"/>
        <tr r="AS32" s="1"/>
      </tp>
      <tp t="e">
        <v>#N/A</v>
        <stp/>
        <stp>OPEN_INT</stp>
        <stp>.SPY250502P555</stp>
        <tr r="AT31" s="1"/>
        <tr r="AT31" s="1"/>
      </tp>
      <tp t="e">
        <v>#N/A</v>
        <stp/>
        <stp>OPEN_INT</stp>
        <stp>.SPY250502C555</stp>
        <tr r="AS31" s="1"/>
        <tr r="AS31" s="1"/>
      </tp>
      <tp t="e">
        <v>#N/A</v>
        <stp/>
        <stp>OPEN_INT</stp>
        <stp>.SPY250502P552</stp>
        <tr r="AT34" s="1"/>
        <tr r="AT34" s="1"/>
      </tp>
      <tp t="e">
        <v>#N/A</v>
        <stp/>
        <stp>OPEN_INT</stp>
        <stp>.SPY250509P559</stp>
        <tr r="AV27" s="1"/>
        <tr r="AV27" s="1"/>
      </tp>
      <tp t="e">
        <v>#N/A</v>
        <stp/>
        <stp>OPEN_INT</stp>
        <stp>.SPY250502C552</stp>
        <tr r="AS34" s="1"/>
        <tr r="AS34" s="1"/>
      </tp>
      <tp t="e">
        <v>#N/A</v>
        <stp/>
        <stp>OPEN_INT</stp>
        <stp>.SPY250509C559</stp>
        <tr r="AU27" s="1"/>
        <tr r="AU27" s="1"/>
      </tp>
      <tp t="e">
        <v>#N/A</v>
        <stp/>
        <stp>OPEN_INT</stp>
        <stp>.SPY250502P553</stp>
        <tr r="AT33" s="1"/>
        <tr r="AT33" s="1"/>
      </tp>
      <tp t="e">
        <v>#N/A</v>
        <stp/>
        <stp>OPEN_INT</stp>
        <stp>.SPY250509P558</stp>
        <tr r="AV28" s="1"/>
        <tr r="AV28" s="1"/>
      </tp>
      <tp t="e">
        <v>#N/A</v>
        <stp/>
        <stp>OPEN_INT</stp>
        <stp>.SPY250502C553</stp>
        <tr r="AS33" s="1"/>
        <tr r="AS33" s="1"/>
      </tp>
      <tp t="e">
        <v>#N/A</v>
        <stp/>
        <stp>OPEN_INT</stp>
        <stp>.SPY250509C558</stp>
        <tr r="AU28" s="1"/>
        <tr r="AU28" s="1"/>
      </tp>
      <tp t="e">
        <v>#N/A</v>
        <stp/>
        <stp>OPEN_INT</stp>
        <stp>.SPY250502P550</stp>
        <tr r="AT36" s="1"/>
        <tr r="AT36" s="1"/>
      </tp>
      <tp t="e">
        <v>#N/A</v>
        <stp/>
        <stp>OPEN_INT</stp>
        <stp>.SPY250502C550</stp>
        <tr r="AS36" s="1"/>
        <tr r="AS36" s="1"/>
      </tp>
      <tp t="e">
        <v>#N/A</v>
        <stp/>
        <stp>OPEN_INT</stp>
        <stp>.SPY250502P551</stp>
        <tr r="AT35" s="1"/>
        <tr r="AT35" s="1"/>
      </tp>
      <tp t="e">
        <v>#N/A</v>
        <stp/>
        <stp>OPEN_INT</stp>
        <stp>.SPY250502C551</stp>
        <tr r="AS35" s="1"/>
        <tr r="AS35" s="1"/>
      </tp>
      <tp t="e">
        <v>#N/A</v>
        <stp/>
        <stp>OPEN_INT</stp>
        <stp>.SPY250509P555</stp>
        <tr r="AV31" s="1"/>
        <tr r="AV31" s="1"/>
      </tp>
      <tp t="e">
        <v>#N/A</v>
        <stp/>
        <stp>OPEN_INT</stp>
        <stp>.SPY250509C555</stp>
        <tr r="AU31" s="1"/>
        <tr r="AU31" s="1"/>
      </tp>
      <tp t="e">
        <v>#N/A</v>
        <stp/>
        <stp>OPEN_INT</stp>
        <stp>.SPY250509P554</stp>
        <tr r="AV32" s="1"/>
        <tr r="AV32" s="1"/>
      </tp>
      <tp t="e">
        <v>#N/A</v>
        <stp/>
        <stp>OPEN_INT</stp>
        <stp>.SPY250509C554</stp>
        <tr r="AU32" s="1"/>
        <tr r="AU32" s="1"/>
      </tp>
      <tp t="e">
        <v>#N/A</v>
        <stp/>
        <stp>OPEN_INT</stp>
        <stp>.SPY250509P557</stp>
        <tr r="AV29" s="1"/>
        <tr r="AV29" s="1"/>
      </tp>
      <tp t="e">
        <v>#N/A</v>
        <stp/>
        <stp>OPEN_INT</stp>
        <stp>.SPY250516P548</stp>
        <tr r="AX38" s="1"/>
        <tr r="AX38" s="1"/>
      </tp>
      <tp t="e">
        <v>#N/A</v>
        <stp/>
        <stp>OPEN_INT</stp>
        <stp>.SPY250509C557</stp>
        <tr r="AU29" s="1"/>
        <tr r="AU29" s="1"/>
      </tp>
      <tp t="e">
        <v>#N/A</v>
        <stp/>
        <stp>OPEN_INT</stp>
        <stp>.SPY250516C548</stp>
        <tr r="AW38" s="1"/>
        <tr r="AW38" s="1"/>
      </tp>
      <tp t="e">
        <v>#N/A</v>
        <stp/>
        <stp>OPEN_INT</stp>
        <stp>.SPY250509P556</stp>
        <tr r="AV30" s="1"/>
        <tr r="AV30" s="1"/>
      </tp>
      <tp t="e">
        <v>#N/A</v>
        <stp/>
        <stp>OPEN_INT</stp>
        <stp>.SPY250516P549</stp>
        <tr r="AX37" s="1"/>
        <tr r="AX37" s="1"/>
      </tp>
      <tp t="e">
        <v>#N/A</v>
        <stp/>
        <stp>OPEN_INT</stp>
        <stp>.SPY250509C556</stp>
        <tr r="AU30" s="1"/>
        <tr r="AU30" s="1"/>
      </tp>
      <tp t="e">
        <v>#N/A</v>
        <stp/>
        <stp>OPEN_INT</stp>
        <stp>.SPY250516C549</stp>
        <tr r="AW37" s="1"/>
        <tr r="AW37" s="1"/>
      </tp>
      <tp t="e">
        <v>#N/A</v>
        <stp/>
        <stp>OPEN_INT</stp>
        <stp>.SPY250509P551</stp>
        <tr r="AV35" s="1"/>
        <tr r="AV35" s="1"/>
      </tp>
      <tp t="e">
        <v>#N/A</v>
        <stp/>
        <stp>OPEN_INT</stp>
        <stp>.SPY250509C551</stp>
        <tr r="AU35" s="1"/>
        <tr r="AU35" s="1"/>
      </tp>
      <tp t="e">
        <v>#N/A</v>
        <stp/>
        <stp>OPEN_INT</stp>
        <stp>.SPY250509P550</stp>
        <tr r="AV36" s="1"/>
        <tr r="AV36" s="1"/>
      </tp>
      <tp t="e">
        <v>#N/A</v>
        <stp/>
        <stp>OPEN_INT</stp>
        <stp>.SPY250509C550</stp>
        <tr r="AU36" s="1"/>
        <tr r="AU36" s="1"/>
      </tp>
      <tp t="e">
        <v>#N/A</v>
        <stp/>
        <stp>OPEN_INT</stp>
        <stp>.SPY250502P558</stp>
        <tr r="AT28" s="1"/>
        <tr r="AT28" s="1"/>
      </tp>
      <tp t="e">
        <v>#N/A</v>
        <stp/>
        <stp>OPEN_INT</stp>
        <stp>.SPY250509P553</stp>
        <tr r="AV33" s="1"/>
        <tr r="AV33" s="1"/>
      </tp>
      <tp t="e">
        <v>#N/A</v>
        <stp/>
        <stp>OPEN_INT</stp>
        <stp>.SPY250502C558</stp>
        <tr r="AS28" s="1"/>
        <tr r="AS28" s="1"/>
      </tp>
      <tp t="e">
        <v>#N/A</v>
        <stp/>
        <stp>OPEN_INT</stp>
        <stp>.SPY250509C553</stp>
        <tr r="AU33" s="1"/>
        <tr r="AU33" s="1"/>
      </tp>
      <tp t="e">
        <v>#N/A</v>
        <stp/>
        <stp>OPEN_INT</stp>
        <stp>.SPY250502P559</stp>
        <tr r="AT27" s="1"/>
        <tr r="AT27" s="1"/>
      </tp>
      <tp t="e">
        <v>#N/A</v>
        <stp/>
        <stp>OPEN_INT</stp>
        <stp>.SPY250509P552</stp>
        <tr r="AV34" s="1"/>
        <tr r="AV34" s="1"/>
      </tp>
      <tp t="e">
        <v>#N/A</v>
        <stp/>
        <stp>OPEN_INT</stp>
        <stp>.SPY250502C559</stp>
        <tr r="AS27" s="1"/>
        <tr r="AS27" s="1"/>
      </tp>
      <tp t="e">
        <v>#N/A</v>
        <stp/>
        <stp>OPEN_INT</stp>
        <stp>.SPY250509C552</stp>
        <tr r="AU34" s="1"/>
        <tr r="AU34" s="1"/>
      </tp>
      <tp t="s">
        <v>N/A</v>
        <stp/>
        <stp>OPEN_INT</stp>
        <stp>.NDX250516C20340</stp>
        <tr r="AW142" s="1"/>
      </tp>
      <tp t="e">
        <v>#N/A</v>
        <stp/>
        <stp>OPEN_INT</stp>
        <stp>.SPY250502P582</stp>
        <tr r="AT4" s="1"/>
        <tr r="AT4" s="1"/>
      </tp>
      <tp t="e">
        <v>#N/A</v>
        <stp/>
        <stp>OPEN_INT</stp>
        <stp>.SPY250502C582</stp>
        <tr r="AS4" s="1"/>
        <tr r="AS4" s="1"/>
      </tp>
      <tp t="e">
        <v>#N/A</v>
        <stp/>
        <stp>OPEN_INT</stp>
        <stp>.SPY250502P580</stp>
        <tr r="AT6" s="1"/>
        <tr r="AT6" s="1"/>
      </tp>
      <tp t="e">
        <v>#N/A</v>
        <stp/>
        <stp>OPEN_INT</stp>
        <stp>.SPY250502C580</stp>
        <tr r="AS6" s="1"/>
        <tr r="AS6" s="1"/>
      </tp>
      <tp t="e">
        <v>#N/A</v>
        <stp/>
        <stp>OPEN_INT</stp>
        <stp>.SPY250502P581</stp>
        <tr r="AT5" s="1"/>
        <tr r="AT5" s="1"/>
      </tp>
      <tp t="e">
        <v>#N/A</v>
        <stp/>
        <stp>OPEN_INT</stp>
        <stp>.SPY250502C581</stp>
        <tr r="AS5" s="1"/>
        <tr r="AS5" s="1"/>
      </tp>
      <tp t="e">
        <v>#N/A</v>
        <stp/>
        <stp>OPEN_INT</stp>
        <stp>.SPY250509P581</stp>
        <tr r="AV5" s="1"/>
        <tr r="AV5" s="1"/>
      </tp>
      <tp t="e">
        <v>#N/A</v>
        <stp/>
        <stp>OPEN_INT</stp>
        <stp>.SPY250509C581</stp>
        <tr r="AU5" s="1"/>
        <tr r="AU5" s="1"/>
      </tp>
      <tp t="e">
        <v>#N/A</v>
        <stp/>
        <stp>OPEN_INT</stp>
        <stp>.SPY250509P580</stp>
        <tr r="AV6" s="1"/>
        <tr r="AV6" s="1"/>
      </tp>
      <tp t="e">
        <v>#N/A</v>
        <stp/>
        <stp>OPEN_INT</stp>
        <stp>.SPY250509C580</stp>
        <tr r="AU6" s="1"/>
        <tr r="AU6" s="1"/>
      </tp>
      <tp t="e">
        <v>#N/A</v>
        <stp/>
        <stp>OPEN_INT</stp>
        <stp>.SPY250509P582</stp>
        <tr r="AV4" s="1"/>
        <tr r="AV4" s="1"/>
      </tp>
      <tp t="e">
        <v>#N/A</v>
        <stp/>
        <stp>OPEN_INT</stp>
        <stp>.SPY250509C582</stp>
        <tr r="AU4" s="1"/>
        <tr r="AU4" s="1"/>
      </tp>
      <tp t="e">
        <v>#N/A</v>
        <stp/>
        <stp>OPEN_INT</stp>
        <stp>.SPY250516P582</stp>
        <tr r="AX4" s="1"/>
        <tr r="AX4" s="1"/>
      </tp>
      <tp t="e">
        <v>#N/A</v>
        <stp/>
        <stp>OPEN_INT</stp>
        <stp>.SPY250516C582</stp>
        <tr r="AW4" s="1"/>
        <tr r="AW4" s="1"/>
      </tp>
      <tp t="e">
        <v>#N/A</v>
        <stp/>
        <stp>OPEN_INT</stp>
        <stp>.SPY250516P580</stp>
        <tr r="AX6" s="1"/>
        <tr r="AX6" s="1"/>
      </tp>
      <tp t="e">
        <v>#N/A</v>
        <stp/>
        <stp>OPEN_INT</stp>
        <stp>.SPY250516C580</stp>
        <tr r="AW6" s="1"/>
        <tr r="AW6" s="1"/>
      </tp>
      <tp t="e">
        <v>#N/A</v>
        <stp/>
        <stp>OPEN_INT</stp>
        <stp>.SPY250516P581</stp>
        <tr r="AX5" s="1"/>
        <tr r="AX5" s="1"/>
      </tp>
      <tp t="e">
        <v>#N/A</v>
        <stp/>
        <stp>OPEN_INT</stp>
        <stp>.SPY250516C581</stp>
        <tr r="AW5" s="1"/>
        <tr r="AW5" s="1"/>
      </tp>
      <tp t="s">
        <v>N/A</v>
        <stp/>
        <stp>OPEN_INT</stp>
        <stp>.NDX250516C20380</stp>
        <tr r="AW140" s="1"/>
      </tp>
      <tp>
        <v>17</v>
        <stp/>
        <stp>OPEN_INT</stp>
        <stp>.NDX250516P20200</stp>
        <tr r="AX149" s="1"/>
        <tr r="AX149" s="1"/>
      </tp>
      <tp t="s">
        <v>N/A</v>
        <stp/>
        <stp>OPEN_INT</stp>
        <stp>.NDX250516P20220</stp>
        <tr r="AX148" s="1"/>
      </tp>
      <tp t="s">
        <v>N/A</v>
        <stp/>
        <stp>OPEN_INT</stp>
        <stp>.NDX250516P20240</stp>
        <tr r="AX147" s="1"/>
      </tp>
      <tp t="s">
        <v>N/A</v>
        <stp/>
        <stp>OPEN_INT</stp>
        <stp>.NDX250516P20260</stp>
        <tr r="AX146" s="1"/>
      </tp>
      <tp t="s">
        <v>N/A</v>
        <stp/>
        <stp>OPEN_INT</stp>
        <stp>.NDX250516P20280</stp>
        <tr r="AX145" s="1"/>
      </tp>
      <tp t="s">
        <v>N/A</v>
        <stp/>
        <stp>OPEN_INT</stp>
        <stp>.NDX250516C20220</stp>
        <tr r="AW148" s="1"/>
      </tp>
      <tp>
        <v>55</v>
        <stp/>
        <stp>OPEN_INT</stp>
        <stp>.NDX250516C20200</stp>
        <tr r="AW149" s="1"/>
        <tr r="AW149" s="1"/>
      </tp>
      <tp t="s">
        <v>N/A</v>
        <stp/>
        <stp>OPEN_INT</stp>
        <stp>.NDX250516C20260</stp>
        <tr r="AW146" s="1"/>
      </tp>
      <tp t="s">
        <v>N/A</v>
        <stp/>
        <stp>OPEN_INT</stp>
        <stp>.NDX250516C20240</stp>
        <tr r="AW147" s="1"/>
      </tp>
      <tp t="s">
        <v>N/A</v>
        <stp/>
        <stp>OPEN_INT</stp>
        <stp>.NDX250516C20280</stp>
        <tr r="AW145" s="1"/>
      </tp>
      <tp>
        <v>78</v>
        <stp/>
        <stp>OPEN_INT</stp>
        <stp>.NDX250516P20100</stp>
        <tr r="AX154" s="1"/>
        <tr r="AX154" s="1"/>
      </tp>
      <tp t="s">
        <v>N/A</v>
        <stp/>
        <stp>OPEN_INT</stp>
        <stp>.NDX250516P20120</stp>
        <tr r="AX153" s="1"/>
      </tp>
      <tp t="s">
        <v>N/A</v>
        <stp/>
        <stp>OPEN_INT</stp>
        <stp>.NDX250516P20140</stp>
        <tr r="AX152" s="1"/>
      </tp>
      <tp t="s">
        <v>N/A</v>
        <stp/>
        <stp>OPEN_INT</stp>
        <stp>.NDX250516P20160</stp>
        <tr r="AX151" s="1"/>
      </tp>
      <tp t="s">
        <v>N/A</v>
        <stp/>
        <stp>OPEN_INT</stp>
        <stp>.NDX250516P20180</stp>
        <tr r="AX150" s="1"/>
      </tp>
      <tp t="s">
        <v>N/A</v>
        <stp/>
        <stp>OPEN_INT</stp>
        <stp>.NDX250516C20120</stp>
        <tr r="AW153" s="1"/>
      </tp>
      <tp>
        <v>116</v>
        <stp/>
        <stp>OPEN_INT</stp>
        <stp>.NDX250516C20100</stp>
        <tr r="AW154" s="1"/>
        <tr r="AW154" s="1"/>
      </tp>
      <tp t="s">
        <v>N/A</v>
        <stp/>
        <stp>OPEN_INT</stp>
        <stp>.NDX250516C20160</stp>
        <tr r="AW151" s="1"/>
      </tp>
      <tp t="s">
        <v>N/A</v>
        <stp/>
        <stp>OPEN_INT</stp>
        <stp>.NDX250516C20140</stp>
        <tr r="AW152" s="1"/>
      </tp>
      <tp t="s">
        <v>N/A</v>
        <stp/>
        <stp>OPEN_INT</stp>
        <stp>.NDX250516C20180</stp>
        <tr r="AW150" s="1"/>
      </tp>
      <tp t="e">
        <v>#N/A</v>
        <stp/>
        <stp>IMPL_VOL</stp>
        <stp>.SPXW250516C5850</stp>
        <tr r="EP87" s="1"/>
      </tp>
      <tp t="e">
        <v>#N/A</v>
        <stp/>
        <stp>IMPL_VOL</stp>
        <stp>.SPXW250516P5850</stp>
        <tr r="EQ87" s="1"/>
      </tp>
      <tp t="e">
        <v>#N/A</v>
        <stp/>
        <stp>IMPL_VOL</stp>
        <stp>.SPXW250516C5840</stp>
        <tr r="EP88" s="1"/>
      </tp>
      <tp t="e">
        <v>#N/A</v>
        <stp/>
        <stp>IMPL_VOL</stp>
        <stp>.SPXW250516P5840</stp>
        <tr r="EQ88" s="1"/>
      </tp>
      <tp t="e">
        <v>#N/A</v>
        <stp/>
        <stp>IMPL_VOL</stp>
        <stp>.SPXW250516C5870</stp>
        <tr r="EP85" s="1"/>
      </tp>
      <tp t="e">
        <v>#N/A</v>
        <stp/>
        <stp>IMPL_VOL</stp>
        <stp>.SPXW250516P5870</stp>
        <tr r="EQ85" s="1"/>
      </tp>
      <tp t="e">
        <v>#N/A</v>
        <stp/>
        <stp>IMPL_VOL</stp>
        <stp>.SPXW250516C5860</stp>
        <tr r="EP86" s="1"/>
      </tp>
      <tp t="e">
        <v>#N/A</v>
        <stp/>
        <stp>IMPL_VOL</stp>
        <stp>.SPXW250516P5860</stp>
        <tr r="EQ86" s="1"/>
      </tp>
      <tp t="e">
        <v>#N/A</v>
        <stp/>
        <stp>IMPL_VOL</stp>
        <stp>.SPXW250516C5810</stp>
        <tr r="EP91" s="1"/>
      </tp>
      <tp t="e">
        <v>#N/A</v>
        <stp/>
        <stp>IMPL_VOL</stp>
        <stp>.SPXW250516P5810</stp>
        <tr r="EQ91" s="1"/>
      </tp>
      <tp t="e">
        <v>#N/A</v>
        <stp/>
        <stp>IMPL_VOL</stp>
        <stp>.SPXW250516C5800</stp>
        <tr r="EP92" s="1"/>
      </tp>
      <tp t="e">
        <v>#N/A</v>
        <stp/>
        <stp>IMPL_VOL</stp>
        <stp>.SPXW250516P5800</stp>
        <tr r="EQ92" s="1"/>
      </tp>
      <tp t="e">
        <v>#N/A</v>
        <stp/>
        <stp>IMPL_VOL</stp>
        <stp>.SPXW250516C5830</stp>
        <tr r="EP89" s="1"/>
      </tp>
      <tp t="e">
        <v>#N/A</v>
        <stp/>
        <stp>IMPL_VOL</stp>
        <stp>.SPXW250516P5830</stp>
        <tr r="EQ89" s="1"/>
      </tp>
      <tp t="e">
        <v>#N/A</v>
        <stp/>
        <stp>IMPL_VOL</stp>
        <stp>.SPXW250516C5820</stp>
        <tr r="EP90" s="1"/>
      </tp>
      <tp t="e">
        <v>#N/A</v>
        <stp/>
        <stp>IMPL_VOL</stp>
        <stp>.SPXW250516P5820</stp>
        <tr r="EQ90" s="1"/>
      </tp>
      <tp>
        <v>120</v>
        <stp/>
        <stp>OPEN_INT</stp>
        <stp>.NDX250516P20000</stp>
        <tr r="AX159" s="1"/>
        <tr r="AX159" s="1"/>
      </tp>
      <tp t="s">
        <v>N/A</v>
        <stp/>
        <stp>OPEN_INT</stp>
        <stp>.NDX250516P20020</stp>
        <tr r="AX158" s="1"/>
      </tp>
      <tp t="s">
        <v>N/A</v>
        <stp/>
        <stp>OPEN_INT</stp>
        <stp>.NDX250516P20040</stp>
        <tr r="AX157" s="1"/>
      </tp>
      <tp t="s">
        <v>N/A</v>
        <stp/>
        <stp>OPEN_INT</stp>
        <stp>.NDX250516P20060</stp>
        <tr r="AX156" s="1"/>
      </tp>
      <tp t="s">
        <v>N/A</v>
        <stp/>
        <stp>OPEN_INT</stp>
        <stp>.NDX250516P20080</stp>
        <tr r="AX155" s="1"/>
      </tp>
      <tp t="s">
        <v>N/A</v>
        <stp/>
        <stp>OPEN_INT</stp>
        <stp>.NDX250516C20020</stp>
        <tr r="AW158" s="1"/>
      </tp>
      <tp>
        <v>153</v>
        <stp/>
        <stp>OPEN_INT</stp>
        <stp>.NDX250516C20000</stp>
        <tr r="AW159" s="1"/>
        <tr r="AW159" s="1"/>
      </tp>
      <tp t="s">
        <v>N/A</v>
        <stp/>
        <stp>OPEN_INT</stp>
        <stp>.NDX250516C20060</stp>
        <tr r="AW156" s="1"/>
      </tp>
      <tp t="s">
        <v>N/A</v>
        <stp/>
        <stp>OPEN_INT</stp>
        <stp>.NDX250516C20040</stp>
        <tr r="AW157" s="1"/>
      </tp>
      <tp t="s">
        <v>N/A</v>
        <stp/>
        <stp>OPEN_INT</stp>
        <stp>.NDX250516C20080</stp>
        <tr r="AW155" s="1"/>
      </tp>
      <tp t="e">
        <v>#N/A</v>
        <stp/>
        <stp>IMPL_VOL</stp>
        <stp>.SPXW250509C5820</stp>
        <tr r="EN90" s="1"/>
      </tp>
      <tp t="e">
        <v>#N/A</v>
        <stp/>
        <stp>IMPL_VOL</stp>
        <stp>.SPXW250509P5820</stp>
        <tr r="EO90" s="1"/>
      </tp>
      <tp t="e">
        <v>#N/A</v>
        <stp/>
        <stp>IMPL_VOL</stp>
        <stp>.SPXW250509C5830</stp>
        <tr r="EN89" s="1"/>
      </tp>
      <tp t="e">
        <v>#N/A</v>
        <stp/>
        <stp>IMPL_VOL</stp>
        <stp>.SPXW250509P5830</stp>
        <tr r="EO89" s="1"/>
      </tp>
      <tp t="e">
        <v>#N/A</v>
        <stp/>
        <stp>IMPL_VOL</stp>
        <stp>.SPXW250509C5800</stp>
        <tr r="EN92" s="1"/>
      </tp>
      <tp t="e">
        <v>#N/A</v>
        <stp/>
        <stp>IMPL_VOL</stp>
        <stp>.SPXW250509P5800</stp>
        <tr r="EO92" s="1"/>
      </tp>
      <tp t="e">
        <v>#N/A</v>
        <stp/>
        <stp>IMPL_VOL</stp>
        <stp>.SPXW250509C5810</stp>
        <tr r="EN91" s="1"/>
      </tp>
      <tp t="e">
        <v>#N/A</v>
        <stp/>
        <stp>IMPL_VOL</stp>
        <stp>.SPXW250509P5810</stp>
        <tr r="EO91" s="1"/>
      </tp>
      <tp t="e">
        <v>#N/A</v>
        <stp/>
        <stp>IMPL_VOL</stp>
        <stp>.SPXW250509C5860</stp>
        <tr r="EN86" s="1"/>
      </tp>
      <tp t="e">
        <v>#N/A</v>
        <stp/>
        <stp>IMPL_VOL</stp>
        <stp>.SPXW250509P5860</stp>
        <tr r="EO86" s="1"/>
      </tp>
      <tp t="e">
        <v>#N/A</v>
        <stp/>
        <stp>IMPL_VOL</stp>
        <stp>.SPXW250509C5870</stp>
        <tr r="EN85" s="1"/>
      </tp>
      <tp t="e">
        <v>#N/A</v>
        <stp/>
        <stp>IMPL_VOL</stp>
        <stp>.SPXW250509P5870</stp>
        <tr r="EO85" s="1"/>
      </tp>
      <tp t="e">
        <v>#N/A</v>
        <stp/>
        <stp>IMPL_VOL</stp>
        <stp>.SPXW250509C5840</stp>
        <tr r="EN88" s="1"/>
      </tp>
      <tp t="e">
        <v>#N/A</v>
        <stp/>
        <stp>IMPL_VOL</stp>
        <stp>.SPXW250509P5840</stp>
        <tr r="EO88" s="1"/>
      </tp>
      <tp t="e">
        <v>#N/A</v>
        <stp/>
        <stp>IMPL_VOL</stp>
        <stp>.SPXW250509C5850</stp>
        <tr r="EN87" s="1"/>
      </tp>
      <tp t="e">
        <v>#N/A</v>
        <stp/>
        <stp>IMPL_VOL</stp>
        <stp>.SPXW250509P5850</stp>
        <tr r="EO87" s="1"/>
      </tp>
      <tp t="e">
        <v>#N/A</v>
        <stp/>
        <stp>IMPL_VOL</stp>
        <stp>.SPXW250502C5810</stp>
        <tr r="EL91" s="1"/>
      </tp>
      <tp t="e">
        <v>#N/A</v>
        <stp/>
        <stp>IMPL_VOL</stp>
        <stp>.SPXW250502P5810</stp>
        <tr r="EM91" s="1"/>
      </tp>
      <tp t="e">
        <v>#N/A</v>
        <stp/>
        <stp>IMPL_VOL</stp>
        <stp>.SPXW250502C5800</stp>
        <tr r="EL92" s="1"/>
      </tp>
      <tp t="e">
        <v>#N/A</v>
        <stp/>
        <stp>IMPL_VOL</stp>
        <stp>.SPXW250502P5800</stp>
        <tr r="EM92" s="1"/>
      </tp>
      <tp t="e">
        <v>#N/A</v>
        <stp/>
        <stp>IMPL_VOL</stp>
        <stp>.SPXW250502C5830</stp>
        <tr r="EL89" s="1"/>
      </tp>
      <tp t="e">
        <v>#N/A</v>
        <stp/>
        <stp>IMPL_VOL</stp>
        <stp>.SPXW250502P5830</stp>
        <tr r="EM89" s="1"/>
      </tp>
      <tp t="e">
        <v>#N/A</v>
        <stp/>
        <stp>IMPL_VOL</stp>
        <stp>.SPXW250502C5820</stp>
        <tr r="EL90" s="1"/>
      </tp>
      <tp t="e">
        <v>#N/A</v>
        <stp/>
        <stp>IMPL_VOL</stp>
        <stp>.SPXW250502P5820</stp>
        <tr r="EM90" s="1"/>
      </tp>
      <tp t="e">
        <v>#N/A</v>
        <stp/>
        <stp>IMPL_VOL</stp>
        <stp>.SPXW250502C5850</stp>
        <tr r="EL87" s="1"/>
      </tp>
      <tp t="e">
        <v>#N/A</v>
        <stp/>
        <stp>IMPL_VOL</stp>
        <stp>.SPXW250502P5850</stp>
        <tr r="EM87" s="1"/>
      </tp>
      <tp t="e">
        <v>#N/A</v>
        <stp/>
        <stp>IMPL_VOL</stp>
        <stp>.SPXW250502C5840</stp>
        <tr r="EL88" s="1"/>
      </tp>
      <tp t="e">
        <v>#N/A</v>
        <stp/>
        <stp>IMPL_VOL</stp>
        <stp>.SPXW250502P5840</stp>
        <tr r="EM88" s="1"/>
      </tp>
      <tp t="e">
        <v>#N/A</v>
        <stp/>
        <stp>IMPL_VOL</stp>
        <stp>.SPXW250502C5870</stp>
        <tr r="EL85" s="1"/>
      </tp>
      <tp t="e">
        <v>#N/A</v>
        <stp/>
        <stp>IMPL_VOL</stp>
        <stp>.SPXW250502P5870</stp>
        <tr r="EM85" s="1"/>
      </tp>
      <tp t="e">
        <v>#N/A</v>
        <stp/>
        <stp>IMPL_VOL</stp>
        <stp>.SPXW250502C5860</stp>
        <tr r="EL86" s="1"/>
      </tp>
      <tp t="e">
        <v>#N/A</v>
        <stp/>
        <stp>IMPL_VOL</stp>
        <stp>.SPXW250502P5860</stp>
        <tr r="EM86" s="1"/>
      </tp>
      <tp>
        <v>26</v>
        <stp/>
        <stp>OPEN_INT</stp>
        <stp>.NDXP250502C19700</stp>
        <tr r="AS174" s="1"/>
        <tr r="AS174" s="1"/>
      </tp>
      <tp>
        <v>9</v>
        <stp/>
        <stp>OPEN_INT</stp>
        <stp>.NDXP250502C19720</stp>
        <tr r="AS173" s="1"/>
        <tr r="AS173" s="1"/>
      </tp>
      <tp>
        <v>4</v>
        <stp/>
        <stp>OPEN_INT</stp>
        <stp>.NDXP250502C19740</stp>
        <tr r="AS172" s="1"/>
        <tr r="AS172" s="1"/>
      </tp>
      <tp>
        <v>9</v>
        <stp/>
        <stp>OPEN_INT</stp>
        <stp>.NDXP250502C19760</stp>
        <tr r="AS171" s="1"/>
        <tr r="AS171" s="1"/>
      </tp>
      <tp>
        <v>3</v>
        <stp/>
        <stp>OPEN_INT</stp>
        <stp>.NDXP250502C19780</stp>
        <tr r="AS170" s="1"/>
        <tr r="AS170" s="1"/>
      </tp>
      <tp>
        <v>16</v>
        <stp/>
        <stp>OPEN_INT</stp>
        <stp>.NDXP250502P19720</stp>
        <tr r="AT173" s="1"/>
        <tr r="AT173" s="1"/>
      </tp>
      <tp>
        <v>19</v>
        <stp/>
        <stp>OPEN_INT</stp>
        <stp>.NDXP250502P19700</stp>
        <tr r="AT174" s="1"/>
        <tr r="AT174" s="1"/>
      </tp>
      <tp>
        <v>0</v>
        <stp/>
        <stp>OPEN_INT</stp>
        <stp>.NDXP250502P19760</stp>
        <tr r="AT171" s="1"/>
        <tr r="AT171" s="1"/>
      </tp>
      <tp>
        <v>3</v>
        <stp/>
        <stp>OPEN_INT</stp>
        <stp>.NDXP250502P19740</stp>
        <tr r="AT172" s="1"/>
        <tr r="AT172" s="1"/>
      </tp>
      <tp>
        <v>3</v>
        <stp/>
        <stp>OPEN_INT</stp>
        <stp>.NDXP250502P19780</stp>
        <tr r="AT170" s="1"/>
        <tr r="AT170" s="1"/>
      </tp>
      <tp t="e">
        <v>#N/A</v>
        <stp/>
        <stp>DELTA</stp>
        <stp>.NDXP250509P19680</stp>
        <tr r="CG175" s="1"/>
      </tp>
      <tp t="e">
        <v>#N/A</v>
        <stp/>
        <stp>DELTA</stp>
        <stp>.NDXP250509P19620</stp>
        <tr r="CG178" s="1"/>
      </tp>
      <tp t="e">
        <v>#N/A</v>
        <stp/>
        <stp>DELTA</stp>
        <stp>.NDXP250509P19600</stp>
        <tr r="CG179" s="1"/>
        <tr r="CG179" s="1"/>
      </tp>
      <tp t="e">
        <v>#N/A</v>
        <stp/>
        <stp>DELTA</stp>
        <stp>.NDXP250509P19660</stp>
        <tr r="CG176" s="1"/>
      </tp>
      <tp t="e">
        <v>#N/A</v>
        <stp/>
        <stp>DELTA</stp>
        <stp>.NDXP250509P19640</stp>
        <tr r="CG177" s="1"/>
      </tp>
      <tp t="e">
        <v>#N/A</v>
        <stp/>
        <stp>DELTA</stp>
        <stp>.NDXP250509C19680</stp>
        <tr r="CF175" s="1"/>
      </tp>
      <tp t="e">
        <v>#N/A</v>
        <stp/>
        <stp>DELTA</stp>
        <stp>.NDXP250509C19600</stp>
        <tr r="CF179" s="1"/>
        <tr r="CF179" s="1"/>
      </tp>
      <tp t="e">
        <v>#N/A</v>
        <stp/>
        <stp>DELTA</stp>
        <stp>.NDXP250509C19620</stp>
        <tr r="CF178" s="1"/>
      </tp>
      <tp t="e">
        <v>#N/A</v>
        <stp/>
        <stp>DELTA</stp>
        <stp>.NDXP250509C19640</stp>
        <tr r="CF177" s="1"/>
      </tp>
      <tp t="e">
        <v>#N/A</v>
        <stp/>
        <stp>DELTA</stp>
        <stp>.NDXP250509C19660</stp>
        <tr r="CF176" s="1"/>
      </tp>
      <tp t="e">
        <v>#N/A</v>
        <stp/>
        <stp>VOLUME</stp>
        <stp>.NDXP251128C19480</stp>
        <tr r="V186" s="2"/>
      </tp>
      <tp t="e">
        <v>#N/A</v>
        <stp/>
        <stp>VOLUME</stp>
        <stp>.NDXP250829C19580</stp>
        <tr r="P181" s="2"/>
      </tp>
      <tp>
        <v>12</v>
        <stp/>
        <stp>VOLUME</stp>
        <stp>.NDXP250505C19980</stp>
        <tr r="B161" s="2"/>
        <tr r="B161" s="2"/>
      </tp>
      <tp t="e">
        <v>#N/A</v>
        <stp/>
        <stp>VOLUME</stp>
        <stp>.NDXP250508C19480</stp>
        <tr r="E186" s="2"/>
      </tp>
      <tp t="e">
        <v>#N/A</v>
        <stp/>
        <stp>VOLUME</stp>
        <stp>.NDXP250509C19580</stp>
        <tr r="BC180" s="1"/>
      </tp>
      <tp t="e">
        <v>#N/A</v>
        <stp/>
        <stp>VOLUME</stp>
        <stp>.NDXP251128C19460</stp>
        <tr r="V187" s="2"/>
      </tp>
      <tp t="e">
        <v>#N/A</v>
        <stp/>
        <stp>VOLUME</stp>
        <stp>.NDXP250829C19560</stp>
        <tr r="P182" s="2"/>
      </tp>
      <tp>
        <v>8</v>
        <stp/>
        <stp>VOLUME</stp>
        <stp>.NDXP250505C19960</stp>
        <tr r="B162" s="2"/>
        <tr r="B162" s="2"/>
      </tp>
      <tp t="e">
        <v>#N/A</v>
        <stp/>
        <stp>VOLUME</stp>
        <stp>.NDXP250508C19460</stp>
        <tr r="E187" s="2"/>
      </tp>
      <tp t="e">
        <v>#N/A</v>
        <stp/>
        <stp>VOLUME</stp>
        <stp>.NDXP250509C19560</stp>
        <tr r="BC181" s="1"/>
      </tp>
      <tp t="e">
        <v>#N/A</v>
        <stp/>
        <stp>VOLUME</stp>
        <stp>.NDXP251128C20440</stp>
        <tr r="V138" s="2"/>
      </tp>
      <tp t="e">
        <v>#N/A</v>
        <stp/>
        <stp>VOLUME</stp>
        <stp>.NDXP251128C19440</stp>
        <tr r="V188" s="2"/>
      </tp>
      <tp t="e">
        <v>#N/A</v>
        <stp/>
        <stp>VOLUME</stp>
        <stp>.NDXP250829C19540</stp>
        <tr r="P183" s="2"/>
      </tp>
      <tp t="e">
        <v>#N/A</v>
        <stp/>
        <stp>VOLUME</stp>
        <stp>.NDXP250508C20440</stp>
        <tr r="E138" s="2"/>
      </tp>
      <tp>
        <v>6</v>
        <stp/>
        <stp>VOLUME</stp>
        <stp>.NDXP250505C19940</stp>
        <tr r="B163" s="2"/>
        <tr r="B163" s="2"/>
      </tp>
      <tp t="e">
        <v>#N/A</v>
        <stp/>
        <stp>VOLUME</stp>
        <stp>.NDXP250508C19440</stp>
        <tr r="E188" s="2"/>
      </tp>
      <tp t="e">
        <v>#N/A</v>
        <stp/>
        <stp>VOLUME</stp>
        <stp>.NDXP250509C19540</stp>
        <tr r="BC182" s="1"/>
      </tp>
      <tp t="e">
        <v>#N/A</v>
        <stp/>
        <stp>VOLUME</stp>
        <stp>.NDXP251128C20420</stp>
        <tr r="V139" s="2"/>
      </tp>
      <tp t="e">
        <v>#N/A</v>
        <stp/>
        <stp>VOLUME</stp>
        <stp>.NDXP251128C19420</stp>
        <tr r="V189" s="2"/>
      </tp>
      <tp t="e">
        <v>#N/A</v>
        <stp/>
        <stp>VOLUME</stp>
        <stp>.NDXP250829C19520</stp>
        <tr r="P184" s="2"/>
      </tp>
      <tp t="e">
        <v>#N/A</v>
        <stp/>
        <stp>VOLUME</stp>
        <stp>.NDXP250508C20420</stp>
        <tr r="E139" s="2"/>
      </tp>
      <tp>
        <v>1</v>
        <stp/>
        <stp>VOLUME</stp>
        <stp>.NDXP250505C19920</stp>
        <tr r="B164" s="2"/>
        <tr r="B164" s="2"/>
      </tp>
      <tp t="e">
        <v>#N/A</v>
        <stp/>
        <stp>VOLUME</stp>
        <stp>.NDXP250508C19420</stp>
        <tr r="E189" s="2"/>
      </tp>
      <tp t="e">
        <v>#N/A</v>
        <stp/>
        <stp>VOLUME</stp>
        <stp>.NDXP250509C19520</stp>
        <tr r="BC183" s="1"/>
      </tp>
      <tp t="e">
        <v>#N/A</v>
        <stp/>
        <stp>VOLUME</stp>
        <stp>.NDXP251128C20400</stp>
        <tr r="V140" s="2"/>
      </tp>
      <tp t="e">
        <v>#N/A</v>
        <stp/>
        <stp>VOLUME</stp>
        <stp>.NDXP251128C19400</stp>
        <tr r="V190" s="2"/>
      </tp>
      <tp t="e">
        <v>#N/A</v>
        <stp/>
        <stp>VOLUME</stp>
        <stp>.NDXP250829C19500</stp>
        <tr r="P185" s="2"/>
      </tp>
      <tp t="e">
        <v>#N/A</v>
        <stp/>
        <stp>VOLUME</stp>
        <stp>.NDXP250508C20400</stp>
        <tr r="E140" s="2"/>
      </tp>
      <tp>
        <v>8</v>
        <stp/>
        <stp>VOLUME</stp>
        <stp>.NDXP250505C19900</stp>
        <tr r="B165" s="2"/>
        <tr r="B165" s="2"/>
      </tp>
      <tp t="e">
        <v>#N/A</v>
        <stp/>
        <stp>VOLUME</stp>
        <stp>.NDXP250508C19400</stp>
        <tr r="E190" s="2"/>
      </tp>
      <tp t="e">
        <v>#N/A</v>
        <stp/>
        <stp>VOLUME</stp>
        <stp>.NDXP250509C19500</stp>
        <tr r="BC184" s="1"/>
        <tr r="BC184" s="1"/>
      </tp>
      <tp t="e">
        <v>#N/A</v>
        <stp/>
        <stp>VOLUME</stp>
        <stp>.NDXP250829P19580</stp>
        <tr r="P181" s="2"/>
      </tp>
      <tp>
        <v>6</v>
        <stp/>
        <stp>VOLUME</stp>
        <stp>.NDXP250505P19980</stp>
        <tr r="B161" s="2"/>
        <tr r="B161" s="2"/>
      </tp>
      <tp t="e">
        <v>#N/A</v>
        <stp/>
        <stp>VOLUME</stp>
        <stp>.NDXP250508P19480</stp>
        <tr r="E186" s="2"/>
      </tp>
      <tp t="e">
        <v>#N/A</v>
        <stp/>
        <stp>VOLUME</stp>
        <stp>.NDXP250509P19580</stp>
        <tr r="BD180" s="1"/>
      </tp>
      <tp t="e">
        <v>#N/A</v>
        <stp/>
        <stp>VOLUME</stp>
        <stp>.NDXP251128P19480</stp>
        <tr r="V186" s="2"/>
      </tp>
      <tp t="e">
        <v>#N/A</v>
        <stp/>
        <stp>VOLUME</stp>
        <stp>.NDXP250829P19540</stp>
        <tr r="P183" s="2"/>
      </tp>
      <tp t="e">
        <v>#N/A</v>
        <stp/>
        <stp>VOLUME</stp>
        <stp>.NDXP250508P20440</stp>
        <tr r="E138" s="2"/>
      </tp>
      <tp>
        <v>2</v>
        <stp/>
        <stp>VOLUME</stp>
        <stp>.NDXP250505P19940</stp>
        <tr r="B163" s="2"/>
        <tr r="B163" s="2"/>
      </tp>
      <tp t="e">
        <v>#N/A</v>
        <stp/>
        <stp>VOLUME</stp>
        <stp>.NDXP250508P19440</stp>
        <tr r="E188" s="2"/>
      </tp>
      <tp t="e">
        <v>#N/A</v>
        <stp/>
        <stp>VOLUME</stp>
        <stp>.NDXP250509P19540</stp>
        <tr r="BD182" s="1"/>
      </tp>
      <tp t="e">
        <v>#N/A</v>
        <stp/>
        <stp>VOLUME</stp>
        <stp>.NDXP251128P20440</stp>
        <tr r="V138" s="2"/>
      </tp>
      <tp t="e">
        <v>#N/A</v>
        <stp/>
        <stp>VOLUME</stp>
        <stp>.NDXP251128P19440</stp>
        <tr r="V188" s="2"/>
      </tp>
      <tp t="e">
        <v>#N/A</v>
        <stp/>
        <stp>VOLUME</stp>
        <stp>.NDXP250829P19560</stp>
        <tr r="P182" s="2"/>
      </tp>
      <tp>
        <v>17</v>
        <stp/>
        <stp>VOLUME</stp>
        <stp>.NDXP250505P19960</stp>
        <tr r="B162" s="2"/>
        <tr r="B162" s="2"/>
      </tp>
      <tp t="e">
        <v>#N/A</v>
        <stp/>
        <stp>VOLUME</stp>
        <stp>.NDXP250508P19460</stp>
        <tr r="E187" s="2"/>
      </tp>
      <tp t="e">
        <v>#N/A</v>
        <stp/>
        <stp>VOLUME</stp>
        <stp>.NDXP250509P19560</stp>
        <tr r="BD181" s="1"/>
      </tp>
      <tp t="e">
        <v>#N/A</v>
        <stp/>
        <stp>VOLUME</stp>
        <stp>.NDXP251128P19460</stp>
        <tr r="V187" s="2"/>
      </tp>
      <tp t="e">
        <v>#N/A</v>
        <stp/>
        <stp>VOLUME</stp>
        <stp>.NDXP250829P19500</stp>
        <tr r="P185" s="2"/>
      </tp>
      <tp t="e">
        <v>#N/A</v>
        <stp/>
        <stp>VOLUME</stp>
        <stp>.NDXP250508P20400</stp>
        <tr r="E140" s="2"/>
      </tp>
      <tp>
        <v>111</v>
        <stp/>
        <stp>VOLUME</stp>
        <stp>.NDXP250505P19900</stp>
        <tr r="B165" s="2"/>
        <tr r="B165" s="2"/>
      </tp>
      <tp t="e">
        <v>#N/A</v>
        <stp/>
        <stp>VOLUME</stp>
        <stp>.NDXP250508P19400</stp>
        <tr r="E190" s="2"/>
      </tp>
      <tp t="e">
        <v>#N/A</v>
        <stp/>
        <stp>VOLUME</stp>
        <stp>.NDXP250509P19500</stp>
        <tr r="BD184" s="1"/>
        <tr r="BD184" s="1"/>
      </tp>
      <tp t="e">
        <v>#N/A</v>
        <stp/>
        <stp>VOLUME</stp>
        <stp>.NDXP251128P20400</stp>
        <tr r="V140" s="2"/>
      </tp>
      <tp t="e">
        <v>#N/A</v>
        <stp/>
        <stp>VOLUME</stp>
        <stp>.NDXP251128P19400</stp>
        <tr r="V190" s="2"/>
      </tp>
      <tp t="e">
        <v>#N/A</v>
        <stp/>
        <stp>VOLUME</stp>
        <stp>.NDXP250829P19520</stp>
        <tr r="P184" s="2"/>
      </tp>
      <tp t="e">
        <v>#N/A</v>
        <stp/>
        <stp>VOLUME</stp>
        <stp>.NDXP250508P20420</stp>
        <tr r="E139" s="2"/>
      </tp>
      <tp>
        <v>8</v>
        <stp/>
        <stp>VOLUME</stp>
        <stp>.NDXP250505P19920</stp>
        <tr r="B164" s="2"/>
        <tr r="B164" s="2"/>
      </tp>
      <tp t="e">
        <v>#N/A</v>
        <stp/>
        <stp>VOLUME</stp>
        <stp>.NDXP250508P19420</stp>
        <tr r="E189" s="2"/>
      </tp>
      <tp t="e">
        <v>#N/A</v>
        <stp/>
        <stp>VOLUME</stp>
        <stp>.NDXP250509P19520</stp>
        <tr r="BD183" s="1"/>
      </tp>
      <tp t="e">
        <v>#N/A</v>
        <stp/>
        <stp>VOLUME</stp>
        <stp>.NDXP251128P20420</stp>
        <tr r="V139" s="2"/>
      </tp>
      <tp t="e">
        <v>#N/A</v>
        <stp/>
        <stp>VOLUME</stp>
        <stp>.NDXP251128P19420</stp>
        <tr r="V189" s="2"/>
      </tp>
      <tp t="e">
        <v>#N/A</v>
        <stp/>
        <stp>OPEN_INT</stp>
        <stp>.NDXP250502C19600</stp>
        <tr r="AS179" s="1"/>
        <tr r="AS179" s="1"/>
      </tp>
      <tp>
        <v>1</v>
        <stp/>
        <stp>OPEN_INT</stp>
        <stp>.NDXP250502C19620</stp>
        <tr r="AS178" s="1"/>
        <tr r="AS178" s="1"/>
      </tp>
      <tp>
        <v>1</v>
        <stp/>
        <stp>OPEN_INT</stp>
        <stp>.NDXP250502C19640</stp>
        <tr r="AS177" s="1"/>
        <tr r="AS177" s="1"/>
      </tp>
      <tp>
        <v>1</v>
        <stp/>
        <stp>OPEN_INT</stp>
        <stp>.NDXP250502C19660</stp>
        <tr r="AS176" s="1"/>
        <tr r="AS176" s="1"/>
      </tp>
      <tp>
        <v>3</v>
        <stp/>
        <stp>OPEN_INT</stp>
        <stp>.NDXP250502C19680</stp>
        <tr r="AS175" s="1"/>
        <tr r="AS175" s="1"/>
      </tp>
      <tp>
        <v>1</v>
        <stp/>
        <stp>OPEN_INT</stp>
        <stp>.NDXP250502P19620</stp>
        <tr r="AT178" s="1"/>
        <tr r="AT178" s="1"/>
      </tp>
      <tp t="e">
        <v>#N/A</v>
        <stp/>
        <stp>OPEN_INT</stp>
        <stp>.NDXP250502P19600</stp>
        <tr r="AT179" s="1"/>
        <tr r="AT179" s="1"/>
      </tp>
      <tp>
        <v>2</v>
        <stp/>
        <stp>OPEN_INT</stp>
        <stp>.NDXP250502P19660</stp>
        <tr r="AT176" s="1"/>
        <tr r="AT176" s="1"/>
      </tp>
      <tp>
        <v>1</v>
        <stp/>
        <stp>OPEN_INT</stp>
        <stp>.NDXP250502P19640</stp>
        <tr r="AT177" s="1"/>
        <tr r="AT177" s="1"/>
      </tp>
      <tp>
        <v>2</v>
        <stp/>
        <stp>OPEN_INT</stp>
        <stp>.NDXP250502P19680</stp>
        <tr r="AT175" s="1"/>
        <tr r="AT175" s="1"/>
      </tp>
      <tp t="e">
        <v>#N/A</v>
        <stp/>
        <stp>DELTA</stp>
        <stp>.NDXP250509P19780</stp>
        <tr r="CG170" s="1"/>
      </tp>
      <tp t="e">
        <v>#N/A</v>
        <stp/>
        <stp>DELTA</stp>
        <stp>.NDXP250509P19720</stp>
        <tr r="CG173" s="1"/>
      </tp>
      <tp t="e">
        <v>#N/A</v>
        <stp/>
        <stp>DELTA</stp>
        <stp>.NDXP250509P19700</stp>
        <tr r="CG174" s="1"/>
        <tr r="CG174" s="1"/>
      </tp>
      <tp t="e">
        <v>#N/A</v>
        <stp/>
        <stp>DELTA</stp>
        <stp>.NDXP250509P19760</stp>
        <tr r="CG171" s="1"/>
      </tp>
      <tp t="e">
        <v>#N/A</v>
        <stp/>
        <stp>DELTA</stp>
        <stp>.NDXP250509P19740</stp>
        <tr r="CG172" s="1"/>
      </tp>
      <tp t="e">
        <v>#N/A</v>
        <stp/>
        <stp>DELTA</stp>
        <stp>.NDXP250509C19780</stp>
        <tr r="CF170" s="1"/>
      </tp>
      <tp t="e">
        <v>#N/A</v>
        <stp/>
        <stp>DELTA</stp>
        <stp>.NDXP250509C19700</stp>
        <tr r="CF174" s="1"/>
        <tr r="CF174" s="1"/>
      </tp>
      <tp t="e">
        <v>#N/A</v>
        <stp/>
        <stp>DELTA</stp>
        <stp>.NDXP250509C19720</stp>
        <tr r="CF173" s="1"/>
      </tp>
      <tp t="e">
        <v>#N/A</v>
        <stp/>
        <stp>DELTA</stp>
        <stp>.NDXP250509C19740</stp>
        <tr r="CF172" s="1"/>
      </tp>
      <tp t="e">
        <v>#N/A</v>
        <stp/>
        <stp>DELTA</stp>
        <stp>.NDXP250509C19760</stp>
        <tr r="CF171" s="1"/>
      </tp>
      <tp t="e">
        <v>#N/A</v>
        <stp/>
        <stp>VOLUME</stp>
        <stp>.NDXP251128C19580</stp>
        <tr r="V181" s="2"/>
      </tp>
      <tp t="e">
        <v>#N/A</v>
        <stp/>
        <stp>VOLUME</stp>
        <stp>.NDXP250829C19480</stp>
        <tr r="P186" s="2"/>
      </tp>
      <tp t="s">
        <v>N/A</v>
        <stp/>
        <stp>VOLUME</stp>
        <stp>.NDXP250505C19880</stp>
        <tr r="B166" s="2"/>
      </tp>
      <tp t="e">
        <v>#N/A</v>
        <stp/>
        <stp>VOLUME</stp>
        <stp>.NDXP250508C19580</stp>
        <tr r="E181" s="2"/>
      </tp>
      <tp t="e">
        <v>#N/A</v>
        <stp/>
        <stp>VOLUME</stp>
        <stp>.NDXP250509C19480</stp>
        <tr r="BC185" s="1"/>
      </tp>
      <tp t="e">
        <v>#N/A</v>
        <stp/>
        <stp>VOLUME</stp>
        <stp>.NDXP251128C19560</stp>
        <tr r="V182" s="2"/>
      </tp>
      <tp t="e">
        <v>#N/A</v>
        <stp/>
        <stp>VOLUME</stp>
        <stp>.NDXP250829C19460</stp>
        <tr r="P187" s="2"/>
      </tp>
      <tp t="s">
        <v>N/A</v>
        <stp/>
        <stp>VOLUME</stp>
        <stp>.NDXP250505C19860</stp>
        <tr r="B167" s="2"/>
      </tp>
      <tp t="e">
        <v>#N/A</v>
        <stp/>
        <stp>VOLUME</stp>
        <stp>.NDXP250508C19560</stp>
        <tr r="E182" s="2"/>
      </tp>
      <tp t="e">
        <v>#N/A</v>
        <stp/>
        <stp>VOLUME</stp>
        <stp>.NDXP250509C19460</stp>
        <tr r="BC186" s="1"/>
      </tp>
      <tp t="e">
        <v>#N/A</v>
        <stp/>
        <stp>VOLUME</stp>
        <stp>.NDXP251128C19540</stp>
        <tr r="V183" s="2"/>
      </tp>
      <tp t="s">
        <v>N/A</v>
        <stp/>
        <stp>VOLUME</stp>
        <stp>.NDXP250829C20440</stp>
        <tr r="P138" s="2"/>
      </tp>
      <tp t="e">
        <v>#N/A</v>
        <stp/>
        <stp>VOLUME</stp>
        <stp>.NDXP250829C19440</stp>
        <tr r="P188" s="2"/>
      </tp>
      <tp t="s">
        <v>N/A</v>
        <stp/>
        <stp>VOLUME</stp>
        <stp>.NDXP250509C20440</stp>
        <tr r="BC137" s="1"/>
      </tp>
      <tp t="s">
        <v>N/A</v>
        <stp/>
        <stp>VOLUME</stp>
        <stp>.NDXP250505C19840</stp>
        <tr r="B168" s="2"/>
      </tp>
      <tp t="e">
        <v>#N/A</v>
        <stp/>
        <stp>VOLUME</stp>
        <stp>.NDXP250508C19540</stp>
        <tr r="E183" s="2"/>
      </tp>
      <tp t="e">
        <v>#N/A</v>
        <stp/>
        <stp>VOLUME</stp>
        <stp>.NDXP250509C19440</stp>
        <tr r="BC187" s="1"/>
      </tp>
      <tp t="e">
        <v>#N/A</v>
        <stp/>
        <stp>VOLUME</stp>
        <stp>.NDXP251128C19520</stp>
        <tr r="V184" s="2"/>
      </tp>
      <tp t="s">
        <v>N/A</v>
        <stp/>
        <stp>VOLUME</stp>
        <stp>.NDXP250829C20420</stp>
        <tr r="P139" s="2"/>
      </tp>
      <tp t="e">
        <v>#N/A</v>
        <stp/>
        <stp>VOLUME</stp>
        <stp>.NDXP250829C19420</stp>
        <tr r="P189" s="2"/>
      </tp>
      <tp t="s">
        <v>N/A</v>
        <stp/>
        <stp>VOLUME</stp>
        <stp>.NDXP250509C20420</stp>
        <tr r="BC138" s="1"/>
      </tp>
      <tp t="s">
        <v>N/A</v>
        <stp/>
        <stp>VOLUME</stp>
        <stp>.NDXP250505C19820</stp>
        <tr r="B169" s="2"/>
      </tp>
      <tp t="e">
        <v>#N/A</v>
        <stp/>
        <stp>VOLUME</stp>
        <stp>.NDXP250508C19520</stp>
        <tr r="E184" s="2"/>
      </tp>
      <tp t="e">
        <v>#N/A</v>
        <stp/>
        <stp>VOLUME</stp>
        <stp>.NDXP250509C19420</stp>
        <tr r="BC188" s="1"/>
      </tp>
      <tp t="e">
        <v>#N/A</v>
        <stp/>
        <stp>VOLUME</stp>
        <stp>.NDXP251128C19500</stp>
        <tr r="V185" s="2"/>
      </tp>
      <tp t="s">
        <v>N/A</v>
        <stp/>
        <stp>VOLUME</stp>
        <stp>.NDXP250829C20400</stp>
        <tr r="P140" s="2"/>
      </tp>
      <tp t="e">
        <v>#N/A</v>
        <stp/>
        <stp>VOLUME</stp>
        <stp>.NDXP250829C19400</stp>
        <tr r="P190" s="2"/>
      </tp>
      <tp>
        <v>4</v>
        <stp/>
        <stp>VOLUME</stp>
        <stp>.NDXP250509C20400</stp>
        <tr r="BC139" s="1"/>
        <tr r="BC139" s="1"/>
      </tp>
      <tp>
        <v>20</v>
        <stp/>
        <stp>VOLUME</stp>
        <stp>.NDXP250505C19800</stp>
        <tr r="B170" s="2"/>
        <tr r="B170" s="2"/>
      </tp>
      <tp t="e">
        <v>#N/A</v>
        <stp/>
        <stp>VOLUME</stp>
        <stp>.NDXP250508C19500</stp>
        <tr r="E185" s="2"/>
      </tp>
      <tp t="e">
        <v>#N/A</v>
        <stp/>
        <stp>VOLUME</stp>
        <stp>.NDXP250509C19400</stp>
        <tr r="BC189" s="1"/>
        <tr r="BC189" s="1"/>
      </tp>
      <tp t="e">
        <v>#N/A</v>
        <stp/>
        <stp>VOLUME</stp>
        <stp>.NDXP250829P19480</stp>
        <tr r="P186" s="2"/>
      </tp>
      <tp>
        <v>26</v>
        <stp/>
        <stp>VOLUME</stp>
        <stp>.NDXP250505P19880</stp>
        <tr r="B166" s="2"/>
        <tr r="B166" s="2"/>
      </tp>
      <tp t="e">
        <v>#N/A</v>
        <stp/>
        <stp>VOLUME</stp>
        <stp>.NDXP250508P19580</stp>
        <tr r="E181" s="2"/>
      </tp>
      <tp t="e">
        <v>#N/A</v>
        <stp/>
        <stp>VOLUME</stp>
        <stp>.NDXP250509P19480</stp>
        <tr r="BD185" s="1"/>
      </tp>
      <tp t="e">
        <v>#N/A</v>
        <stp/>
        <stp>VOLUME</stp>
        <stp>.NDXP251128P19580</stp>
        <tr r="V181" s="2"/>
      </tp>
      <tp t="s">
        <v>N/A</v>
        <stp/>
        <stp>VOLUME</stp>
        <stp>.NDXP250829P20440</stp>
        <tr r="P138" s="2"/>
      </tp>
      <tp t="e">
        <v>#N/A</v>
        <stp/>
        <stp>VOLUME</stp>
        <stp>.NDXP250829P19440</stp>
        <tr r="P188" s="2"/>
      </tp>
      <tp t="s">
        <v>N/A</v>
        <stp/>
        <stp>VOLUME</stp>
        <stp>.NDXP250509P20440</stp>
        <tr r="BD137" s="1"/>
      </tp>
      <tp>
        <v>7</v>
        <stp/>
        <stp>VOLUME</stp>
        <stp>.NDXP250505P19840</stp>
        <tr r="B168" s="2"/>
        <tr r="B168" s="2"/>
      </tp>
      <tp t="e">
        <v>#N/A</v>
        <stp/>
        <stp>VOLUME</stp>
        <stp>.NDXP250508P19540</stp>
        <tr r="E183" s="2"/>
      </tp>
      <tp t="e">
        <v>#N/A</v>
        <stp/>
        <stp>VOLUME</stp>
        <stp>.NDXP250509P19440</stp>
        <tr r="BD187" s="1"/>
      </tp>
      <tp t="e">
        <v>#N/A</v>
        <stp/>
        <stp>VOLUME</stp>
        <stp>.NDXP251128P19540</stp>
        <tr r="V183" s="2"/>
      </tp>
      <tp t="e">
        <v>#N/A</v>
        <stp/>
        <stp>VOLUME</stp>
        <stp>.NDXP250829P19460</stp>
        <tr r="P187" s="2"/>
      </tp>
      <tp t="s">
        <v>N/A</v>
        <stp/>
        <stp>VOLUME</stp>
        <stp>.NDXP250505P19860</stp>
        <tr r="B167" s="2"/>
      </tp>
      <tp t="e">
        <v>#N/A</v>
        <stp/>
        <stp>VOLUME</stp>
        <stp>.NDXP250508P19560</stp>
        <tr r="E182" s="2"/>
      </tp>
      <tp t="e">
        <v>#N/A</v>
        <stp/>
        <stp>VOLUME</stp>
        <stp>.NDXP250509P19460</stp>
        <tr r="BD186" s="1"/>
      </tp>
      <tp t="e">
        <v>#N/A</v>
        <stp/>
        <stp>VOLUME</stp>
        <stp>.NDXP251128P19560</stp>
        <tr r="V182" s="2"/>
      </tp>
      <tp t="s">
        <v>N/A</v>
        <stp/>
        <stp>VOLUME</stp>
        <stp>.NDXP250829P20400</stp>
        <tr r="P140" s="2"/>
      </tp>
      <tp t="e">
        <v>#N/A</v>
        <stp/>
        <stp>VOLUME</stp>
        <stp>.NDXP250829P19400</stp>
        <tr r="P190" s="2"/>
      </tp>
      <tp t="s">
        <v>N/A</v>
        <stp/>
        <stp>VOLUME</stp>
        <stp>.NDXP250509P20400</stp>
        <tr r="BD139" s="1"/>
      </tp>
      <tp>
        <v>69</v>
        <stp/>
        <stp>VOLUME</stp>
        <stp>.NDXP250505P19800</stp>
        <tr r="B170" s="2"/>
        <tr r="B170" s="2"/>
      </tp>
      <tp t="e">
        <v>#N/A</v>
        <stp/>
        <stp>VOLUME</stp>
        <stp>.NDXP250508P19500</stp>
        <tr r="E185" s="2"/>
      </tp>
      <tp t="e">
        <v>#N/A</v>
        <stp/>
        <stp>VOLUME</stp>
        <stp>.NDXP250509P19400</stp>
        <tr r="BD189" s="1"/>
        <tr r="BD189" s="1"/>
      </tp>
      <tp t="e">
        <v>#N/A</v>
        <stp/>
        <stp>VOLUME</stp>
        <stp>.NDXP251128P19500</stp>
        <tr r="V185" s="2"/>
      </tp>
      <tp t="s">
        <v>N/A</v>
        <stp/>
        <stp>VOLUME</stp>
        <stp>.NDXP250829P20420</stp>
        <tr r="P139" s="2"/>
      </tp>
      <tp t="e">
        <v>#N/A</v>
        <stp/>
        <stp>VOLUME</stp>
        <stp>.NDXP250829P19420</stp>
        <tr r="P189" s="2"/>
      </tp>
      <tp t="s">
        <v>N/A</v>
        <stp/>
        <stp>VOLUME</stp>
        <stp>.NDXP250509P20420</stp>
        <tr r="BD138" s="1"/>
      </tp>
      <tp>
        <v>12</v>
        <stp/>
        <stp>VOLUME</stp>
        <stp>.NDXP250505P19820</stp>
        <tr r="B169" s="2"/>
        <tr r="B169" s="2"/>
      </tp>
      <tp t="e">
        <v>#N/A</v>
        <stp/>
        <stp>VOLUME</stp>
        <stp>.NDXP250508P19520</stp>
        <tr r="E184" s="2"/>
      </tp>
      <tp t="e">
        <v>#N/A</v>
        <stp/>
        <stp>VOLUME</stp>
        <stp>.NDXP250509P19420</stp>
        <tr r="BD188" s="1"/>
      </tp>
      <tp t="e">
        <v>#N/A</v>
        <stp/>
        <stp>VOLUME</stp>
        <stp>.NDXP251128P19520</stp>
        <tr r="V184" s="2"/>
      </tp>
      <tp t="e">
        <v>#N/A</v>
        <stp/>
        <stp>OPEN_INT</stp>
        <stp>.NDXP250502C19500</stp>
        <tr r="AS184" s="1"/>
        <tr r="AS184" s="1"/>
      </tp>
      <tp t="e">
        <v>#N/A</v>
        <stp/>
        <stp>OPEN_INT</stp>
        <stp>.NDXP250502C19520</stp>
        <tr r="AS183" s="1"/>
        <tr r="AS183" s="1"/>
      </tp>
      <tp t="e">
        <v>#N/A</v>
        <stp/>
        <stp>OPEN_INT</stp>
        <stp>.NDXP250502C19540</stp>
        <tr r="AS182" s="1"/>
        <tr r="AS182" s="1"/>
      </tp>
      <tp t="e">
        <v>#N/A</v>
        <stp/>
        <stp>OPEN_INT</stp>
        <stp>.NDXP250502C19560</stp>
        <tr r="AS181" s="1"/>
        <tr r="AS181" s="1"/>
      </tp>
      <tp t="e">
        <v>#N/A</v>
        <stp/>
        <stp>OPEN_INT</stp>
        <stp>.NDXP250502C19580</stp>
        <tr r="AS180" s="1"/>
        <tr r="AS180" s="1"/>
      </tp>
      <tp t="e">
        <v>#N/A</v>
        <stp/>
        <stp>OPEN_INT</stp>
        <stp>.NDXP250502P19520</stp>
        <tr r="AT183" s="1"/>
        <tr r="AT183" s="1"/>
      </tp>
      <tp t="e">
        <v>#N/A</v>
        <stp/>
        <stp>OPEN_INT</stp>
        <stp>.NDXP250502P19500</stp>
        <tr r="AT184" s="1"/>
        <tr r="AT184" s="1"/>
      </tp>
      <tp t="e">
        <v>#N/A</v>
        <stp/>
        <stp>OPEN_INT</stp>
        <stp>.NDXP250502P19560</stp>
        <tr r="AT181" s="1"/>
        <tr r="AT181" s="1"/>
      </tp>
      <tp t="e">
        <v>#N/A</v>
        <stp/>
        <stp>OPEN_INT</stp>
        <stp>.NDXP250502P19540</stp>
        <tr r="AT182" s="1"/>
        <tr r="AT182" s="1"/>
      </tp>
      <tp t="e">
        <v>#N/A</v>
        <stp/>
        <stp>OPEN_INT</stp>
        <stp>.NDXP250502P19580</stp>
        <tr r="AT180" s="1"/>
        <tr r="AT180" s="1"/>
      </tp>
      <tp t="e">
        <v>#N/A</v>
        <stp/>
        <stp>DELTA</stp>
        <stp>.NDXP250509P19480</stp>
        <tr r="CG185" s="1"/>
      </tp>
      <tp t="e">
        <v>#N/A</v>
        <stp/>
        <stp>DELTA</stp>
        <stp>.NDXP250509P20420</stp>
        <tr r="CG138" s="1"/>
      </tp>
      <tp t="e">
        <v>#N/A</v>
        <stp/>
        <stp>DELTA</stp>
        <stp>.NDXP250509P19420</stp>
        <tr r="CG188" s="1"/>
      </tp>
      <tp t="e">
        <v>#N/A</v>
        <stp/>
        <stp>DELTA</stp>
        <stp>.NDXP250509P20400</stp>
        <tr r="CG139" s="1"/>
        <tr r="CG139" s="1"/>
      </tp>
      <tp t="e">
        <v>#N/A</v>
        <stp/>
        <stp>DELTA</stp>
        <stp>.NDXP250509P19400</stp>
        <tr r="CG189" s="1"/>
        <tr r="CG189" s="1"/>
      </tp>
      <tp t="e">
        <v>#N/A</v>
        <stp/>
        <stp>DELTA</stp>
        <stp>.NDXP250509P19460</stp>
        <tr r="CG186" s="1"/>
      </tp>
      <tp t="e">
        <v>#N/A</v>
        <stp/>
        <stp>DELTA</stp>
        <stp>.NDXP250509P20440</stp>
        <tr r="CG137" s="1"/>
      </tp>
      <tp t="e">
        <v>#N/A</v>
        <stp/>
        <stp>DELTA</stp>
        <stp>.NDXP250509P19440</stp>
        <tr r="CG187" s="1"/>
      </tp>
      <tp t="e">
        <v>#N/A</v>
        <stp/>
        <stp>DELTA</stp>
        <stp>.NDXP250509C19480</stp>
        <tr r="CF185" s="1"/>
      </tp>
      <tp t="e">
        <v>#N/A</v>
        <stp/>
        <stp>DELTA</stp>
        <stp>.NDXP250509C20400</stp>
        <tr r="CF139" s="1"/>
        <tr r="CF139" s="1"/>
      </tp>
      <tp t="e">
        <v>#N/A</v>
        <stp/>
        <stp>DELTA</stp>
        <stp>.NDXP250509C19400</stp>
        <tr r="CF189" s="1"/>
        <tr r="CF189" s="1"/>
      </tp>
      <tp t="e">
        <v>#N/A</v>
        <stp/>
        <stp>DELTA</stp>
        <stp>.NDXP250509C20420</stp>
        <tr r="CF138" s="1"/>
      </tp>
      <tp t="e">
        <v>#N/A</v>
        <stp/>
        <stp>DELTA</stp>
        <stp>.NDXP250509C19420</stp>
        <tr r="CF188" s="1"/>
      </tp>
      <tp t="e">
        <v>#N/A</v>
        <stp/>
        <stp>DELTA</stp>
        <stp>.NDXP250509C20440</stp>
        <tr r="CF137" s="1"/>
      </tp>
      <tp t="e">
        <v>#N/A</v>
        <stp/>
        <stp>DELTA</stp>
        <stp>.NDXP250509C19440</stp>
        <tr r="CF187" s="1"/>
      </tp>
      <tp t="e">
        <v>#N/A</v>
        <stp/>
        <stp>DELTA</stp>
        <stp>.NDXP250509C19460</stp>
        <tr r="CF186" s="1"/>
      </tp>
      <tp t="e">
        <v>#N/A</v>
        <stp/>
        <stp>VOLUME</stp>
        <stp>.NDXP251128C19680</stp>
        <tr r="V176" s="2"/>
      </tp>
      <tp t="s">
        <v>N/A</v>
        <stp/>
        <stp>VOLUME</stp>
        <stp>.NDXP250829C19780</stp>
        <tr r="P171" s="2"/>
      </tp>
      <tp t="e">
        <v>#N/A</v>
        <stp/>
        <stp>VOLUME</stp>
        <stp>.NDXP250606C19880</stp>
        <tr r="J166" s="2"/>
      </tp>
      <tp t="s">
        <v>N/A</v>
        <stp/>
        <stp>VOLUME</stp>
        <stp>.NDXP250506C19880</stp>
        <tr r="C166" s="2"/>
      </tp>
      <tp t="e">
        <v>#N/A</v>
        <stp/>
        <stp>VOLUME</stp>
        <stp>.NDXP250507C19980</stp>
        <tr r="D161" s="2"/>
      </tp>
      <tp t="e">
        <v>#N/A</v>
        <stp/>
        <stp>VOLUME</stp>
        <stp>.NDXP250508C19680</stp>
        <tr r="E176" s="2"/>
      </tp>
      <tp t="s">
        <v>N/A</v>
        <stp/>
        <stp>VOLUME</stp>
        <stp>.NDXP250509C19780</stp>
        <tr r="BC170" s="1"/>
      </tp>
      <tp t="e">
        <v>#N/A</v>
        <stp/>
        <stp>VOLUME</stp>
        <stp>.NDXP251128C19660</stp>
        <tr r="V177" s="2"/>
      </tp>
      <tp t="s">
        <v>N/A</v>
        <stp/>
        <stp>VOLUME</stp>
        <stp>.NDXP250829C19760</stp>
        <tr r="P172" s="2"/>
      </tp>
      <tp t="e">
        <v>#N/A</v>
        <stp/>
        <stp>VOLUME</stp>
        <stp>.NDXP250606C19860</stp>
        <tr r="J167" s="2"/>
      </tp>
      <tp t="s">
        <v>N/A</v>
        <stp/>
        <stp>VOLUME</stp>
        <stp>.NDXP250506C19860</stp>
        <tr r="C167" s="2"/>
      </tp>
      <tp t="e">
        <v>#N/A</v>
        <stp/>
        <stp>VOLUME</stp>
        <stp>.NDXP250507C19960</stp>
        <tr r="D162" s="2"/>
      </tp>
      <tp t="e">
        <v>#N/A</v>
        <stp/>
        <stp>VOLUME</stp>
        <stp>.NDXP250508C19660</stp>
        <tr r="E177" s="2"/>
      </tp>
      <tp t="s">
        <v>N/A</v>
        <stp/>
        <stp>VOLUME</stp>
        <stp>.NDXP250509C19760</stp>
        <tr r="BC171" s="1"/>
      </tp>
      <tp t="e">
        <v>#N/A</v>
        <stp/>
        <stp>VOLUME</stp>
        <stp>.NDXP251128C19640</stp>
        <tr r="V178" s="2"/>
      </tp>
      <tp t="s">
        <v>N/A</v>
        <stp/>
        <stp>VOLUME</stp>
        <stp>.NDXP250829C19740</stp>
        <tr r="P173" s="2"/>
      </tp>
      <tp t="e">
        <v>#N/A</v>
        <stp/>
        <stp>VOLUME</stp>
        <stp>.NDXP250606C19840</stp>
        <tr r="J168" s="2"/>
      </tp>
      <tp t="s">
        <v>N/A</v>
        <stp/>
        <stp>VOLUME</stp>
        <stp>.NDXP250506C19840</stp>
        <tr r="C168" s="2"/>
      </tp>
      <tp t="e">
        <v>#N/A</v>
        <stp/>
        <stp>VOLUME</stp>
        <stp>.NDXP250507C19940</stp>
        <tr r="D163" s="2"/>
      </tp>
      <tp t="e">
        <v>#N/A</v>
        <stp/>
        <stp>VOLUME</stp>
        <stp>.NDXP250508C19640</stp>
        <tr r="E178" s="2"/>
      </tp>
      <tp t="s">
        <v>N/A</v>
        <stp/>
        <stp>VOLUME</stp>
        <stp>.NDXP250509C19740</stp>
        <tr r="BC172" s="1"/>
      </tp>
      <tp t="e">
        <v>#N/A</v>
        <stp/>
        <stp>VOLUME</stp>
        <stp>.NDXP251128C19620</stp>
        <tr r="V179" s="2"/>
      </tp>
      <tp t="s">
        <v>N/A</v>
        <stp/>
        <stp>VOLUME</stp>
        <stp>.NDXP250829C19720</stp>
        <tr r="P174" s="2"/>
      </tp>
      <tp t="e">
        <v>#N/A</v>
        <stp/>
        <stp>VOLUME</stp>
        <stp>.NDXP250606C19820</stp>
        <tr r="J169" s="2"/>
      </tp>
      <tp t="s">
        <v>N/A</v>
        <stp/>
        <stp>VOLUME</stp>
        <stp>.NDXP250506C19820</stp>
        <tr r="C169" s="2"/>
      </tp>
      <tp t="e">
        <v>#N/A</v>
        <stp/>
        <stp>VOLUME</stp>
        <stp>.NDXP250507C19920</stp>
        <tr r="D164" s="2"/>
      </tp>
      <tp t="e">
        <v>#N/A</v>
        <stp/>
        <stp>VOLUME</stp>
        <stp>.NDXP250508C19620</stp>
        <tr r="E179" s="2"/>
      </tp>
      <tp t="s">
        <v>N/A</v>
        <stp/>
        <stp>VOLUME</stp>
        <stp>.NDXP250509C19720</stp>
        <tr r="BC173" s="1"/>
      </tp>
      <tp t="e">
        <v>#N/A</v>
        <stp/>
        <stp>VOLUME</stp>
        <stp>.NDXP251128C19600</stp>
        <tr r="V180" s="2"/>
      </tp>
      <tp t="s">
        <v>N/A</v>
        <stp/>
        <stp>VOLUME</stp>
        <stp>.NDXP250829C19700</stp>
        <tr r="P175" s="2"/>
      </tp>
      <tp t="e">
        <v>#N/A</v>
        <stp/>
        <stp>VOLUME</stp>
        <stp>.NDXP250606C19800</stp>
        <tr r="J170" s="2"/>
      </tp>
      <tp>
        <v>1</v>
        <stp/>
        <stp>VOLUME</stp>
        <stp>.NDXP250506C19800</stp>
        <tr r="C170" s="2"/>
        <tr r="C170" s="2"/>
      </tp>
      <tp t="e">
        <v>#N/A</v>
        <stp/>
        <stp>VOLUME</stp>
        <stp>.NDXP250507C19900</stp>
        <tr r="D165" s="2"/>
      </tp>
      <tp t="e">
        <v>#N/A</v>
        <stp/>
        <stp>VOLUME</stp>
        <stp>.NDXP250508C19600</stp>
        <tr r="E180" s="2"/>
      </tp>
      <tp t="s">
        <v>N/A</v>
        <stp/>
        <stp>VOLUME</stp>
        <stp>.NDXP250509C19700</stp>
        <tr r="BC174" s="1"/>
      </tp>
      <tp t="s">
        <v>N/A</v>
        <stp/>
        <stp>VOLUME</stp>
        <stp>.NDXP250829P19780</stp>
        <tr r="P171" s="2"/>
      </tp>
      <tp t="e">
        <v>#N/A</v>
        <stp/>
        <stp>VOLUME</stp>
        <stp>.NDXP250606P19880</stp>
        <tr r="J166" s="2"/>
      </tp>
      <tp t="s">
        <v>N/A</v>
        <stp/>
        <stp>VOLUME</stp>
        <stp>.NDXP250506P19880</stp>
        <tr r="C166" s="2"/>
      </tp>
      <tp t="e">
        <v>#N/A</v>
        <stp/>
        <stp>VOLUME</stp>
        <stp>.NDXP250507P19980</stp>
        <tr r="D161" s="2"/>
      </tp>
      <tp t="e">
        <v>#N/A</v>
        <stp/>
        <stp>VOLUME</stp>
        <stp>.NDXP250508P19680</stp>
        <tr r="E176" s="2"/>
      </tp>
      <tp t="s">
        <v>N/A</v>
        <stp/>
        <stp>VOLUME</stp>
        <stp>.NDXP250509P19780</stp>
        <tr r="BD170" s="1"/>
      </tp>
      <tp t="e">
        <v>#N/A</v>
        <stp/>
        <stp>VOLUME</stp>
        <stp>.NDXP251128P19680</stp>
        <tr r="V176" s="2"/>
      </tp>
      <tp t="s">
        <v>N/A</v>
        <stp/>
        <stp>VOLUME</stp>
        <stp>.NDXP250829P19740</stp>
        <tr r="P173" s="2"/>
      </tp>
      <tp t="e">
        <v>#N/A</v>
        <stp/>
        <stp>VOLUME</stp>
        <stp>.NDXP250606P19840</stp>
        <tr r="J168" s="2"/>
      </tp>
      <tp>
        <v>1</v>
        <stp/>
        <stp>VOLUME</stp>
        <stp>.NDXP250506P19840</stp>
        <tr r="C168" s="2"/>
        <tr r="C168" s="2"/>
      </tp>
      <tp t="e">
        <v>#N/A</v>
        <stp/>
        <stp>VOLUME</stp>
        <stp>.NDXP250507P19940</stp>
        <tr r="D163" s="2"/>
      </tp>
      <tp t="e">
        <v>#N/A</v>
        <stp/>
        <stp>VOLUME</stp>
        <stp>.NDXP250508P19640</stp>
        <tr r="E178" s="2"/>
      </tp>
      <tp t="s">
        <v>N/A</v>
        <stp/>
        <stp>VOLUME</stp>
        <stp>.NDXP250509P19740</stp>
        <tr r="BD172" s="1"/>
      </tp>
      <tp t="e">
        <v>#N/A</v>
        <stp/>
        <stp>VOLUME</stp>
        <stp>.NDXP251128P19640</stp>
        <tr r="V178" s="2"/>
      </tp>
      <tp t="s">
        <v>N/A</v>
        <stp/>
        <stp>VOLUME</stp>
        <stp>.NDXP250829P19760</stp>
        <tr r="P172" s="2"/>
      </tp>
      <tp t="e">
        <v>#N/A</v>
        <stp/>
        <stp>VOLUME</stp>
        <stp>.NDXP250606P19860</stp>
        <tr r="J167" s="2"/>
      </tp>
      <tp t="s">
        <v>N/A</v>
        <stp/>
        <stp>VOLUME</stp>
        <stp>.NDXP250506P19860</stp>
        <tr r="C167" s="2"/>
      </tp>
      <tp t="e">
        <v>#N/A</v>
        <stp/>
        <stp>VOLUME</stp>
        <stp>.NDXP250507P19960</stp>
        <tr r="D162" s="2"/>
      </tp>
      <tp t="e">
        <v>#N/A</v>
        <stp/>
        <stp>VOLUME</stp>
        <stp>.NDXP250508P19660</stp>
        <tr r="E177" s="2"/>
      </tp>
      <tp t="s">
        <v>N/A</v>
        <stp/>
        <stp>VOLUME</stp>
        <stp>.NDXP250509P19760</stp>
        <tr r="BD171" s="1"/>
      </tp>
      <tp t="e">
        <v>#N/A</v>
        <stp/>
        <stp>VOLUME</stp>
        <stp>.NDXP251128P19660</stp>
        <tr r="V177" s="2"/>
      </tp>
      <tp t="s">
        <v>N/A</v>
        <stp/>
        <stp>VOLUME</stp>
        <stp>.NDXP250829P19700</stp>
        <tr r="P175" s="2"/>
      </tp>
      <tp t="e">
        <v>#N/A</v>
        <stp/>
        <stp>VOLUME</stp>
        <stp>.NDXP250606P19800</stp>
        <tr r="J170" s="2"/>
      </tp>
      <tp>
        <v>14</v>
        <stp/>
        <stp>VOLUME</stp>
        <stp>.NDXP250506P19800</stp>
        <tr r="C170" s="2"/>
        <tr r="C170" s="2"/>
      </tp>
      <tp t="e">
        <v>#N/A</v>
        <stp/>
        <stp>VOLUME</stp>
        <stp>.NDXP250507P19900</stp>
        <tr r="D165" s="2"/>
      </tp>
      <tp t="e">
        <v>#N/A</v>
        <stp/>
        <stp>VOLUME</stp>
        <stp>.NDXP250508P19600</stp>
        <tr r="E180" s="2"/>
      </tp>
      <tp>
        <v>12</v>
        <stp/>
        <stp>VOLUME</stp>
        <stp>.NDXP250509P19700</stp>
        <tr r="BD174" s="1"/>
        <tr r="BD174" s="1"/>
      </tp>
      <tp t="e">
        <v>#N/A</v>
        <stp/>
        <stp>VOLUME</stp>
        <stp>.NDXP251128P19600</stp>
        <tr r="V180" s="2"/>
      </tp>
      <tp t="s">
        <v>N/A</v>
        <stp/>
        <stp>VOLUME</stp>
        <stp>.NDXP250829P19720</stp>
        <tr r="P174" s="2"/>
      </tp>
      <tp t="e">
        <v>#N/A</v>
        <stp/>
        <stp>VOLUME</stp>
        <stp>.NDXP250606P19820</stp>
        <tr r="J169" s="2"/>
      </tp>
      <tp>
        <v>2</v>
        <stp/>
        <stp>VOLUME</stp>
        <stp>.NDXP250506P19820</stp>
        <tr r="C169" s="2"/>
        <tr r="C169" s="2"/>
      </tp>
      <tp t="e">
        <v>#N/A</v>
        <stp/>
        <stp>VOLUME</stp>
        <stp>.NDXP250507P19920</stp>
        <tr r="D164" s="2"/>
      </tp>
      <tp t="e">
        <v>#N/A</v>
        <stp/>
        <stp>VOLUME</stp>
        <stp>.NDXP250508P19620</stp>
        <tr r="E179" s="2"/>
      </tp>
      <tp t="s">
        <v>N/A</v>
        <stp/>
        <stp>VOLUME</stp>
        <stp>.NDXP250509P19720</stp>
        <tr r="BD173" s="1"/>
      </tp>
      <tp t="e">
        <v>#N/A</v>
        <stp/>
        <stp>VOLUME</stp>
        <stp>.NDXP251128P19620</stp>
        <tr r="V179" s="2"/>
      </tp>
      <tp t="e">
        <v>#N/A</v>
        <stp/>
        <stp>OPEN_INT</stp>
        <stp>.NDXP250502C19400</stp>
        <tr r="AS189" s="1"/>
        <tr r="AS189" s="1"/>
      </tp>
      <tp>
        <v>48</v>
        <stp/>
        <stp>OPEN_INT</stp>
        <stp>.NDXP250502C20400</stp>
        <tr r="AS139" s="1"/>
        <tr r="AS139" s="1"/>
      </tp>
      <tp t="e">
        <v>#N/A</v>
        <stp/>
        <stp>OPEN_INT</stp>
        <stp>.NDXP250502C19420</stp>
        <tr r="AS188" s="1"/>
        <tr r="AS188" s="1"/>
      </tp>
      <tp t="s">
        <v>N/A</v>
        <stp/>
        <stp>OPEN_INT</stp>
        <stp>.NDXP250502C20420</stp>
        <tr r="AS138" s="1"/>
      </tp>
      <tp t="e">
        <v>#N/A</v>
        <stp/>
        <stp>OPEN_INT</stp>
        <stp>.NDXP250502C19440</stp>
        <tr r="AS187" s="1"/>
        <tr r="AS187" s="1"/>
      </tp>
      <tp t="s">
        <v>N/A</v>
        <stp/>
        <stp>OPEN_INT</stp>
        <stp>.NDXP250502C20440</stp>
        <tr r="AS137" s="1"/>
      </tp>
      <tp t="e">
        <v>#N/A</v>
        <stp/>
        <stp>OPEN_INT</stp>
        <stp>.NDXP250502C19460</stp>
        <tr r="AS186" s="1"/>
        <tr r="AS186" s="1"/>
      </tp>
      <tp t="e">
        <v>#N/A</v>
        <stp/>
        <stp>OPEN_INT</stp>
        <stp>.NDXP250502C19480</stp>
        <tr r="AS185" s="1"/>
        <tr r="AS185" s="1"/>
      </tp>
      <tp t="e">
        <v>#N/A</v>
        <stp/>
        <stp>OPEN_INT</stp>
        <stp>.NDXP250502P19420</stp>
        <tr r="AT188" s="1"/>
        <tr r="AT188" s="1"/>
      </tp>
      <tp t="s">
        <v>N/A</v>
        <stp/>
        <stp>OPEN_INT</stp>
        <stp>.NDXP250502P20420</stp>
        <tr r="AT138" s="1"/>
      </tp>
      <tp t="e">
        <v>#N/A</v>
        <stp/>
        <stp>OPEN_INT</stp>
        <stp>.NDXP250502P19400</stp>
        <tr r="AT189" s="1"/>
        <tr r="AT189" s="1"/>
      </tp>
      <tp>
        <v>9</v>
        <stp/>
        <stp>OPEN_INT</stp>
        <stp>.NDXP250502P20400</stp>
        <tr r="AT139" s="1"/>
        <tr r="AT139" s="1"/>
      </tp>
      <tp t="e">
        <v>#N/A</v>
        <stp/>
        <stp>OPEN_INT</stp>
        <stp>.NDXP250502P19460</stp>
        <tr r="AT186" s="1"/>
        <tr r="AT186" s="1"/>
      </tp>
      <tp t="e">
        <v>#N/A</v>
        <stp/>
        <stp>OPEN_INT</stp>
        <stp>.NDXP250502P19440</stp>
        <tr r="AT187" s="1"/>
        <tr r="AT187" s="1"/>
      </tp>
      <tp t="s">
        <v>N/A</v>
        <stp/>
        <stp>OPEN_INT</stp>
        <stp>.NDXP250502P20440</stp>
        <tr r="AT137" s="1"/>
      </tp>
      <tp t="e">
        <v>#N/A</v>
        <stp/>
        <stp>OPEN_INT</stp>
        <stp>.NDXP250502P19480</stp>
        <tr r="AT185" s="1"/>
        <tr r="AT185" s="1"/>
      </tp>
      <tp t="e">
        <v>#N/A</v>
        <stp/>
        <stp>DELTA</stp>
        <stp>.NDXP250509P19580</stp>
        <tr r="CG180" s="1"/>
      </tp>
      <tp t="e">
        <v>#N/A</v>
        <stp/>
        <stp>DELTA</stp>
        <stp>.NDXP250509P19520</stp>
        <tr r="CG183" s="1"/>
      </tp>
      <tp t="e">
        <v>#N/A</v>
        <stp/>
        <stp>DELTA</stp>
        <stp>.NDXP250509P19500</stp>
        <tr r="CG184" s="1"/>
        <tr r="CG184" s="1"/>
      </tp>
      <tp t="e">
        <v>#N/A</v>
        <stp/>
        <stp>DELTA</stp>
        <stp>.NDXP250509P19560</stp>
        <tr r="CG181" s="1"/>
      </tp>
      <tp t="e">
        <v>#N/A</v>
        <stp/>
        <stp>DELTA</stp>
        <stp>.NDXP250509P19540</stp>
        <tr r="CG182" s="1"/>
      </tp>
      <tp t="e">
        <v>#N/A</v>
        <stp/>
        <stp>DELTA</stp>
        <stp>.NDXP250509C19580</stp>
        <tr r="CF180" s="1"/>
      </tp>
      <tp t="e">
        <v>#N/A</v>
        <stp/>
        <stp>DELTA</stp>
        <stp>.NDXP250509C19500</stp>
        <tr r="CF184" s="1"/>
        <tr r="CF184" s="1"/>
      </tp>
      <tp t="e">
        <v>#N/A</v>
        <stp/>
        <stp>DELTA</stp>
        <stp>.NDXP250509C19520</stp>
        <tr r="CF183" s="1"/>
      </tp>
      <tp t="e">
        <v>#N/A</v>
        <stp/>
        <stp>DELTA</stp>
        <stp>.NDXP250509C19540</stp>
        <tr r="CF182" s="1"/>
      </tp>
      <tp t="e">
        <v>#N/A</v>
        <stp/>
        <stp>DELTA</stp>
        <stp>.NDXP250509C19560</stp>
        <tr r="CF181" s="1"/>
      </tp>
      <tp t="e">
        <v>#N/A</v>
        <stp/>
        <stp>VOLUME</stp>
        <stp>.NDXP251128C19780</stp>
        <tr r="V171" s="2"/>
      </tp>
      <tp t="s">
        <v>N/A</v>
        <stp/>
        <stp>VOLUME</stp>
        <stp>.NDXP250829C19680</stp>
        <tr r="P176" s="2"/>
      </tp>
      <tp t="e">
        <v>#N/A</v>
        <stp/>
        <stp>VOLUME</stp>
        <stp>.NDXP250606C19980</stp>
        <tr r="J161" s="2"/>
      </tp>
      <tp>
        <v>1</v>
        <stp/>
        <stp>VOLUME</stp>
        <stp>.NDXP250506C19980</stp>
        <tr r="C161" s="2"/>
        <tr r="C161" s="2"/>
      </tp>
      <tp t="e">
        <v>#N/A</v>
        <stp/>
        <stp>VOLUME</stp>
        <stp>.NDXP250507C19880</stp>
        <tr r="D166" s="2"/>
      </tp>
      <tp t="e">
        <v>#N/A</v>
        <stp/>
        <stp>VOLUME</stp>
        <stp>.NDXP250508C19780</stp>
        <tr r="E171" s="2"/>
      </tp>
      <tp t="s">
        <v>N/A</v>
        <stp/>
        <stp>VOLUME</stp>
        <stp>.NDXP250509C19680</stp>
        <tr r="BC175" s="1"/>
      </tp>
      <tp t="e">
        <v>#N/A</v>
        <stp/>
        <stp>VOLUME</stp>
        <stp>.NDXP251128C19760</stp>
        <tr r="V172" s="2"/>
      </tp>
      <tp t="s">
        <v>N/A</v>
        <stp/>
        <stp>VOLUME</stp>
        <stp>.NDXP250829C19660</stp>
        <tr r="P177" s="2"/>
      </tp>
      <tp t="e">
        <v>#N/A</v>
        <stp/>
        <stp>VOLUME</stp>
        <stp>.NDXP250606C19960</stp>
        <tr r="J162" s="2"/>
      </tp>
      <tp t="s">
        <v>N/A</v>
        <stp/>
        <stp>VOLUME</stp>
        <stp>.NDXP250506C19960</stp>
        <tr r="C162" s="2"/>
      </tp>
      <tp t="e">
        <v>#N/A</v>
        <stp/>
        <stp>VOLUME</stp>
        <stp>.NDXP250507C19860</stp>
        <tr r="D167" s="2"/>
      </tp>
      <tp t="e">
        <v>#N/A</v>
        <stp/>
        <stp>VOLUME</stp>
        <stp>.NDXP250508C19760</stp>
        <tr r="E172" s="2"/>
      </tp>
      <tp t="s">
        <v>N/A</v>
        <stp/>
        <stp>VOLUME</stp>
        <stp>.NDXP250509C19660</stp>
        <tr r="BC176" s="1"/>
      </tp>
      <tp t="e">
        <v>#N/A</v>
        <stp/>
        <stp>VOLUME</stp>
        <stp>.NDXP251128C19740</stp>
        <tr r="V173" s="2"/>
      </tp>
      <tp t="s">
        <v>N/A</v>
        <stp/>
        <stp>VOLUME</stp>
        <stp>.NDXP250829C19640</stp>
        <tr r="P178" s="2"/>
      </tp>
      <tp t="e">
        <v>#N/A</v>
        <stp/>
        <stp>VOLUME</stp>
        <stp>.NDXP250606C19940</stp>
        <tr r="J163" s="2"/>
      </tp>
      <tp t="s">
        <v>N/A</v>
        <stp/>
        <stp>VOLUME</stp>
        <stp>.NDXP250506C19940</stp>
        <tr r="C163" s="2"/>
      </tp>
      <tp t="e">
        <v>#N/A</v>
        <stp/>
        <stp>VOLUME</stp>
        <stp>.NDXP250507C19840</stp>
        <tr r="D168" s="2"/>
      </tp>
      <tp t="e">
        <v>#N/A</v>
        <stp/>
        <stp>VOLUME</stp>
        <stp>.NDXP250508C19740</stp>
        <tr r="E173" s="2"/>
      </tp>
      <tp t="s">
        <v>N/A</v>
        <stp/>
        <stp>VOLUME</stp>
        <stp>.NDXP250509C19640</stp>
        <tr r="BC177" s="1"/>
      </tp>
      <tp t="e">
        <v>#N/A</v>
        <stp/>
        <stp>VOLUME</stp>
        <stp>.NDXP251128C19720</stp>
        <tr r="V174" s="2"/>
      </tp>
      <tp t="s">
        <v>N/A</v>
        <stp/>
        <stp>VOLUME</stp>
        <stp>.NDXP250829C19620</stp>
        <tr r="P179" s="2"/>
      </tp>
      <tp t="e">
        <v>#N/A</v>
        <stp/>
        <stp>VOLUME</stp>
        <stp>.NDXP250606C19920</stp>
        <tr r="J164" s="2"/>
      </tp>
      <tp t="s">
        <v>N/A</v>
        <stp/>
        <stp>VOLUME</stp>
        <stp>.NDXP250506C19920</stp>
        <tr r="C164" s="2"/>
      </tp>
      <tp t="e">
        <v>#N/A</v>
        <stp/>
        <stp>VOLUME</stp>
        <stp>.NDXP250507C19820</stp>
        <tr r="D169" s="2"/>
      </tp>
      <tp t="e">
        <v>#N/A</v>
        <stp/>
        <stp>VOLUME</stp>
        <stp>.NDXP250508C19720</stp>
        <tr r="E174" s="2"/>
      </tp>
      <tp t="s">
        <v>N/A</v>
        <stp/>
        <stp>VOLUME</stp>
        <stp>.NDXP250509C19620</stp>
        <tr r="BC178" s="1"/>
      </tp>
      <tp t="e">
        <v>#N/A</v>
        <stp/>
        <stp>VOLUME</stp>
        <stp>.NDXP251128C19700</stp>
        <tr r="V175" s="2"/>
      </tp>
      <tp t="e">
        <v>#N/A</v>
        <stp/>
        <stp>VOLUME</stp>
        <stp>.NDXP250829C19600</stp>
        <tr r="P180" s="2"/>
      </tp>
      <tp t="e">
        <v>#N/A</v>
        <stp/>
        <stp>VOLUME</stp>
        <stp>.NDXP250606C19900</stp>
        <tr r="J165" s="2"/>
      </tp>
      <tp>
        <v>10</v>
        <stp/>
        <stp>VOLUME</stp>
        <stp>.NDXP250506C19900</stp>
        <tr r="C165" s="2"/>
        <tr r="C165" s="2"/>
      </tp>
      <tp t="e">
        <v>#N/A</v>
        <stp/>
        <stp>VOLUME</stp>
        <stp>.NDXP250507C19800</stp>
        <tr r="D170" s="2"/>
      </tp>
      <tp t="e">
        <v>#N/A</v>
        <stp/>
        <stp>VOLUME</stp>
        <stp>.NDXP250508C19700</stp>
        <tr r="E175" s="2"/>
      </tp>
      <tp t="e">
        <v>#N/A</v>
        <stp/>
        <stp>VOLUME</stp>
        <stp>.NDXP250509C19600</stp>
        <tr r="BC179" s="1"/>
        <tr r="BC179" s="1"/>
      </tp>
      <tp t="s">
        <v>N/A</v>
        <stp/>
        <stp>VOLUME</stp>
        <stp>.NDXP250829P19680</stp>
        <tr r="P176" s="2"/>
      </tp>
      <tp t="e">
        <v>#N/A</v>
        <stp/>
        <stp>VOLUME</stp>
        <stp>.NDXP250606P19980</stp>
        <tr r="J161" s="2"/>
      </tp>
      <tp t="s">
        <v>N/A</v>
        <stp/>
        <stp>VOLUME</stp>
        <stp>.NDXP250506P19980</stp>
        <tr r="C161" s="2"/>
      </tp>
      <tp t="e">
        <v>#N/A</v>
        <stp/>
        <stp>VOLUME</stp>
        <stp>.NDXP250507P19880</stp>
        <tr r="D166" s="2"/>
      </tp>
      <tp t="e">
        <v>#N/A</v>
        <stp/>
        <stp>VOLUME</stp>
        <stp>.NDXP250508P19780</stp>
        <tr r="E171" s="2"/>
      </tp>
      <tp t="s">
        <v>N/A</v>
        <stp/>
        <stp>VOLUME</stp>
        <stp>.NDXP250509P19680</stp>
        <tr r="BD175" s="1"/>
      </tp>
      <tp t="e">
        <v>#N/A</v>
        <stp/>
        <stp>VOLUME</stp>
        <stp>.NDXP251128P19780</stp>
        <tr r="V171" s="2"/>
      </tp>
      <tp t="s">
        <v>N/A</v>
        <stp/>
        <stp>VOLUME</stp>
        <stp>.NDXP250829P19640</stp>
        <tr r="P178" s="2"/>
      </tp>
      <tp t="e">
        <v>#N/A</v>
        <stp/>
        <stp>VOLUME</stp>
        <stp>.NDXP250606P19940</stp>
        <tr r="J163" s="2"/>
      </tp>
      <tp t="s">
        <v>N/A</v>
        <stp/>
        <stp>VOLUME</stp>
        <stp>.NDXP250506P19940</stp>
        <tr r="C163" s="2"/>
      </tp>
      <tp t="e">
        <v>#N/A</v>
        <stp/>
        <stp>VOLUME</stp>
        <stp>.NDXP250507P19840</stp>
        <tr r="D168" s="2"/>
      </tp>
      <tp t="e">
        <v>#N/A</v>
        <stp/>
        <stp>VOLUME</stp>
        <stp>.NDXP250508P19740</stp>
        <tr r="E173" s="2"/>
      </tp>
      <tp t="s">
        <v>N/A</v>
        <stp/>
        <stp>VOLUME</stp>
        <stp>.NDXP250509P19640</stp>
        <tr r="BD177" s="1"/>
      </tp>
      <tp t="e">
        <v>#N/A</v>
        <stp/>
        <stp>VOLUME</stp>
        <stp>.NDXP251128P19740</stp>
        <tr r="V173" s="2"/>
      </tp>
      <tp t="s">
        <v>N/A</v>
        <stp/>
        <stp>VOLUME</stp>
        <stp>.NDXP250829P19660</stp>
        <tr r="P177" s="2"/>
      </tp>
      <tp t="e">
        <v>#N/A</v>
        <stp/>
        <stp>VOLUME</stp>
        <stp>.NDXP250606P19960</stp>
        <tr r="J162" s="2"/>
      </tp>
      <tp t="s">
        <v>N/A</v>
        <stp/>
        <stp>VOLUME</stp>
        <stp>.NDXP250506P19960</stp>
        <tr r="C162" s="2"/>
      </tp>
      <tp t="e">
        <v>#N/A</v>
        <stp/>
        <stp>VOLUME</stp>
        <stp>.NDXP250507P19860</stp>
        <tr r="D167" s="2"/>
      </tp>
      <tp t="e">
        <v>#N/A</v>
        <stp/>
        <stp>VOLUME</stp>
        <stp>.NDXP250508P19760</stp>
        <tr r="E172" s="2"/>
      </tp>
      <tp t="s">
        <v>N/A</v>
        <stp/>
        <stp>VOLUME</stp>
        <stp>.NDXP250509P19660</stp>
        <tr r="BD176" s="1"/>
      </tp>
      <tp t="e">
        <v>#N/A</v>
        <stp/>
        <stp>VOLUME</stp>
        <stp>.NDXP251128P19760</stp>
        <tr r="V172" s="2"/>
      </tp>
      <tp t="e">
        <v>#N/A</v>
        <stp/>
        <stp>VOLUME</stp>
        <stp>.NDXP250829P19600</stp>
        <tr r="P180" s="2"/>
      </tp>
      <tp t="e">
        <v>#N/A</v>
        <stp/>
        <stp>VOLUME</stp>
        <stp>.NDXP250606P19900</stp>
        <tr r="J165" s="2"/>
      </tp>
      <tp>
        <v>3</v>
        <stp/>
        <stp>VOLUME</stp>
        <stp>.NDXP250506P19900</stp>
        <tr r="C165" s="2"/>
        <tr r="C165" s="2"/>
      </tp>
      <tp t="e">
        <v>#N/A</v>
        <stp/>
        <stp>VOLUME</stp>
        <stp>.NDXP250507P19800</stp>
        <tr r="D170" s="2"/>
      </tp>
      <tp t="e">
        <v>#N/A</v>
        <stp/>
        <stp>VOLUME</stp>
        <stp>.NDXP250508P19700</stp>
        <tr r="E175" s="2"/>
      </tp>
      <tp t="e">
        <v>#N/A</v>
        <stp/>
        <stp>VOLUME</stp>
        <stp>.NDXP250509P19600</stp>
        <tr r="BD179" s="1"/>
        <tr r="BD179" s="1"/>
      </tp>
      <tp t="e">
        <v>#N/A</v>
        <stp/>
        <stp>VOLUME</stp>
        <stp>.NDXP251128P19700</stp>
        <tr r="V175" s="2"/>
      </tp>
      <tp t="s">
        <v>N/A</v>
        <stp/>
        <stp>VOLUME</stp>
        <stp>.NDXP250829P19620</stp>
        <tr r="P179" s="2"/>
      </tp>
      <tp t="e">
        <v>#N/A</v>
        <stp/>
        <stp>VOLUME</stp>
        <stp>.NDXP250606P19920</stp>
        <tr r="J164" s="2"/>
      </tp>
      <tp t="s">
        <v>N/A</v>
        <stp/>
        <stp>VOLUME</stp>
        <stp>.NDXP250506P19920</stp>
        <tr r="C164" s="2"/>
      </tp>
      <tp t="e">
        <v>#N/A</v>
        <stp/>
        <stp>VOLUME</stp>
        <stp>.NDXP250507P19820</stp>
        <tr r="D169" s="2"/>
      </tp>
      <tp t="e">
        <v>#N/A</v>
        <stp/>
        <stp>VOLUME</stp>
        <stp>.NDXP250508P19720</stp>
        <tr r="E174" s="2"/>
      </tp>
      <tp t="s">
        <v>N/A</v>
        <stp/>
        <stp>VOLUME</stp>
        <stp>.NDXP250509P19620</stp>
        <tr r="BD178" s="1"/>
      </tp>
      <tp t="e">
        <v>#N/A</v>
        <stp/>
        <stp>VOLUME</stp>
        <stp>.NDXP251128P19720</stp>
        <tr r="V174" s="2"/>
      </tp>
      <tp>
        <v>12</v>
        <stp/>
        <stp>OPEN_INT</stp>
        <stp>.NDXP250509C19800</stp>
        <tr r="AU169" s="1"/>
        <tr r="AU169" s="1"/>
      </tp>
      <tp>
        <v>82</v>
        <stp/>
        <stp>OPEN_INT</stp>
        <stp>.NDXP250502C20300</stp>
        <tr r="AS144" s="1"/>
        <tr r="AS144" s="1"/>
      </tp>
      <tp t="s">
        <v>N/A</v>
        <stp/>
        <stp>OPEN_INT</stp>
        <stp>.NDXP250509C19820</stp>
        <tr r="AU168" s="1"/>
      </tp>
      <tp>
        <v>4</v>
        <stp/>
        <stp>OPEN_INT</stp>
        <stp>.NDXP250502C20320</stp>
        <tr r="AS143" s="1"/>
        <tr r="AS143" s="1"/>
      </tp>
      <tp t="s">
        <v>N/A</v>
        <stp/>
        <stp>OPEN_INT</stp>
        <stp>.NDXP250509C19840</stp>
        <tr r="AU167" s="1"/>
      </tp>
      <tp>
        <v>1</v>
        <stp/>
        <stp>OPEN_INT</stp>
        <stp>.NDXP250502C20340</stp>
        <tr r="AS142" s="1"/>
        <tr r="AS142" s="1"/>
      </tp>
      <tp t="s">
        <v>N/A</v>
        <stp/>
        <stp>OPEN_INT</stp>
        <stp>.NDXP250509C19860</stp>
        <tr r="AU166" s="1"/>
      </tp>
      <tp>
        <v>12</v>
        <stp/>
        <stp>OPEN_INT</stp>
        <stp>.NDXP250502C20360</stp>
        <tr r="AS141" s="1"/>
        <tr r="AS141" s="1"/>
      </tp>
      <tp t="s">
        <v>N/A</v>
        <stp/>
        <stp>OPEN_INT</stp>
        <stp>.NDXP250509C19880</stp>
        <tr r="AU165" s="1"/>
      </tp>
      <tp>
        <v>9</v>
        <stp/>
        <stp>OPEN_INT</stp>
        <stp>.NDXP250502C20380</stp>
        <tr r="AS140" s="1"/>
        <tr r="AS140" s="1"/>
      </tp>
      <tp t="s">
        <v>N/A</v>
        <stp/>
        <stp>OPEN_INT</stp>
        <stp>.NDXP250509P19820</stp>
        <tr r="AV168" s="1"/>
      </tp>
      <tp>
        <v>0</v>
        <stp/>
        <stp>OPEN_INT</stp>
        <stp>.NDXP250502P20320</stp>
        <tr r="AT143" s="1"/>
        <tr r="AT143" s="1"/>
      </tp>
      <tp>
        <v>1</v>
        <stp/>
        <stp>OPEN_INT</stp>
        <stp>.NDXP250509P19800</stp>
        <tr r="AV169" s="1"/>
        <tr r="AV169" s="1"/>
      </tp>
      <tp>
        <v>3</v>
        <stp/>
        <stp>OPEN_INT</stp>
        <stp>.NDXP250502P20300</stp>
        <tr r="AT144" s="1"/>
        <tr r="AT144" s="1"/>
      </tp>
      <tp t="s">
        <v>N/A</v>
        <stp/>
        <stp>OPEN_INT</stp>
        <stp>.NDXP250509P19860</stp>
        <tr r="AV166" s="1"/>
      </tp>
      <tp>
        <v>0</v>
        <stp/>
        <stp>OPEN_INT</stp>
        <stp>.NDXP250502P20360</stp>
        <tr r="AT141" s="1"/>
        <tr r="AT141" s="1"/>
      </tp>
      <tp t="s">
        <v>N/A</v>
        <stp/>
        <stp>OPEN_INT</stp>
        <stp>.NDXP250509P19840</stp>
        <tr r="AV167" s="1"/>
      </tp>
      <tp>
        <v>0</v>
        <stp/>
        <stp>OPEN_INT</stp>
        <stp>.NDXP250502P20340</stp>
        <tr r="AT142" s="1"/>
        <tr r="AT142" s="1"/>
      </tp>
      <tp t="s">
        <v>N/A</v>
        <stp/>
        <stp>OPEN_INT</stp>
        <stp>.NDXP250509P19880</stp>
        <tr r="AV165" s="1"/>
      </tp>
      <tp>
        <v>0</v>
        <stp/>
        <stp>OPEN_INT</stp>
        <stp>.NDXP250502P20380</stp>
        <tr r="AT140" s="1"/>
        <tr r="AT140" s="1"/>
      </tp>
      <tp t="e">
        <v>#N/A</v>
        <stp/>
        <stp>DELTA</stp>
        <stp>.NDXP250509P20280</stp>
        <tr r="CG145" s="1"/>
      </tp>
      <tp t="e">
        <v>#N/A</v>
        <stp/>
        <stp>DELTA</stp>
        <stp>.NDXP250502P19980</stp>
        <tr r="CE160" s="1"/>
        <tr r="CE160" s="1"/>
      </tp>
      <tp t="e">
        <v>#N/A</v>
        <stp/>
        <stp>DELTA</stp>
        <stp>.NDXP250509P20220</stp>
        <tr r="CG148" s="1"/>
      </tp>
      <tp t="e">
        <v>#N/A</v>
        <stp/>
        <stp>DELTA</stp>
        <stp>.NDXP250502P19920</stp>
        <tr r="CE163" s="1"/>
        <tr r="CE163" s="1"/>
      </tp>
      <tp t="e">
        <v>#N/A</v>
        <stp/>
        <stp>DELTA</stp>
        <stp>.NDXP250509P20200</stp>
        <tr r="CG149" s="1"/>
        <tr r="CG149" s="1"/>
      </tp>
      <tp t="e">
        <v>#N/A</v>
        <stp/>
        <stp>DELTA</stp>
        <stp>.NDXP250502P19900</stp>
        <tr r="CE164" s="1"/>
        <tr r="CE164" s="1"/>
      </tp>
      <tp t="e">
        <v>#N/A</v>
        <stp/>
        <stp>DELTA</stp>
        <stp>.NDXP250509P20260</stp>
        <tr r="CG146" s="1"/>
      </tp>
      <tp t="e">
        <v>#N/A</v>
        <stp/>
        <stp>DELTA</stp>
        <stp>.NDXP250502P19960</stp>
        <tr r="CE161" s="1"/>
        <tr r="CE161" s="1"/>
      </tp>
      <tp t="e">
        <v>#N/A</v>
        <stp/>
        <stp>DELTA</stp>
        <stp>.NDXP250509P20240</stp>
        <tr r="CG147" s="1"/>
      </tp>
      <tp t="e">
        <v>#N/A</v>
        <stp/>
        <stp>DELTA</stp>
        <stp>.NDXP250502P19940</stp>
        <tr r="CE162" s="1"/>
        <tr r="CE162" s="1"/>
      </tp>
      <tp t="e">
        <v>#N/A</v>
        <stp/>
        <stp>DELTA</stp>
        <stp>.NDXP250509C20280</stp>
        <tr r="CF145" s="1"/>
      </tp>
      <tp t="e">
        <v>#N/A</v>
        <stp/>
        <stp>DELTA</stp>
        <stp>.NDXP250502C19980</stp>
        <tr r="CD160" s="1"/>
        <tr r="CD160" s="1"/>
      </tp>
      <tp t="e">
        <v>#N/A</v>
        <stp/>
        <stp>DELTA</stp>
        <stp>.NDXP250509C20200</stp>
        <tr r="CF149" s="1"/>
        <tr r="CF149" s="1"/>
      </tp>
      <tp t="e">
        <v>#N/A</v>
        <stp/>
        <stp>DELTA</stp>
        <stp>.NDXP250502C19900</stp>
        <tr r="CD164" s="1"/>
        <tr r="CD164" s="1"/>
      </tp>
      <tp t="e">
        <v>#N/A</v>
        <stp/>
        <stp>DELTA</stp>
        <stp>.NDXP250509C20220</stp>
        <tr r="CF148" s="1"/>
      </tp>
      <tp t="e">
        <v>#N/A</v>
        <stp/>
        <stp>DELTA</stp>
        <stp>.NDXP250502C19920</stp>
        <tr r="CD163" s="1"/>
        <tr r="CD163" s="1"/>
      </tp>
      <tp t="e">
        <v>#N/A</v>
        <stp/>
        <stp>DELTA</stp>
        <stp>.NDXP250509C20240</stp>
        <tr r="CF147" s="1"/>
      </tp>
      <tp t="e">
        <v>#N/A</v>
        <stp/>
        <stp>DELTA</stp>
        <stp>.NDXP250502C19940</stp>
        <tr r="CD162" s="1"/>
        <tr r="CD162" s="1"/>
      </tp>
      <tp t="e">
        <v>#N/A</v>
        <stp/>
        <stp>DELTA</stp>
        <stp>.NDXP250509C20260</stp>
        <tr r="CF146" s="1"/>
      </tp>
      <tp t="e">
        <v>#N/A</v>
        <stp/>
        <stp>DELTA</stp>
        <stp>.NDXP250502C19960</stp>
        <tr r="CD161" s="1"/>
        <tr r="CD161" s="1"/>
      </tp>
      <tp t="s">
        <v>N/A</v>
        <stp/>
        <stp>VOLUME</stp>
        <stp>.NDXP251231C19980</stp>
        <tr r="X161" s="2"/>
      </tp>
      <tp t="e">
        <v>#N/A</v>
        <stp/>
        <stp>VOLUME</stp>
        <stp>.NDXP251128C20080</stp>
        <tr r="V156" s="2"/>
      </tp>
      <tp t="e">
        <v>#N/A</v>
        <stp/>
        <stp>VOLUME</stp>
        <stp>.NDXP251031C19980</stp>
        <tr r="T161" s="2"/>
      </tp>
      <tp t="s">
        <v>N/A</v>
        <stp/>
        <stp>VOLUME</stp>
        <stp>.NDXP250829C20180</stp>
        <tr r="P151" s="2"/>
      </tp>
      <tp t="s">
        <v>N/A</v>
        <stp/>
        <stp>VOLUME</stp>
        <stp>.NDXP250930C19880</stp>
        <tr r="R166" s="2"/>
      </tp>
      <tp t="s">
        <v>N/A</v>
        <stp/>
        <stp>VOLUME</stp>
        <stp>.NDXP250630C19880</stp>
        <tr r="L166" s="2"/>
      </tp>
      <tp t="e">
        <v>#N/A</v>
        <stp/>
        <stp>VOLUME</stp>
        <stp>.NDXP250508C20080</stp>
        <tr r="E156" s="2"/>
      </tp>
      <tp t="s">
        <v>N/A</v>
        <stp/>
        <stp>VOLUME</stp>
        <stp>.NDXP250509C20180</stp>
        <tr r="BC150" s="1"/>
      </tp>
      <tp t="s">
        <v>N/A</v>
        <stp/>
        <stp>VOLUME</stp>
        <stp>.NDXP250731C19980</stp>
        <tr r="N161" s="2"/>
      </tp>
      <tp t="s">
        <v>N/A</v>
        <stp/>
        <stp>VOLUME</stp>
        <stp>.NDXP250530C19880</stp>
        <tr r="I166" s="2"/>
      </tp>
      <tp t="s">
        <v>N/A</v>
        <stp/>
        <stp>VOLUME</stp>
        <stp>.NDXP251231C19960</stp>
        <tr r="X162" s="2"/>
      </tp>
      <tp t="e">
        <v>#N/A</v>
        <stp/>
        <stp>VOLUME</stp>
        <stp>.NDXP251128C20060</stp>
        <tr r="V157" s="2"/>
      </tp>
      <tp t="e">
        <v>#N/A</v>
        <stp/>
        <stp>VOLUME</stp>
        <stp>.NDXP251031C19960</stp>
        <tr r="T162" s="2"/>
      </tp>
      <tp t="s">
        <v>N/A</v>
        <stp/>
        <stp>VOLUME</stp>
        <stp>.NDXP250829C20160</stp>
        <tr r="P152" s="2"/>
      </tp>
      <tp t="s">
        <v>N/A</v>
        <stp/>
        <stp>VOLUME</stp>
        <stp>.NDXP250930C19860</stp>
        <tr r="R167" s="2"/>
      </tp>
      <tp t="s">
        <v>N/A</v>
        <stp/>
        <stp>VOLUME</stp>
        <stp>.NDXP250630C19860</stp>
        <tr r="L167" s="2"/>
      </tp>
      <tp t="e">
        <v>#N/A</v>
        <stp/>
        <stp>VOLUME</stp>
        <stp>.NDXP250508C20060</stp>
        <tr r="E157" s="2"/>
      </tp>
      <tp t="s">
        <v>N/A</v>
        <stp/>
        <stp>VOLUME</stp>
        <stp>.NDXP250509C20160</stp>
        <tr r="BC151" s="1"/>
      </tp>
      <tp t="s">
        <v>N/A</v>
        <stp/>
        <stp>VOLUME</stp>
        <stp>.NDXP250731C19960</stp>
        <tr r="N162" s="2"/>
      </tp>
      <tp t="s">
        <v>N/A</v>
        <stp/>
        <stp>VOLUME</stp>
        <stp>.NDXP250530C19860</stp>
        <tr r="I167" s="2"/>
      </tp>
      <tp t="s">
        <v>N/A</v>
        <stp/>
        <stp>VOLUME</stp>
        <stp>.NDXP251231C19940</stp>
        <tr r="X163" s="2"/>
      </tp>
      <tp t="e">
        <v>#N/A</v>
        <stp/>
        <stp>VOLUME</stp>
        <stp>.NDXP251128C20040</stp>
        <tr r="V158" s="2"/>
      </tp>
      <tp t="e">
        <v>#N/A</v>
        <stp/>
        <stp>VOLUME</stp>
        <stp>.NDXP251031C19940</stp>
        <tr r="T163" s="2"/>
      </tp>
      <tp t="s">
        <v>N/A</v>
        <stp/>
        <stp>VOLUME</stp>
        <stp>.NDXP250829C20140</stp>
        <tr r="P153" s="2"/>
      </tp>
      <tp t="s">
        <v>N/A</v>
        <stp/>
        <stp>VOLUME</stp>
        <stp>.NDXP250930C19840</stp>
        <tr r="R168" s="2"/>
      </tp>
      <tp t="s">
        <v>N/A</v>
        <stp/>
        <stp>VOLUME</stp>
        <stp>.NDXP250630C19840</stp>
        <tr r="L168" s="2"/>
      </tp>
      <tp t="e">
        <v>#N/A</v>
        <stp/>
        <stp>VOLUME</stp>
        <stp>.NDXP250508C20040</stp>
        <tr r="E158" s="2"/>
      </tp>
      <tp t="s">
        <v>N/A</v>
        <stp/>
        <stp>VOLUME</stp>
        <stp>.NDXP250509C20140</stp>
        <tr r="BC152" s="1"/>
      </tp>
      <tp t="s">
        <v>N/A</v>
        <stp/>
        <stp>VOLUME</stp>
        <stp>.NDXP250731C19940</stp>
        <tr r="N163" s="2"/>
      </tp>
      <tp t="s">
        <v>N/A</v>
        <stp/>
        <stp>VOLUME</stp>
        <stp>.NDXP250530C19840</stp>
        <tr r="I168" s="2"/>
      </tp>
      <tp t="s">
        <v>N/A</v>
        <stp/>
        <stp>VOLUME</stp>
        <stp>.NDXP251231C19920</stp>
        <tr r="X164" s="2"/>
      </tp>
      <tp t="e">
        <v>#N/A</v>
        <stp/>
        <stp>VOLUME</stp>
        <stp>.NDXP251128C20020</stp>
        <tr r="V159" s="2"/>
      </tp>
      <tp t="e">
        <v>#N/A</v>
        <stp/>
        <stp>VOLUME</stp>
        <stp>.NDXP251031C19920</stp>
        <tr r="T164" s="2"/>
      </tp>
      <tp t="s">
        <v>N/A</v>
        <stp/>
        <stp>VOLUME</stp>
        <stp>.NDXP250829C20120</stp>
        <tr r="P154" s="2"/>
      </tp>
      <tp t="s">
        <v>N/A</v>
        <stp/>
        <stp>VOLUME</stp>
        <stp>.NDXP250930C19820</stp>
        <tr r="R169" s="2"/>
      </tp>
      <tp t="s">
        <v>N/A</v>
        <stp/>
        <stp>VOLUME</stp>
        <stp>.NDXP250630C19820</stp>
        <tr r="L169" s="2"/>
      </tp>
      <tp t="e">
        <v>#N/A</v>
        <stp/>
        <stp>VOLUME</stp>
        <stp>.NDXP250508C20020</stp>
        <tr r="E159" s="2"/>
      </tp>
      <tp t="s">
        <v>N/A</v>
        <stp/>
        <stp>VOLUME</stp>
        <stp>.NDXP250509C20120</stp>
        <tr r="BC153" s="1"/>
      </tp>
      <tp t="s">
        <v>N/A</v>
        <stp/>
        <stp>VOLUME</stp>
        <stp>.NDXP250731C19920</stp>
        <tr r="N164" s="2"/>
      </tp>
      <tp t="s">
        <v>N/A</v>
        <stp/>
        <stp>VOLUME</stp>
        <stp>.NDXP250530C19820</stp>
        <tr r="I169" s="2"/>
      </tp>
      <tp t="s">
        <v>N/A</v>
        <stp/>
        <stp>VOLUME</stp>
        <stp>.NDXP251231C19900</stp>
        <tr r="X165" s="2"/>
      </tp>
      <tp t="e">
        <v>#N/A</v>
        <stp/>
        <stp>VOLUME</stp>
        <stp>.NDXP251128C20000</stp>
        <tr r="V160" s="2"/>
      </tp>
      <tp t="e">
        <v>#N/A</v>
        <stp/>
        <stp>VOLUME</stp>
        <stp>.NDXP251031C19900</stp>
        <tr r="T165" s="2"/>
      </tp>
      <tp t="s">
        <v>N/A</v>
        <stp/>
        <stp>VOLUME</stp>
        <stp>.NDXP250829C20100</stp>
        <tr r="P155" s="2"/>
      </tp>
      <tp t="s">
        <v>N/A</v>
        <stp/>
        <stp>VOLUME</stp>
        <stp>.NDXP250930C19800</stp>
        <tr r="R170" s="2"/>
      </tp>
      <tp t="s">
        <v>N/A</v>
        <stp/>
        <stp>VOLUME</stp>
        <stp>.NDXP250630C19800</stp>
        <tr r="L170" s="2"/>
      </tp>
      <tp t="e">
        <v>#N/A</v>
        <stp/>
        <stp>VOLUME</stp>
        <stp>.NDXP250508C20000</stp>
        <tr r="E160" s="2"/>
      </tp>
      <tp>
        <v>6</v>
        <stp/>
        <stp>VOLUME</stp>
        <stp>.NDXP250509C20100</stp>
        <tr r="BC154" s="1"/>
        <tr r="BC154" s="1"/>
      </tp>
      <tp t="s">
        <v>N/A</v>
        <stp/>
        <stp>VOLUME</stp>
        <stp>.NDXP250731C19900</stp>
        <tr r="N165" s="2"/>
      </tp>
      <tp>
        <v>1</v>
        <stp/>
        <stp>VOLUME</stp>
        <stp>.NDXP250530C19800</stp>
        <tr r="I170" s="2"/>
        <tr r="I170" s="2"/>
      </tp>
      <tp t="e">
        <v>#N/A</v>
        <stp/>
        <stp>VOLUME</stp>
        <stp>.SPXW250930C5680</stp>
        <tr r="R105" s="2"/>
      </tp>
      <tp t="e">
        <v>#N/A</v>
        <stp/>
        <stp>VOLUME</stp>
        <stp>.SPXW250829C5710</stp>
        <tr r="P102" s="2"/>
      </tp>
      <tp t="e">
        <v>#N/A</v>
        <stp/>
        <stp>VOLUME</stp>
        <stp>.SPXW250508C5500</stp>
        <tr r="E123" s="2"/>
      </tp>
      <tp t="e">
        <v>#N/A</v>
        <stp/>
        <stp>VOLUME</stp>
        <stp>.SPXW250509C5510</stp>
        <tr r="BC121" s="1"/>
        <tr r="BC121" s="1"/>
      </tp>
      <tp t="e">
        <v>#N/A</v>
        <stp/>
        <stp>VOLUME</stp>
        <stp>.SPXW250530C5680</stp>
        <tr r="I105" s="2"/>
      </tp>
      <tp t="e">
        <v>#N/A</v>
        <stp/>
        <stp>VOLUME</stp>
        <stp>.SPXW250731C5690</stp>
        <tr r="N104" s="2"/>
      </tp>
      <tp t="e">
        <v>#N/A</v>
        <stp/>
        <stp>VOLUME</stp>
        <stp>.SPXW250630C5680</stp>
        <tr r="L105" s="2"/>
      </tp>
      <tp t="e">
        <v>#N/A</v>
        <stp/>
        <stp>VOLUME</stp>
        <stp>.SPXW251128C5700</stp>
        <tr r="V103" s="2"/>
      </tp>
      <tp t="e">
        <v>#N/A</v>
        <stp/>
        <stp>VOLUME</stp>
        <stp>.SPXW251031C5690</stp>
        <tr r="T104" s="2"/>
      </tp>
      <tp t="e">
        <v>#N/A</v>
        <stp/>
        <stp>VOLUME</stp>
        <stp>.SPXW251231C5690</stp>
        <tr r="X104" s="2"/>
      </tp>
      <tp t="e">
        <v>#N/A</v>
        <stp/>
        <stp>VOLUME</stp>
        <stp>.SPXW251128P5700</stp>
        <tr r="V103" s="2"/>
      </tp>
      <tp t="e">
        <v>#N/A</v>
        <stp/>
        <stp>VOLUME</stp>
        <stp>.SPXW251031P5690</stp>
        <tr r="T104" s="2"/>
      </tp>
      <tp t="e">
        <v>#N/A</v>
        <stp/>
        <stp>VOLUME</stp>
        <stp>.SPXW251231P5690</stp>
        <tr r="X104" s="2"/>
      </tp>
      <tp t="e">
        <v>#N/A</v>
        <stp/>
        <stp>VOLUME</stp>
        <stp>.SPXW250930P5680</stp>
        <tr r="R105" s="2"/>
      </tp>
      <tp t="e">
        <v>#N/A</v>
        <stp/>
        <stp>VOLUME</stp>
        <stp>.SPXW250829P5710</stp>
        <tr r="P102" s="2"/>
      </tp>
      <tp t="e">
        <v>#N/A</v>
        <stp/>
        <stp>VOLUME</stp>
        <stp>.SPXW250508P5500</stp>
        <tr r="E123" s="2"/>
      </tp>
      <tp t="e">
        <v>#N/A</v>
        <stp/>
        <stp>VOLUME</stp>
        <stp>.SPXW250509P5510</stp>
        <tr r="BD121" s="1"/>
        <tr r="BD121" s="1"/>
      </tp>
      <tp t="e">
        <v>#N/A</v>
        <stp/>
        <stp>VOLUME</stp>
        <stp>.SPXW250530P5680</stp>
        <tr r="I105" s="2"/>
      </tp>
      <tp t="e">
        <v>#N/A</v>
        <stp/>
        <stp>VOLUME</stp>
        <stp>.SPXW250731P5690</stp>
        <tr r="N104" s="2"/>
      </tp>
      <tp t="e">
        <v>#N/A</v>
        <stp/>
        <stp>VOLUME</stp>
        <stp>.SPXW250630P5680</stp>
        <tr r="L105" s="2"/>
      </tp>
      <tp t="e">
        <v>#N/A</v>
        <stp/>
        <stp>VOLUME</stp>
        <stp>.SPXW250930C5690</stp>
        <tr r="R104" s="2"/>
      </tp>
      <tp t="e">
        <v>#N/A</v>
        <stp/>
        <stp>VOLUME</stp>
        <stp>.SPXW250829C5700</stp>
        <tr r="P103" s="2"/>
      </tp>
      <tp t="e">
        <v>#N/A</v>
        <stp/>
        <stp>VOLUME</stp>
        <stp>.SPXW250508C5510</stp>
        <tr r="E122" s="2"/>
      </tp>
      <tp t="e">
        <v>#N/A</v>
        <stp/>
        <stp>VOLUME</stp>
        <stp>.SPXW250509C5500</stp>
        <tr r="BC122" s="1"/>
        <tr r="BC122" s="1"/>
      </tp>
      <tp t="e">
        <v>#N/A</v>
        <stp/>
        <stp>VOLUME</stp>
        <stp>.SPXW250530C5690</stp>
        <tr r="I104" s="2"/>
      </tp>
      <tp t="e">
        <v>#N/A</v>
        <stp/>
        <stp>VOLUME</stp>
        <stp>.SPXW250731C5680</stp>
        <tr r="N105" s="2"/>
      </tp>
      <tp t="e">
        <v>#N/A</v>
        <stp/>
        <stp>VOLUME</stp>
        <stp>.SPXW250630C5690</stp>
        <tr r="L104" s="2"/>
      </tp>
      <tp t="e">
        <v>#N/A</v>
        <stp/>
        <stp>VOLUME</stp>
        <stp>.SPXW251128C5710</stp>
        <tr r="V102" s="2"/>
      </tp>
      <tp t="e">
        <v>#N/A</v>
        <stp/>
        <stp>VOLUME</stp>
        <stp>.SPXW251031C5680</stp>
        <tr r="T105" s="2"/>
      </tp>
      <tp t="e">
        <v>#N/A</v>
        <stp/>
        <stp>VOLUME</stp>
        <stp>.SPXW251231C5680</stp>
        <tr r="X105" s="2"/>
      </tp>
      <tp t="e">
        <v>#N/A</v>
        <stp/>
        <stp>VOLUME</stp>
        <stp>.SPXW251128P5710</stp>
        <tr r="V102" s="2"/>
      </tp>
      <tp t="e">
        <v>#N/A</v>
        <stp/>
        <stp>VOLUME</stp>
        <stp>.SPXW251031P5680</stp>
        <tr r="T105" s="2"/>
      </tp>
      <tp t="e">
        <v>#N/A</v>
        <stp/>
        <stp>VOLUME</stp>
        <stp>.SPXW251231P5680</stp>
        <tr r="X105" s="2"/>
      </tp>
      <tp t="e">
        <v>#N/A</v>
        <stp/>
        <stp>VOLUME</stp>
        <stp>.SPXW250930P5690</stp>
        <tr r="R104" s="2"/>
      </tp>
      <tp t="e">
        <v>#N/A</v>
        <stp/>
        <stp>VOLUME</stp>
        <stp>.SPXW250829P5700</stp>
        <tr r="P103" s="2"/>
      </tp>
      <tp t="e">
        <v>#N/A</v>
        <stp/>
        <stp>VOLUME</stp>
        <stp>.SPXW250508P5510</stp>
        <tr r="E122" s="2"/>
      </tp>
      <tp t="e">
        <v>#N/A</v>
        <stp/>
        <stp>VOLUME</stp>
        <stp>.SPXW250509P5500</stp>
        <tr r="BD122" s="1"/>
        <tr r="BD122" s="1"/>
      </tp>
      <tp t="e">
        <v>#N/A</v>
        <stp/>
        <stp>VOLUME</stp>
        <stp>.SPXW250530P5690</stp>
        <tr r="I104" s="2"/>
      </tp>
      <tp t="e">
        <v>#N/A</v>
        <stp/>
        <stp>VOLUME</stp>
        <stp>.SPXW250731P5680</stp>
        <tr r="N105" s="2"/>
      </tp>
      <tp t="e">
        <v>#N/A</v>
        <stp/>
        <stp>VOLUME</stp>
        <stp>.SPXW250630P5690</stp>
        <tr r="L104" s="2"/>
      </tp>
      <tp t="e">
        <v>#N/A</v>
        <stp/>
        <stp>VOLUME</stp>
        <stp>.SPXW250829C5730</stp>
        <tr r="P100" s="2"/>
      </tp>
      <tp t="e">
        <v>#N/A</v>
        <stp/>
        <stp>VOLUME</stp>
        <stp>.SPXW250502C5580</stp>
        <tr r="BA114" s="1"/>
        <tr r="BA114" s="1"/>
      </tp>
      <tp t="e">
        <v>#N/A</v>
        <stp/>
        <stp>VOLUME</stp>
        <stp>.SPXW250508C5520</stp>
        <tr r="E121" s="2"/>
      </tp>
      <tp t="e">
        <v>#N/A</v>
        <stp/>
        <stp>VOLUME</stp>
        <stp>.SPXW250509C5530</stp>
        <tr r="BC119" s="1"/>
        <tr r="BC119" s="1"/>
      </tp>
      <tp t="e">
        <v>#N/A</v>
        <stp/>
        <stp>VOLUME</stp>
        <stp>.SPXW251128C5720</stp>
        <tr r="V101" s="2"/>
      </tp>
      <tp t="e">
        <v>#N/A</v>
        <stp/>
        <stp>VOLUME</stp>
        <stp>.SPXW251128P5720</stp>
        <tr r="V101" s="2"/>
      </tp>
      <tp t="e">
        <v>#N/A</v>
        <stp/>
        <stp>VOLUME</stp>
        <stp>.SPXW250829P5730</stp>
        <tr r="P100" s="2"/>
      </tp>
      <tp t="e">
        <v>#N/A</v>
        <stp/>
        <stp>VOLUME</stp>
        <stp>.SPXW250502P5580</stp>
        <tr r="BB114" s="1"/>
        <tr r="BB114" s="1"/>
      </tp>
      <tp t="e">
        <v>#N/A</v>
        <stp/>
        <stp>VOLUME</stp>
        <stp>.SPXW250508P5520</stp>
        <tr r="E121" s="2"/>
      </tp>
      <tp t="e">
        <v>#N/A</v>
        <stp/>
        <stp>VOLUME</stp>
        <stp>.SPXW250509P5530</stp>
        <tr r="BD119" s="1"/>
        <tr r="BD119" s="1"/>
      </tp>
      <tp t="e">
        <v>#N/A</v>
        <stp/>
        <stp>VOLUME</stp>
        <stp>.SPXW250829C5720</stp>
        <tr r="P101" s="2"/>
      </tp>
      <tp t="e">
        <v>#N/A</v>
        <stp/>
        <stp>VOLUME</stp>
        <stp>.SPXW250502C5590</stp>
        <tr r="BA113" s="1"/>
        <tr r="BA113" s="1"/>
      </tp>
      <tp t="e">
        <v>#N/A</v>
        <stp/>
        <stp>VOLUME</stp>
        <stp>.SPXW250508C5530</stp>
        <tr r="E120" s="2"/>
      </tp>
      <tp t="e">
        <v>#N/A</v>
        <stp/>
        <stp>VOLUME</stp>
        <stp>.SPXW250509C5520</stp>
        <tr r="BC120" s="1"/>
        <tr r="BC120" s="1"/>
      </tp>
      <tp t="e">
        <v>#N/A</v>
        <stp/>
        <stp>VOLUME</stp>
        <stp>.SPXW251128C5730</stp>
        <tr r="V100" s="2"/>
      </tp>
      <tp t="e">
        <v>#N/A</v>
        <stp/>
        <stp>VOLUME</stp>
        <stp>.SPXW251128P5730</stp>
        <tr r="V100" s="2"/>
      </tp>
      <tp t="e">
        <v>#N/A</v>
        <stp/>
        <stp>VOLUME</stp>
        <stp>.SPXW250829P5720</stp>
        <tr r="P101" s="2"/>
      </tp>
      <tp t="e">
        <v>#N/A</v>
        <stp/>
        <stp>VOLUME</stp>
        <stp>.SPXW250502P5590</stp>
        <tr r="BB113" s="1"/>
        <tr r="BB113" s="1"/>
      </tp>
      <tp t="e">
        <v>#N/A</v>
        <stp/>
        <stp>VOLUME</stp>
        <stp>.SPXW250508P5530</stp>
        <tr r="E120" s="2"/>
      </tp>
      <tp t="e">
        <v>#N/A</v>
        <stp/>
        <stp>VOLUME</stp>
        <stp>.SPXW250509P5520</stp>
        <tr r="BD120" s="1"/>
        <tr r="BD120" s="1"/>
      </tp>
      <tp t="s">
        <v>N/A</v>
        <stp/>
        <stp>VOLUME</stp>
        <stp>.NDXP250829P20180</stp>
        <tr r="P151" s="2"/>
      </tp>
      <tp t="s">
        <v>N/A</v>
        <stp/>
        <stp>VOLUME</stp>
        <stp>.NDXP250930P19880</stp>
        <tr r="R166" s="2"/>
      </tp>
      <tp t="s">
        <v>N/A</v>
        <stp/>
        <stp>VOLUME</stp>
        <stp>.NDXP250630P19880</stp>
        <tr r="L166" s="2"/>
      </tp>
      <tp t="e">
        <v>#N/A</v>
        <stp/>
        <stp>VOLUME</stp>
        <stp>.NDXP250508P20080</stp>
        <tr r="E156" s="2"/>
      </tp>
      <tp t="s">
        <v>N/A</v>
        <stp/>
        <stp>VOLUME</stp>
        <stp>.NDXP250509P20180</stp>
        <tr r="BD150" s="1"/>
      </tp>
      <tp t="s">
        <v>N/A</v>
        <stp/>
        <stp>VOLUME</stp>
        <stp>.NDXP250731P19980</stp>
        <tr r="N161" s="2"/>
      </tp>
      <tp t="s">
        <v>N/A</v>
        <stp/>
        <stp>VOLUME</stp>
        <stp>.NDXP250530P19880</stp>
        <tr r="I166" s="2"/>
      </tp>
      <tp t="e">
        <v>#N/A</v>
        <stp/>
        <stp>VOLUME</stp>
        <stp>.SPXW250829C5750</stp>
        <tr r="P98" s="2"/>
      </tp>
      <tp t="e">
        <v>#N/A</v>
        <stp/>
        <stp>VOLUME</stp>
        <stp>.SPXW250505C5590</stp>
        <tr r="B114" s="2"/>
      </tp>
      <tp t="e">
        <v>#N/A</v>
        <stp/>
        <stp>VOLUME</stp>
        <stp>.SPXW250508C5540</stp>
        <tr r="E119" s="2"/>
      </tp>
      <tp t="e">
        <v>#N/A</v>
        <stp/>
        <stp>VOLUME</stp>
        <stp>.SPXW250509C5550</stp>
        <tr r="BC117" s="1"/>
        <tr r="BC117" s="1"/>
      </tp>
      <tp t="e">
        <v>#N/A</v>
        <stp/>
        <stp>VOLUME</stp>
        <stp>.SPXW251128C5740</stp>
        <tr r="V99" s="2"/>
      </tp>
      <tp t="e">
        <v>#N/A</v>
        <stp/>
        <stp>VOLUME</stp>
        <stp>.SPXW251128P5740</stp>
        <tr r="V99" s="2"/>
      </tp>
      <tp t="e">
        <v>#N/A</v>
        <stp/>
        <stp>VOLUME</stp>
        <stp>.SPXW250829P5750</stp>
        <tr r="P98" s="2"/>
      </tp>
      <tp t="e">
        <v>#N/A</v>
        <stp/>
        <stp>VOLUME</stp>
        <stp>.SPXW250505P5590</stp>
        <tr r="B114" s="2"/>
      </tp>
      <tp t="e">
        <v>#N/A</v>
        <stp/>
        <stp>VOLUME</stp>
        <stp>.SPXW250508P5540</stp>
        <tr r="E119" s="2"/>
      </tp>
      <tp t="e">
        <v>#N/A</v>
        <stp/>
        <stp>VOLUME</stp>
        <stp>.SPXW250509P5550</stp>
        <tr r="BD117" s="1"/>
        <tr r="BD117" s="1"/>
      </tp>
      <tp t="s">
        <v>N/A</v>
        <stp/>
        <stp>VOLUME</stp>
        <stp>.NDXP251231P19980</stp>
        <tr r="X161" s="2"/>
      </tp>
      <tp t="e">
        <v>#N/A</v>
        <stp/>
        <stp>VOLUME</stp>
        <stp>.NDXP251128P20080</stp>
        <tr r="V156" s="2"/>
      </tp>
      <tp t="e">
        <v>#N/A</v>
        <stp/>
        <stp>VOLUME</stp>
        <stp>.NDXP251031P19980</stp>
        <tr r="T161" s="2"/>
      </tp>
      <tp t="e">
        <v>#N/A</v>
        <stp/>
        <stp>VOLUME</stp>
        <stp>.SPXW250829C5740</stp>
        <tr r="P99" s="2"/>
      </tp>
      <tp t="e">
        <v>#N/A</v>
        <stp/>
        <stp>VOLUME</stp>
        <stp>.SPXW250505C5580</stp>
        <tr r="B115" s="2"/>
      </tp>
      <tp t="e">
        <v>#N/A</v>
        <stp/>
        <stp>VOLUME</stp>
        <stp>.SPXW250508C5550</stp>
        <tr r="E118" s="2"/>
      </tp>
      <tp t="e">
        <v>#N/A</v>
        <stp/>
        <stp>VOLUME</stp>
        <stp>.SPXW250509C5540</stp>
        <tr r="BC118" s="1"/>
        <tr r="BC118" s="1"/>
      </tp>
      <tp t="e">
        <v>#N/A</v>
        <stp/>
        <stp>VOLUME</stp>
        <stp>.SPXW251128C5750</stp>
        <tr r="V98" s="2"/>
      </tp>
      <tp t="e">
        <v>#N/A</v>
        <stp/>
        <stp>VOLUME</stp>
        <stp>.SPXW251128P5750</stp>
        <tr r="V98" s="2"/>
      </tp>
      <tp t="e">
        <v>#N/A</v>
        <stp/>
        <stp>VOLUME</stp>
        <stp>.SPXW250829P5740</stp>
        <tr r="P99" s="2"/>
      </tp>
      <tp t="e">
        <v>#N/A</v>
        <stp/>
        <stp>VOLUME</stp>
        <stp>.SPXW250505P5580</stp>
        <tr r="B115" s="2"/>
      </tp>
      <tp t="e">
        <v>#N/A</v>
        <stp/>
        <stp>VOLUME</stp>
        <stp>.SPXW250508P5550</stp>
        <tr r="E118" s="2"/>
      </tp>
      <tp t="e">
        <v>#N/A</v>
        <stp/>
        <stp>VOLUME</stp>
        <stp>.SPXW250509P5540</stp>
        <tr r="BD118" s="1"/>
        <tr r="BD118" s="1"/>
      </tp>
      <tp t="e">
        <v>#N/A</v>
        <stp/>
        <stp>VOLUME</stp>
        <stp>.SPXW250829C5770</stp>
        <tr r="P96" s="2"/>
      </tp>
      <tp t="e">
        <v>#N/A</v>
        <stp/>
        <stp>VOLUME</stp>
        <stp>.SPXW250506C5580</stp>
        <tr r="C115" s="2"/>
      </tp>
      <tp t="e">
        <v>#N/A</v>
        <stp/>
        <stp>VOLUME</stp>
        <stp>.SPXW250507C5590</stp>
        <tr r="D114" s="2"/>
      </tp>
      <tp t="e">
        <v>#N/A</v>
        <stp/>
        <stp>VOLUME</stp>
        <stp>.SPXW250508C5560</stp>
        <tr r="E117" s="2"/>
      </tp>
      <tp t="e">
        <v>#N/A</v>
        <stp/>
        <stp>VOLUME</stp>
        <stp>.SPXW250509C5570</stp>
        <tr r="BC115" s="1"/>
        <tr r="BC115" s="1"/>
      </tp>
      <tp t="e">
        <v>#N/A</v>
        <stp/>
        <stp>VOLUME</stp>
        <stp>.SPXW250516C5480</stp>
        <tr r="BE124" s="1"/>
        <tr r="BE124" s="1"/>
      </tp>
      <tp t="e">
        <v>#N/A</v>
        <stp/>
        <stp>VOLUME</stp>
        <stp>.SPXW250606C5580</stp>
        <tr r="J115" s="2"/>
      </tp>
      <tp t="e">
        <v>#N/A</v>
        <stp/>
        <stp>VOLUME</stp>
        <stp>.SPXW251128C5760</stp>
        <tr r="V97" s="2"/>
      </tp>
      <tp t="e">
        <v>#N/A</v>
        <stp/>
        <stp>VOLUME</stp>
        <stp>.SPXW251128P5760</stp>
        <tr r="V97" s="2"/>
      </tp>
      <tp t="e">
        <v>#N/A</v>
        <stp/>
        <stp>VOLUME</stp>
        <stp>.SPXW250829P5770</stp>
        <tr r="P96" s="2"/>
      </tp>
      <tp t="e">
        <v>#N/A</v>
        <stp/>
        <stp>VOLUME</stp>
        <stp>.SPXW250506P5580</stp>
        <tr r="C115" s="2"/>
      </tp>
      <tp t="e">
        <v>#N/A</v>
        <stp/>
        <stp>VOLUME</stp>
        <stp>.SPXW250507P5590</stp>
        <tr r="D114" s="2"/>
      </tp>
      <tp t="e">
        <v>#N/A</v>
        <stp/>
        <stp>VOLUME</stp>
        <stp>.SPXW250508P5560</stp>
        <tr r="E117" s="2"/>
      </tp>
      <tp t="e">
        <v>#N/A</v>
        <stp/>
        <stp>VOLUME</stp>
        <stp>.SPXW250509P5570</stp>
        <tr r="BD115" s="1"/>
        <tr r="BD115" s="1"/>
      </tp>
      <tp t="e">
        <v>#N/A</v>
        <stp/>
        <stp>VOLUME</stp>
        <stp>.SPXW250516P5480</stp>
        <tr r="BF124" s="1"/>
        <tr r="BF124" s="1"/>
      </tp>
      <tp t="e">
        <v>#N/A</v>
        <stp/>
        <stp>VOLUME</stp>
        <stp>.SPXW250606P5580</stp>
        <tr r="J115" s="2"/>
      </tp>
      <tp t="e">
        <v>#N/A</v>
        <stp/>
        <stp>VOLUME</stp>
        <stp>.SPXW250829C5760</stp>
        <tr r="P97" s="2"/>
      </tp>
      <tp t="e">
        <v>#N/A</v>
        <stp/>
        <stp>VOLUME</stp>
        <stp>.SPXW250506C5590</stp>
        <tr r="C114" s="2"/>
      </tp>
      <tp t="e">
        <v>#N/A</v>
        <stp/>
        <stp>VOLUME</stp>
        <stp>.SPXW250507C5580</stp>
        <tr r="D115" s="2"/>
      </tp>
      <tp t="e">
        <v>#N/A</v>
        <stp/>
        <stp>VOLUME</stp>
        <stp>.SPXW250508C5570</stp>
        <tr r="E116" s="2"/>
      </tp>
      <tp t="e">
        <v>#N/A</v>
        <stp/>
        <stp>VOLUME</stp>
        <stp>.SPXW250509C5560</stp>
        <tr r="BC116" s="1"/>
        <tr r="BC116" s="1"/>
      </tp>
      <tp t="e">
        <v>#N/A</v>
        <stp/>
        <stp>VOLUME</stp>
        <stp>.SPXW250516C5490</stp>
        <tr r="BE123" s="1"/>
        <tr r="BE123" s="1"/>
      </tp>
      <tp t="e">
        <v>#N/A</v>
        <stp/>
        <stp>VOLUME</stp>
        <stp>.SPXW250606C5590</stp>
        <tr r="J114" s="2"/>
      </tp>
      <tp t="e">
        <v>#N/A</v>
        <stp/>
        <stp>VOLUME</stp>
        <stp>.SPXW251128C5770</stp>
        <tr r="V96" s="2"/>
      </tp>
      <tp t="e">
        <v>#N/A</v>
        <stp/>
        <stp>VOLUME</stp>
        <stp>.SPXW251128P5770</stp>
        <tr r="V96" s="2"/>
      </tp>
      <tp t="e">
        <v>#N/A</v>
        <stp/>
        <stp>VOLUME</stp>
        <stp>.SPXW250829P5760</stp>
        <tr r="P97" s="2"/>
      </tp>
      <tp t="e">
        <v>#N/A</v>
        <stp/>
        <stp>VOLUME</stp>
        <stp>.SPXW250506P5590</stp>
        <tr r="C114" s="2"/>
      </tp>
      <tp t="e">
        <v>#N/A</v>
        <stp/>
        <stp>VOLUME</stp>
        <stp>.SPXW250507P5580</stp>
        <tr r="D115" s="2"/>
      </tp>
      <tp t="e">
        <v>#N/A</v>
        <stp/>
        <stp>VOLUME</stp>
        <stp>.SPXW250508P5570</stp>
        <tr r="E116" s="2"/>
      </tp>
      <tp t="e">
        <v>#N/A</v>
        <stp/>
        <stp>VOLUME</stp>
        <stp>.SPXW250509P5560</stp>
        <tr r="BD116" s="1"/>
        <tr r="BD116" s="1"/>
      </tp>
      <tp t="e">
        <v>#N/A</v>
        <stp/>
        <stp>VOLUME</stp>
        <stp>.SPXW250516P5490</stp>
        <tr r="BF123" s="1"/>
        <tr r="BF123" s="1"/>
      </tp>
      <tp t="e">
        <v>#N/A</v>
        <stp/>
        <stp>VOLUME</stp>
        <stp>.SPXW250606P5590</stp>
        <tr r="J114" s="2"/>
      </tp>
      <tp t="s">
        <v>N/A</v>
        <stp/>
        <stp>VOLUME</stp>
        <stp>.NDXP250829P20140</stp>
        <tr r="P153" s="2"/>
      </tp>
      <tp t="s">
        <v>N/A</v>
        <stp/>
        <stp>VOLUME</stp>
        <stp>.NDXP250930P19840</stp>
        <tr r="R168" s="2"/>
      </tp>
      <tp t="s">
        <v>N/A</v>
        <stp/>
        <stp>VOLUME</stp>
        <stp>.NDXP250630P19840</stp>
        <tr r="L168" s="2"/>
      </tp>
      <tp t="e">
        <v>#N/A</v>
        <stp/>
        <stp>VOLUME</stp>
        <stp>.NDXP250508P20040</stp>
        <tr r="E158" s="2"/>
      </tp>
      <tp t="s">
        <v>N/A</v>
        <stp/>
        <stp>VOLUME</stp>
        <stp>.NDXP250509P20140</stp>
        <tr r="BD152" s="1"/>
      </tp>
      <tp t="s">
        <v>N/A</v>
        <stp/>
        <stp>VOLUME</stp>
        <stp>.NDXP250731P19940</stp>
        <tr r="N163" s="2"/>
      </tp>
      <tp t="s">
        <v>N/A</v>
        <stp/>
        <stp>VOLUME</stp>
        <stp>.NDXP250530P19840</stp>
        <tr r="I168" s="2"/>
      </tp>
      <tp t="e">
        <v>#N/A</v>
        <stp/>
        <stp>VOLUME</stp>
        <stp>.SPXW250930C5600</stp>
        <tr r="R113" s="2"/>
      </tp>
      <tp t="e">
        <v>#N/A</v>
        <stp/>
        <stp>VOLUME</stp>
        <stp>.SPXW250829C5790</stp>
        <tr r="P94" s="2"/>
      </tp>
      <tp t="e">
        <v>#N/A</v>
        <stp/>
        <stp>VOLUME</stp>
        <stp>.SPXW250502C5520</stp>
        <tr r="BA120" s="1"/>
        <tr r="BA120" s="1"/>
      </tp>
      <tp t="e">
        <v>#N/A</v>
        <stp/>
        <stp>VOLUME</stp>
        <stp>.SPXW250505C5550</stp>
        <tr r="B118" s="2"/>
      </tp>
      <tp t="e">
        <v>#N/A</v>
        <stp/>
        <stp>VOLUME</stp>
        <stp>.SPXW250506C5560</stp>
        <tr r="C117" s="2"/>
      </tp>
      <tp t="e">
        <v>#N/A</v>
        <stp/>
        <stp>VOLUME</stp>
        <stp>.SPXW250507C5570</stp>
        <tr r="D116" s="2"/>
      </tp>
      <tp t="e">
        <v>#N/A</v>
        <stp/>
        <stp>VOLUME</stp>
        <stp>.SPXW250508C5580</stp>
        <tr r="E115" s="2"/>
      </tp>
      <tp t="e">
        <v>#N/A</v>
        <stp/>
        <stp>VOLUME</stp>
        <stp>.SPXW250509C5590</stp>
        <tr r="BC113" s="1"/>
        <tr r="BC113" s="1"/>
      </tp>
      <tp t="e">
        <v>#N/A</v>
        <stp/>
        <stp>VOLUME</stp>
        <stp>.SPXW250516C5460</stp>
        <tr r="BE126" s="1"/>
        <tr r="BE126" s="1"/>
      </tp>
      <tp t="e">
        <v>#N/A</v>
        <stp/>
        <stp>VOLUME</stp>
        <stp>.SPXW250530C5600</stp>
        <tr r="I113" s="2"/>
      </tp>
      <tp t="e">
        <v>#N/A</v>
        <stp/>
        <stp>VOLUME</stp>
        <stp>.SPXW250731C5610</stp>
        <tr r="N112" s="2"/>
      </tp>
      <tp t="e">
        <v>#N/A</v>
        <stp/>
        <stp>VOLUME</stp>
        <stp>.SPXW250606C5560</stp>
        <tr r="J117" s="2"/>
      </tp>
      <tp t="e">
        <v>#N/A</v>
        <stp/>
        <stp>VOLUME</stp>
        <stp>.SPXW250630C5600</stp>
        <tr r="L113" s="2"/>
      </tp>
      <tp t="e">
        <v>#N/A</v>
        <stp/>
        <stp>VOLUME</stp>
        <stp>.SPXW251128C5780</stp>
        <tr r="V95" s="2"/>
      </tp>
      <tp t="e">
        <v>#N/A</v>
        <stp/>
        <stp>VOLUME</stp>
        <stp>.SPXW251031C5610</stp>
        <tr r="T112" s="2"/>
      </tp>
      <tp t="e">
        <v>#N/A</v>
        <stp/>
        <stp>VOLUME</stp>
        <stp>.SPXW251231C5610</stp>
        <tr r="X112" s="2"/>
      </tp>
      <tp t="e">
        <v>#N/A</v>
        <stp/>
        <stp>VOLUME</stp>
        <stp>.SPXW251128P5780</stp>
        <tr r="V95" s="2"/>
      </tp>
      <tp t="e">
        <v>#N/A</v>
        <stp/>
        <stp>VOLUME</stp>
        <stp>.SPXW251031P5610</stp>
        <tr r="T112" s="2"/>
      </tp>
      <tp t="e">
        <v>#N/A</v>
        <stp/>
        <stp>VOLUME</stp>
        <stp>.SPXW251231P5610</stp>
        <tr r="X112" s="2"/>
      </tp>
      <tp t="e">
        <v>#N/A</v>
        <stp/>
        <stp>VOLUME</stp>
        <stp>.SPXW250930P5600</stp>
        <tr r="R113" s="2"/>
      </tp>
      <tp t="e">
        <v>#N/A</v>
        <stp/>
        <stp>VOLUME</stp>
        <stp>.SPXW250829P5790</stp>
        <tr r="P94" s="2"/>
      </tp>
      <tp t="e">
        <v>#N/A</v>
        <stp/>
        <stp>VOLUME</stp>
        <stp>.SPXW250502P5520</stp>
        <tr r="BB120" s="1"/>
        <tr r="BB120" s="1"/>
      </tp>
      <tp t="e">
        <v>#N/A</v>
        <stp/>
        <stp>VOLUME</stp>
        <stp>.SPXW250505P5550</stp>
        <tr r="B118" s="2"/>
      </tp>
      <tp t="e">
        <v>#N/A</v>
        <stp/>
        <stp>VOLUME</stp>
        <stp>.SPXW250506P5560</stp>
        <tr r="C117" s="2"/>
      </tp>
      <tp t="e">
        <v>#N/A</v>
        <stp/>
        <stp>VOLUME</stp>
        <stp>.SPXW250507P5570</stp>
        <tr r="D116" s="2"/>
      </tp>
      <tp t="e">
        <v>#N/A</v>
        <stp/>
        <stp>VOLUME</stp>
        <stp>.SPXW250508P5580</stp>
        <tr r="E115" s="2"/>
      </tp>
      <tp t="e">
        <v>#N/A</v>
        <stp/>
        <stp>VOLUME</stp>
        <stp>.SPXW250509P5590</stp>
        <tr r="BD113" s="1"/>
        <tr r="BD113" s="1"/>
      </tp>
      <tp t="e">
        <v>#N/A</v>
        <stp/>
        <stp>VOLUME</stp>
        <stp>.SPXW250516P5460</stp>
        <tr r="BF126" s="1"/>
        <tr r="BF126" s="1"/>
      </tp>
      <tp t="e">
        <v>#N/A</v>
        <stp/>
        <stp>VOLUME</stp>
        <stp>.SPXW250530P5600</stp>
        <tr r="I113" s="2"/>
      </tp>
      <tp t="e">
        <v>#N/A</v>
        <stp/>
        <stp>VOLUME</stp>
        <stp>.SPXW250731P5610</stp>
        <tr r="N112" s="2"/>
      </tp>
      <tp t="e">
        <v>#N/A</v>
        <stp/>
        <stp>VOLUME</stp>
        <stp>.SPXW250606P5560</stp>
        <tr r="J117" s="2"/>
      </tp>
      <tp t="e">
        <v>#N/A</v>
        <stp/>
        <stp>VOLUME</stp>
        <stp>.SPXW250630P5600</stp>
        <tr r="L113" s="2"/>
      </tp>
      <tp t="s">
        <v>N/A</v>
        <stp/>
        <stp>VOLUME</stp>
        <stp>.NDXP251231P19940</stp>
        <tr r="X163" s="2"/>
      </tp>
      <tp t="e">
        <v>#N/A</v>
        <stp/>
        <stp>VOLUME</stp>
        <stp>.NDXP251128P20040</stp>
        <tr r="V158" s="2"/>
      </tp>
      <tp t="e">
        <v>#N/A</v>
        <stp/>
        <stp>VOLUME</stp>
        <stp>.NDXP251031P19940</stp>
        <tr r="T163" s="2"/>
      </tp>
      <tp t="e">
        <v>#N/A</v>
        <stp/>
        <stp>VOLUME</stp>
        <stp>.SPXW250930C5610</stp>
        <tr r="R112" s="2"/>
      </tp>
      <tp t="e">
        <v>#N/A</v>
        <stp/>
        <stp>VOLUME</stp>
        <stp>.SPXW250829C5780</stp>
        <tr r="P95" s="2"/>
      </tp>
      <tp t="e">
        <v>#N/A</v>
        <stp/>
        <stp>VOLUME</stp>
        <stp>.SPXW250502C5530</stp>
        <tr r="BA119" s="1"/>
        <tr r="BA119" s="1"/>
      </tp>
      <tp t="e">
        <v>#N/A</v>
        <stp/>
        <stp>VOLUME</stp>
        <stp>.SPXW250505C5540</stp>
        <tr r="B119" s="2"/>
      </tp>
      <tp t="e">
        <v>#N/A</v>
        <stp/>
        <stp>VOLUME</stp>
        <stp>.SPXW250506C5570</stp>
        <tr r="C116" s="2"/>
      </tp>
      <tp t="e">
        <v>#N/A</v>
        <stp/>
        <stp>VOLUME</stp>
        <stp>.SPXW250507C5560</stp>
        <tr r="D117" s="2"/>
      </tp>
      <tp t="e">
        <v>#N/A</v>
        <stp/>
        <stp>VOLUME</stp>
        <stp>.SPXW250508C5590</stp>
        <tr r="E114" s="2"/>
      </tp>
      <tp t="e">
        <v>#N/A</v>
        <stp/>
        <stp>VOLUME</stp>
        <stp>.SPXW250509C5580</stp>
        <tr r="BC114" s="1"/>
        <tr r="BC114" s="1"/>
      </tp>
      <tp t="e">
        <v>#N/A</v>
        <stp/>
        <stp>VOLUME</stp>
        <stp>.SPXW250516C5470</stp>
        <tr r="BE125" s="1"/>
      </tp>
      <tp t="e">
        <v>#N/A</v>
        <stp/>
        <stp>VOLUME</stp>
        <stp>.SPXW250530C5610</stp>
        <tr r="I112" s="2"/>
      </tp>
      <tp t="e">
        <v>#N/A</v>
        <stp/>
        <stp>VOLUME</stp>
        <stp>.SPXW250731C5600</stp>
        <tr r="N113" s="2"/>
      </tp>
      <tp t="e">
        <v>#N/A</v>
        <stp/>
        <stp>VOLUME</stp>
        <stp>.SPXW250606C5570</stp>
        <tr r="J116" s="2"/>
      </tp>
      <tp t="e">
        <v>#N/A</v>
        <stp/>
        <stp>VOLUME</stp>
        <stp>.SPXW250630C5610</stp>
        <tr r="L112" s="2"/>
      </tp>
      <tp t="e">
        <v>#N/A</v>
        <stp/>
        <stp>VOLUME</stp>
        <stp>.SPXW251128C5790</stp>
        <tr r="V94" s="2"/>
      </tp>
      <tp t="e">
        <v>#N/A</v>
        <stp/>
        <stp>VOLUME</stp>
        <stp>.SPXW251031C5600</stp>
        <tr r="T113" s="2"/>
      </tp>
      <tp t="e">
        <v>#N/A</v>
        <stp/>
        <stp>VOLUME</stp>
        <stp>.SPXW251231C5600</stp>
        <tr r="X113" s="2"/>
      </tp>
      <tp t="e">
        <v>#N/A</v>
        <stp/>
        <stp>VOLUME</stp>
        <stp>.SPXW251128P5790</stp>
        <tr r="V94" s="2"/>
      </tp>
      <tp t="e">
        <v>#N/A</v>
        <stp/>
        <stp>VOLUME</stp>
        <stp>.SPXW251031P5600</stp>
        <tr r="T113" s="2"/>
      </tp>
      <tp t="e">
        <v>#N/A</v>
        <stp/>
        <stp>VOLUME</stp>
        <stp>.SPXW251231P5600</stp>
        <tr r="X113" s="2"/>
      </tp>
      <tp t="e">
        <v>#N/A</v>
        <stp/>
        <stp>VOLUME</stp>
        <stp>.SPXW250930P5610</stp>
        <tr r="R112" s="2"/>
      </tp>
      <tp t="e">
        <v>#N/A</v>
        <stp/>
        <stp>VOLUME</stp>
        <stp>.SPXW250829P5780</stp>
        <tr r="P95" s="2"/>
      </tp>
      <tp t="e">
        <v>#N/A</v>
        <stp/>
        <stp>VOLUME</stp>
        <stp>.SPXW250502P5530</stp>
        <tr r="BB119" s="1"/>
        <tr r="BB119" s="1"/>
      </tp>
      <tp t="e">
        <v>#N/A</v>
        <stp/>
        <stp>VOLUME</stp>
        <stp>.SPXW250505P5540</stp>
        <tr r="B119" s="2"/>
      </tp>
      <tp t="e">
        <v>#N/A</v>
        <stp/>
        <stp>VOLUME</stp>
        <stp>.SPXW250506P5570</stp>
        <tr r="C116" s="2"/>
      </tp>
      <tp t="e">
        <v>#N/A</v>
        <stp/>
        <stp>VOLUME</stp>
        <stp>.SPXW250507P5560</stp>
        <tr r="D117" s="2"/>
      </tp>
      <tp t="e">
        <v>#N/A</v>
        <stp/>
        <stp>VOLUME</stp>
        <stp>.SPXW250508P5590</stp>
        <tr r="E114" s="2"/>
      </tp>
      <tp t="e">
        <v>#N/A</v>
        <stp/>
        <stp>VOLUME</stp>
        <stp>.SPXW250509P5580</stp>
        <tr r="BD114" s="1"/>
        <tr r="BD114" s="1"/>
      </tp>
      <tp t="e">
        <v>#N/A</v>
        <stp/>
        <stp>VOLUME</stp>
        <stp>.SPXW250516P5470</stp>
        <tr r="BF125" s="1"/>
        <tr r="BF125" s="1"/>
      </tp>
      <tp t="e">
        <v>#N/A</v>
        <stp/>
        <stp>VOLUME</stp>
        <stp>.SPXW250530P5610</stp>
        <tr r="I112" s="2"/>
      </tp>
      <tp t="e">
        <v>#N/A</v>
        <stp/>
        <stp>VOLUME</stp>
        <stp>.SPXW250731P5600</stp>
        <tr r="N113" s="2"/>
      </tp>
      <tp t="e">
        <v>#N/A</v>
        <stp/>
        <stp>VOLUME</stp>
        <stp>.SPXW250606P5570</stp>
        <tr r="J116" s="2"/>
      </tp>
      <tp t="e">
        <v>#N/A</v>
        <stp/>
        <stp>VOLUME</stp>
        <stp>.SPXW250630P5610</stp>
        <tr r="L112" s="2"/>
      </tp>
      <tp t="s">
        <v>N/A</v>
        <stp/>
        <stp>VOLUME</stp>
        <stp>.NDXP250829P20160</stp>
        <tr r="P152" s="2"/>
      </tp>
      <tp t="s">
        <v>N/A</v>
        <stp/>
        <stp>VOLUME</stp>
        <stp>.NDXP250930P19860</stp>
        <tr r="R167" s="2"/>
      </tp>
      <tp t="s">
        <v>N/A</v>
        <stp/>
        <stp>VOLUME</stp>
        <stp>.NDXP250630P19860</stp>
        <tr r="L167" s="2"/>
      </tp>
      <tp t="e">
        <v>#N/A</v>
        <stp/>
        <stp>VOLUME</stp>
        <stp>.NDXP250508P20060</stp>
        <tr r="E157" s="2"/>
      </tp>
      <tp t="s">
        <v>N/A</v>
        <stp/>
        <stp>VOLUME</stp>
        <stp>.NDXP250509P20160</stp>
        <tr r="BD151" s="1"/>
      </tp>
      <tp t="s">
        <v>N/A</v>
        <stp/>
        <stp>VOLUME</stp>
        <stp>.NDXP250731P19960</stp>
        <tr r="N162" s="2"/>
      </tp>
      <tp t="s">
        <v>N/A</v>
        <stp/>
        <stp>VOLUME</stp>
        <stp>.NDXP250530P19860</stp>
        <tr r="I167" s="2"/>
      </tp>
      <tp t="e">
        <v>#N/A</v>
        <stp/>
        <stp>VOLUME</stp>
        <stp>.SPXW250930C5620</stp>
        <tr r="R111" s="2"/>
      </tp>
      <tp t="e">
        <v>#N/A</v>
        <stp/>
        <stp>VOLUME</stp>
        <stp>.SPXW250502C5500</stp>
        <tr r="BA122" s="1"/>
        <tr r="BA122" s="1"/>
      </tp>
      <tp t="e">
        <v>#N/A</v>
        <stp/>
        <stp>VOLUME</stp>
        <stp>.SPXW250505C5570</stp>
        <tr r="B116" s="2"/>
      </tp>
      <tp t="e">
        <v>#N/A</v>
        <stp/>
        <stp>VOLUME</stp>
        <stp>.SPXW250506C5540</stp>
        <tr r="C119" s="2"/>
      </tp>
      <tp t="e">
        <v>#N/A</v>
        <stp/>
        <stp>VOLUME</stp>
        <stp>.SPXW250507C5550</stp>
        <tr r="D118" s="2"/>
      </tp>
      <tp t="e">
        <v>#N/A</v>
        <stp/>
        <stp>VOLUME</stp>
        <stp>.SPXW250516C5440</stp>
        <tr r="BE128" s="1"/>
        <tr r="BE128" s="1"/>
      </tp>
      <tp t="e">
        <v>#N/A</v>
        <stp/>
        <stp>VOLUME</stp>
        <stp>.SPXW250530C5620</stp>
        <tr r="I111" s="2"/>
      </tp>
      <tp t="e">
        <v>#N/A</v>
        <stp/>
        <stp>VOLUME</stp>
        <stp>.SPXW250731C5630</stp>
        <tr r="N110" s="2"/>
      </tp>
      <tp t="e">
        <v>#N/A</v>
        <stp/>
        <stp>VOLUME</stp>
        <stp>.SPXW250606C5540</stp>
        <tr r="J119" s="2"/>
      </tp>
      <tp t="e">
        <v>#N/A</v>
        <stp/>
        <stp>VOLUME</stp>
        <stp>.SPXW250630C5620</stp>
        <tr r="L111" s="2"/>
      </tp>
      <tp t="e">
        <v>#N/A</v>
        <stp/>
        <stp>VOLUME</stp>
        <stp>.SPXW251031C5630</stp>
        <tr r="T110" s="2"/>
      </tp>
      <tp t="e">
        <v>#N/A</v>
        <stp/>
        <stp>VOLUME</stp>
        <stp>.SPXW251231C5630</stp>
        <tr r="X110" s="2"/>
      </tp>
      <tp t="e">
        <v>#N/A</v>
        <stp/>
        <stp>VOLUME</stp>
        <stp>.SPXW251031P5630</stp>
        <tr r="T110" s="2"/>
      </tp>
      <tp t="e">
        <v>#N/A</v>
        <stp/>
        <stp>VOLUME</stp>
        <stp>.SPXW251231P5630</stp>
        <tr r="X110" s="2"/>
      </tp>
      <tp t="e">
        <v>#N/A</v>
        <stp/>
        <stp>VOLUME</stp>
        <stp>.SPXW250930P5620</stp>
        <tr r="R111" s="2"/>
      </tp>
      <tp t="e">
        <v>#N/A</v>
        <stp/>
        <stp>VOLUME</stp>
        <stp>.SPXW250502P5500</stp>
        <tr r="BB122" s="1"/>
        <tr r="BB122" s="1"/>
      </tp>
      <tp t="e">
        <v>#N/A</v>
        <stp/>
        <stp>VOLUME</stp>
        <stp>.SPXW250505P5570</stp>
        <tr r="B116" s="2"/>
      </tp>
      <tp t="e">
        <v>#N/A</v>
        <stp/>
        <stp>VOLUME</stp>
        <stp>.SPXW250506P5540</stp>
        <tr r="C119" s="2"/>
      </tp>
      <tp t="e">
        <v>#N/A</v>
        <stp/>
        <stp>VOLUME</stp>
        <stp>.SPXW250507P5550</stp>
        <tr r="D118" s="2"/>
      </tp>
      <tp t="e">
        <v>#N/A</v>
        <stp/>
        <stp>VOLUME</stp>
        <stp>.SPXW250516P5440</stp>
        <tr r="BF128" s="1"/>
        <tr r="BF128" s="1"/>
      </tp>
      <tp t="e">
        <v>#N/A</v>
        <stp/>
        <stp>VOLUME</stp>
        <stp>.SPXW250530P5620</stp>
        <tr r="I111" s="2"/>
      </tp>
      <tp t="e">
        <v>#N/A</v>
        <stp/>
        <stp>VOLUME</stp>
        <stp>.SPXW250731P5630</stp>
        <tr r="N110" s="2"/>
      </tp>
      <tp t="e">
        <v>#N/A</v>
        <stp/>
        <stp>VOLUME</stp>
        <stp>.SPXW250606P5540</stp>
        <tr r="J119" s="2"/>
      </tp>
      <tp t="e">
        <v>#N/A</v>
        <stp/>
        <stp>VOLUME</stp>
        <stp>.SPXW250630P5620</stp>
        <tr r="L111" s="2"/>
      </tp>
      <tp t="s">
        <v>N/A</v>
        <stp/>
        <stp>VOLUME</stp>
        <stp>.NDXP251231P19960</stp>
        <tr r="X162" s="2"/>
      </tp>
      <tp t="e">
        <v>#N/A</v>
        <stp/>
        <stp>VOLUME</stp>
        <stp>.NDXP251128P20060</stp>
        <tr r="V157" s="2"/>
      </tp>
      <tp t="e">
        <v>#N/A</v>
        <stp/>
        <stp>VOLUME</stp>
        <stp>.NDXP251031P19960</stp>
        <tr r="T162" s="2"/>
      </tp>
      <tp t="e">
        <v>#N/A</v>
        <stp/>
        <stp>VOLUME</stp>
        <stp>.SPXW250930C5630</stp>
        <tr r="R110" s="2"/>
      </tp>
      <tp t="e">
        <v>#N/A</v>
        <stp/>
        <stp>VOLUME</stp>
        <stp>.SPXW250502C5510</stp>
        <tr r="BA121" s="1"/>
        <tr r="BA121" s="1"/>
      </tp>
      <tp t="e">
        <v>#N/A</v>
        <stp/>
        <stp>VOLUME</stp>
        <stp>.SPXW250505C5560</stp>
        <tr r="B117" s="2"/>
      </tp>
      <tp t="e">
        <v>#N/A</v>
        <stp/>
        <stp>VOLUME</stp>
        <stp>.SPXW250506C5550</stp>
        <tr r="C118" s="2"/>
      </tp>
      <tp t="e">
        <v>#N/A</v>
        <stp/>
        <stp>VOLUME</stp>
        <stp>.SPXW250507C5540</stp>
        <tr r="D119" s="2"/>
      </tp>
      <tp t="e">
        <v>#N/A</v>
        <stp/>
        <stp>VOLUME</stp>
        <stp>.SPXW250516C5450</stp>
        <tr r="BE127" s="1"/>
        <tr r="BE127" s="1"/>
      </tp>
      <tp t="e">
        <v>#N/A</v>
        <stp/>
        <stp>VOLUME</stp>
        <stp>.SPXW250530C5630</stp>
        <tr r="I110" s="2"/>
      </tp>
      <tp t="e">
        <v>#N/A</v>
        <stp/>
        <stp>VOLUME</stp>
        <stp>.SPXW250731C5620</stp>
        <tr r="N111" s="2"/>
      </tp>
      <tp t="e">
        <v>#N/A</v>
        <stp/>
        <stp>VOLUME</stp>
        <stp>.SPXW250606C5550</stp>
        <tr r="J118" s="2"/>
      </tp>
      <tp t="e">
        <v>#N/A</v>
        <stp/>
        <stp>VOLUME</stp>
        <stp>.SPXW250630C5630</stp>
        <tr r="L110" s="2"/>
      </tp>
      <tp t="e">
        <v>#N/A</v>
        <stp/>
        <stp>VOLUME</stp>
        <stp>.SPXW251031C5620</stp>
        <tr r="T111" s="2"/>
      </tp>
      <tp t="e">
        <v>#N/A</v>
        <stp/>
        <stp>VOLUME</stp>
        <stp>.SPXW251231C5620</stp>
        <tr r="X111" s="2"/>
      </tp>
      <tp t="e">
        <v>#N/A</v>
        <stp/>
        <stp>VOLUME</stp>
        <stp>.SPXW251031P5620</stp>
        <tr r="T111" s="2"/>
      </tp>
      <tp t="e">
        <v>#N/A</v>
        <stp/>
        <stp>VOLUME</stp>
        <stp>.SPXW251231P5620</stp>
        <tr r="X111" s="2"/>
      </tp>
      <tp t="e">
        <v>#N/A</v>
        <stp/>
        <stp>VOLUME</stp>
        <stp>.SPXW250930P5630</stp>
        <tr r="R110" s="2"/>
      </tp>
      <tp t="e">
        <v>#N/A</v>
        <stp/>
        <stp>VOLUME</stp>
        <stp>.SPXW250502P5510</stp>
        <tr r="BB121" s="1"/>
        <tr r="BB121" s="1"/>
      </tp>
      <tp t="e">
        <v>#N/A</v>
        <stp/>
        <stp>VOLUME</stp>
        <stp>.SPXW250505P5560</stp>
        <tr r="B117" s="2"/>
      </tp>
      <tp t="e">
        <v>#N/A</v>
        <stp/>
        <stp>VOLUME</stp>
        <stp>.SPXW250506P5550</stp>
        <tr r="C118" s="2"/>
      </tp>
      <tp t="e">
        <v>#N/A</v>
        <stp/>
        <stp>VOLUME</stp>
        <stp>.SPXW250507P5540</stp>
        <tr r="D119" s="2"/>
      </tp>
      <tp t="e">
        <v>#N/A</v>
        <stp/>
        <stp>VOLUME</stp>
        <stp>.SPXW250516P5450</stp>
        <tr r="BF127" s="1"/>
        <tr r="BF127" s="1"/>
      </tp>
      <tp t="e">
        <v>#N/A</v>
        <stp/>
        <stp>VOLUME</stp>
        <stp>.SPXW250530P5630</stp>
        <tr r="I110" s="2"/>
      </tp>
      <tp t="e">
        <v>#N/A</v>
        <stp/>
        <stp>VOLUME</stp>
        <stp>.SPXW250731P5620</stp>
        <tr r="N111" s="2"/>
      </tp>
      <tp t="e">
        <v>#N/A</v>
        <stp/>
        <stp>VOLUME</stp>
        <stp>.SPXW250606P5550</stp>
        <tr r="J118" s="2"/>
      </tp>
      <tp t="e">
        <v>#N/A</v>
        <stp/>
        <stp>VOLUME</stp>
        <stp>.SPXW250630P5630</stp>
        <tr r="L110" s="2"/>
      </tp>
      <tp t="e">
        <v>#N/A</v>
        <stp/>
        <stp>VOLUME</stp>
        <stp>.QQQP500</stp>
        <tr r="G48" s="2"/>
        <tr r="F48" s="2"/>
      </tp>
      <tp t="e">
        <v>#N/A</v>
        <stp/>
        <stp>VOLUME</stp>
        <stp>.QQQC500</stp>
        <tr r="G48" s="2"/>
        <tr r="F48" s="2"/>
      </tp>
      <tp t="e">
        <v>#N/A</v>
        <stp/>
        <stp>VOLUME</stp>
        <stp>.QQQP501</stp>
        <tr r="G47" s="2"/>
        <tr r="F47" s="2"/>
      </tp>
      <tp t="e">
        <v>#N/A</v>
        <stp/>
        <stp>VOLUME</stp>
        <stp>.QQQC501</stp>
        <tr r="G47" s="2"/>
        <tr r="F47" s="2"/>
      </tp>
      <tp t="e">
        <v>#N/A</v>
        <stp/>
        <stp>VOLUME</stp>
        <stp>.QQQP502</stp>
        <tr r="G46" s="2"/>
        <tr r="F46" s="2"/>
      </tp>
      <tp t="e">
        <v>#N/A</v>
        <stp/>
        <stp>VOLUME</stp>
        <stp>.QQQC502</stp>
        <tr r="G46" s="2"/>
        <tr r="F46" s="2"/>
      </tp>
      <tp t="s">
        <v>N/A</v>
        <stp/>
        <stp>VOLUME</stp>
        <stp>.NDXP250829P20100</stp>
        <tr r="P155" s="2"/>
      </tp>
      <tp t="s">
        <v>N/A</v>
        <stp/>
        <stp>VOLUME</stp>
        <stp>.NDXP250930P19800</stp>
        <tr r="R170" s="2"/>
      </tp>
      <tp>
        <v>6</v>
        <stp/>
        <stp>VOLUME</stp>
        <stp>.NDXP250630P19800</stp>
        <tr r="L170" s="2"/>
        <tr r="L170" s="2"/>
      </tp>
      <tp t="e">
        <v>#N/A</v>
        <stp/>
        <stp>VOLUME</stp>
        <stp>.NDXP250508P20000</stp>
        <tr r="E160" s="2"/>
      </tp>
      <tp t="s">
        <v>N/A</v>
        <stp/>
        <stp>VOLUME</stp>
        <stp>.NDXP250509P20100</stp>
        <tr r="BD154" s="1"/>
      </tp>
      <tp t="s">
        <v>N/A</v>
        <stp/>
        <stp>VOLUME</stp>
        <stp>.NDXP250731P19900</stp>
        <tr r="N165" s="2"/>
      </tp>
      <tp t="s">
        <v>N/A</v>
        <stp/>
        <stp>VOLUME</stp>
        <stp>.NDXP250530P19800</stp>
        <tr r="I170" s="2"/>
      </tp>
      <tp t="e">
        <v>#N/A</v>
        <stp/>
        <stp>VOLUME</stp>
        <stp>.SPXW250930C5640</stp>
        <tr r="R109" s="2"/>
      </tp>
      <tp t="e">
        <v>#N/A</v>
        <stp/>
        <stp>VOLUME</stp>
        <stp>.SPXW250502C5560</stp>
        <tr r="BA116" s="1"/>
        <tr r="BA116" s="1"/>
      </tp>
      <tp t="e">
        <v>#N/A</v>
        <stp/>
        <stp>VOLUME</stp>
        <stp>.SPXW250505C5510</stp>
        <tr r="B122" s="2"/>
      </tp>
      <tp t="e">
        <v>#N/A</v>
        <stp/>
        <stp>VOLUME</stp>
        <stp>.SPXW250506C5520</stp>
        <tr r="C121" s="2"/>
      </tp>
      <tp t="e">
        <v>#N/A</v>
        <stp/>
        <stp>VOLUME</stp>
        <stp>.SPXW250507C5530</stp>
        <tr r="D120" s="2"/>
      </tp>
      <tp t="e">
        <v>#N/A</v>
        <stp/>
        <stp>VOLUME</stp>
        <stp>.SPXW250516C5420</stp>
        <tr r="BE130" s="1"/>
        <tr r="BE130" s="1"/>
      </tp>
      <tp t="e">
        <v>#N/A</v>
        <stp/>
        <stp>VOLUME</stp>
        <stp>.SPXW250530C5640</stp>
        <tr r="I109" s="2"/>
      </tp>
      <tp t="e">
        <v>#N/A</v>
        <stp/>
        <stp>VOLUME</stp>
        <stp>.SPXW250731C5650</stp>
        <tr r="N108" s="2"/>
      </tp>
      <tp t="e">
        <v>#N/A</v>
        <stp/>
        <stp>VOLUME</stp>
        <stp>.SPXW250606C5520</stp>
        <tr r="J121" s="2"/>
      </tp>
      <tp t="e">
        <v>#N/A</v>
        <stp/>
        <stp>VOLUME</stp>
        <stp>.SPXW250630C5640</stp>
        <tr r="L109" s="2"/>
      </tp>
      <tp t="e">
        <v>#N/A</v>
        <stp/>
        <stp>VOLUME</stp>
        <stp>.SPXW251031C5650</stp>
        <tr r="T108" s="2"/>
      </tp>
      <tp t="e">
        <v>#N/A</v>
        <stp/>
        <stp>VOLUME</stp>
        <stp>.SPXW251231C5650</stp>
        <tr r="X108" s="2"/>
      </tp>
      <tp t="e">
        <v>#N/A</v>
        <stp/>
        <stp>VOLUME</stp>
        <stp>.SPXW251031P5650</stp>
        <tr r="T108" s="2"/>
      </tp>
      <tp t="e">
        <v>#N/A</v>
        <stp/>
        <stp>VOLUME</stp>
        <stp>.SPXW251231P5650</stp>
        <tr r="X108" s="2"/>
      </tp>
      <tp t="e">
        <v>#N/A</v>
        <stp/>
        <stp>VOLUME</stp>
        <stp>.SPXW250930P5640</stp>
        <tr r="R109" s="2"/>
      </tp>
      <tp t="e">
        <v>#N/A</v>
        <stp/>
        <stp>VOLUME</stp>
        <stp>.SPXW250502P5560</stp>
        <tr r="BB116" s="1"/>
        <tr r="BB116" s="1"/>
      </tp>
      <tp t="e">
        <v>#N/A</v>
        <stp/>
        <stp>VOLUME</stp>
        <stp>.SPXW250505P5510</stp>
        <tr r="B122" s="2"/>
      </tp>
      <tp t="e">
        <v>#N/A</v>
        <stp/>
        <stp>VOLUME</stp>
        <stp>.SPXW250506P5520</stp>
        <tr r="C121" s="2"/>
      </tp>
      <tp t="e">
        <v>#N/A</v>
        <stp/>
        <stp>VOLUME</stp>
        <stp>.SPXW250507P5530</stp>
        <tr r="D120" s="2"/>
      </tp>
      <tp t="e">
        <v>#N/A</v>
        <stp/>
        <stp>VOLUME</stp>
        <stp>.SPXW250516P5420</stp>
        <tr r="BF130" s="1"/>
        <tr r="BF130" s="1"/>
      </tp>
      <tp t="e">
        <v>#N/A</v>
        <stp/>
        <stp>VOLUME</stp>
        <stp>.SPXW250530P5640</stp>
        <tr r="I109" s="2"/>
      </tp>
      <tp t="e">
        <v>#N/A</v>
        <stp/>
        <stp>VOLUME</stp>
        <stp>.SPXW250731P5650</stp>
        <tr r="N108" s="2"/>
      </tp>
      <tp t="e">
        <v>#N/A</v>
        <stp/>
        <stp>VOLUME</stp>
        <stp>.SPXW250606P5520</stp>
        <tr r="J121" s="2"/>
      </tp>
      <tp t="e">
        <v>#N/A</v>
        <stp/>
        <stp>VOLUME</stp>
        <stp>.SPXW250630P5640</stp>
        <tr r="L109" s="2"/>
      </tp>
      <tp t="s">
        <v>N/A</v>
        <stp/>
        <stp>VOLUME</stp>
        <stp>.NDXP251231P19900</stp>
        <tr r="X165" s="2"/>
      </tp>
      <tp t="e">
        <v>#N/A</v>
        <stp/>
        <stp>VOLUME</stp>
        <stp>.NDXP251128P20000</stp>
        <tr r="V160" s="2"/>
      </tp>
      <tp t="e">
        <v>#N/A</v>
        <stp/>
        <stp>VOLUME</stp>
        <stp>.NDXP251031P19900</stp>
        <tr r="T165" s="2"/>
      </tp>
      <tp t="e">
        <v>#N/A</v>
        <stp/>
        <stp>VOLUME</stp>
        <stp>.SPXW250930C5650</stp>
        <tr r="R108" s="2"/>
      </tp>
      <tp t="e">
        <v>#N/A</v>
        <stp/>
        <stp>VOLUME</stp>
        <stp>.SPXW250502C5570</stp>
        <tr r="BA115" s="1"/>
        <tr r="BA115" s="1"/>
      </tp>
      <tp t="e">
        <v>#N/A</v>
        <stp/>
        <stp>VOLUME</stp>
        <stp>.SPXW250505C5500</stp>
        <tr r="B123" s="2"/>
      </tp>
      <tp t="e">
        <v>#N/A</v>
        <stp/>
        <stp>VOLUME</stp>
        <stp>.SPXW250506C5530</stp>
        <tr r="C120" s="2"/>
      </tp>
      <tp t="e">
        <v>#N/A</v>
        <stp/>
        <stp>VOLUME</stp>
        <stp>.SPXW250507C5520</stp>
        <tr r="D121" s="2"/>
      </tp>
      <tp t="e">
        <v>#N/A</v>
        <stp/>
        <stp>VOLUME</stp>
        <stp>.SPXW250516C5430</stp>
        <tr r="BE129" s="1"/>
        <tr r="BE129" s="1"/>
      </tp>
      <tp t="e">
        <v>#N/A</v>
        <stp/>
        <stp>VOLUME</stp>
        <stp>.SPXW250530C5650</stp>
        <tr r="I108" s="2"/>
      </tp>
      <tp t="e">
        <v>#N/A</v>
        <stp/>
        <stp>VOLUME</stp>
        <stp>.SPXW250731C5640</stp>
        <tr r="N109" s="2"/>
      </tp>
      <tp t="e">
        <v>#N/A</v>
        <stp/>
        <stp>VOLUME</stp>
        <stp>.SPXW250606C5530</stp>
        <tr r="J120" s="2"/>
      </tp>
      <tp t="e">
        <v>#N/A</v>
        <stp/>
        <stp>VOLUME</stp>
        <stp>.SPXW250630C5650</stp>
        <tr r="L108" s="2"/>
      </tp>
      <tp t="e">
        <v>#N/A</v>
        <stp/>
        <stp>VOLUME</stp>
        <stp>.SPXW251031C5640</stp>
        <tr r="T109" s="2"/>
      </tp>
      <tp t="e">
        <v>#N/A</v>
        <stp/>
        <stp>VOLUME</stp>
        <stp>.SPXW251231C5640</stp>
        <tr r="X109" s="2"/>
      </tp>
      <tp t="e">
        <v>#N/A</v>
        <stp/>
        <stp>VOLUME</stp>
        <stp>.SPXW251031P5640</stp>
        <tr r="T109" s="2"/>
      </tp>
      <tp t="e">
        <v>#N/A</v>
        <stp/>
        <stp>VOLUME</stp>
        <stp>.SPXW251231P5640</stp>
        <tr r="X109" s="2"/>
      </tp>
      <tp t="e">
        <v>#N/A</v>
        <stp/>
        <stp>VOLUME</stp>
        <stp>.SPXW250930P5650</stp>
        <tr r="R108" s="2"/>
      </tp>
      <tp t="e">
        <v>#N/A</v>
        <stp/>
        <stp>VOLUME</stp>
        <stp>.SPXW250502P5570</stp>
        <tr r="BB115" s="1"/>
        <tr r="BB115" s="1"/>
      </tp>
      <tp t="e">
        <v>#N/A</v>
        <stp/>
        <stp>VOLUME</stp>
        <stp>.SPXW250505P5500</stp>
        <tr r="B123" s="2"/>
      </tp>
      <tp t="e">
        <v>#N/A</v>
        <stp/>
        <stp>VOLUME</stp>
        <stp>.SPXW250506P5530</stp>
        <tr r="C120" s="2"/>
      </tp>
      <tp t="e">
        <v>#N/A</v>
        <stp/>
        <stp>VOLUME</stp>
        <stp>.SPXW250507P5520</stp>
        <tr r="D121" s="2"/>
      </tp>
      <tp t="e">
        <v>#N/A</v>
        <stp/>
        <stp>VOLUME</stp>
        <stp>.SPXW250516P5430</stp>
        <tr r="BF129" s="1"/>
        <tr r="BF129" s="1"/>
      </tp>
      <tp t="e">
        <v>#N/A</v>
        <stp/>
        <stp>VOLUME</stp>
        <stp>.SPXW250530P5650</stp>
        <tr r="I108" s="2"/>
      </tp>
      <tp t="e">
        <v>#N/A</v>
        <stp/>
        <stp>VOLUME</stp>
        <stp>.SPXW250731P5640</stp>
        <tr r="N109" s="2"/>
      </tp>
      <tp t="e">
        <v>#N/A</v>
        <stp/>
        <stp>VOLUME</stp>
        <stp>.SPXW250606P5530</stp>
        <tr r="J120" s="2"/>
      </tp>
      <tp t="e">
        <v>#N/A</v>
        <stp/>
        <stp>VOLUME</stp>
        <stp>.SPXW250630P5650</stp>
        <tr r="L108" s="2"/>
      </tp>
      <tp t="s">
        <v>N/A</v>
        <stp/>
        <stp>VOLUME</stp>
        <stp>.NDXP250829P20120</stp>
        <tr r="P154" s="2"/>
      </tp>
      <tp t="s">
        <v>N/A</v>
        <stp/>
        <stp>VOLUME</stp>
        <stp>.NDXP250930P19820</stp>
        <tr r="R169" s="2"/>
      </tp>
      <tp t="s">
        <v>N/A</v>
        <stp/>
        <stp>VOLUME</stp>
        <stp>.NDXP250630P19820</stp>
        <tr r="L169" s="2"/>
      </tp>
      <tp t="e">
        <v>#N/A</v>
        <stp/>
        <stp>VOLUME</stp>
        <stp>.NDXP250508P20020</stp>
        <tr r="E159" s="2"/>
      </tp>
      <tp t="s">
        <v>N/A</v>
        <stp/>
        <stp>VOLUME</stp>
        <stp>.NDXP250509P20120</stp>
        <tr r="BD153" s="1"/>
      </tp>
      <tp t="s">
        <v>N/A</v>
        <stp/>
        <stp>VOLUME</stp>
        <stp>.NDXP250731P19920</stp>
        <tr r="N164" s="2"/>
      </tp>
      <tp t="s">
        <v>N/A</v>
        <stp/>
        <stp>VOLUME</stp>
        <stp>.NDXP250530P19820</stp>
        <tr r="I169" s="2"/>
      </tp>
      <tp t="e">
        <v>#N/A</v>
        <stp/>
        <stp>VOLUME</stp>
        <stp>.SPXW250930C5660</stp>
        <tr r="R107" s="2"/>
      </tp>
      <tp t="e">
        <v>#N/A</v>
        <stp/>
        <stp>VOLUME</stp>
        <stp>.SPXW250502C5540</stp>
        <tr r="BA118" s="1"/>
        <tr r="BA118" s="1"/>
      </tp>
      <tp t="e">
        <v>#N/A</v>
        <stp/>
        <stp>VOLUME</stp>
        <stp>.SPXW250505C5530</stp>
        <tr r="B120" s="2"/>
      </tp>
      <tp t="e">
        <v>#N/A</v>
        <stp/>
        <stp>VOLUME</stp>
        <stp>.SPXW250506C5500</stp>
        <tr r="C123" s="2"/>
      </tp>
      <tp t="e">
        <v>#N/A</v>
        <stp/>
        <stp>VOLUME</stp>
        <stp>.SPXW250507C5510</stp>
        <tr r="D122" s="2"/>
      </tp>
      <tp t="e">
        <v>#N/A</v>
        <stp/>
        <stp>VOLUME</stp>
        <stp>.SPXW250530C5660</stp>
        <tr r="I107" s="2"/>
      </tp>
      <tp t="e">
        <v>#N/A</v>
        <stp/>
        <stp>VOLUME</stp>
        <stp>.SPXW250731C5670</stp>
        <tr r="N106" s="2"/>
      </tp>
      <tp t="e">
        <v>#N/A</v>
        <stp/>
        <stp>VOLUME</stp>
        <stp>.SPXW250606C5500</stp>
        <tr r="J123" s="2"/>
      </tp>
      <tp t="e">
        <v>#N/A</v>
        <stp/>
        <stp>VOLUME</stp>
        <stp>.SPXW250630C5660</stp>
        <tr r="L107" s="2"/>
      </tp>
      <tp t="e">
        <v>#N/A</v>
        <stp/>
        <stp>VOLUME</stp>
        <stp>.SPXW251031C5670</stp>
        <tr r="T106" s="2"/>
      </tp>
      <tp t="e">
        <v>#N/A</v>
        <stp/>
        <stp>VOLUME</stp>
        <stp>.SPXW251231C5670</stp>
        <tr r="X106" s="2"/>
      </tp>
      <tp t="e">
        <v>#N/A</v>
        <stp/>
        <stp>VOLUME</stp>
        <stp>.SPXW251031P5670</stp>
        <tr r="T106" s="2"/>
      </tp>
      <tp t="e">
        <v>#N/A</v>
        <stp/>
        <stp>VOLUME</stp>
        <stp>.SPXW251231P5670</stp>
        <tr r="X106" s="2"/>
      </tp>
      <tp t="e">
        <v>#N/A</v>
        <stp/>
        <stp>VOLUME</stp>
        <stp>.SPXW250930P5660</stp>
        <tr r="R107" s="2"/>
      </tp>
      <tp t="e">
        <v>#N/A</v>
        <stp/>
        <stp>VOLUME</stp>
        <stp>.SPXW250502P5540</stp>
        <tr r="BB118" s="1"/>
        <tr r="BB118" s="1"/>
      </tp>
      <tp t="e">
        <v>#N/A</v>
        <stp/>
        <stp>VOLUME</stp>
        <stp>.SPXW250505P5530</stp>
        <tr r="B120" s="2"/>
      </tp>
      <tp t="e">
        <v>#N/A</v>
        <stp/>
        <stp>VOLUME</stp>
        <stp>.SPXW250506P5500</stp>
        <tr r="C123" s="2"/>
      </tp>
      <tp t="e">
        <v>#N/A</v>
        <stp/>
        <stp>VOLUME</stp>
        <stp>.SPXW250507P5510</stp>
        <tr r="D122" s="2"/>
      </tp>
      <tp t="e">
        <v>#N/A</v>
        <stp/>
        <stp>VOLUME</stp>
        <stp>.SPXW250530P5660</stp>
        <tr r="I107" s="2"/>
      </tp>
      <tp t="e">
        <v>#N/A</v>
        <stp/>
        <stp>VOLUME</stp>
        <stp>.SPXW250731P5670</stp>
        <tr r="N106" s="2"/>
      </tp>
      <tp t="e">
        <v>#N/A</v>
        <stp/>
        <stp>VOLUME</stp>
        <stp>.SPXW250606P5500</stp>
        <tr r="J123" s="2"/>
      </tp>
      <tp t="e">
        <v>#N/A</v>
        <stp/>
        <stp>VOLUME</stp>
        <stp>.SPXW250630P5660</stp>
        <tr r="L107" s="2"/>
      </tp>
      <tp t="s">
        <v>N/A</v>
        <stp/>
        <stp>VOLUME</stp>
        <stp>.NDXP251231P19920</stp>
        <tr r="X164" s="2"/>
      </tp>
      <tp t="e">
        <v>#N/A</v>
        <stp/>
        <stp>VOLUME</stp>
        <stp>.NDXP251128P20020</stp>
        <tr r="V159" s="2"/>
      </tp>
      <tp t="e">
        <v>#N/A</v>
        <stp/>
        <stp>VOLUME</stp>
        <stp>.NDXP251031P19920</stp>
        <tr r="T164" s="2"/>
      </tp>
      <tp t="e">
        <v>#N/A</v>
        <stp/>
        <stp>VOLUME</stp>
        <stp>.SPXW250930C5670</stp>
        <tr r="R106" s="2"/>
      </tp>
      <tp t="e">
        <v>#N/A</v>
        <stp/>
        <stp>VOLUME</stp>
        <stp>.SPXW250502C5550</stp>
        <tr r="BA117" s="1"/>
        <tr r="BA117" s="1"/>
      </tp>
      <tp t="e">
        <v>#N/A</v>
        <stp/>
        <stp>VOLUME</stp>
        <stp>.SPXW250505C5520</stp>
        <tr r="B121" s="2"/>
      </tp>
      <tp t="e">
        <v>#N/A</v>
        <stp/>
        <stp>VOLUME</stp>
        <stp>.SPXW250506C5510</stp>
        <tr r="C122" s="2"/>
      </tp>
      <tp t="e">
        <v>#N/A</v>
        <stp/>
        <stp>VOLUME</stp>
        <stp>.SPXW250507C5500</stp>
        <tr r="D123" s="2"/>
      </tp>
      <tp t="e">
        <v>#N/A</v>
        <stp/>
        <stp>VOLUME</stp>
        <stp>.SPXW250530C5670</stp>
        <tr r="I106" s="2"/>
      </tp>
      <tp t="e">
        <v>#N/A</v>
        <stp/>
        <stp>VOLUME</stp>
        <stp>.SPXW250731C5660</stp>
        <tr r="N107" s="2"/>
      </tp>
      <tp t="e">
        <v>#N/A</v>
        <stp/>
        <stp>VOLUME</stp>
        <stp>.SPXW250606C5510</stp>
        <tr r="J122" s="2"/>
      </tp>
      <tp t="e">
        <v>#N/A</v>
        <stp/>
        <stp>VOLUME</stp>
        <stp>.SPXW250630C5670</stp>
        <tr r="L106" s="2"/>
      </tp>
      <tp t="e">
        <v>#N/A</v>
        <stp/>
        <stp>VOLUME</stp>
        <stp>.SPXW251031C5660</stp>
        <tr r="T107" s="2"/>
      </tp>
      <tp t="e">
        <v>#N/A</v>
        <stp/>
        <stp>VOLUME</stp>
        <stp>.SPXW251231C5660</stp>
        <tr r="X107" s="2"/>
      </tp>
      <tp t="e">
        <v>#N/A</v>
        <stp/>
        <stp>VOLUME</stp>
        <stp>.SPXW251031P5660</stp>
        <tr r="T107" s="2"/>
      </tp>
      <tp t="e">
        <v>#N/A</v>
        <stp/>
        <stp>VOLUME</stp>
        <stp>.SPXW251231P5660</stp>
        <tr r="X107" s="2"/>
      </tp>
      <tp t="e">
        <v>#N/A</v>
        <stp/>
        <stp>VOLUME</stp>
        <stp>.SPXW250930P5670</stp>
        <tr r="R106" s="2"/>
      </tp>
      <tp t="e">
        <v>#N/A</v>
        <stp/>
        <stp>VOLUME</stp>
        <stp>.SPXW250502P5550</stp>
        <tr r="BB117" s="1"/>
        <tr r="BB117" s="1"/>
      </tp>
      <tp t="e">
        <v>#N/A</v>
        <stp/>
        <stp>VOLUME</stp>
        <stp>.SPXW250505P5520</stp>
        <tr r="B121" s="2"/>
      </tp>
      <tp t="e">
        <v>#N/A</v>
        <stp/>
        <stp>VOLUME</stp>
        <stp>.SPXW250506P5510</stp>
        <tr r="C122" s="2"/>
      </tp>
      <tp t="e">
        <v>#N/A</v>
        <stp/>
        <stp>VOLUME</stp>
        <stp>.SPXW250507P5500</stp>
        <tr r="D123" s="2"/>
      </tp>
      <tp t="e">
        <v>#N/A</v>
        <stp/>
        <stp>VOLUME</stp>
        <stp>.SPXW250530P5670</stp>
        <tr r="I106" s="2"/>
      </tp>
      <tp t="e">
        <v>#N/A</v>
        <stp/>
        <stp>VOLUME</stp>
        <stp>.SPXW250731P5660</stp>
        <tr r="N107" s="2"/>
      </tp>
      <tp t="e">
        <v>#N/A</v>
        <stp/>
        <stp>VOLUME</stp>
        <stp>.SPXW250606P5510</stp>
        <tr r="J122" s="2"/>
      </tp>
      <tp t="e">
        <v>#N/A</v>
        <stp/>
        <stp>VOLUME</stp>
        <stp>.SPXW250630P5670</stp>
        <tr r="L106" s="2"/>
      </tp>
      <tp>
        <v>13</v>
        <stp/>
        <stp>OPEN_INT</stp>
        <stp>.NDXP250509C19900</stp>
        <tr r="AU164" s="1"/>
        <tr r="AU164" s="1"/>
      </tp>
      <tp>
        <v>45</v>
        <stp/>
        <stp>OPEN_INT</stp>
        <stp>.NDXP250502C20200</stp>
        <tr r="AS149" s="1"/>
        <tr r="AS149" s="1"/>
      </tp>
      <tp t="s">
        <v>N/A</v>
        <stp/>
        <stp>OPEN_INT</stp>
        <stp>.NDXP250509C19920</stp>
        <tr r="AU163" s="1"/>
      </tp>
      <tp>
        <v>16</v>
        <stp/>
        <stp>OPEN_INT</stp>
        <stp>.NDXP250502C20220</stp>
        <tr r="AS148" s="1"/>
        <tr r="AS148" s="1"/>
      </tp>
      <tp t="s">
        <v>N/A</v>
        <stp/>
        <stp>OPEN_INT</stp>
        <stp>.NDXP250509C19940</stp>
        <tr r="AU162" s="1"/>
      </tp>
      <tp>
        <v>1</v>
        <stp/>
        <stp>OPEN_INT</stp>
        <stp>.NDXP250502C20240</stp>
        <tr r="AS147" s="1"/>
        <tr r="AS147" s="1"/>
      </tp>
      <tp t="s">
        <v>N/A</v>
        <stp/>
        <stp>OPEN_INT</stp>
        <stp>.NDXP250509C19960</stp>
        <tr r="AU161" s="1"/>
      </tp>
      <tp>
        <v>1</v>
        <stp/>
        <stp>OPEN_INT</stp>
        <stp>.NDXP250502C20260</stp>
        <tr r="AS146" s="1"/>
        <tr r="AS146" s="1"/>
      </tp>
      <tp t="s">
        <v>N/A</v>
        <stp/>
        <stp>OPEN_INT</stp>
        <stp>.NDXP250509C19980</stp>
        <tr r="AU160" s="1"/>
      </tp>
      <tp>
        <v>3</v>
        <stp/>
        <stp>OPEN_INT</stp>
        <stp>.NDXP250502C20280</stp>
        <tr r="AS145" s="1"/>
        <tr r="AS145" s="1"/>
      </tp>
      <tp t="s">
        <v>N/A</v>
        <stp/>
        <stp>OPEN_INT</stp>
        <stp>.NDXP250509P19920</stp>
        <tr r="AV163" s="1"/>
      </tp>
      <tp>
        <v>0</v>
        <stp/>
        <stp>OPEN_INT</stp>
        <stp>.NDXP250502P20220</stp>
        <tr r="AT148" s="1"/>
        <tr r="AT148" s="1"/>
      </tp>
      <tp>
        <v>5</v>
        <stp/>
        <stp>OPEN_INT</stp>
        <stp>.NDXP250509P19900</stp>
        <tr r="AV164" s="1"/>
        <tr r="AV164" s="1"/>
      </tp>
      <tp>
        <v>5</v>
        <stp/>
        <stp>OPEN_INT</stp>
        <stp>.NDXP250502P20200</stp>
        <tr r="AT149" s="1"/>
        <tr r="AT149" s="1"/>
      </tp>
      <tp t="s">
        <v>N/A</v>
        <stp/>
        <stp>OPEN_INT</stp>
        <stp>.NDXP250509P19960</stp>
        <tr r="AV161" s="1"/>
      </tp>
      <tp>
        <v>0</v>
        <stp/>
        <stp>OPEN_INT</stp>
        <stp>.NDXP250502P20260</stp>
        <tr r="AT146" s="1"/>
        <tr r="AT146" s="1"/>
      </tp>
      <tp t="s">
        <v>N/A</v>
        <stp/>
        <stp>OPEN_INT</stp>
        <stp>.NDXP250509P19940</stp>
        <tr r="AV162" s="1"/>
      </tp>
      <tp>
        <v>0</v>
        <stp/>
        <stp>OPEN_INT</stp>
        <stp>.NDXP250502P20240</stp>
        <tr r="AT147" s="1"/>
        <tr r="AT147" s="1"/>
      </tp>
      <tp t="s">
        <v>N/A</v>
        <stp/>
        <stp>OPEN_INT</stp>
        <stp>.NDXP250509P19980</stp>
        <tr r="AV160" s="1"/>
      </tp>
      <tp>
        <v>0</v>
        <stp/>
        <stp>OPEN_INT</stp>
        <stp>.NDXP250502P20280</stp>
        <tr r="AT145" s="1"/>
        <tr r="AT145" s="1"/>
      </tp>
      <tp t="e">
        <v>#N/A</v>
        <stp/>
        <stp>DELTA</stp>
        <stp>.NDXP250509P20380</stp>
        <tr r="CG140" s="1"/>
      </tp>
      <tp t="e">
        <v>#N/A</v>
        <stp/>
        <stp>DELTA</stp>
        <stp>.NDXP250502P19880</stp>
        <tr r="CE165" s="1"/>
        <tr r="CE165" s="1"/>
      </tp>
      <tp t="e">
        <v>#N/A</v>
        <stp/>
        <stp>DELTA</stp>
        <stp>.NDXP250509P20320</stp>
        <tr r="CG143" s="1"/>
      </tp>
      <tp t="e">
        <v>#N/A</v>
        <stp/>
        <stp>DELTA</stp>
        <stp>.NDXP250502P19820</stp>
        <tr r="CE168" s="1"/>
        <tr r="CE168" s="1"/>
      </tp>
      <tp t="e">
        <v>#N/A</v>
        <stp/>
        <stp>DELTA</stp>
        <stp>.NDXP250509P20300</stp>
        <tr r="CG144" s="1"/>
        <tr r="CG144" s="1"/>
      </tp>
      <tp t="e">
        <v>#N/A</v>
        <stp/>
        <stp>DELTA</stp>
        <stp>.NDXP250502P19800</stp>
        <tr r="CE169" s="1"/>
        <tr r="CE169" s="1"/>
      </tp>
      <tp t="e">
        <v>#N/A</v>
        <stp/>
        <stp>DELTA</stp>
        <stp>.NDXP250509P20360</stp>
        <tr r="CG141" s="1"/>
      </tp>
      <tp t="e">
        <v>#N/A</v>
        <stp/>
        <stp>DELTA</stp>
        <stp>.NDXP250502P19860</stp>
        <tr r="CE166" s="1"/>
        <tr r="CE166" s="1"/>
      </tp>
      <tp t="e">
        <v>#N/A</v>
        <stp/>
        <stp>DELTA</stp>
        <stp>.NDXP250509P20340</stp>
        <tr r="CG142" s="1"/>
      </tp>
      <tp t="e">
        <v>#N/A</v>
        <stp/>
        <stp>DELTA</stp>
        <stp>.NDXP250502P19840</stp>
        <tr r="CE167" s="1"/>
        <tr r="CE167" s="1"/>
      </tp>
      <tp t="e">
        <v>#N/A</v>
        <stp/>
        <stp>DELTA</stp>
        <stp>.NDXP250509C20380</stp>
        <tr r="CF140" s="1"/>
      </tp>
      <tp t="e">
        <v>#N/A</v>
        <stp/>
        <stp>DELTA</stp>
        <stp>.NDXP250502C19880</stp>
        <tr r="CD165" s="1"/>
        <tr r="CD165" s="1"/>
      </tp>
      <tp t="e">
        <v>#N/A</v>
        <stp/>
        <stp>DELTA</stp>
        <stp>.NDXP250509C20300</stp>
        <tr r="CF144" s="1"/>
        <tr r="CF144" s="1"/>
      </tp>
      <tp t="e">
        <v>#N/A</v>
        <stp/>
        <stp>DELTA</stp>
        <stp>.NDXP250502C19800</stp>
        <tr r="CD169" s="1"/>
        <tr r="CD169" s="1"/>
      </tp>
      <tp t="e">
        <v>#N/A</v>
        <stp/>
        <stp>DELTA</stp>
        <stp>.NDXP250509C20320</stp>
        <tr r="CF143" s="1"/>
      </tp>
      <tp t="e">
        <v>#N/A</v>
        <stp/>
        <stp>DELTA</stp>
        <stp>.NDXP250502C19820</stp>
        <tr r="CD168" s="1"/>
        <tr r="CD168" s="1"/>
      </tp>
      <tp t="e">
        <v>#N/A</v>
        <stp/>
        <stp>DELTA</stp>
        <stp>.NDXP250509C20340</stp>
        <tr r="CF142" s="1"/>
      </tp>
      <tp t="e">
        <v>#N/A</v>
        <stp/>
        <stp>DELTA</stp>
        <stp>.NDXP250502C19840</stp>
        <tr r="CD167" s="1"/>
        <tr r="CD167" s="1"/>
      </tp>
      <tp t="e">
        <v>#N/A</v>
        <stp/>
        <stp>DELTA</stp>
        <stp>.NDXP250509C20360</stp>
        <tr r="CF141" s="1"/>
      </tp>
      <tp t="e">
        <v>#N/A</v>
        <stp/>
        <stp>DELTA</stp>
        <stp>.NDXP250502C19860</stp>
        <tr r="CD166" s="1"/>
        <tr r="CD166" s="1"/>
      </tp>
      <tp t="s">
        <v>N/A</v>
        <stp/>
        <stp>VOLUME</stp>
        <stp>.NDXP251231C19880</stp>
        <tr r="X166" s="2"/>
      </tp>
      <tp t="e">
        <v>#N/A</v>
        <stp/>
        <stp>VOLUME</stp>
        <stp>.NDXP251128C20180</stp>
        <tr r="V151" s="2"/>
      </tp>
      <tp t="e">
        <v>#N/A</v>
        <stp/>
        <stp>VOLUME</stp>
        <stp>.NDXP251031C19880</stp>
        <tr r="T166" s="2"/>
      </tp>
      <tp t="s">
        <v>N/A</v>
        <stp/>
        <stp>VOLUME</stp>
        <stp>.NDXP250829C20080</stp>
        <tr r="P156" s="2"/>
      </tp>
      <tp t="s">
        <v>N/A</v>
        <stp/>
        <stp>VOLUME</stp>
        <stp>.NDXP250930C19980</stp>
        <tr r="R161" s="2"/>
      </tp>
      <tp t="s">
        <v>N/A</v>
        <stp/>
        <stp>VOLUME</stp>
        <stp>.NDXP250630C19980</stp>
        <tr r="L161" s="2"/>
      </tp>
      <tp t="e">
        <v>#N/A</v>
        <stp/>
        <stp>VOLUME</stp>
        <stp>.NDXP250508C20180</stp>
        <tr r="E151" s="2"/>
      </tp>
      <tp t="s">
        <v>N/A</v>
        <stp/>
        <stp>VOLUME</stp>
        <stp>.NDXP250509C20080</stp>
        <tr r="BC155" s="1"/>
      </tp>
      <tp t="s">
        <v>N/A</v>
        <stp/>
        <stp>VOLUME</stp>
        <stp>.NDXP250731C19880</stp>
        <tr r="N166" s="2"/>
      </tp>
      <tp t="s">
        <v>N/A</v>
        <stp/>
        <stp>VOLUME</stp>
        <stp>.NDXP250530C19980</stp>
        <tr r="I161" s="2"/>
      </tp>
      <tp t="s">
        <v>N/A</v>
        <stp/>
        <stp>VOLUME</stp>
        <stp>.NDXP251231C19860</stp>
        <tr r="X167" s="2"/>
      </tp>
      <tp t="e">
        <v>#N/A</v>
        <stp/>
        <stp>VOLUME</stp>
        <stp>.NDXP251128C20160</stp>
        <tr r="V152" s="2"/>
      </tp>
      <tp t="e">
        <v>#N/A</v>
        <stp/>
        <stp>VOLUME</stp>
        <stp>.NDXP251031C19860</stp>
        <tr r="T167" s="2"/>
      </tp>
      <tp t="s">
        <v>N/A</v>
        <stp/>
        <stp>VOLUME</stp>
        <stp>.NDXP250829C20060</stp>
        <tr r="P157" s="2"/>
      </tp>
      <tp t="s">
        <v>N/A</v>
        <stp/>
        <stp>VOLUME</stp>
        <stp>.NDXP250930C19960</stp>
        <tr r="R162" s="2"/>
      </tp>
      <tp t="s">
        <v>N/A</v>
        <stp/>
        <stp>VOLUME</stp>
        <stp>.NDXP250630C19960</stp>
        <tr r="L162" s="2"/>
      </tp>
      <tp t="e">
        <v>#N/A</v>
        <stp/>
        <stp>VOLUME</stp>
        <stp>.NDXP250508C20160</stp>
        <tr r="E152" s="2"/>
      </tp>
      <tp t="s">
        <v>N/A</v>
        <stp/>
        <stp>VOLUME</stp>
        <stp>.NDXP250509C20060</stp>
        <tr r="BC156" s="1"/>
      </tp>
      <tp t="s">
        <v>N/A</v>
        <stp/>
        <stp>VOLUME</stp>
        <stp>.NDXP250731C19860</stp>
        <tr r="N167" s="2"/>
      </tp>
      <tp t="s">
        <v>N/A</v>
        <stp/>
        <stp>VOLUME</stp>
        <stp>.NDXP250530C19960</stp>
        <tr r="I162" s="2"/>
      </tp>
      <tp t="s">
        <v>N/A</v>
        <stp/>
        <stp>VOLUME</stp>
        <stp>.NDXP251231C19840</stp>
        <tr r="X168" s="2"/>
      </tp>
      <tp t="e">
        <v>#N/A</v>
        <stp/>
        <stp>VOLUME</stp>
        <stp>.NDXP251128C20140</stp>
        <tr r="V153" s="2"/>
      </tp>
      <tp t="e">
        <v>#N/A</v>
        <stp/>
        <stp>VOLUME</stp>
        <stp>.NDXP251031C19840</stp>
        <tr r="T168" s="2"/>
      </tp>
      <tp t="s">
        <v>N/A</v>
        <stp/>
        <stp>VOLUME</stp>
        <stp>.NDXP250829C20040</stp>
        <tr r="P158" s="2"/>
      </tp>
      <tp t="s">
        <v>N/A</v>
        <stp/>
        <stp>VOLUME</stp>
        <stp>.NDXP250930C19940</stp>
        <tr r="R163" s="2"/>
      </tp>
      <tp t="s">
        <v>N/A</v>
        <stp/>
        <stp>VOLUME</stp>
        <stp>.NDXP250630C19940</stp>
        <tr r="L163" s="2"/>
      </tp>
      <tp t="e">
        <v>#N/A</v>
        <stp/>
        <stp>VOLUME</stp>
        <stp>.NDXP250508C20140</stp>
        <tr r="E153" s="2"/>
      </tp>
      <tp t="s">
        <v>N/A</v>
        <stp/>
        <stp>VOLUME</stp>
        <stp>.NDXP250509C20040</stp>
        <tr r="BC157" s="1"/>
      </tp>
      <tp t="s">
        <v>N/A</v>
        <stp/>
        <stp>VOLUME</stp>
        <stp>.NDXP250731C19840</stp>
        <tr r="N168" s="2"/>
      </tp>
      <tp t="s">
        <v>N/A</v>
        <stp/>
        <stp>VOLUME</stp>
        <stp>.NDXP250530C19940</stp>
        <tr r="I163" s="2"/>
      </tp>
      <tp t="s">
        <v>N/A</v>
        <stp/>
        <stp>VOLUME</stp>
        <stp>.NDXP251231C19820</stp>
        <tr r="X169" s="2"/>
      </tp>
      <tp t="e">
        <v>#N/A</v>
        <stp/>
        <stp>VOLUME</stp>
        <stp>.NDXP251128C20120</stp>
        <tr r="V154" s="2"/>
      </tp>
      <tp t="e">
        <v>#N/A</v>
        <stp/>
        <stp>VOLUME</stp>
        <stp>.NDXP251031C19820</stp>
        <tr r="T169" s="2"/>
      </tp>
      <tp t="s">
        <v>N/A</v>
        <stp/>
        <stp>VOLUME</stp>
        <stp>.NDXP250829C20020</stp>
        <tr r="P159" s="2"/>
      </tp>
      <tp t="s">
        <v>N/A</v>
        <stp/>
        <stp>VOLUME</stp>
        <stp>.NDXP250930C19920</stp>
        <tr r="R164" s="2"/>
      </tp>
      <tp t="s">
        <v>N/A</v>
        <stp/>
        <stp>VOLUME</stp>
        <stp>.NDXP250630C19920</stp>
        <tr r="L164" s="2"/>
      </tp>
      <tp t="e">
        <v>#N/A</v>
        <stp/>
        <stp>VOLUME</stp>
        <stp>.NDXP250508C20120</stp>
        <tr r="E154" s="2"/>
      </tp>
      <tp t="s">
        <v>N/A</v>
        <stp/>
        <stp>VOLUME</stp>
        <stp>.NDXP250509C20020</stp>
        <tr r="BC158" s="1"/>
      </tp>
      <tp t="s">
        <v>N/A</v>
        <stp/>
        <stp>VOLUME</stp>
        <stp>.NDXP250731C19820</stp>
        <tr r="N169" s="2"/>
      </tp>
      <tp t="s">
        <v>N/A</v>
        <stp/>
        <stp>VOLUME</stp>
        <stp>.NDXP250530C19920</stp>
        <tr r="I164" s="2"/>
      </tp>
      <tp t="s">
        <v>N/A</v>
        <stp/>
        <stp>VOLUME</stp>
        <stp>.NDXP251231C19800</stp>
        <tr r="X170" s="2"/>
      </tp>
      <tp t="e">
        <v>#N/A</v>
        <stp/>
        <stp>VOLUME</stp>
        <stp>.NDXP251128C20100</stp>
        <tr r="V155" s="2"/>
      </tp>
      <tp t="e">
        <v>#N/A</v>
        <stp/>
        <stp>VOLUME</stp>
        <stp>.NDXP251031C19800</stp>
        <tr r="T170" s="2"/>
      </tp>
      <tp t="s">
        <v>N/A</v>
        <stp/>
        <stp>VOLUME</stp>
        <stp>.NDXP250829C20000</stp>
        <tr r="P160" s="2"/>
      </tp>
      <tp t="s">
        <v>N/A</v>
        <stp/>
        <stp>VOLUME</stp>
        <stp>.NDXP250930C19900</stp>
        <tr r="R165" s="2"/>
      </tp>
      <tp t="s">
        <v>N/A</v>
        <stp/>
        <stp>VOLUME</stp>
        <stp>.NDXP250630C19900</stp>
        <tr r="L165" s="2"/>
      </tp>
      <tp t="e">
        <v>#N/A</v>
        <stp/>
        <stp>VOLUME</stp>
        <stp>.NDXP250508C20100</stp>
        <tr r="E155" s="2"/>
      </tp>
      <tp>
        <v>7</v>
        <stp/>
        <stp>VOLUME</stp>
        <stp>.NDXP250509C20000</stp>
        <tr r="BC159" s="1"/>
        <tr r="BC159" s="1"/>
      </tp>
      <tp t="s">
        <v>N/A</v>
        <stp/>
        <stp>VOLUME</stp>
        <stp>.NDXP250731C19800</stp>
        <tr r="N170" s="2"/>
      </tp>
      <tp t="s">
        <v>N/A</v>
        <stp/>
        <stp>VOLUME</stp>
        <stp>.NDXP250530C19900</stp>
        <tr r="I165" s="2"/>
      </tp>
      <tp t="e">
        <v>#N/A</v>
        <stp/>
        <stp>VOLUME</stp>
        <stp>.SPXW250930C5780</stp>
        <tr r="R95" s="2"/>
      </tp>
      <tp t="e">
        <v>#N/A</v>
        <stp/>
        <stp>VOLUME</stp>
        <stp>.SPXW250829C5610</stp>
        <tr r="P112" s="2"/>
      </tp>
      <tp t="e">
        <v>#N/A</v>
        <stp/>
        <stp>VOLUME</stp>
        <stp>.SPXW250530C5780</stp>
        <tr r="I95" s="2"/>
      </tp>
      <tp t="e">
        <v>#N/A</v>
        <stp/>
        <stp>VOLUME</stp>
        <stp>.SPXW250731C5790</stp>
        <tr r="N94" s="2"/>
      </tp>
      <tp t="e">
        <v>#N/A</v>
        <stp/>
        <stp>VOLUME</stp>
        <stp>.SPXW250630C5780</stp>
        <tr r="L95" s="2"/>
      </tp>
      <tp t="e">
        <v>#N/A</v>
        <stp/>
        <stp>VOLUME</stp>
        <stp>.SPXW251128C5600</stp>
        <tr r="V113" s="2"/>
      </tp>
      <tp t="e">
        <v>#N/A</v>
        <stp/>
        <stp>VOLUME</stp>
        <stp>.SPXW251031C5790</stp>
        <tr r="T94" s="2"/>
      </tp>
      <tp t="e">
        <v>#N/A</v>
        <stp/>
        <stp>VOLUME</stp>
        <stp>.SPXW251231C5790</stp>
        <tr r="X94" s="2"/>
      </tp>
      <tp t="e">
        <v>#N/A</v>
        <stp/>
        <stp>VOLUME</stp>
        <stp>.SPXW251128P5600</stp>
        <tr r="V113" s="2"/>
      </tp>
      <tp t="e">
        <v>#N/A</v>
        <stp/>
        <stp>VOLUME</stp>
        <stp>.SPXW251031P5790</stp>
        <tr r="T94" s="2"/>
      </tp>
      <tp t="e">
        <v>#N/A</v>
        <stp/>
        <stp>VOLUME</stp>
        <stp>.SPXW251231P5790</stp>
        <tr r="X94" s="2"/>
      </tp>
      <tp t="e">
        <v>#N/A</v>
        <stp/>
        <stp>VOLUME</stp>
        <stp>.SPXW250930P5780</stp>
        <tr r="R95" s="2"/>
      </tp>
      <tp t="e">
        <v>#N/A</v>
        <stp/>
        <stp>VOLUME</stp>
        <stp>.SPXW250829P5610</stp>
        <tr r="P112" s="2"/>
      </tp>
      <tp t="e">
        <v>#N/A</v>
        <stp/>
        <stp>VOLUME</stp>
        <stp>.SPXW250530P5780</stp>
        <tr r="I95" s="2"/>
      </tp>
      <tp t="e">
        <v>#N/A</v>
        <stp/>
        <stp>VOLUME</stp>
        <stp>.SPXW250731P5790</stp>
        <tr r="N94" s="2"/>
      </tp>
      <tp t="e">
        <v>#N/A</v>
        <stp/>
        <stp>VOLUME</stp>
        <stp>.SPXW250630P5780</stp>
        <tr r="L95" s="2"/>
      </tp>
      <tp t="e">
        <v>#N/A</v>
        <stp/>
        <stp>VOLUME</stp>
        <stp>.SPXW250930C5790</stp>
        <tr r="R94" s="2"/>
      </tp>
      <tp t="e">
        <v>#N/A</v>
        <stp/>
        <stp>VOLUME</stp>
        <stp>.SPXW250829C5600</stp>
        <tr r="P113" s="2"/>
      </tp>
      <tp t="e">
        <v>#N/A</v>
        <stp/>
        <stp>VOLUME</stp>
        <stp>.SPXW250530C5790</stp>
        <tr r="I94" s="2"/>
      </tp>
      <tp t="e">
        <v>#N/A</v>
        <stp/>
        <stp>VOLUME</stp>
        <stp>.SPXW250731C5780</stp>
        <tr r="N95" s="2"/>
      </tp>
      <tp t="e">
        <v>#N/A</v>
        <stp/>
        <stp>VOLUME</stp>
        <stp>.SPXW250630C5790</stp>
        <tr r="L94" s="2"/>
      </tp>
      <tp t="e">
        <v>#N/A</v>
        <stp/>
        <stp>VOLUME</stp>
        <stp>.SPXW251128C5610</stp>
        <tr r="V112" s="2"/>
      </tp>
      <tp t="e">
        <v>#N/A</v>
        <stp/>
        <stp>VOLUME</stp>
        <stp>.SPXW251031C5780</stp>
        <tr r="T95" s="2"/>
      </tp>
      <tp t="e">
        <v>#N/A</v>
        <stp/>
        <stp>VOLUME</stp>
        <stp>.SPXW251231C5780</stp>
        <tr r="X95" s="2"/>
      </tp>
      <tp t="e">
        <v>#N/A</v>
        <stp/>
        <stp>VOLUME</stp>
        <stp>.SPXW251128P5610</stp>
        <tr r="V112" s="2"/>
      </tp>
      <tp t="e">
        <v>#N/A</v>
        <stp/>
        <stp>VOLUME</stp>
        <stp>.SPXW251031P5780</stp>
        <tr r="T95" s="2"/>
      </tp>
      <tp t="e">
        <v>#N/A</v>
        <stp/>
        <stp>VOLUME</stp>
        <stp>.SPXW251231P5780</stp>
        <tr r="X95" s="2"/>
      </tp>
      <tp t="e">
        <v>#N/A</v>
        <stp/>
        <stp>VOLUME</stp>
        <stp>.SPXW250930P5790</stp>
        <tr r="R94" s="2"/>
      </tp>
      <tp t="e">
        <v>#N/A</v>
        <stp/>
        <stp>VOLUME</stp>
        <stp>.SPXW250829P5600</stp>
        <tr r="P113" s="2"/>
      </tp>
      <tp t="e">
        <v>#N/A</v>
        <stp/>
        <stp>VOLUME</stp>
        <stp>.SPXW250530P5790</stp>
        <tr r="I94" s="2"/>
      </tp>
      <tp t="e">
        <v>#N/A</v>
        <stp/>
        <stp>VOLUME</stp>
        <stp>.SPXW250731P5780</stp>
        <tr r="N95" s="2"/>
      </tp>
      <tp t="e">
        <v>#N/A</v>
        <stp/>
        <stp>VOLUME</stp>
        <stp>.SPXW250630P5790</stp>
        <tr r="L94" s="2"/>
      </tp>
      <tp t="e">
        <v>#N/A</v>
        <stp/>
        <stp>VOLUME</stp>
        <stp>.SPXW250829C5630</stp>
        <tr r="P110" s="2"/>
      </tp>
      <tp t="e">
        <v>#N/A</v>
        <stp/>
        <stp>VOLUME</stp>
        <stp>.SPXW250502C5480</stp>
        <tr r="BA124" s="1"/>
        <tr r="BA124" s="1"/>
      </tp>
      <tp t="e">
        <v>#N/A</v>
        <stp/>
        <stp>VOLUME</stp>
        <stp>.SPXW250508C5420</stp>
        <tr r="E131" s="2"/>
      </tp>
      <tp t="e">
        <v>#N/A</v>
        <stp/>
        <stp>VOLUME</stp>
        <stp>.SPXW250509C5430</stp>
        <tr r="BC129" s="1"/>
        <tr r="BC129" s="1"/>
      </tp>
      <tp t="e">
        <v>#N/A</v>
        <stp/>
        <stp>VOLUME</stp>
        <stp>.SPXW251128C5620</stp>
        <tr r="V111" s="2"/>
      </tp>
      <tp t="e">
        <v>#N/A</v>
        <stp/>
        <stp>VOLUME</stp>
        <stp>.SPXW251128P5620</stp>
        <tr r="V111" s="2"/>
      </tp>
      <tp t="e">
        <v>#N/A</v>
        <stp/>
        <stp>VOLUME</stp>
        <stp>.SPXW250829P5630</stp>
        <tr r="P110" s="2"/>
      </tp>
      <tp t="e">
        <v>#N/A</v>
        <stp/>
        <stp>VOLUME</stp>
        <stp>.SPXW250502P5480</stp>
        <tr r="BB124" s="1"/>
        <tr r="BB124" s="1"/>
      </tp>
      <tp t="e">
        <v>#N/A</v>
        <stp/>
        <stp>VOLUME</stp>
        <stp>.SPXW250508P5420</stp>
        <tr r="E131" s="2"/>
      </tp>
      <tp t="e">
        <v>#N/A</v>
        <stp/>
        <stp>VOLUME</stp>
        <stp>.SPXW250509P5430</stp>
        <tr r="BD129" s="1"/>
        <tr r="BD129" s="1"/>
      </tp>
      <tp t="e">
        <v>#N/A</v>
        <stp/>
        <stp>VOLUME</stp>
        <stp>.SPXW250829C5620</stp>
        <tr r="P111" s="2"/>
      </tp>
      <tp t="e">
        <v>#N/A</v>
        <stp/>
        <stp>VOLUME</stp>
        <stp>.SPXW250502C5490</stp>
        <tr r="BA123" s="1"/>
        <tr r="BA123" s="1"/>
      </tp>
      <tp t="e">
        <v>#N/A</v>
        <stp/>
        <stp>VOLUME</stp>
        <stp>.SPXW250508C5430</stp>
        <tr r="E130" s="2"/>
      </tp>
      <tp t="e">
        <v>#N/A</v>
        <stp/>
        <stp>VOLUME</stp>
        <stp>.SPXW250509C5420</stp>
        <tr r="BC130" s="1"/>
        <tr r="BC130" s="1"/>
      </tp>
      <tp t="e">
        <v>#N/A</v>
        <stp/>
        <stp>VOLUME</stp>
        <stp>.SPXW251128C5630</stp>
        <tr r="V110" s="2"/>
      </tp>
      <tp t="e">
        <v>#N/A</v>
        <stp/>
        <stp>VOLUME</stp>
        <stp>.SPXW251128P5630</stp>
        <tr r="V110" s="2"/>
      </tp>
      <tp t="e">
        <v>#N/A</v>
        <stp/>
        <stp>VOLUME</stp>
        <stp>.SPXW250829P5620</stp>
        <tr r="P111" s="2"/>
      </tp>
      <tp t="e">
        <v>#N/A</v>
        <stp/>
        <stp>VOLUME</stp>
        <stp>.SPXW250502P5490</stp>
        <tr r="BB123" s="1"/>
        <tr r="BB123" s="1"/>
      </tp>
      <tp t="e">
        <v>#N/A</v>
        <stp/>
        <stp>VOLUME</stp>
        <stp>.SPXW250508P5430</stp>
        <tr r="E130" s="2"/>
      </tp>
      <tp t="e">
        <v>#N/A</v>
        <stp/>
        <stp>VOLUME</stp>
        <stp>.SPXW250509P5420</stp>
        <tr r="BD130" s="1"/>
        <tr r="BD130" s="1"/>
      </tp>
      <tp t="e">
        <v>#N/A</v>
        <stp/>
        <stp>VOLUME</stp>
        <stp>.QQQP488</stp>
        <tr r="G60" s="2"/>
        <tr r="F60" s="2"/>
      </tp>
      <tp t="e">
        <v>#N/A</v>
        <stp/>
        <stp>VOLUME</stp>
        <stp>.QQQC488</stp>
        <tr r="G60" s="2"/>
        <tr r="F60" s="2"/>
      </tp>
      <tp t="e">
        <v>#N/A</v>
        <stp/>
        <stp>VOLUME</stp>
        <stp>.QQQP489</stp>
        <tr r="G59" s="2"/>
        <tr r="F59" s="2"/>
      </tp>
      <tp t="e">
        <v>#N/A</v>
        <stp/>
        <stp>VOLUME</stp>
        <stp>.QQQC489</stp>
        <tr r="G59" s="2"/>
        <tr r="F59" s="2"/>
      </tp>
      <tp t="e">
        <v>#N/A</v>
        <stp/>
        <stp>VOLUME</stp>
        <stp>.QQQP484</stp>
        <tr r="G64" s="2"/>
        <tr r="F64" s="2"/>
      </tp>
      <tp t="e">
        <v>#N/A</v>
        <stp/>
        <stp>VOLUME</stp>
        <stp>.QQQC484</stp>
        <tr r="G64" s="2"/>
        <tr r="F64" s="2"/>
      </tp>
      <tp t="e">
        <v>#N/A</v>
        <stp/>
        <stp>VOLUME</stp>
        <stp>.QQQP485</stp>
        <tr r="G63" s="2"/>
        <tr r="F63" s="2"/>
      </tp>
      <tp t="e">
        <v>#N/A</v>
        <stp/>
        <stp>VOLUME</stp>
        <stp>.QQQC485</stp>
        <tr r="G63" s="2"/>
        <tr r="F63" s="2"/>
      </tp>
      <tp t="e">
        <v>#N/A</v>
        <stp/>
        <stp>VOLUME</stp>
        <stp>.QQQP486</stp>
        <tr r="F62" s="2"/>
        <tr r="G62" s="2"/>
      </tp>
      <tp t="e">
        <v>#N/A</v>
        <stp/>
        <stp>VOLUME</stp>
        <stp>.QQQC486</stp>
        <tr r="F62" s="2"/>
        <tr r="G62" s="2"/>
      </tp>
      <tp t="e">
        <v>#N/A</v>
        <stp/>
        <stp>VOLUME</stp>
        <stp>.QQQP487</stp>
        <tr r="G61" s="2"/>
        <tr r="F61" s="2"/>
      </tp>
      <tp t="e">
        <v>#N/A</v>
        <stp/>
        <stp>VOLUME</stp>
        <stp>.QQQC487</stp>
        <tr r="G61" s="2"/>
        <tr r="F61" s="2"/>
      </tp>
      <tp t="e">
        <v>#N/A</v>
        <stp/>
        <stp>VOLUME</stp>
        <stp>.QQQP480</stp>
        <tr r="F68" s="2"/>
        <tr r="G68" s="2"/>
      </tp>
      <tp t="e">
        <v>#N/A</v>
        <stp/>
        <stp>VOLUME</stp>
        <stp>.QQQC480</stp>
        <tr r="F68" s="2"/>
        <tr r="G68" s="2"/>
      </tp>
      <tp t="e">
        <v>#N/A</v>
        <stp/>
        <stp>VOLUME</stp>
        <stp>.QQQP481</stp>
        <tr r="F67" s="2"/>
        <tr r="G67" s="2"/>
      </tp>
      <tp t="e">
        <v>#N/A</v>
        <stp/>
        <stp>VOLUME</stp>
        <stp>.QQQC481</stp>
        <tr r="F67" s="2"/>
        <tr r="G67" s="2"/>
      </tp>
      <tp t="e">
        <v>#N/A</v>
        <stp/>
        <stp>VOLUME</stp>
        <stp>.QQQP482</stp>
        <tr r="F66" s="2"/>
        <tr r="G66" s="2"/>
      </tp>
      <tp t="e">
        <v>#N/A</v>
        <stp/>
        <stp>VOLUME</stp>
        <stp>.QQQC482</stp>
        <tr r="F66" s="2"/>
        <tr r="G66" s="2"/>
      </tp>
      <tp t="e">
        <v>#N/A</v>
        <stp/>
        <stp>VOLUME</stp>
        <stp>.QQQP483</stp>
        <tr r="F65" s="2"/>
        <tr r="G65" s="2"/>
      </tp>
      <tp t="e">
        <v>#N/A</v>
        <stp/>
        <stp>VOLUME</stp>
        <stp>.QQQC483</stp>
        <tr r="F65" s="2"/>
        <tr r="G65" s="2"/>
      </tp>
      <tp t="s">
        <v>N/A</v>
        <stp/>
        <stp>VOLUME</stp>
        <stp>.NDXP250829P20080</stp>
        <tr r="P156" s="2"/>
      </tp>
      <tp t="s">
        <v>N/A</v>
        <stp/>
        <stp>VOLUME</stp>
        <stp>.NDXP250930P19980</stp>
        <tr r="R161" s="2"/>
      </tp>
      <tp t="s">
        <v>N/A</v>
        <stp/>
        <stp>VOLUME</stp>
        <stp>.NDXP250630P19980</stp>
        <tr r="L161" s="2"/>
      </tp>
      <tp t="e">
        <v>#N/A</v>
        <stp/>
        <stp>VOLUME</stp>
        <stp>.NDXP250508P20180</stp>
        <tr r="E151" s="2"/>
      </tp>
      <tp t="s">
        <v>N/A</v>
        <stp/>
        <stp>VOLUME</stp>
        <stp>.NDXP250509P20080</stp>
        <tr r="BD155" s="1"/>
      </tp>
      <tp t="s">
        <v>N/A</v>
        <stp/>
        <stp>VOLUME</stp>
        <stp>.NDXP250731P19880</stp>
        <tr r="N166" s="2"/>
      </tp>
      <tp t="s">
        <v>N/A</v>
        <stp/>
        <stp>VOLUME</stp>
        <stp>.NDXP250530P19980</stp>
        <tr r="I161" s="2"/>
      </tp>
      <tp t="e">
        <v>#N/A</v>
        <stp/>
        <stp>VOLUME</stp>
        <stp>.SPXW250829C5650</stp>
        <tr r="P108" s="2"/>
      </tp>
      <tp t="e">
        <v>#N/A</v>
        <stp/>
        <stp>VOLUME</stp>
        <stp>.SPXW250505C5490</stp>
        <tr r="B124" s="2"/>
      </tp>
      <tp t="e">
        <v>#N/A</v>
        <stp/>
        <stp>VOLUME</stp>
        <stp>.SPXW250508C5440</stp>
        <tr r="E129" s="2"/>
      </tp>
      <tp t="e">
        <v>#N/A</v>
        <stp/>
        <stp>VOLUME</stp>
        <stp>.SPXW250509C5450</stp>
        <tr r="BC127" s="1"/>
        <tr r="BC127" s="1"/>
      </tp>
      <tp t="e">
        <v>#N/A</v>
        <stp/>
        <stp>VOLUME</stp>
        <stp>.SPXW251128C5640</stp>
        <tr r="V109" s="2"/>
      </tp>
      <tp t="e">
        <v>#N/A</v>
        <stp/>
        <stp>VOLUME</stp>
        <stp>.SPXW251128P5640</stp>
        <tr r="V109" s="2"/>
      </tp>
      <tp t="e">
        <v>#N/A</v>
        <stp/>
        <stp>VOLUME</stp>
        <stp>.SPXW250829P5650</stp>
        <tr r="P108" s="2"/>
      </tp>
      <tp t="e">
        <v>#N/A</v>
        <stp/>
        <stp>VOLUME</stp>
        <stp>.SPXW250505P5490</stp>
        <tr r="B124" s="2"/>
      </tp>
      <tp t="e">
        <v>#N/A</v>
        <stp/>
        <stp>VOLUME</stp>
        <stp>.SPXW250508P5440</stp>
        <tr r="E129" s="2"/>
      </tp>
      <tp t="e">
        <v>#N/A</v>
        <stp/>
        <stp>VOLUME</stp>
        <stp>.SPXW250509P5450</stp>
        <tr r="BD127" s="1"/>
        <tr r="BD127" s="1"/>
      </tp>
      <tp t="e">
        <v>#N/A</v>
        <stp/>
        <stp>VOLUME</stp>
        <stp>.QQQP498</stp>
        <tr r="G50" s="2"/>
        <tr r="F50" s="2"/>
      </tp>
      <tp t="e">
        <v>#N/A</v>
        <stp/>
        <stp>VOLUME</stp>
        <stp>.QQQC498</stp>
        <tr r="G50" s="2"/>
        <tr r="F50" s="2"/>
      </tp>
      <tp t="e">
        <v>#N/A</v>
        <stp/>
        <stp>VOLUME</stp>
        <stp>.QQQP499</stp>
        <tr r="G49" s="2"/>
        <tr r="F49" s="2"/>
      </tp>
      <tp t="e">
        <v>#N/A</v>
        <stp/>
        <stp>VOLUME</stp>
        <stp>.QQQC499</stp>
        <tr r="G49" s="2"/>
        <tr r="F49" s="2"/>
      </tp>
      <tp t="e">
        <v>#N/A</v>
        <stp/>
        <stp>VOLUME</stp>
        <stp>.QQQP494</stp>
        <tr r="G54" s="2"/>
        <tr r="F54" s="2"/>
      </tp>
      <tp t="e">
        <v>#N/A</v>
        <stp/>
        <stp>VOLUME</stp>
        <stp>.QQQC494</stp>
        <tr r="G54" s="2"/>
        <tr r="F54" s="2"/>
      </tp>
      <tp t="e">
        <v>#N/A</v>
        <stp/>
        <stp>VOLUME</stp>
        <stp>.QQQP495</stp>
        <tr r="G53" s="2"/>
        <tr r="F53" s="2"/>
      </tp>
      <tp t="e">
        <v>#N/A</v>
        <stp/>
        <stp>VOLUME</stp>
        <stp>.QQQC495</stp>
        <tr r="G53" s="2"/>
        <tr r="F53" s="2"/>
      </tp>
      <tp t="e">
        <v>#N/A</v>
        <stp/>
        <stp>VOLUME</stp>
        <stp>.QQQP496</stp>
        <tr r="G52" s="2"/>
        <tr r="F52" s="2"/>
      </tp>
      <tp t="e">
        <v>#N/A</v>
        <stp/>
        <stp>VOLUME</stp>
        <stp>.QQQC496</stp>
        <tr r="G52" s="2"/>
        <tr r="F52" s="2"/>
      </tp>
      <tp t="e">
        <v>#N/A</v>
        <stp/>
        <stp>VOLUME</stp>
        <stp>.QQQP497</stp>
        <tr r="G51" s="2"/>
        <tr r="F51" s="2"/>
      </tp>
      <tp t="e">
        <v>#N/A</v>
        <stp/>
        <stp>VOLUME</stp>
        <stp>.QQQC497</stp>
        <tr r="G51" s="2"/>
        <tr r="F51" s="2"/>
      </tp>
      <tp t="e">
        <v>#N/A</v>
        <stp/>
        <stp>VOLUME</stp>
        <stp>.QQQP490</stp>
        <tr r="F58" s="2"/>
        <tr r="G58" s="2"/>
      </tp>
      <tp t="e">
        <v>#N/A</v>
        <stp/>
        <stp>VOLUME</stp>
        <stp>.QQQC490</stp>
        <tr r="F58" s="2"/>
        <tr r="G58" s="2"/>
      </tp>
      <tp t="e">
        <v>#N/A</v>
        <stp/>
        <stp>VOLUME</stp>
        <stp>.QQQP491</stp>
        <tr r="G57" s="2"/>
        <tr r="F57" s="2"/>
      </tp>
      <tp t="e">
        <v>#N/A</v>
        <stp/>
        <stp>VOLUME</stp>
        <stp>.QQQC491</stp>
        <tr r="G57" s="2"/>
        <tr r="F57" s="2"/>
      </tp>
      <tp t="e">
        <v>#N/A</v>
        <stp/>
        <stp>VOLUME</stp>
        <stp>.QQQP492</stp>
        <tr r="F56" s="2"/>
        <tr r="G56" s="2"/>
      </tp>
      <tp t="e">
        <v>#N/A</v>
        <stp/>
        <stp>VOLUME</stp>
        <stp>.QQQC492</stp>
        <tr r="F56" s="2"/>
        <tr r="G56" s="2"/>
      </tp>
      <tp t="e">
        <v>#N/A</v>
        <stp/>
        <stp>VOLUME</stp>
        <stp>.QQQP493</stp>
        <tr r="F55" s="2"/>
        <tr r="G55" s="2"/>
      </tp>
      <tp t="e">
        <v>#N/A</v>
        <stp/>
        <stp>VOLUME</stp>
        <stp>.QQQC493</stp>
        <tr r="F55" s="2"/>
        <tr r="G55" s="2"/>
      </tp>
      <tp t="s">
        <v>N/A</v>
        <stp/>
        <stp>VOLUME</stp>
        <stp>.NDXP251231P19880</stp>
        <tr r="X166" s="2"/>
      </tp>
      <tp t="e">
        <v>#N/A</v>
        <stp/>
        <stp>VOLUME</stp>
        <stp>.NDXP251128P20180</stp>
        <tr r="V151" s="2"/>
      </tp>
      <tp t="e">
        <v>#N/A</v>
        <stp/>
        <stp>VOLUME</stp>
        <stp>.NDXP251031P19880</stp>
        <tr r="T166" s="2"/>
      </tp>
      <tp t="e">
        <v>#N/A</v>
        <stp/>
        <stp>VOLUME</stp>
        <stp>.SPXW250829C5640</stp>
        <tr r="P109" s="2"/>
      </tp>
      <tp t="e">
        <v>#N/A</v>
        <stp/>
        <stp>VOLUME</stp>
        <stp>.SPXW250505C5480</stp>
        <tr r="B125" s="2"/>
      </tp>
      <tp t="e">
        <v>#N/A</v>
        <stp/>
        <stp>VOLUME</stp>
        <stp>.SPXW250508C5450</stp>
        <tr r="E128" s="2"/>
      </tp>
      <tp t="e">
        <v>#N/A</v>
        <stp/>
        <stp>VOLUME</stp>
        <stp>.SPXW250509C5440</stp>
        <tr r="BC128" s="1"/>
      </tp>
      <tp t="e">
        <v>#N/A</v>
        <stp/>
        <stp>VOLUME</stp>
        <stp>.SPXW251128C5650</stp>
        <tr r="V108" s="2"/>
      </tp>
      <tp t="e">
        <v>#N/A</v>
        <stp/>
        <stp>VOLUME</stp>
        <stp>.SPXW251128P5650</stp>
        <tr r="V108" s="2"/>
      </tp>
      <tp t="e">
        <v>#N/A</v>
        <stp/>
        <stp>VOLUME</stp>
        <stp>.SPXW250829P5640</stp>
        <tr r="P109" s="2"/>
      </tp>
      <tp t="e">
        <v>#N/A</v>
        <stp/>
        <stp>VOLUME</stp>
        <stp>.SPXW250505P5480</stp>
        <tr r="B125" s="2"/>
      </tp>
      <tp t="e">
        <v>#N/A</v>
        <stp/>
        <stp>VOLUME</stp>
        <stp>.SPXW250508P5450</stp>
        <tr r="E128" s="2"/>
      </tp>
      <tp t="e">
        <v>#N/A</v>
        <stp/>
        <stp>VOLUME</stp>
        <stp>.SPXW250509P5440</stp>
        <tr r="BD128" s="1"/>
        <tr r="BD128" s="1"/>
      </tp>
      <tp t="e">
        <v>#N/A</v>
        <stp/>
        <stp>VOLUME</stp>
        <stp>.SPXW250829C5670</stp>
        <tr r="P106" s="2"/>
      </tp>
      <tp t="e">
        <v>#N/A</v>
        <stp/>
        <stp>VOLUME</stp>
        <stp>.SPXW250506C5480</stp>
        <tr r="C125" s="2"/>
      </tp>
      <tp t="e">
        <v>#N/A</v>
        <stp/>
        <stp>VOLUME</stp>
        <stp>.SPXW250507C5490</stp>
        <tr r="D124" s="2"/>
      </tp>
      <tp t="e">
        <v>#N/A</v>
        <stp/>
        <stp>VOLUME</stp>
        <stp>.SPXW250508C5460</stp>
        <tr r="E127" s="2"/>
      </tp>
      <tp t="e">
        <v>#N/A</v>
        <stp/>
        <stp>VOLUME</stp>
        <stp>.SPXW250509C5470</stp>
        <tr r="BC125" s="1"/>
        <tr r="BC125" s="1"/>
      </tp>
      <tp t="e">
        <v>#N/A</v>
        <stp/>
        <stp>VOLUME</stp>
        <stp>.SPXW250516C5580</stp>
        <tr r="BE114" s="1"/>
        <tr r="BE114" s="1"/>
      </tp>
      <tp t="e">
        <v>#N/A</v>
        <stp/>
        <stp>VOLUME</stp>
        <stp>.SPXW250606C5480</stp>
        <tr r="J125" s="2"/>
      </tp>
      <tp t="e">
        <v>#N/A</v>
        <stp/>
        <stp>VOLUME</stp>
        <stp>.SPXW251128C5660</stp>
        <tr r="V107" s="2"/>
      </tp>
      <tp t="e">
        <v>#N/A</v>
        <stp/>
        <stp>VOLUME</stp>
        <stp>.SPXW251128P5660</stp>
        <tr r="V107" s="2"/>
      </tp>
      <tp t="e">
        <v>#N/A</v>
        <stp/>
        <stp>VOLUME</stp>
        <stp>.SPXW250829P5670</stp>
        <tr r="P106" s="2"/>
      </tp>
      <tp t="e">
        <v>#N/A</v>
        <stp/>
        <stp>VOLUME</stp>
        <stp>.SPXW250506P5480</stp>
        <tr r="C125" s="2"/>
      </tp>
      <tp t="e">
        <v>#N/A</v>
        <stp/>
        <stp>VOLUME</stp>
        <stp>.SPXW250507P5490</stp>
        <tr r="D124" s="2"/>
      </tp>
      <tp t="e">
        <v>#N/A</v>
        <stp/>
        <stp>VOLUME</stp>
        <stp>.SPXW250508P5460</stp>
        <tr r="E127" s="2"/>
      </tp>
      <tp t="e">
        <v>#N/A</v>
        <stp/>
        <stp>VOLUME</stp>
        <stp>.SPXW250509P5470</stp>
        <tr r="BD125" s="1"/>
        <tr r="BD125" s="1"/>
      </tp>
      <tp t="e">
        <v>#N/A</v>
        <stp/>
        <stp>VOLUME</stp>
        <stp>.SPXW250516P5580</stp>
        <tr r="BF114" s="1"/>
        <tr r="BF114" s="1"/>
      </tp>
      <tp t="e">
        <v>#N/A</v>
        <stp/>
        <stp>VOLUME</stp>
        <stp>.SPXW250606P5480</stp>
        <tr r="J125" s="2"/>
      </tp>
      <tp t="e">
        <v>#N/A</v>
        <stp/>
        <stp>VOLUME</stp>
        <stp>.SPXW250829C5660</stp>
        <tr r="P107" s="2"/>
      </tp>
      <tp t="e">
        <v>#N/A</v>
        <stp/>
        <stp>VOLUME</stp>
        <stp>.SPXW250506C5490</stp>
        <tr r="C124" s="2"/>
      </tp>
      <tp t="e">
        <v>#N/A</v>
        <stp/>
        <stp>VOLUME</stp>
        <stp>.SPXW250507C5480</stp>
        <tr r="D125" s="2"/>
      </tp>
      <tp t="e">
        <v>#N/A</v>
        <stp/>
        <stp>VOLUME</stp>
        <stp>.SPXW250508C5470</stp>
        <tr r="E126" s="2"/>
      </tp>
      <tp t="e">
        <v>#N/A</v>
        <stp/>
        <stp>VOLUME</stp>
        <stp>.SPXW250509C5460</stp>
        <tr r="BC126" s="1"/>
        <tr r="BC126" s="1"/>
      </tp>
      <tp t="e">
        <v>#N/A</v>
        <stp/>
        <stp>VOLUME</stp>
        <stp>.SPXW250516C5590</stp>
        <tr r="BE113" s="1"/>
        <tr r="BE113" s="1"/>
      </tp>
      <tp t="e">
        <v>#N/A</v>
        <stp/>
        <stp>VOLUME</stp>
        <stp>.SPXW250606C5490</stp>
        <tr r="J124" s="2"/>
      </tp>
      <tp t="e">
        <v>#N/A</v>
        <stp/>
        <stp>VOLUME</stp>
        <stp>.SPXW251128C5670</stp>
        <tr r="V106" s="2"/>
      </tp>
      <tp t="e">
        <v>#N/A</v>
        <stp/>
        <stp>VOLUME</stp>
        <stp>.SPXW251128P5670</stp>
        <tr r="V106" s="2"/>
      </tp>
      <tp t="e">
        <v>#N/A</v>
        <stp/>
        <stp>VOLUME</stp>
        <stp>.SPXW250829P5660</stp>
        <tr r="P107" s="2"/>
      </tp>
      <tp t="e">
        <v>#N/A</v>
        <stp/>
        <stp>VOLUME</stp>
        <stp>.SPXW250506P5490</stp>
        <tr r="C124" s="2"/>
      </tp>
      <tp t="e">
        <v>#N/A</v>
        <stp/>
        <stp>VOLUME</stp>
        <stp>.SPXW250507P5480</stp>
        <tr r="D125" s="2"/>
      </tp>
      <tp t="e">
        <v>#N/A</v>
        <stp/>
        <stp>VOLUME</stp>
        <stp>.SPXW250508P5470</stp>
        <tr r="E126" s="2"/>
      </tp>
      <tp t="e">
        <v>#N/A</v>
        <stp/>
        <stp>VOLUME</stp>
        <stp>.SPXW250509P5460</stp>
        <tr r="BD126" s="1"/>
        <tr r="BD126" s="1"/>
      </tp>
      <tp t="e">
        <v>#N/A</v>
        <stp/>
        <stp>VOLUME</stp>
        <stp>.SPXW250516P5590</stp>
        <tr r="BF113" s="1"/>
        <tr r="BF113" s="1"/>
      </tp>
      <tp t="e">
        <v>#N/A</v>
        <stp/>
        <stp>VOLUME</stp>
        <stp>.SPXW250606P5490</stp>
        <tr r="J124" s="2"/>
      </tp>
      <tp t="s">
        <v>N/A</v>
        <stp/>
        <stp>VOLUME</stp>
        <stp>.NDXP250829P20040</stp>
        <tr r="P158" s="2"/>
      </tp>
      <tp t="s">
        <v>N/A</v>
        <stp/>
        <stp>VOLUME</stp>
        <stp>.NDXP250930P19940</stp>
        <tr r="R163" s="2"/>
      </tp>
      <tp t="s">
        <v>N/A</v>
        <stp/>
        <stp>VOLUME</stp>
        <stp>.NDXP250630P19940</stp>
        <tr r="L163" s="2"/>
      </tp>
      <tp t="e">
        <v>#N/A</v>
        <stp/>
        <stp>VOLUME</stp>
        <stp>.NDXP250508P20140</stp>
        <tr r="E153" s="2"/>
      </tp>
      <tp t="s">
        <v>N/A</v>
        <stp/>
        <stp>VOLUME</stp>
        <stp>.NDXP250509P20040</stp>
        <tr r="BD157" s="1"/>
      </tp>
      <tp t="s">
        <v>N/A</v>
        <stp/>
        <stp>VOLUME</stp>
        <stp>.NDXP250731P19840</stp>
        <tr r="N168" s="2"/>
      </tp>
      <tp t="s">
        <v>N/A</v>
        <stp/>
        <stp>VOLUME</stp>
        <stp>.NDXP250530P19940</stp>
        <tr r="I163" s="2"/>
      </tp>
      <tp t="e">
        <v>#N/A</v>
        <stp/>
        <stp>VOLUME</stp>
        <stp>.SPXW250930C5700</stp>
        <tr r="R103" s="2"/>
      </tp>
      <tp t="e">
        <v>#N/A</v>
        <stp/>
        <stp>VOLUME</stp>
        <stp>.SPXW250829C5690</stp>
        <tr r="P104" s="2"/>
      </tp>
      <tp t="e">
        <v>#N/A</v>
        <stp/>
        <stp>VOLUME</stp>
        <stp>.SPXW250502C5420</stp>
        <tr r="BA130" s="1"/>
        <tr r="BA130" s="1"/>
      </tp>
      <tp t="e">
        <v>#N/A</v>
        <stp/>
        <stp>VOLUME</stp>
        <stp>.SPXW250505C5450</stp>
        <tr r="B128" s="2"/>
      </tp>
      <tp t="e">
        <v>#N/A</v>
        <stp/>
        <stp>VOLUME</stp>
        <stp>.SPXW250506C5460</stp>
        <tr r="C127" s="2"/>
      </tp>
      <tp t="e">
        <v>#N/A</v>
        <stp/>
        <stp>VOLUME</stp>
        <stp>.SPXW250507C5470</stp>
        <tr r="D126" s="2"/>
      </tp>
      <tp t="e">
        <v>#N/A</v>
        <stp/>
        <stp>VOLUME</stp>
        <stp>.SPXW250508C5480</stp>
        <tr r="E125" s="2"/>
      </tp>
      <tp t="e">
        <v>#N/A</v>
        <stp/>
        <stp>VOLUME</stp>
        <stp>.SPXW250509C5490</stp>
        <tr r="BC123" s="1"/>
        <tr r="BC123" s="1"/>
      </tp>
      <tp t="e">
        <v>#N/A</v>
        <stp/>
        <stp>VOLUME</stp>
        <stp>.SPXW250516C5560</stp>
        <tr r="BE116" s="1"/>
        <tr r="BE116" s="1"/>
      </tp>
      <tp t="e">
        <v>#N/A</v>
        <stp/>
        <stp>VOLUME</stp>
        <stp>.SPXW250530C5700</stp>
        <tr r="I103" s="2"/>
      </tp>
      <tp t="e">
        <v>#N/A</v>
        <stp/>
        <stp>VOLUME</stp>
        <stp>.SPXW250731C5710</stp>
        <tr r="N102" s="2"/>
      </tp>
      <tp t="e">
        <v>#N/A</v>
        <stp/>
        <stp>VOLUME</stp>
        <stp>.SPXW250606C5460</stp>
        <tr r="J127" s="2"/>
      </tp>
      <tp t="e">
        <v>#N/A</v>
        <stp/>
        <stp>VOLUME</stp>
        <stp>.SPXW250630C5700</stp>
        <tr r="L103" s="2"/>
      </tp>
      <tp t="e">
        <v>#N/A</v>
        <stp/>
        <stp>VOLUME</stp>
        <stp>.SPXW251128C5680</stp>
        <tr r="V105" s="2"/>
      </tp>
      <tp t="e">
        <v>#N/A</v>
        <stp/>
        <stp>VOLUME</stp>
        <stp>.SPXW251031C5710</stp>
        <tr r="T102" s="2"/>
      </tp>
      <tp t="e">
        <v>#N/A</v>
        <stp/>
        <stp>VOLUME</stp>
        <stp>.SPXW251231C5710</stp>
        <tr r="X102" s="2"/>
      </tp>
      <tp t="e">
        <v>#N/A</v>
        <stp/>
        <stp>VOLUME</stp>
        <stp>.SPXW251128P5680</stp>
        <tr r="V105" s="2"/>
      </tp>
      <tp t="e">
        <v>#N/A</v>
        <stp/>
        <stp>VOLUME</stp>
        <stp>.SPXW251031P5710</stp>
        <tr r="T102" s="2"/>
      </tp>
      <tp t="e">
        <v>#N/A</v>
        <stp/>
        <stp>VOLUME</stp>
        <stp>.SPXW251231P5710</stp>
        <tr r="X102" s="2"/>
      </tp>
      <tp t="e">
        <v>#N/A</v>
        <stp/>
        <stp>VOLUME</stp>
        <stp>.SPXW250930P5700</stp>
        <tr r="R103" s="2"/>
      </tp>
      <tp t="e">
        <v>#N/A</v>
        <stp/>
        <stp>VOLUME</stp>
        <stp>.SPXW250829P5690</stp>
        <tr r="P104" s="2"/>
      </tp>
      <tp t="e">
        <v>#N/A</v>
        <stp/>
        <stp>VOLUME</stp>
        <stp>.SPXW250502P5420</stp>
        <tr r="BB130" s="1"/>
        <tr r="BB130" s="1"/>
      </tp>
      <tp t="e">
        <v>#N/A</v>
        <stp/>
        <stp>VOLUME</stp>
        <stp>.SPXW250505P5450</stp>
        <tr r="B128" s="2"/>
      </tp>
      <tp t="e">
        <v>#N/A</v>
        <stp/>
        <stp>VOLUME</stp>
        <stp>.SPXW250506P5460</stp>
        <tr r="C127" s="2"/>
      </tp>
      <tp t="e">
        <v>#N/A</v>
        <stp/>
        <stp>VOLUME</stp>
        <stp>.SPXW250507P5470</stp>
        <tr r="D126" s="2"/>
      </tp>
      <tp t="e">
        <v>#N/A</v>
        <stp/>
        <stp>VOLUME</stp>
        <stp>.SPXW250508P5480</stp>
        <tr r="E125" s="2"/>
      </tp>
      <tp t="e">
        <v>#N/A</v>
        <stp/>
        <stp>VOLUME</stp>
        <stp>.SPXW250509P5490</stp>
        <tr r="BD123" s="1"/>
        <tr r="BD123" s="1"/>
      </tp>
      <tp t="e">
        <v>#N/A</v>
        <stp/>
        <stp>VOLUME</stp>
        <stp>.SPXW250516P5560</stp>
        <tr r="BF116" s="1"/>
        <tr r="BF116" s="1"/>
      </tp>
      <tp t="e">
        <v>#N/A</v>
        <stp/>
        <stp>VOLUME</stp>
        <stp>.SPXW250530P5700</stp>
        <tr r="I103" s="2"/>
      </tp>
      <tp t="e">
        <v>#N/A</v>
        <stp/>
        <stp>VOLUME</stp>
        <stp>.SPXW250731P5710</stp>
        <tr r="N102" s="2"/>
      </tp>
      <tp t="e">
        <v>#N/A</v>
        <stp/>
        <stp>VOLUME</stp>
        <stp>.SPXW250606P5460</stp>
        <tr r="J127" s="2"/>
      </tp>
      <tp t="e">
        <v>#N/A</v>
        <stp/>
        <stp>VOLUME</stp>
        <stp>.SPXW250630P5700</stp>
        <tr r="L103" s="2"/>
      </tp>
      <tp t="s">
        <v>N/A</v>
        <stp/>
        <stp>VOLUME</stp>
        <stp>.NDXP251231P19840</stp>
        <tr r="X168" s="2"/>
      </tp>
      <tp t="e">
        <v>#N/A</v>
        <stp/>
        <stp>VOLUME</stp>
        <stp>.NDXP251128P20140</stp>
        <tr r="V153" s="2"/>
      </tp>
      <tp t="e">
        <v>#N/A</v>
        <stp/>
        <stp>VOLUME</stp>
        <stp>.NDXP251031P19840</stp>
        <tr r="T168" s="2"/>
      </tp>
      <tp t="e">
        <v>#N/A</v>
        <stp/>
        <stp>VOLUME</stp>
        <stp>.SPXW250930C5710</stp>
        <tr r="R102" s="2"/>
      </tp>
      <tp t="e">
        <v>#N/A</v>
        <stp/>
        <stp>VOLUME</stp>
        <stp>.SPXW250829C5680</stp>
        <tr r="P105" s="2"/>
      </tp>
      <tp t="e">
        <v>#N/A</v>
        <stp/>
        <stp>VOLUME</stp>
        <stp>.SPXW250502C5430</stp>
        <tr r="BA129" s="1"/>
        <tr r="BA129" s="1"/>
      </tp>
      <tp t="e">
        <v>#N/A</v>
        <stp/>
        <stp>VOLUME</stp>
        <stp>.SPXW250505C5440</stp>
        <tr r="B129" s="2"/>
      </tp>
      <tp t="e">
        <v>#N/A</v>
        <stp/>
        <stp>VOLUME</stp>
        <stp>.SPXW250506C5470</stp>
        <tr r="C126" s="2"/>
      </tp>
      <tp t="e">
        <v>#N/A</v>
        <stp/>
        <stp>VOLUME</stp>
        <stp>.SPXW250507C5460</stp>
        <tr r="D127" s="2"/>
      </tp>
      <tp t="e">
        <v>#N/A</v>
        <stp/>
        <stp>VOLUME</stp>
        <stp>.SPXW250508C5490</stp>
        <tr r="E124" s="2"/>
      </tp>
      <tp t="e">
        <v>#N/A</v>
        <stp/>
        <stp>VOLUME</stp>
        <stp>.SPXW250509C5480</stp>
        <tr r="BC124" s="1"/>
        <tr r="BC124" s="1"/>
      </tp>
      <tp t="e">
        <v>#N/A</v>
        <stp/>
        <stp>VOLUME</stp>
        <stp>.SPXW250516C5570</stp>
        <tr r="BE115" s="1"/>
        <tr r="BE115" s="1"/>
      </tp>
      <tp t="e">
        <v>#N/A</v>
        <stp/>
        <stp>VOLUME</stp>
        <stp>.SPXW250530C5710</stp>
        <tr r="I102" s="2"/>
      </tp>
      <tp t="e">
        <v>#N/A</v>
        <stp/>
        <stp>VOLUME</stp>
        <stp>.SPXW250731C5700</stp>
        <tr r="N103" s="2"/>
      </tp>
      <tp t="e">
        <v>#N/A</v>
        <stp/>
        <stp>VOLUME</stp>
        <stp>.SPXW250606C5470</stp>
        <tr r="J126" s="2"/>
      </tp>
      <tp t="e">
        <v>#N/A</v>
        <stp/>
        <stp>VOLUME</stp>
        <stp>.SPXW250630C5710</stp>
        <tr r="L102" s="2"/>
      </tp>
      <tp t="e">
        <v>#N/A</v>
        <stp/>
        <stp>VOLUME</stp>
        <stp>.SPXW251128C5690</stp>
        <tr r="V104" s="2"/>
      </tp>
      <tp t="e">
        <v>#N/A</v>
        <stp/>
        <stp>VOLUME</stp>
        <stp>.SPXW251031C5700</stp>
        <tr r="T103" s="2"/>
      </tp>
      <tp t="e">
        <v>#N/A</v>
        <stp/>
        <stp>VOLUME</stp>
        <stp>.SPXW251231C5700</stp>
        <tr r="X103" s="2"/>
      </tp>
      <tp t="e">
        <v>#N/A</v>
        <stp/>
        <stp>VOLUME</stp>
        <stp>.SPXW251128P5690</stp>
        <tr r="V104" s="2"/>
      </tp>
      <tp t="e">
        <v>#N/A</v>
        <stp/>
        <stp>VOLUME</stp>
        <stp>.SPXW251031P5700</stp>
        <tr r="T103" s="2"/>
      </tp>
      <tp t="e">
        <v>#N/A</v>
        <stp/>
        <stp>VOLUME</stp>
        <stp>.SPXW251231P5700</stp>
        <tr r="X103" s="2"/>
      </tp>
      <tp t="e">
        <v>#N/A</v>
        <stp/>
        <stp>VOLUME</stp>
        <stp>.SPXW250930P5710</stp>
        <tr r="R102" s="2"/>
      </tp>
      <tp t="e">
        <v>#N/A</v>
        <stp/>
        <stp>VOLUME</stp>
        <stp>.SPXW250829P5680</stp>
        <tr r="P105" s="2"/>
      </tp>
      <tp t="e">
        <v>#N/A</v>
        <stp/>
        <stp>VOLUME</stp>
        <stp>.SPXW250502P5430</stp>
        <tr r="BB129" s="1"/>
        <tr r="BB129" s="1"/>
      </tp>
      <tp t="e">
        <v>#N/A</v>
        <stp/>
        <stp>VOLUME</stp>
        <stp>.SPXW250505P5440</stp>
        <tr r="B129" s="2"/>
      </tp>
      <tp t="e">
        <v>#N/A</v>
        <stp/>
        <stp>VOLUME</stp>
        <stp>.SPXW250506P5470</stp>
        <tr r="C126" s="2"/>
      </tp>
      <tp t="e">
        <v>#N/A</v>
        <stp/>
        <stp>VOLUME</stp>
        <stp>.SPXW250507P5460</stp>
        <tr r="D127" s="2"/>
      </tp>
      <tp t="e">
        <v>#N/A</v>
        <stp/>
        <stp>VOLUME</stp>
        <stp>.SPXW250508P5490</stp>
        <tr r="E124" s="2"/>
      </tp>
      <tp t="e">
        <v>#N/A</v>
        <stp/>
        <stp>VOLUME</stp>
        <stp>.SPXW250509P5480</stp>
        <tr r="BD124" s="1"/>
        <tr r="BD124" s="1"/>
      </tp>
      <tp t="e">
        <v>#N/A</v>
        <stp/>
        <stp>VOLUME</stp>
        <stp>.SPXW250516P5570</stp>
        <tr r="BF115" s="1"/>
        <tr r="BF115" s="1"/>
      </tp>
      <tp t="e">
        <v>#N/A</v>
        <stp/>
        <stp>VOLUME</stp>
        <stp>.SPXW250530P5710</stp>
        <tr r="I102" s="2"/>
      </tp>
      <tp t="e">
        <v>#N/A</v>
        <stp/>
        <stp>VOLUME</stp>
        <stp>.SPXW250731P5700</stp>
        <tr r="N103" s="2"/>
      </tp>
      <tp t="e">
        <v>#N/A</v>
        <stp/>
        <stp>VOLUME</stp>
        <stp>.SPXW250606P5470</stp>
        <tr r="J126" s="2"/>
      </tp>
      <tp t="e">
        <v>#N/A</v>
        <stp/>
        <stp>VOLUME</stp>
        <stp>.SPXW250630P5710</stp>
        <tr r="L102" s="2"/>
      </tp>
      <tp t="e">
        <v>#N/A</v>
        <stp/>
        <stp>VOLUME</stp>
        <stp>.QQQP468</stp>
        <tr r="G80" s="2"/>
        <tr r="F80" s="2"/>
      </tp>
      <tp t="e">
        <v>#N/A</v>
        <stp/>
        <stp>VOLUME</stp>
        <stp>.QQQC468</stp>
        <tr r="G80" s="2"/>
        <tr r="F80" s="2"/>
      </tp>
      <tp t="e">
        <v>#N/A</v>
        <stp/>
        <stp>VOLUME</stp>
        <stp>.QQQP469</stp>
        <tr r="G79" s="2"/>
        <tr r="F79" s="2"/>
      </tp>
      <tp t="e">
        <v>#N/A</v>
        <stp/>
        <stp>VOLUME</stp>
        <stp>.QQQC469</stp>
        <tr r="G79" s="2"/>
        <tr r="F79" s="2"/>
      </tp>
      <tp t="s">
        <v>N/A</v>
        <stp/>
        <stp>VOLUME</stp>
        <stp>.NDXP250829P20060</stp>
        <tr r="P157" s="2"/>
      </tp>
      <tp t="s">
        <v>N/A</v>
        <stp/>
        <stp>VOLUME</stp>
        <stp>.NDXP250930P19960</stp>
        <tr r="R162" s="2"/>
      </tp>
      <tp t="s">
        <v>N/A</v>
        <stp/>
        <stp>VOLUME</stp>
        <stp>.NDXP250630P19960</stp>
        <tr r="L162" s="2"/>
      </tp>
      <tp t="e">
        <v>#N/A</v>
        <stp/>
        <stp>VOLUME</stp>
        <stp>.NDXP250508P20160</stp>
        <tr r="E152" s="2"/>
      </tp>
      <tp t="s">
        <v>N/A</v>
        <stp/>
        <stp>VOLUME</stp>
        <stp>.NDXP250509P20060</stp>
        <tr r="BD156" s="1"/>
      </tp>
      <tp t="s">
        <v>N/A</v>
        <stp/>
        <stp>VOLUME</stp>
        <stp>.NDXP250731P19860</stp>
        <tr r="N167" s="2"/>
      </tp>
      <tp t="s">
        <v>N/A</v>
        <stp/>
        <stp>VOLUME</stp>
        <stp>.NDXP250530P19960</stp>
        <tr r="I162" s="2"/>
      </tp>
      <tp t="e">
        <v>#N/A</v>
        <stp/>
        <stp>VOLUME</stp>
        <stp>.SPXW250930C5720</stp>
        <tr r="R101" s="2"/>
      </tp>
      <tp t="e">
        <v>#N/A</v>
        <stp/>
        <stp>VOLUME</stp>
        <stp>.SPXW250505C5470</stp>
        <tr r="B126" s="2"/>
      </tp>
      <tp t="e">
        <v>#N/A</v>
        <stp/>
        <stp>VOLUME</stp>
        <stp>.SPXW250506C5440</stp>
        <tr r="C129" s="2"/>
      </tp>
      <tp t="e">
        <v>#N/A</v>
        <stp/>
        <stp>VOLUME</stp>
        <stp>.SPXW250507C5450</stp>
        <tr r="D128" s="2"/>
      </tp>
      <tp t="e">
        <v>#N/A</v>
        <stp/>
        <stp>VOLUME</stp>
        <stp>.SPXW250516C5540</stp>
        <tr r="BE118" s="1"/>
        <tr r="BE118" s="1"/>
      </tp>
      <tp t="e">
        <v>#N/A</v>
        <stp/>
        <stp>VOLUME</stp>
        <stp>.SPXW250530C5720</stp>
        <tr r="I101" s="2"/>
      </tp>
      <tp t="e">
        <v>#N/A</v>
        <stp/>
        <stp>VOLUME</stp>
        <stp>.SPXW250731C5730</stp>
        <tr r="N100" s="2"/>
      </tp>
      <tp t="e">
        <v>#N/A</v>
        <stp/>
        <stp>VOLUME</stp>
        <stp>.SPXW250606C5440</stp>
        <tr r="J129" s="2"/>
      </tp>
      <tp t="e">
        <v>#N/A</v>
        <stp/>
        <stp>VOLUME</stp>
        <stp>.SPXW250630C5720</stp>
        <tr r="L101" s="2"/>
      </tp>
      <tp t="e">
        <v>#N/A</v>
        <stp/>
        <stp>VOLUME</stp>
        <stp>.SPXW251031C5730</stp>
        <tr r="T100" s="2"/>
      </tp>
      <tp t="e">
        <v>#N/A</v>
        <stp/>
        <stp>VOLUME</stp>
        <stp>.SPXW251231C5730</stp>
        <tr r="X100" s="2"/>
      </tp>
      <tp t="e">
        <v>#N/A</v>
        <stp/>
        <stp>VOLUME</stp>
        <stp>.SPXW251031P5730</stp>
        <tr r="T100" s="2"/>
      </tp>
      <tp t="e">
        <v>#N/A</v>
        <stp/>
        <stp>VOLUME</stp>
        <stp>.SPXW251231P5730</stp>
        <tr r="X100" s="2"/>
      </tp>
      <tp t="e">
        <v>#N/A</v>
        <stp/>
        <stp>VOLUME</stp>
        <stp>.SPXW250930P5720</stp>
        <tr r="R101" s="2"/>
      </tp>
      <tp t="e">
        <v>#N/A</v>
        <stp/>
        <stp>VOLUME</stp>
        <stp>.SPXW250505P5470</stp>
        <tr r="B126" s="2"/>
      </tp>
      <tp t="e">
        <v>#N/A</v>
        <stp/>
        <stp>VOLUME</stp>
        <stp>.SPXW250506P5440</stp>
        <tr r="C129" s="2"/>
      </tp>
      <tp t="e">
        <v>#N/A</v>
        <stp/>
        <stp>VOLUME</stp>
        <stp>.SPXW250507P5450</stp>
        <tr r="D128" s="2"/>
      </tp>
      <tp t="e">
        <v>#N/A</v>
        <stp/>
        <stp>VOLUME</stp>
        <stp>.SPXW250516P5540</stp>
        <tr r="BF118" s="1"/>
        <tr r="BF118" s="1"/>
      </tp>
      <tp t="e">
        <v>#N/A</v>
        <stp/>
        <stp>VOLUME</stp>
        <stp>.SPXW250530P5720</stp>
        <tr r="I101" s="2"/>
      </tp>
      <tp t="e">
        <v>#N/A</v>
        <stp/>
        <stp>VOLUME</stp>
        <stp>.SPXW250731P5730</stp>
        <tr r="N100" s="2"/>
      </tp>
      <tp t="e">
        <v>#N/A</v>
        <stp/>
        <stp>VOLUME</stp>
        <stp>.SPXW250606P5440</stp>
        <tr r="J129" s="2"/>
      </tp>
      <tp t="e">
        <v>#N/A</v>
        <stp/>
        <stp>VOLUME</stp>
        <stp>.SPXW250630P5720</stp>
        <tr r="L101" s="2"/>
      </tp>
      <tp t="e">
        <v>#N/A</v>
        <stp/>
        <stp>VOLUME</stp>
        <stp>.QQQP478</stp>
        <tr r="F70" s="2"/>
        <tr r="G70" s="2"/>
      </tp>
      <tp t="e">
        <v>#N/A</v>
        <stp/>
        <stp>VOLUME</stp>
        <stp>.QQQC478</stp>
        <tr r="F70" s="2"/>
        <tr r="G70" s="2"/>
      </tp>
      <tp t="e">
        <v>#N/A</v>
        <stp/>
        <stp>VOLUME</stp>
        <stp>.QQQP479</stp>
        <tr r="G69" s="2"/>
        <tr r="F69" s="2"/>
      </tp>
      <tp t="e">
        <v>#N/A</v>
        <stp/>
        <stp>VOLUME</stp>
        <stp>.QQQC479</stp>
        <tr r="G69" s="2"/>
        <tr r="F69" s="2"/>
      </tp>
      <tp t="e">
        <v>#N/A</v>
        <stp/>
        <stp>VOLUME</stp>
        <stp>.QQQP474</stp>
        <tr r="F74" s="2"/>
        <tr r="G74" s="2"/>
      </tp>
      <tp t="e">
        <v>#N/A</v>
        <stp/>
        <stp>VOLUME</stp>
        <stp>.QQQC474</stp>
        <tr r="F74" s="2"/>
        <tr r="G74" s="2"/>
      </tp>
      <tp t="e">
        <v>#N/A</v>
        <stp/>
        <stp>VOLUME</stp>
        <stp>.QQQP475</stp>
        <tr r="G73" s="2"/>
        <tr r="F73" s="2"/>
      </tp>
      <tp t="e">
        <v>#N/A</v>
        <stp/>
        <stp>VOLUME</stp>
        <stp>.QQQC475</stp>
        <tr r="G73" s="2"/>
        <tr r="F73" s="2"/>
      </tp>
      <tp t="e">
        <v>#N/A</v>
        <stp/>
        <stp>VOLUME</stp>
        <stp>.QQQP476</stp>
        <tr r="G72" s="2"/>
        <tr r="F72" s="2"/>
      </tp>
      <tp t="e">
        <v>#N/A</v>
        <stp/>
        <stp>VOLUME</stp>
        <stp>.QQQC476</stp>
        <tr r="G72" s="2"/>
        <tr r="F72" s="2"/>
      </tp>
      <tp t="e">
        <v>#N/A</v>
        <stp/>
        <stp>VOLUME</stp>
        <stp>.QQQP477</stp>
        <tr r="F71" s="2"/>
        <tr r="G71" s="2"/>
      </tp>
      <tp t="e">
        <v>#N/A</v>
        <stp/>
        <stp>VOLUME</stp>
        <stp>.QQQC477</stp>
        <tr r="F71" s="2"/>
        <tr r="G71" s="2"/>
      </tp>
      <tp t="e">
        <v>#N/A</v>
        <stp/>
        <stp>VOLUME</stp>
        <stp>.QQQP470</stp>
        <tr r="G78" s="2"/>
        <tr r="F78" s="2"/>
      </tp>
      <tp t="e">
        <v>#N/A</v>
        <stp/>
        <stp>VOLUME</stp>
        <stp>.QQQC470</stp>
        <tr r="G78" s="2"/>
        <tr r="F78" s="2"/>
      </tp>
      <tp t="e">
        <v>#N/A</v>
        <stp/>
        <stp>VOLUME</stp>
        <stp>.QQQP471</stp>
        <tr r="F77" s="2"/>
        <tr r="G77" s="2"/>
      </tp>
      <tp t="e">
        <v>#N/A</v>
        <stp/>
        <stp>VOLUME</stp>
        <stp>.QQQC471</stp>
        <tr r="F77" s="2"/>
        <tr r="G77" s="2"/>
      </tp>
      <tp t="e">
        <v>#N/A</v>
        <stp/>
        <stp>VOLUME</stp>
        <stp>.QQQP472</stp>
        <tr r="F76" s="2"/>
        <tr r="G76" s="2"/>
      </tp>
      <tp t="e">
        <v>#N/A</v>
        <stp/>
        <stp>VOLUME</stp>
        <stp>.QQQC472</stp>
        <tr r="F76" s="2"/>
        <tr r="G76" s="2"/>
      </tp>
      <tp t="e">
        <v>#N/A</v>
        <stp/>
        <stp>VOLUME</stp>
        <stp>.QQQP473</stp>
        <tr r="F75" s="2"/>
        <tr r="G75" s="2"/>
      </tp>
      <tp t="e">
        <v>#N/A</v>
        <stp/>
        <stp>VOLUME</stp>
        <stp>.QQQC473</stp>
        <tr r="F75" s="2"/>
        <tr r="G75" s="2"/>
      </tp>
      <tp t="s">
        <v>N/A</v>
        <stp/>
        <stp>VOLUME</stp>
        <stp>.NDXP251231P19860</stp>
        <tr r="X167" s="2"/>
      </tp>
      <tp t="e">
        <v>#N/A</v>
        <stp/>
        <stp>VOLUME</stp>
        <stp>.NDXP251128P20160</stp>
        <tr r="V152" s="2"/>
      </tp>
      <tp t="e">
        <v>#N/A</v>
        <stp/>
        <stp>VOLUME</stp>
        <stp>.NDXP251031P19860</stp>
        <tr r="T167" s="2"/>
      </tp>
      <tp t="e">
        <v>#N/A</v>
        <stp/>
        <stp>VOLUME</stp>
        <stp>.SPXW250930C5730</stp>
        <tr r="R100" s="2"/>
      </tp>
      <tp t="e">
        <v>#N/A</v>
        <stp/>
        <stp>VOLUME</stp>
        <stp>.SPXW250505C5460</stp>
        <tr r="B127" s="2"/>
      </tp>
      <tp t="e">
        <v>#N/A</v>
        <stp/>
        <stp>VOLUME</stp>
        <stp>.SPXW250506C5450</stp>
        <tr r="C128" s="2"/>
      </tp>
      <tp t="e">
        <v>#N/A</v>
        <stp/>
        <stp>VOLUME</stp>
        <stp>.SPXW250507C5440</stp>
        <tr r="D129" s="2"/>
      </tp>
      <tp t="e">
        <v>#N/A</v>
        <stp/>
        <stp>VOLUME</stp>
        <stp>.SPXW250516C5550</stp>
        <tr r="BE117" s="1"/>
        <tr r="BE117" s="1"/>
      </tp>
      <tp t="e">
        <v>#N/A</v>
        <stp/>
        <stp>VOLUME</stp>
        <stp>.SPXW250530C5730</stp>
        <tr r="I100" s="2"/>
      </tp>
      <tp t="e">
        <v>#N/A</v>
        <stp/>
        <stp>VOLUME</stp>
        <stp>.SPXW250731C5720</stp>
        <tr r="N101" s="2"/>
      </tp>
      <tp t="e">
        <v>#N/A</v>
        <stp/>
        <stp>VOLUME</stp>
        <stp>.SPXW250606C5450</stp>
        <tr r="J128" s="2"/>
      </tp>
      <tp t="e">
        <v>#N/A</v>
        <stp/>
        <stp>VOLUME</stp>
        <stp>.SPXW250630C5730</stp>
        <tr r="L100" s="2"/>
      </tp>
      <tp t="e">
        <v>#N/A</v>
        <stp/>
        <stp>VOLUME</stp>
        <stp>.SPXW251031C5720</stp>
        <tr r="T101" s="2"/>
      </tp>
      <tp t="e">
        <v>#N/A</v>
        <stp/>
        <stp>VOLUME</stp>
        <stp>.SPXW251231C5720</stp>
        <tr r="X101" s="2"/>
      </tp>
      <tp t="e">
        <v>#N/A</v>
        <stp/>
        <stp>VOLUME</stp>
        <stp>.SPXW251031P5720</stp>
        <tr r="T101" s="2"/>
      </tp>
      <tp t="e">
        <v>#N/A</v>
        <stp/>
        <stp>VOLUME</stp>
        <stp>.SPXW251231P5720</stp>
        <tr r="X101" s="2"/>
      </tp>
      <tp t="e">
        <v>#N/A</v>
        <stp/>
        <stp>VOLUME</stp>
        <stp>.SPXW250930P5730</stp>
        <tr r="R100" s="2"/>
      </tp>
      <tp t="e">
        <v>#N/A</v>
        <stp/>
        <stp>VOLUME</stp>
        <stp>.SPXW250505P5460</stp>
        <tr r="B127" s="2"/>
      </tp>
      <tp t="e">
        <v>#N/A</v>
        <stp/>
        <stp>VOLUME</stp>
        <stp>.SPXW250506P5450</stp>
        <tr r="C128" s="2"/>
      </tp>
      <tp t="e">
        <v>#N/A</v>
        <stp/>
        <stp>VOLUME</stp>
        <stp>.SPXW250507P5440</stp>
        <tr r="D129" s="2"/>
      </tp>
      <tp t="e">
        <v>#N/A</v>
        <stp/>
        <stp>VOLUME</stp>
        <stp>.SPXW250516P5550</stp>
        <tr r="BF117" s="1"/>
        <tr r="BF117" s="1"/>
      </tp>
      <tp t="e">
        <v>#N/A</v>
        <stp/>
        <stp>VOLUME</stp>
        <stp>.SPXW250530P5730</stp>
        <tr r="I100" s="2"/>
      </tp>
      <tp t="e">
        <v>#N/A</v>
        <stp/>
        <stp>VOLUME</stp>
        <stp>.SPXW250731P5720</stp>
        <tr r="N101" s="2"/>
      </tp>
      <tp t="e">
        <v>#N/A</v>
        <stp/>
        <stp>VOLUME</stp>
        <stp>.SPXW250606P5450</stp>
        <tr r="J128" s="2"/>
      </tp>
      <tp t="e">
        <v>#N/A</v>
        <stp/>
        <stp>VOLUME</stp>
        <stp>.SPXW250630P5730</stp>
        <tr r="L100" s="2"/>
      </tp>
      <tp t="s">
        <v>N/A</v>
        <stp/>
        <stp>VOLUME</stp>
        <stp>.NDXP250829P20000</stp>
        <tr r="P160" s="2"/>
      </tp>
      <tp t="s">
        <v>N/A</v>
        <stp/>
        <stp>VOLUME</stp>
        <stp>.NDXP250930P19900</stp>
        <tr r="R165" s="2"/>
      </tp>
      <tp t="s">
        <v>N/A</v>
        <stp/>
        <stp>VOLUME</stp>
        <stp>.NDXP250630P19900</stp>
        <tr r="L165" s="2"/>
      </tp>
      <tp t="e">
        <v>#N/A</v>
        <stp/>
        <stp>VOLUME</stp>
        <stp>.NDXP250508P20100</stp>
        <tr r="E155" s="2"/>
      </tp>
      <tp>
        <v>6</v>
        <stp/>
        <stp>VOLUME</stp>
        <stp>.NDXP250509P20000</stp>
        <tr r="BD159" s="1"/>
        <tr r="BD159" s="1"/>
      </tp>
      <tp t="s">
        <v>N/A</v>
        <stp/>
        <stp>VOLUME</stp>
        <stp>.NDXP250731P19800</stp>
        <tr r="N170" s="2"/>
      </tp>
      <tp t="s">
        <v>N/A</v>
        <stp/>
        <stp>VOLUME</stp>
        <stp>.NDXP250530P19900</stp>
        <tr r="I165" s="2"/>
      </tp>
      <tp t="e">
        <v>#N/A</v>
        <stp/>
        <stp>VOLUME</stp>
        <stp>.SPXW250930C5740</stp>
        <tr r="R99" s="2"/>
      </tp>
      <tp t="e">
        <v>#N/A</v>
        <stp/>
        <stp>VOLUME</stp>
        <stp>.SPXW250502C5460</stp>
        <tr r="BA126" s="1"/>
        <tr r="BA126" s="1"/>
      </tp>
      <tp t="e">
        <v>#N/A</v>
        <stp/>
        <stp>VOLUME</stp>
        <stp>.SPXW250506C5420</stp>
        <tr r="C131" s="2"/>
      </tp>
      <tp t="e">
        <v>#N/A</v>
        <stp/>
        <stp>VOLUME</stp>
        <stp>.SPXW250507C5430</stp>
        <tr r="D130" s="2"/>
      </tp>
      <tp t="e">
        <v>#N/A</v>
        <stp/>
        <stp>VOLUME</stp>
        <stp>.SPXW250516C5520</stp>
        <tr r="BE120" s="1"/>
        <tr r="BE120" s="1"/>
      </tp>
      <tp t="e">
        <v>#N/A</v>
        <stp/>
        <stp>VOLUME</stp>
        <stp>.SPXW250530C5740</stp>
        <tr r="I99" s="2"/>
      </tp>
      <tp t="e">
        <v>#N/A</v>
        <stp/>
        <stp>VOLUME</stp>
        <stp>.SPXW250731C5750</stp>
        <tr r="N98" s="2"/>
      </tp>
      <tp t="e">
        <v>#N/A</v>
        <stp/>
        <stp>VOLUME</stp>
        <stp>.SPXW250606C5420</stp>
        <tr r="J131" s="2"/>
      </tp>
      <tp t="e">
        <v>#N/A</v>
        <stp/>
        <stp>VOLUME</stp>
        <stp>.SPXW250630C5740</stp>
        <tr r="L99" s="2"/>
      </tp>
      <tp t="e">
        <v>#N/A</v>
        <stp/>
        <stp>VOLUME</stp>
        <stp>.SPXW251031C5750</stp>
        <tr r="T98" s="2"/>
      </tp>
      <tp t="e">
        <v>#N/A</v>
        <stp/>
        <stp>VOLUME</stp>
        <stp>.SPXW251231C5750</stp>
        <tr r="X98" s="2"/>
      </tp>
      <tp t="e">
        <v>#N/A</v>
        <stp/>
        <stp>VOLUME</stp>
        <stp>.SPXW251031P5750</stp>
        <tr r="T98" s="2"/>
      </tp>
      <tp t="e">
        <v>#N/A</v>
        <stp/>
        <stp>VOLUME</stp>
        <stp>.SPXW251231P5750</stp>
        <tr r="X98" s="2"/>
      </tp>
      <tp t="e">
        <v>#N/A</v>
        <stp/>
        <stp>VOLUME</stp>
        <stp>.SPXW250930P5740</stp>
        <tr r="R99" s="2"/>
      </tp>
      <tp t="e">
        <v>#N/A</v>
        <stp/>
        <stp>VOLUME</stp>
        <stp>.SPXW250502P5460</stp>
        <tr r="BB126" s="1"/>
        <tr r="BB126" s="1"/>
      </tp>
      <tp t="e">
        <v>#N/A</v>
        <stp/>
        <stp>VOLUME</stp>
        <stp>.SPXW250506P5420</stp>
        <tr r="C131" s="2"/>
      </tp>
      <tp t="e">
        <v>#N/A</v>
        <stp/>
        <stp>VOLUME</stp>
        <stp>.SPXW250507P5430</stp>
        <tr r="D130" s="2"/>
      </tp>
      <tp t="e">
        <v>#N/A</v>
        <stp/>
        <stp>VOLUME</stp>
        <stp>.SPXW250516P5520</stp>
        <tr r="BF120" s="1"/>
        <tr r="BF120" s="1"/>
      </tp>
      <tp t="e">
        <v>#N/A</v>
        <stp/>
        <stp>VOLUME</stp>
        <stp>.SPXW250530P5740</stp>
        <tr r="I99" s="2"/>
      </tp>
      <tp t="e">
        <v>#N/A</v>
        <stp/>
        <stp>VOLUME</stp>
        <stp>.SPXW250731P5750</stp>
        <tr r="N98" s="2"/>
      </tp>
      <tp t="e">
        <v>#N/A</v>
        <stp/>
        <stp>VOLUME</stp>
        <stp>.SPXW250606P5420</stp>
        <tr r="J131" s="2"/>
      </tp>
      <tp t="e">
        <v>#N/A</v>
        <stp/>
        <stp>VOLUME</stp>
        <stp>.SPXW250630P5740</stp>
        <tr r="L99" s="2"/>
      </tp>
      <tp t="s">
        <v>N/A</v>
        <stp/>
        <stp>VOLUME</stp>
        <stp>.NDXP251231P19800</stp>
        <tr r="X170" s="2"/>
      </tp>
      <tp t="e">
        <v>#N/A</v>
        <stp/>
        <stp>VOLUME</stp>
        <stp>.NDXP251128P20100</stp>
        <tr r="V155" s="2"/>
      </tp>
      <tp t="e">
        <v>#N/A</v>
        <stp/>
        <stp>VOLUME</stp>
        <stp>.NDXP251031P19800</stp>
        <tr r="T170" s="2"/>
      </tp>
      <tp t="e">
        <v>#N/A</v>
        <stp/>
        <stp>VOLUME</stp>
        <stp>.SPXW250930C5750</stp>
        <tr r="R98" s="2"/>
      </tp>
      <tp t="e">
        <v>#N/A</v>
        <stp/>
        <stp>VOLUME</stp>
        <stp>.SPXW250502C5470</stp>
        <tr r="BA125" s="1"/>
        <tr r="BA125" s="1"/>
      </tp>
      <tp t="e">
        <v>#N/A</v>
        <stp/>
        <stp>VOLUME</stp>
        <stp>.SPXW250506C5430</stp>
        <tr r="C130" s="2"/>
      </tp>
      <tp t="e">
        <v>#N/A</v>
        <stp/>
        <stp>VOLUME</stp>
        <stp>.SPXW250507C5420</stp>
        <tr r="D131" s="2"/>
      </tp>
      <tp t="e">
        <v>#N/A</v>
        <stp/>
        <stp>VOLUME</stp>
        <stp>.SPXW250516C5530</stp>
        <tr r="BE119" s="1"/>
        <tr r="BE119" s="1"/>
      </tp>
      <tp t="e">
        <v>#N/A</v>
        <stp/>
        <stp>VOLUME</stp>
        <stp>.SPXW250530C5750</stp>
        <tr r="I98" s="2"/>
      </tp>
      <tp t="e">
        <v>#N/A</v>
        <stp/>
        <stp>VOLUME</stp>
        <stp>.SPXW250731C5740</stp>
        <tr r="N99" s="2"/>
      </tp>
      <tp t="e">
        <v>#N/A</v>
        <stp/>
        <stp>VOLUME</stp>
        <stp>.SPXW250606C5430</stp>
        <tr r="J130" s="2"/>
      </tp>
      <tp t="e">
        <v>#N/A</v>
        <stp/>
        <stp>VOLUME</stp>
        <stp>.SPXW250630C5750</stp>
        <tr r="L98" s="2"/>
      </tp>
      <tp t="e">
        <v>#N/A</v>
        <stp/>
        <stp>VOLUME</stp>
        <stp>.SPXW251031C5740</stp>
        <tr r="T99" s="2"/>
      </tp>
      <tp t="e">
        <v>#N/A</v>
        <stp/>
        <stp>VOLUME</stp>
        <stp>.SPXW251231C5740</stp>
        <tr r="X99" s="2"/>
      </tp>
      <tp t="e">
        <v>#N/A</v>
        <stp/>
        <stp>VOLUME</stp>
        <stp>.SPXW251031P5740</stp>
        <tr r="T99" s="2"/>
      </tp>
      <tp t="e">
        <v>#N/A</v>
        <stp/>
        <stp>VOLUME</stp>
        <stp>.SPXW251231P5740</stp>
        <tr r="X99" s="2"/>
      </tp>
      <tp t="e">
        <v>#N/A</v>
        <stp/>
        <stp>VOLUME</stp>
        <stp>.SPXW250930P5750</stp>
        <tr r="R98" s="2"/>
      </tp>
      <tp t="e">
        <v>#N/A</v>
        <stp/>
        <stp>VOLUME</stp>
        <stp>.SPXW250502P5470</stp>
        <tr r="BB125" s="1"/>
        <tr r="BB125" s="1"/>
      </tp>
      <tp t="e">
        <v>#N/A</v>
        <stp/>
        <stp>VOLUME</stp>
        <stp>.SPXW250506P5430</stp>
        <tr r="C130" s="2"/>
      </tp>
      <tp t="e">
        <v>#N/A</v>
        <stp/>
        <stp>VOLUME</stp>
        <stp>.SPXW250507P5420</stp>
        <tr r="D131" s="2"/>
      </tp>
      <tp t="e">
        <v>#N/A</v>
        <stp/>
        <stp>VOLUME</stp>
        <stp>.SPXW250516P5530</stp>
        <tr r="BF119" s="1"/>
        <tr r="BF119" s="1"/>
      </tp>
      <tp t="e">
        <v>#N/A</v>
        <stp/>
        <stp>VOLUME</stp>
        <stp>.SPXW250530P5750</stp>
        <tr r="I98" s="2"/>
      </tp>
      <tp t="e">
        <v>#N/A</v>
        <stp/>
        <stp>VOLUME</stp>
        <stp>.SPXW250731P5740</stp>
        <tr r="N99" s="2"/>
      </tp>
      <tp t="e">
        <v>#N/A</v>
        <stp/>
        <stp>VOLUME</stp>
        <stp>.SPXW250606P5430</stp>
        <tr r="J130" s="2"/>
      </tp>
      <tp t="e">
        <v>#N/A</v>
        <stp/>
        <stp>VOLUME</stp>
        <stp>.SPXW250630P5750</stp>
        <tr r="L98" s="2"/>
      </tp>
      <tp t="s">
        <v>N/A</v>
        <stp/>
        <stp>VOLUME</stp>
        <stp>.NDXP250829P20020</stp>
        <tr r="P159" s="2"/>
      </tp>
      <tp t="s">
        <v>N/A</v>
        <stp/>
        <stp>VOLUME</stp>
        <stp>.NDXP250930P19920</stp>
        <tr r="R164" s="2"/>
      </tp>
      <tp t="s">
        <v>N/A</v>
        <stp/>
        <stp>VOLUME</stp>
        <stp>.NDXP250630P19920</stp>
        <tr r="L164" s="2"/>
      </tp>
      <tp t="e">
        <v>#N/A</v>
        <stp/>
        <stp>VOLUME</stp>
        <stp>.NDXP250508P20120</stp>
        <tr r="E154" s="2"/>
      </tp>
      <tp t="s">
        <v>N/A</v>
        <stp/>
        <stp>VOLUME</stp>
        <stp>.NDXP250509P20020</stp>
        <tr r="BD158" s="1"/>
      </tp>
      <tp t="s">
        <v>N/A</v>
        <stp/>
        <stp>VOLUME</stp>
        <stp>.NDXP250731P19820</stp>
        <tr r="N169" s="2"/>
      </tp>
      <tp t="s">
        <v>N/A</v>
        <stp/>
        <stp>VOLUME</stp>
        <stp>.NDXP250530P19920</stp>
        <tr r="I164" s="2"/>
      </tp>
      <tp t="e">
        <v>#N/A</v>
        <stp/>
        <stp>VOLUME</stp>
        <stp>.SPXW250930C5760</stp>
        <tr r="R97" s="2"/>
      </tp>
      <tp t="e">
        <v>#N/A</v>
        <stp/>
        <stp>VOLUME</stp>
        <stp>.SPXW250502C5440</stp>
        <tr r="BA128" s="1"/>
        <tr r="BA128" s="1"/>
      </tp>
      <tp t="e">
        <v>#N/A</v>
        <stp/>
        <stp>VOLUME</stp>
        <stp>.SPXW250505C5430</stp>
        <tr r="B130" s="2"/>
      </tp>
      <tp t="e">
        <v>#N/A</v>
        <stp/>
        <stp>VOLUME</stp>
        <stp>.SPXW250516C5500</stp>
        <tr r="BE122" s="1"/>
        <tr r="BE122" s="1"/>
      </tp>
      <tp t="e">
        <v>#N/A</v>
        <stp/>
        <stp>VOLUME</stp>
        <stp>.SPXW250530C5760</stp>
        <tr r="I97" s="2"/>
      </tp>
      <tp t="e">
        <v>#N/A</v>
        <stp/>
        <stp>VOLUME</stp>
        <stp>.SPXW250731C5770</stp>
        <tr r="N96" s="2"/>
      </tp>
      <tp t="e">
        <v>#N/A</v>
        <stp/>
        <stp>VOLUME</stp>
        <stp>.SPXW250630C5760</stp>
        <tr r="L97" s="2"/>
      </tp>
      <tp t="e">
        <v>#N/A</v>
        <stp/>
        <stp>VOLUME</stp>
        <stp>.SPXW251031C5770</stp>
        <tr r="T96" s="2"/>
      </tp>
      <tp t="e">
        <v>#N/A</v>
        <stp/>
        <stp>VOLUME</stp>
        <stp>.SPXW251231C5770</stp>
        <tr r="X96" s="2"/>
      </tp>
      <tp t="e">
        <v>#N/A</v>
        <stp/>
        <stp>VOLUME</stp>
        <stp>.SPXW251031P5770</stp>
        <tr r="T96" s="2"/>
      </tp>
      <tp t="e">
        <v>#N/A</v>
        <stp/>
        <stp>VOLUME</stp>
        <stp>.SPXW251231P5770</stp>
        <tr r="X96" s="2"/>
      </tp>
      <tp t="e">
        <v>#N/A</v>
        <stp/>
        <stp>VOLUME</stp>
        <stp>.SPXW250930P5760</stp>
        <tr r="R97" s="2"/>
      </tp>
      <tp t="e">
        <v>#N/A</v>
        <stp/>
        <stp>VOLUME</stp>
        <stp>.SPXW250502P5440</stp>
        <tr r="BB128" s="1"/>
        <tr r="BB128" s="1"/>
      </tp>
      <tp t="e">
        <v>#N/A</v>
        <stp/>
        <stp>VOLUME</stp>
        <stp>.SPXW250505P5430</stp>
        <tr r="B130" s="2"/>
      </tp>
      <tp t="e">
        <v>#N/A</v>
        <stp/>
        <stp>VOLUME</stp>
        <stp>.SPXW250516P5500</stp>
        <tr r="BF122" s="1"/>
        <tr r="BF122" s="1"/>
      </tp>
      <tp t="e">
        <v>#N/A</v>
        <stp/>
        <stp>VOLUME</stp>
        <stp>.SPXW250530P5760</stp>
        <tr r="I97" s="2"/>
      </tp>
      <tp t="e">
        <v>#N/A</v>
        <stp/>
        <stp>VOLUME</stp>
        <stp>.SPXW250731P5770</stp>
        <tr r="N96" s="2"/>
      </tp>
      <tp t="e">
        <v>#N/A</v>
        <stp/>
        <stp>VOLUME</stp>
        <stp>.SPXW250630P5760</stp>
        <tr r="L97" s="2"/>
      </tp>
      <tp t="s">
        <v>N/A</v>
        <stp/>
        <stp>VOLUME</stp>
        <stp>.NDXP251231P19820</stp>
        <tr r="X169" s="2"/>
      </tp>
      <tp t="e">
        <v>#N/A</v>
        <stp/>
        <stp>VOLUME</stp>
        <stp>.NDXP251128P20120</stp>
        <tr r="V154" s="2"/>
      </tp>
      <tp t="e">
        <v>#N/A</v>
        <stp/>
        <stp>VOLUME</stp>
        <stp>.NDXP251031P19820</stp>
        <tr r="T169" s="2"/>
      </tp>
      <tp t="e">
        <v>#N/A</v>
        <stp/>
        <stp>VOLUME</stp>
        <stp>.SPXW250930C5770</stp>
        <tr r="R96" s="2"/>
      </tp>
      <tp t="e">
        <v>#N/A</v>
        <stp/>
        <stp>VOLUME</stp>
        <stp>.SPXW250502C5450</stp>
        <tr r="BA127" s="1"/>
        <tr r="BA127" s="1"/>
      </tp>
      <tp t="e">
        <v>#N/A</v>
        <stp/>
        <stp>VOLUME</stp>
        <stp>.SPXW250505C5420</stp>
        <tr r="B131" s="2"/>
      </tp>
      <tp t="e">
        <v>#N/A</v>
        <stp/>
        <stp>VOLUME</stp>
        <stp>.SPXW250516C5510</stp>
        <tr r="BE121" s="1"/>
        <tr r="BE121" s="1"/>
      </tp>
      <tp t="e">
        <v>#N/A</v>
        <stp/>
        <stp>VOLUME</stp>
        <stp>.SPXW250530C5770</stp>
        <tr r="I96" s="2"/>
      </tp>
      <tp t="e">
        <v>#N/A</v>
        <stp/>
        <stp>VOLUME</stp>
        <stp>.SPXW250731C5760</stp>
        <tr r="N97" s="2"/>
      </tp>
      <tp t="e">
        <v>#N/A</v>
        <stp/>
        <stp>VOLUME</stp>
        <stp>.SPXW250630C5770</stp>
        <tr r="L96" s="2"/>
      </tp>
      <tp t="e">
        <v>#N/A</v>
        <stp/>
        <stp>VOLUME</stp>
        <stp>.SPXW251031C5760</stp>
        <tr r="T97" s="2"/>
      </tp>
      <tp t="e">
        <v>#N/A</v>
        <stp/>
        <stp>VOLUME</stp>
        <stp>.SPXW251231C5760</stp>
        <tr r="X97" s="2"/>
      </tp>
      <tp t="e">
        <v>#N/A</v>
        <stp/>
        <stp>VOLUME</stp>
        <stp>.SPXW251031P5760</stp>
        <tr r="T97" s="2"/>
      </tp>
      <tp t="e">
        <v>#N/A</v>
        <stp/>
        <stp>VOLUME</stp>
        <stp>.SPXW251231P5760</stp>
        <tr r="X97" s="2"/>
      </tp>
      <tp t="e">
        <v>#N/A</v>
        <stp/>
        <stp>VOLUME</stp>
        <stp>.SPXW250930P5770</stp>
        <tr r="R96" s="2"/>
      </tp>
      <tp t="e">
        <v>#N/A</v>
        <stp/>
        <stp>VOLUME</stp>
        <stp>.SPXW250502P5450</stp>
        <tr r="BB127" s="1"/>
        <tr r="BB127" s="1"/>
      </tp>
      <tp t="e">
        <v>#N/A</v>
        <stp/>
        <stp>VOLUME</stp>
        <stp>.SPXW250505P5420</stp>
        <tr r="B131" s="2"/>
      </tp>
      <tp t="e">
        <v>#N/A</v>
        <stp/>
        <stp>VOLUME</stp>
        <stp>.SPXW250516P5510</stp>
        <tr r="BF121" s="1"/>
        <tr r="BF121" s="1"/>
      </tp>
      <tp t="e">
        <v>#N/A</v>
        <stp/>
        <stp>VOLUME</stp>
        <stp>.SPXW250530P5770</stp>
        <tr r="I96" s="2"/>
      </tp>
      <tp t="e">
        <v>#N/A</v>
        <stp/>
        <stp>VOLUME</stp>
        <stp>.SPXW250731P5760</stp>
        <tr r="N97" s="2"/>
      </tp>
      <tp t="e">
        <v>#N/A</v>
        <stp/>
        <stp>VOLUME</stp>
        <stp>.SPXW250630P5770</stp>
        <tr r="L96" s="2"/>
      </tp>
      <tp>
        <v>126</v>
        <stp/>
        <stp>OPEN_INT</stp>
        <stp>.NDXP250502C20100</stp>
        <tr r="AS154" s="1"/>
        <tr r="AS154" s="1"/>
      </tp>
      <tp>
        <v>3</v>
        <stp/>
        <stp>OPEN_INT</stp>
        <stp>.NDXP250502C20120</stp>
        <tr r="AS153" s="1"/>
        <tr r="AS153" s="1"/>
      </tp>
      <tp>
        <v>19</v>
        <stp/>
        <stp>OPEN_INT</stp>
        <stp>.NDXP250502C20140</stp>
        <tr r="AS152" s="1"/>
        <tr r="AS152" s="1"/>
      </tp>
      <tp>
        <v>1</v>
        <stp/>
        <stp>OPEN_INT</stp>
        <stp>.NDXP250502C20160</stp>
        <tr r="AS151" s="1"/>
        <tr r="AS151" s="1"/>
      </tp>
      <tp>
        <v>4</v>
        <stp/>
        <stp>OPEN_INT</stp>
        <stp>.NDXP250502C20180</stp>
        <tr r="AS150" s="1"/>
        <tr r="AS150" s="1"/>
      </tp>
      <tp>
        <v>3</v>
        <stp/>
        <stp>OPEN_INT</stp>
        <stp>.NDXP250502P20120</stp>
        <tr r="AT153" s="1"/>
        <tr r="AT153" s="1"/>
      </tp>
      <tp>
        <v>5</v>
        <stp/>
        <stp>OPEN_INT</stp>
        <stp>.NDXP250502P20100</stp>
        <tr r="AT154" s="1"/>
        <tr r="AT154" s="1"/>
      </tp>
      <tp>
        <v>0</v>
        <stp/>
        <stp>OPEN_INT</stp>
        <stp>.NDXP250502P20160</stp>
        <tr r="AT151" s="1"/>
        <tr r="AT151" s="1"/>
      </tp>
      <tp>
        <v>0</v>
        <stp/>
        <stp>OPEN_INT</stp>
        <stp>.NDXP250502P20140</stp>
        <tr r="AT152" s="1"/>
        <tr r="AT152" s="1"/>
      </tp>
      <tp>
        <v>0</v>
        <stp/>
        <stp>OPEN_INT</stp>
        <stp>.NDXP250502P20180</stp>
        <tr r="AT150" s="1"/>
        <tr r="AT150" s="1"/>
      </tp>
      <tp t="e">
        <v>#N/A</v>
        <stp/>
        <stp>DELTA</stp>
        <stp>.NDXP250509P20080</stp>
        <tr r="CG155" s="1"/>
      </tp>
      <tp t="e">
        <v>#N/A</v>
        <stp/>
        <stp>DELTA</stp>
        <stp>.NDXP250509P20020</stp>
        <tr r="CG158" s="1"/>
      </tp>
      <tp t="e">
        <v>#N/A</v>
        <stp/>
        <stp>DELTA</stp>
        <stp>.NDXP250509P20000</stp>
        <tr r="CG159" s="1"/>
        <tr r="CG159" s="1"/>
      </tp>
      <tp t="e">
        <v>#N/A</v>
        <stp/>
        <stp>DELTA</stp>
        <stp>.NDXP250509P20060</stp>
        <tr r="CG156" s="1"/>
      </tp>
      <tp t="e">
        <v>#N/A</v>
        <stp/>
        <stp>DELTA</stp>
        <stp>.NDXP250509P20040</stp>
        <tr r="CG157" s="1"/>
      </tp>
      <tp t="e">
        <v>#N/A</v>
        <stp/>
        <stp>DELTA</stp>
        <stp>.NDXP250509C20080</stp>
        <tr r="CF155" s="1"/>
      </tp>
      <tp t="e">
        <v>#N/A</v>
        <stp/>
        <stp>DELTA</stp>
        <stp>.NDXP250509C20000</stp>
        <tr r="CF159" s="1"/>
        <tr r="CF159" s="1"/>
      </tp>
      <tp t="e">
        <v>#N/A</v>
        <stp/>
        <stp>DELTA</stp>
        <stp>.NDXP250509C20020</stp>
        <tr r="CF158" s="1"/>
      </tp>
      <tp t="e">
        <v>#N/A</v>
        <stp/>
        <stp>DELTA</stp>
        <stp>.NDXP250509C20040</stp>
        <tr r="CF157" s="1"/>
      </tp>
      <tp t="e">
        <v>#N/A</v>
        <stp/>
        <stp>DELTA</stp>
        <stp>.NDXP250509C20060</stp>
        <tr r="CF156" s="1"/>
      </tp>
      <tp t="e">
        <v>#N/A</v>
        <stp/>
        <stp>VOLUME</stp>
        <stp>.NDXP251128C20280</stp>
        <tr r="V146" s="2"/>
      </tp>
      <tp t="s">
        <v>N/A</v>
        <stp/>
        <stp>VOLUME</stp>
        <stp>.NDXP250829C20380</stp>
        <tr r="P141" s="2"/>
      </tp>
      <tp t="e">
        <v>#N/A</v>
        <stp/>
        <stp>VOLUME</stp>
        <stp>.NDXP250508C20280</stp>
        <tr r="E146" s="2"/>
      </tp>
      <tp t="s">
        <v>N/A</v>
        <stp/>
        <stp>VOLUME</stp>
        <stp>.NDXP250509C20380</stp>
        <tr r="BC140" s="1"/>
      </tp>
      <tp t="s">
        <v>N/A</v>
        <stp/>
        <stp>VOLUME</stp>
        <stp>.NDXP250502C19880</stp>
        <tr r="BA165" s="1"/>
      </tp>
      <tp t="e">
        <v>#N/A</v>
        <stp/>
        <stp>VOLUME</stp>
        <stp>.NDXP251128C20260</stp>
        <tr r="V147" s="2"/>
      </tp>
      <tp t="s">
        <v>N/A</v>
        <stp/>
        <stp>VOLUME</stp>
        <stp>.NDXP250829C20360</stp>
        <tr r="P142" s="2"/>
      </tp>
      <tp t="e">
        <v>#N/A</v>
        <stp/>
        <stp>VOLUME</stp>
        <stp>.NDXP250508C20260</stp>
        <tr r="E147" s="2"/>
      </tp>
      <tp t="s">
        <v>N/A</v>
        <stp/>
        <stp>VOLUME</stp>
        <stp>.NDXP250509C20360</stp>
        <tr r="BC141" s="1"/>
      </tp>
      <tp t="s">
        <v>N/A</v>
        <stp/>
        <stp>VOLUME</stp>
        <stp>.NDXP250502C19860</stp>
        <tr r="BA166" s="1"/>
      </tp>
      <tp t="e">
        <v>#N/A</v>
        <stp/>
        <stp>VOLUME</stp>
        <stp>.NDXP251128C20240</stp>
        <tr r="V148" s="2"/>
      </tp>
      <tp t="s">
        <v>N/A</v>
        <stp/>
        <stp>VOLUME</stp>
        <stp>.NDXP250829C20340</stp>
        <tr r="P143" s="2"/>
      </tp>
      <tp t="e">
        <v>#N/A</v>
        <stp/>
        <stp>VOLUME</stp>
        <stp>.NDXP250508C20240</stp>
        <tr r="E148" s="2"/>
      </tp>
      <tp t="s">
        <v>N/A</v>
        <stp/>
        <stp>VOLUME</stp>
        <stp>.NDXP250509C20340</stp>
        <tr r="BC142" s="1"/>
      </tp>
      <tp>
        <v>1</v>
        <stp/>
        <stp>VOLUME</stp>
        <stp>.NDXP250502C19840</stp>
        <tr r="BA167" s="1"/>
        <tr r="BA167" s="1"/>
      </tp>
      <tp t="e">
        <v>#N/A</v>
        <stp/>
        <stp>VOLUME</stp>
        <stp>.NDXP251128C20220</stp>
        <tr r="V149" s="2"/>
      </tp>
      <tp t="s">
        <v>N/A</v>
        <stp/>
        <stp>VOLUME</stp>
        <stp>.NDXP250829C20320</stp>
        <tr r="P144" s="2"/>
      </tp>
      <tp t="e">
        <v>#N/A</v>
        <stp/>
        <stp>VOLUME</stp>
        <stp>.NDXP250508C20220</stp>
        <tr r="E149" s="2"/>
      </tp>
      <tp t="s">
        <v>N/A</v>
        <stp/>
        <stp>VOLUME</stp>
        <stp>.NDXP250509C20320</stp>
        <tr r="BC143" s="1"/>
      </tp>
      <tp>
        <v>2</v>
        <stp/>
        <stp>VOLUME</stp>
        <stp>.NDXP250502C19820</stp>
        <tr r="BA168" s="1"/>
        <tr r="BA168" s="1"/>
      </tp>
      <tp t="e">
        <v>#N/A</v>
        <stp/>
        <stp>VOLUME</stp>
        <stp>.NDXP251128C20200</stp>
        <tr r="V150" s="2"/>
      </tp>
      <tp t="s">
        <v>N/A</v>
        <stp/>
        <stp>VOLUME</stp>
        <stp>.NDXP250829C20300</stp>
        <tr r="P145" s="2"/>
      </tp>
      <tp t="e">
        <v>#N/A</v>
        <stp/>
        <stp>VOLUME</stp>
        <stp>.NDXP250508C20200</stp>
        <tr r="E150" s="2"/>
      </tp>
      <tp>
        <v>2</v>
        <stp/>
        <stp>VOLUME</stp>
        <stp>.NDXP250509C20300</stp>
        <tr r="BC144" s="1"/>
        <tr r="BC144" s="1"/>
      </tp>
      <tp>
        <v>33</v>
        <stp/>
        <stp>VOLUME</stp>
        <stp>.NDXP250502C19800</stp>
        <tr r="BA169" s="1"/>
        <tr r="BA169" s="1"/>
      </tp>
      <tp t="e">
        <v>#N/A</v>
        <stp/>
        <stp>VOLUME</stp>
        <stp>.SPXW250930C5480</stp>
        <tr r="R125" s="2"/>
      </tp>
      <tp t="e">
        <v>#N/A</v>
        <stp/>
        <stp>VOLUME</stp>
        <stp>.SPXW250829C5510</stp>
        <tr r="P122" s="2"/>
      </tp>
      <tp t="e">
        <v>#N/A</v>
        <stp/>
        <stp>VOLUME</stp>
        <stp>.SPXW250508C5700</stp>
        <tr r="E103" s="2"/>
      </tp>
      <tp t="e">
        <v>#N/A</v>
        <stp/>
        <stp>VOLUME</stp>
        <stp>.SPXW250509C5710</stp>
        <tr r="BC101" s="1"/>
        <tr r="BC101" s="1"/>
      </tp>
      <tp t="e">
        <v>#N/A</v>
        <stp/>
        <stp>VOLUME</stp>
        <stp>.SPXW250530C5480</stp>
        <tr r="I125" s="2"/>
      </tp>
      <tp t="e">
        <v>#N/A</v>
        <stp/>
        <stp>VOLUME</stp>
        <stp>.SPXW250731C5490</stp>
        <tr r="N124" s="2"/>
      </tp>
      <tp t="e">
        <v>#N/A</v>
        <stp/>
        <stp>VOLUME</stp>
        <stp>.SPXW250630C5480</stp>
        <tr r="L125" s="2"/>
      </tp>
      <tp t="e">
        <v>#N/A</v>
        <stp/>
        <stp>VOLUME</stp>
        <stp>.SPXW251128C5500</stp>
        <tr r="V123" s="2"/>
      </tp>
      <tp t="e">
        <v>#N/A</v>
        <stp/>
        <stp>VOLUME</stp>
        <stp>.SPXW251031C5490</stp>
        <tr r="T124" s="2"/>
      </tp>
      <tp t="e">
        <v>#N/A</v>
        <stp/>
        <stp>VOLUME</stp>
        <stp>.SPXW251231C5490</stp>
        <tr r="X124" s="2"/>
      </tp>
      <tp t="e">
        <v>#N/A</v>
        <stp/>
        <stp>VOLUME</stp>
        <stp>.SPXW251128P5500</stp>
        <tr r="V123" s="2"/>
      </tp>
      <tp t="e">
        <v>#N/A</v>
        <stp/>
        <stp>VOLUME</stp>
        <stp>.SPXW251031P5490</stp>
        <tr r="T124" s="2"/>
      </tp>
      <tp t="e">
        <v>#N/A</v>
        <stp/>
        <stp>VOLUME</stp>
        <stp>.SPXW251231P5490</stp>
        <tr r="X124" s="2"/>
      </tp>
      <tp t="e">
        <v>#N/A</v>
        <stp/>
        <stp>VOLUME</stp>
        <stp>.SPXW250930P5480</stp>
        <tr r="R125" s="2"/>
      </tp>
      <tp t="e">
        <v>#N/A</v>
        <stp/>
        <stp>VOLUME</stp>
        <stp>.SPXW250829P5510</stp>
        <tr r="P122" s="2"/>
      </tp>
      <tp t="e">
        <v>#N/A</v>
        <stp/>
        <stp>VOLUME</stp>
        <stp>.SPXW250508P5700</stp>
        <tr r="E103" s="2"/>
      </tp>
      <tp t="e">
        <v>#N/A</v>
        <stp/>
        <stp>VOLUME</stp>
        <stp>.SPXW250509P5710</stp>
        <tr r="BD101" s="1"/>
        <tr r="BD101" s="1"/>
      </tp>
      <tp t="e">
        <v>#N/A</v>
        <stp/>
        <stp>VOLUME</stp>
        <stp>.SPXW250530P5480</stp>
        <tr r="I125" s="2"/>
      </tp>
      <tp t="e">
        <v>#N/A</v>
        <stp/>
        <stp>VOLUME</stp>
        <stp>.SPXW250731P5490</stp>
        <tr r="N124" s="2"/>
      </tp>
      <tp t="e">
        <v>#N/A</v>
        <stp/>
        <stp>VOLUME</stp>
        <stp>.SPXW250630P5480</stp>
        <tr r="L125" s="2"/>
      </tp>
      <tp t="e">
        <v>#N/A</v>
        <stp/>
        <stp>VOLUME</stp>
        <stp>.SPXW250930C5490</stp>
        <tr r="R124" s="2"/>
      </tp>
      <tp t="e">
        <v>#N/A</v>
        <stp/>
        <stp>VOLUME</stp>
        <stp>.SPXW250829C5500</stp>
        <tr r="P123" s="2"/>
      </tp>
      <tp t="e">
        <v>#N/A</v>
        <stp/>
        <stp>VOLUME</stp>
        <stp>.SPXW250508C5710</stp>
        <tr r="E102" s="2"/>
      </tp>
      <tp t="e">
        <v>#N/A</v>
        <stp/>
        <stp>VOLUME</stp>
        <stp>.SPXW250509C5700</stp>
        <tr r="BC102" s="1"/>
        <tr r="BC102" s="1"/>
      </tp>
      <tp t="e">
        <v>#N/A</v>
        <stp/>
        <stp>VOLUME</stp>
        <stp>.SPXW250530C5490</stp>
        <tr r="I124" s="2"/>
      </tp>
      <tp t="e">
        <v>#N/A</v>
        <stp/>
        <stp>VOLUME</stp>
        <stp>.SPXW250731C5480</stp>
        <tr r="N125" s="2"/>
      </tp>
      <tp t="e">
        <v>#N/A</v>
        <stp/>
        <stp>VOLUME</stp>
        <stp>.SPXW250630C5490</stp>
        <tr r="L124" s="2"/>
      </tp>
      <tp t="e">
        <v>#N/A</v>
        <stp/>
        <stp>VOLUME</stp>
        <stp>.SPXW251128C5510</stp>
        <tr r="V122" s="2"/>
      </tp>
      <tp t="e">
        <v>#N/A</v>
        <stp/>
        <stp>VOLUME</stp>
        <stp>.SPXW251031C5480</stp>
        <tr r="T125" s="2"/>
      </tp>
      <tp t="e">
        <v>#N/A</v>
        <stp/>
        <stp>VOLUME</stp>
        <stp>.SPXW251231C5480</stp>
        <tr r="X125" s="2"/>
      </tp>
      <tp t="e">
        <v>#N/A</v>
        <stp/>
        <stp>VOLUME</stp>
        <stp>.SPXW251128P5510</stp>
        <tr r="V122" s="2"/>
      </tp>
      <tp t="e">
        <v>#N/A</v>
        <stp/>
        <stp>VOLUME</stp>
        <stp>.SPXW251031P5480</stp>
        <tr r="T125" s="2"/>
      </tp>
      <tp t="e">
        <v>#N/A</v>
        <stp/>
        <stp>VOLUME</stp>
        <stp>.SPXW251231P5480</stp>
        <tr r="X125" s="2"/>
      </tp>
      <tp t="e">
        <v>#N/A</v>
        <stp/>
        <stp>VOLUME</stp>
        <stp>.SPXW250930P5490</stp>
        <tr r="R124" s="2"/>
      </tp>
      <tp t="e">
        <v>#N/A</v>
        <stp/>
        <stp>VOLUME</stp>
        <stp>.SPXW250829P5500</stp>
        <tr r="P123" s="2"/>
      </tp>
      <tp t="e">
        <v>#N/A</v>
        <stp/>
        <stp>VOLUME</stp>
        <stp>.SPXW250508P5710</stp>
        <tr r="E102" s="2"/>
      </tp>
      <tp t="e">
        <v>#N/A</v>
        <stp/>
        <stp>VOLUME</stp>
        <stp>.SPXW250509P5700</stp>
        <tr r="BD102" s="1"/>
        <tr r="BD102" s="1"/>
      </tp>
      <tp t="e">
        <v>#N/A</v>
        <stp/>
        <stp>VOLUME</stp>
        <stp>.SPXW250530P5490</stp>
        <tr r="I124" s="2"/>
      </tp>
      <tp t="e">
        <v>#N/A</v>
        <stp/>
        <stp>VOLUME</stp>
        <stp>.SPXW250731P5480</stp>
        <tr r="N125" s="2"/>
      </tp>
      <tp t="e">
        <v>#N/A</v>
        <stp/>
        <stp>VOLUME</stp>
        <stp>.SPXW250630P5490</stp>
        <tr r="L124" s="2"/>
      </tp>
      <tp t="e">
        <v>#N/A</v>
        <stp/>
        <stp>VOLUME</stp>
        <stp>.SPXW250829C5530</stp>
        <tr r="P120" s="2"/>
      </tp>
      <tp t="e">
        <v>#N/A</v>
        <stp/>
        <stp>VOLUME</stp>
        <stp>.SPXW250502C5780</stp>
        <tr r="BA94" s="1"/>
        <tr r="BA94" s="1"/>
      </tp>
      <tp t="e">
        <v>#N/A</v>
        <stp/>
        <stp>VOLUME</stp>
        <stp>.SPXW250508C5720</stp>
        <tr r="E101" s="2"/>
      </tp>
      <tp t="e">
        <v>#N/A</v>
        <stp/>
        <stp>VOLUME</stp>
        <stp>.SPXW250509C5730</stp>
        <tr r="BC99" s="1"/>
        <tr r="BC99" s="1"/>
      </tp>
      <tp t="e">
        <v>#N/A</v>
        <stp/>
        <stp>VOLUME</stp>
        <stp>.SPXW251128C5520</stp>
        <tr r="V121" s="2"/>
      </tp>
      <tp t="e">
        <v>#N/A</v>
        <stp/>
        <stp>VOLUME</stp>
        <stp>.SPXW251128P5520</stp>
        <tr r="V121" s="2"/>
      </tp>
      <tp t="e">
        <v>#N/A</v>
        <stp/>
        <stp>VOLUME</stp>
        <stp>.SPXW250829P5530</stp>
        <tr r="P120" s="2"/>
      </tp>
      <tp t="e">
        <v>#N/A</v>
        <stp/>
        <stp>VOLUME</stp>
        <stp>.SPXW250502P5780</stp>
        <tr r="BB94" s="1"/>
        <tr r="BB94" s="1"/>
      </tp>
      <tp t="e">
        <v>#N/A</v>
        <stp/>
        <stp>VOLUME</stp>
        <stp>.SPXW250508P5720</stp>
        <tr r="E101" s="2"/>
      </tp>
      <tp t="e">
        <v>#N/A</v>
        <stp/>
        <stp>VOLUME</stp>
        <stp>.SPXW250509P5730</stp>
        <tr r="BD99" s="1"/>
        <tr r="BD99" s="1"/>
      </tp>
      <tp t="e">
        <v>#N/A</v>
        <stp/>
        <stp>VOLUME</stp>
        <stp>.SPXW250829C5520</stp>
        <tr r="P121" s="2"/>
      </tp>
      <tp t="e">
        <v>#N/A</v>
        <stp/>
        <stp>VOLUME</stp>
        <stp>.SPXW250502C5790</stp>
        <tr r="BA93" s="1"/>
        <tr r="BA93" s="1"/>
      </tp>
      <tp t="e">
        <v>#N/A</v>
        <stp/>
        <stp>VOLUME</stp>
        <stp>.SPXW250508C5730</stp>
        <tr r="E100" s="2"/>
      </tp>
      <tp t="e">
        <v>#N/A</v>
        <stp/>
        <stp>VOLUME</stp>
        <stp>.SPXW250509C5720</stp>
        <tr r="BC100" s="1"/>
      </tp>
      <tp t="e">
        <v>#N/A</v>
        <stp/>
        <stp>VOLUME</stp>
        <stp>.SPXW251128C5530</stp>
        <tr r="V120" s="2"/>
      </tp>
      <tp t="e">
        <v>#N/A</v>
        <stp/>
        <stp>VOLUME</stp>
        <stp>.SPXW251128P5530</stp>
        <tr r="V120" s="2"/>
      </tp>
      <tp t="e">
        <v>#N/A</v>
        <stp/>
        <stp>VOLUME</stp>
        <stp>.SPXW250829P5520</stp>
        <tr r="P121" s="2"/>
      </tp>
      <tp t="e">
        <v>#N/A</v>
        <stp/>
        <stp>VOLUME</stp>
        <stp>.SPXW250502P5790</stp>
        <tr r="BB93" s="1"/>
        <tr r="BB93" s="1"/>
      </tp>
      <tp t="e">
        <v>#N/A</v>
        <stp/>
        <stp>VOLUME</stp>
        <stp>.SPXW250508P5730</stp>
        <tr r="E100" s="2"/>
      </tp>
      <tp t="e">
        <v>#N/A</v>
        <stp/>
        <stp>VOLUME</stp>
        <stp>.SPXW250509P5720</stp>
        <tr r="BD100" s="1"/>
      </tp>
      <tp t="s">
        <v>N/A</v>
        <stp/>
        <stp>VOLUME</stp>
        <stp>.NDXP250829P20380</stp>
        <tr r="P141" s="2"/>
      </tp>
      <tp t="e">
        <v>#N/A</v>
        <stp/>
        <stp>VOLUME</stp>
        <stp>.NDXP250508P20280</stp>
        <tr r="E146" s="2"/>
      </tp>
      <tp t="s">
        <v>N/A</v>
        <stp/>
        <stp>VOLUME</stp>
        <stp>.NDXP250509P20380</stp>
        <tr r="BD140" s="1"/>
      </tp>
      <tp>
        <v>166</v>
        <stp/>
        <stp>VOLUME</stp>
        <stp>.NDXP250502P19880</stp>
        <tr r="BB165" s="1"/>
        <tr r="BB165" s="1"/>
      </tp>
      <tp t="e">
        <v>#N/A</v>
        <stp/>
        <stp>VOLUME</stp>
        <stp>.SPXW250829C5550</stp>
        <tr r="P118" s="2"/>
      </tp>
      <tp t="e">
        <v>#N/A</v>
        <stp/>
        <stp>VOLUME</stp>
        <stp>.SPXW250505C5790</stp>
        <tr r="B94" s="2"/>
      </tp>
      <tp t="e">
        <v>#N/A</v>
        <stp/>
        <stp>VOLUME</stp>
        <stp>.SPXW250508C5740</stp>
        <tr r="E99" s="2"/>
      </tp>
      <tp t="e">
        <v>#N/A</v>
        <stp/>
        <stp>VOLUME</stp>
        <stp>.SPXW250509C5750</stp>
        <tr r="BC97" s="1"/>
        <tr r="BC97" s="1"/>
      </tp>
      <tp t="e">
        <v>#N/A</v>
        <stp/>
        <stp>VOLUME</stp>
        <stp>.SPXW251128C5540</stp>
        <tr r="V119" s="2"/>
      </tp>
      <tp t="e">
        <v>#N/A</v>
        <stp/>
        <stp>VOLUME</stp>
        <stp>.SPXW251128P5540</stp>
        <tr r="V119" s="2"/>
      </tp>
      <tp t="e">
        <v>#N/A</v>
        <stp/>
        <stp>VOLUME</stp>
        <stp>.SPXW250829P5550</stp>
        <tr r="P118" s="2"/>
      </tp>
      <tp t="e">
        <v>#N/A</v>
        <stp/>
        <stp>VOLUME</stp>
        <stp>.SPXW250505P5790</stp>
        <tr r="B94" s="2"/>
      </tp>
      <tp t="e">
        <v>#N/A</v>
        <stp/>
        <stp>VOLUME</stp>
        <stp>.SPXW250508P5740</stp>
        <tr r="E99" s="2"/>
      </tp>
      <tp t="e">
        <v>#N/A</v>
        <stp/>
        <stp>VOLUME</stp>
        <stp>.SPXW250509P5750</stp>
        <tr r="BD97" s="1"/>
        <tr r="BD97" s="1"/>
      </tp>
      <tp t="e">
        <v>#N/A</v>
        <stp/>
        <stp>VOLUME</stp>
        <stp>.SPYP580</stp>
        <tr r="G7" s="2"/>
        <tr r="F7" s="2"/>
      </tp>
      <tp t="e">
        <v>#N/A</v>
        <stp/>
        <stp>VOLUME</stp>
        <stp>.SPYC580</stp>
        <tr r="G7" s="2"/>
        <tr r="F7" s="2"/>
      </tp>
      <tp t="e">
        <v>#N/A</v>
        <stp/>
        <stp>VOLUME</stp>
        <stp>.SPYP581</stp>
        <tr r="G6" s="2"/>
        <tr r="F6" s="2"/>
      </tp>
      <tp t="e">
        <v>#N/A</v>
        <stp/>
        <stp>VOLUME</stp>
        <stp>.SPYC581</stp>
        <tr r="G6" s="2"/>
        <tr r="F6" s="2"/>
      </tp>
      <tp t="e">
        <v>#N/A</v>
        <stp/>
        <stp>VOLUME</stp>
        <stp>.SPYP582</stp>
        <tr r="G5" s="2"/>
        <tr r="F5" s="2"/>
      </tp>
      <tp t="e">
        <v>#N/A</v>
        <stp/>
        <stp>VOLUME</stp>
        <stp>.SPYC582</stp>
        <tr r="G5" s="2"/>
        <tr r="F5" s="2"/>
      </tp>
      <tp t="e">
        <v>#N/A</v>
        <stp/>
        <stp>VOLUME</stp>
        <stp>.NDXP251128P20280</stp>
        <tr r="V146" s="2"/>
      </tp>
      <tp t="e">
        <v>#N/A</v>
        <stp/>
        <stp>VOLUME</stp>
        <stp>.SPXW250829C5540</stp>
        <tr r="P119" s="2"/>
      </tp>
      <tp t="e">
        <v>#N/A</v>
        <stp/>
        <stp>VOLUME</stp>
        <stp>.SPXW250505C5780</stp>
        <tr r="B95" s="2"/>
      </tp>
      <tp t="e">
        <v>#N/A</v>
        <stp/>
        <stp>VOLUME</stp>
        <stp>.SPXW250508C5750</stp>
        <tr r="E98" s="2"/>
      </tp>
      <tp t="e">
        <v>#N/A</v>
        <stp/>
        <stp>VOLUME</stp>
        <stp>.SPXW250509C5740</stp>
        <tr r="BC98" s="1"/>
        <tr r="BC98" s="1"/>
      </tp>
      <tp t="e">
        <v>#N/A</v>
        <stp/>
        <stp>VOLUME</stp>
        <stp>.SPXW251128C5550</stp>
        <tr r="V118" s="2"/>
      </tp>
      <tp t="e">
        <v>#N/A</v>
        <stp/>
        <stp>VOLUME</stp>
        <stp>.SPXW251128P5550</stp>
        <tr r="V118" s="2"/>
      </tp>
      <tp t="e">
        <v>#N/A</v>
        <stp/>
        <stp>VOLUME</stp>
        <stp>.SPXW250829P5540</stp>
        <tr r="P119" s="2"/>
      </tp>
      <tp t="e">
        <v>#N/A</v>
        <stp/>
        <stp>VOLUME</stp>
        <stp>.SPXW250505P5780</stp>
        <tr r="B95" s="2"/>
      </tp>
      <tp t="e">
        <v>#N/A</v>
        <stp/>
        <stp>VOLUME</stp>
        <stp>.SPXW250508P5750</stp>
        <tr r="E98" s="2"/>
      </tp>
      <tp t="e">
        <v>#N/A</v>
        <stp/>
        <stp>VOLUME</stp>
        <stp>.SPXW250509P5740</stp>
        <tr r="BD98" s="1"/>
        <tr r="BD98" s="1"/>
      </tp>
      <tp t="e">
        <v>#N/A</v>
        <stp/>
        <stp>VOLUME</stp>
        <stp>.SPXW250829C5570</stp>
        <tr r="P116" s="2"/>
      </tp>
      <tp t="e">
        <v>#N/A</v>
        <stp/>
        <stp>VOLUME</stp>
        <stp>.SPXW250506C5780</stp>
        <tr r="C95" s="2"/>
      </tp>
      <tp t="e">
        <v>#N/A</v>
        <stp/>
        <stp>VOLUME</stp>
        <stp>.SPXW250507C5790</stp>
        <tr r="D94" s="2"/>
      </tp>
      <tp t="e">
        <v>#N/A</v>
        <stp/>
        <stp>VOLUME</stp>
        <stp>.SPXW250508C5760</stp>
        <tr r="E97" s="2"/>
      </tp>
      <tp t="e">
        <v>#N/A</v>
        <stp/>
        <stp>VOLUME</stp>
        <stp>.SPXW250509C5770</stp>
        <tr r="BC95" s="1"/>
        <tr r="BC95" s="1"/>
      </tp>
      <tp t="e">
        <v>#N/A</v>
        <stp/>
        <stp>VOLUME</stp>
        <stp>.SPXW250516C5680</stp>
        <tr r="BE104" s="1"/>
        <tr r="BE104" s="1"/>
      </tp>
      <tp t="e">
        <v>#N/A</v>
        <stp/>
        <stp>VOLUME</stp>
        <stp>.SPXW250606C5780</stp>
        <tr r="J95" s="2"/>
      </tp>
      <tp t="e">
        <v>#N/A</v>
        <stp/>
        <stp>VOLUME</stp>
        <stp>.SPXW251128C5560</stp>
        <tr r="V117" s="2"/>
      </tp>
      <tp t="e">
        <v>#N/A</v>
        <stp/>
        <stp>VOLUME</stp>
        <stp>.SPXW251128P5560</stp>
        <tr r="V117" s="2"/>
      </tp>
      <tp t="e">
        <v>#N/A</v>
        <stp/>
        <stp>VOLUME</stp>
        <stp>.SPXW250829P5570</stp>
        <tr r="P116" s="2"/>
      </tp>
      <tp t="e">
        <v>#N/A</v>
        <stp/>
        <stp>VOLUME</stp>
        <stp>.SPXW250506P5780</stp>
        <tr r="C95" s="2"/>
      </tp>
      <tp t="e">
        <v>#N/A</v>
        <stp/>
        <stp>VOLUME</stp>
        <stp>.SPXW250507P5790</stp>
        <tr r="D94" s="2"/>
      </tp>
      <tp t="e">
        <v>#N/A</v>
        <stp/>
        <stp>VOLUME</stp>
        <stp>.SPXW250508P5760</stp>
        <tr r="E97" s="2"/>
      </tp>
      <tp t="e">
        <v>#N/A</v>
        <stp/>
        <stp>VOLUME</stp>
        <stp>.SPXW250509P5770</stp>
        <tr r="BD95" s="1"/>
        <tr r="BD95" s="1"/>
      </tp>
      <tp t="e">
        <v>#N/A</v>
        <stp/>
        <stp>VOLUME</stp>
        <stp>.SPXW250516P5680</stp>
        <tr r="BF104" s="1"/>
        <tr r="BF104" s="1"/>
      </tp>
      <tp t="e">
        <v>#N/A</v>
        <stp/>
        <stp>VOLUME</stp>
        <stp>.SPXW250606P5780</stp>
        <tr r="J95" s="2"/>
      </tp>
      <tp t="e">
        <v>#N/A</v>
        <stp/>
        <stp>VOLUME</stp>
        <stp>.SPXW250829C5560</stp>
        <tr r="P117" s="2"/>
      </tp>
      <tp t="e">
        <v>#N/A</v>
        <stp/>
        <stp>VOLUME</stp>
        <stp>.SPXW250506C5790</stp>
        <tr r="C94" s="2"/>
      </tp>
      <tp t="e">
        <v>#N/A</v>
        <stp/>
        <stp>VOLUME</stp>
        <stp>.SPXW250507C5780</stp>
        <tr r="D95" s="2"/>
      </tp>
      <tp t="e">
        <v>#N/A</v>
        <stp/>
        <stp>VOLUME</stp>
        <stp>.SPXW250508C5770</stp>
        <tr r="E96" s="2"/>
      </tp>
      <tp t="e">
        <v>#N/A</v>
        <stp/>
        <stp>VOLUME</stp>
        <stp>.SPXW250509C5760</stp>
        <tr r="BC96" s="1"/>
        <tr r="BC96" s="1"/>
      </tp>
      <tp t="e">
        <v>#N/A</v>
        <stp/>
        <stp>VOLUME</stp>
        <stp>.SPXW250516C5690</stp>
        <tr r="BE103" s="1"/>
        <tr r="BE103" s="1"/>
      </tp>
      <tp t="e">
        <v>#N/A</v>
        <stp/>
        <stp>VOLUME</stp>
        <stp>.SPXW250606C5790</stp>
        <tr r="J94" s="2"/>
      </tp>
      <tp t="e">
        <v>#N/A</v>
        <stp/>
        <stp>VOLUME</stp>
        <stp>.SPXW251128C5570</stp>
        <tr r="V116" s="2"/>
      </tp>
      <tp t="e">
        <v>#N/A</v>
        <stp/>
        <stp>VOLUME</stp>
        <stp>.SPXW251128P5570</stp>
        <tr r="V116" s="2"/>
      </tp>
      <tp t="e">
        <v>#N/A</v>
        <stp/>
        <stp>VOLUME</stp>
        <stp>.SPXW250829P5560</stp>
        <tr r="P117" s="2"/>
      </tp>
      <tp t="e">
        <v>#N/A</v>
        <stp/>
        <stp>VOLUME</stp>
        <stp>.SPXW250506P5790</stp>
        <tr r="C94" s="2"/>
      </tp>
      <tp t="e">
        <v>#N/A</v>
        <stp/>
        <stp>VOLUME</stp>
        <stp>.SPXW250507P5780</stp>
        <tr r="D95" s="2"/>
      </tp>
      <tp t="e">
        <v>#N/A</v>
        <stp/>
        <stp>VOLUME</stp>
        <stp>.SPXW250508P5770</stp>
        <tr r="E96" s="2"/>
      </tp>
      <tp t="e">
        <v>#N/A</v>
        <stp/>
        <stp>VOLUME</stp>
        <stp>.SPXW250509P5760</stp>
        <tr r="BD96" s="1"/>
        <tr r="BD96" s="1"/>
      </tp>
      <tp t="e">
        <v>#N/A</v>
        <stp/>
        <stp>VOLUME</stp>
        <stp>.SPXW250516P5690</stp>
        <tr r="BF103" s="1"/>
        <tr r="BF103" s="1"/>
      </tp>
      <tp t="e">
        <v>#N/A</v>
        <stp/>
        <stp>VOLUME</stp>
        <stp>.SPXW250606P5790</stp>
        <tr r="J94" s="2"/>
      </tp>
      <tp t="e">
        <v>#N/A</v>
        <stp/>
        <stp>VOLUME</stp>
        <stp>.SPYP554</stp>
        <tr r="G33" s="2"/>
        <tr r="F33" s="2"/>
      </tp>
      <tp t="e">
        <v>#N/A</v>
        <stp/>
        <stp>VOLUME</stp>
        <stp>.SPYC554</stp>
        <tr r="G33" s="2"/>
        <tr r="F33" s="2"/>
      </tp>
      <tp t="e">
        <v>#N/A</v>
        <stp/>
        <stp>VOLUME</stp>
        <stp>.SPYP555</stp>
        <tr r="F32" s="2"/>
        <tr r="G32" s="2"/>
      </tp>
      <tp t="e">
        <v>#N/A</v>
        <stp/>
        <stp>VOLUME</stp>
        <stp>.SPYC555</stp>
        <tr r="F32" s="2"/>
        <tr r="G32" s="2"/>
      </tp>
      <tp t="e">
        <v>#N/A</v>
        <stp/>
        <stp>VOLUME</stp>
        <stp>.SPYP556</stp>
        <tr r="G31" s="2"/>
        <tr r="F31" s="2"/>
      </tp>
      <tp t="e">
        <v>#N/A</v>
        <stp/>
        <stp>VOLUME</stp>
        <stp>.SPYC556</stp>
        <tr r="G31" s="2"/>
        <tr r="F31" s="2"/>
      </tp>
      <tp t="e">
        <v>#N/A</v>
        <stp/>
        <stp>VOLUME</stp>
        <stp>.SPYP557</stp>
        <tr r="G30" s="2"/>
        <tr r="F30" s="2"/>
      </tp>
      <tp t="e">
        <v>#N/A</v>
        <stp/>
        <stp>VOLUME</stp>
        <stp>.SPYC557</stp>
        <tr r="G30" s="2"/>
        <tr r="F30" s="2"/>
      </tp>
      <tp t="e">
        <v>#N/A</v>
        <stp/>
        <stp>VOLUME</stp>
        <stp>.SPYP550</stp>
        <tr r="G37" s="2"/>
        <tr r="F37" s="2"/>
      </tp>
      <tp t="e">
        <v>#N/A</v>
        <stp/>
        <stp>VOLUME</stp>
        <stp>.SPYC550</stp>
        <tr r="G37" s="2"/>
        <tr r="F37" s="2"/>
      </tp>
      <tp t="e">
        <v>#N/A</v>
        <stp/>
        <stp>VOLUME</stp>
        <stp>.SPYP551</stp>
        <tr r="F36" s="2"/>
        <tr r="G36" s="2"/>
      </tp>
      <tp t="e">
        <v>#N/A</v>
        <stp/>
        <stp>VOLUME</stp>
        <stp>.SPYC551</stp>
        <tr r="F36" s="2"/>
        <tr r="G36" s="2"/>
      </tp>
      <tp t="e">
        <v>#N/A</v>
        <stp/>
        <stp>VOLUME</stp>
        <stp>.SPYP552</stp>
        <tr r="F35" s="2"/>
        <tr r="G35" s="2"/>
      </tp>
      <tp t="e">
        <v>#N/A</v>
        <stp/>
        <stp>VOLUME</stp>
        <stp>.SPYC552</stp>
        <tr r="F35" s="2"/>
        <tr r="G35" s="2"/>
      </tp>
      <tp t="e">
        <v>#N/A</v>
        <stp/>
        <stp>VOLUME</stp>
        <stp>.SPYP553</stp>
        <tr r="F34" s="2"/>
        <tr r="G34" s="2"/>
      </tp>
      <tp t="e">
        <v>#N/A</v>
        <stp/>
        <stp>VOLUME</stp>
        <stp>.SPYC553</stp>
        <tr r="F34" s="2"/>
        <tr r="G34" s="2"/>
      </tp>
      <tp t="e">
        <v>#N/A</v>
        <stp/>
        <stp>VOLUME</stp>
        <stp>.SPYP558</stp>
        <tr r="F29" s="2"/>
        <tr r="G29" s="2"/>
      </tp>
      <tp t="e">
        <v>#N/A</v>
        <stp/>
        <stp>VOLUME</stp>
        <stp>.SPYC558</stp>
        <tr r="F29" s="2"/>
        <tr r="G29" s="2"/>
      </tp>
      <tp t="e">
        <v>#N/A</v>
        <stp/>
        <stp>VOLUME</stp>
        <stp>.SPYP559</stp>
        <tr r="F28" s="2"/>
        <tr r="G28" s="2"/>
      </tp>
      <tp t="e">
        <v>#N/A</v>
        <stp/>
        <stp>VOLUME</stp>
        <stp>.SPYC559</stp>
        <tr r="F28" s="2"/>
        <tr r="G28" s="2"/>
      </tp>
      <tp t="s">
        <v>N/A</v>
        <stp/>
        <stp>VOLUME</stp>
        <stp>.NDXP250829P20340</stp>
        <tr r="P143" s="2"/>
      </tp>
      <tp t="e">
        <v>#N/A</v>
        <stp/>
        <stp>VOLUME</stp>
        <stp>.NDXP250508P20240</stp>
        <tr r="E148" s="2"/>
      </tp>
      <tp t="s">
        <v>N/A</v>
        <stp/>
        <stp>VOLUME</stp>
        <stp>.NDXP250509P20340</stp>
        <tr r="BD142" s="1"/>
      </tp>
      <tp>
        <v>260</v>
        <stp/>
        <stp>VOLUME</stp>
        <stp>.NDXP250502P19840</stp>
        <tr r="BB167" s="1"/>
        <tr r="BB167" s="1"/>
      </tp>
      <tp t="e">
        <v>#N/A</v>
        <stp/>
        <stp>VOLUME</stp>
        <stp>.SPXW250829C5590</stp>
        <tr r="P114" s="2"/>
      </tp>
      <tp t="e">
        <v>#N/A</v>
        <stp/>
        <stp>VOLUME</stp>
        <stp>.SPXW250502C5720</stp>
        <tr r="BA100" s="1"/>
        <tr r="BA100" s="1"/>
      </tp>
      <tp t="e">
        <v>#N/A</v>
        <stp/>
        <stp>VOLUME</stp>
        <stp>.SPXW250505C5750</stp>
        <tr r="B98" s="2"/>
      </tp>
      <tp t="e">
        <v>#N/A</v>
        <stp/>
        <stp>VOLUME</stp>
        <stp>.SPXW250506C5760</stp>
        <tr r="C97" s="2"/>
      </tp>
      <tp t="e">
        <v>#N/A</v>
        <stp/>
        <stp>VOLUME</stp>
        <stp>.SPXW250507C5770</stp>
        <tr r="D96" s="2"/>
      </tp>
      <tp t="e">
        <v>#N/A</v>
        <stp/>
        <stp>VOLUME</stp>
        <stp>.SPXW250508C5780</stp>
        <tr r="E95" s="2"/>
      </tp>
      <tp t="e">
        <v>#N/A</v>
        <stp/>
        <stp>VOLUME</stp>
        <stp>.SPXW250509C5790</stp>
        <tr r="BC93" s="1"/>
        <tr r="BC93" s="1"/>
      </tp>
      <tp t="e">
        <v>#N/A</v>
        <stp/>
        <stp>VOLUME</stp>
        <stp>.SPXW250516C5660</stp>
        <tr r="BE106" s="1"/>
        <tr r="BE106" s="1"/>
      </tp>
      <tp t="e">
        <v>#N/A</v>
        <stp/>
        <stp>VOLUME</stp>
        <stp>.SPXW250606C5760</stp>
        <tr r="J97" s="2"/>
      </tp>
      <tp t="e">
        <v>#N/A</v>
        <stp/>
        <stp>VOLUME</stp>
        <stp>.SPXW251128C5580</stp>
        <tr r="V115" s="2"/>
      </tp>
      <tp t="e">
        <v>#N/A</v>
        <stp/>
        <stp>VOLUME</stp>
        <stp>.SPXW251128P5580</stp>
        <tr r="V115" s="2"/>
      </tp>
      <tp t="e">
        <v>#N/A</v>
        <stp/>
        <stp>VOLUME</stp>
        <stp>.SPXW250829P5590</stp>
        <tr r="P114" s="2"/>
      </tp>
      <tp t="e">
        <v>#N/A</v>
        <stp/>
        <stp>VOLUME</stp>
        <stp>.SPXW250502P5720</stp>
        <tr r="BB100" s="1"/>
        <tr r="BB100" s="1"/>
      </tp>
      <tp t="e">
        <v>#N/A</v>
        <stp/>
        <stp>VOLUME</stp>
        <stp>.SPXW250505P5750</stp>
        <tr r="B98" s="2"/>
      </tp>
      <tp t="e">
        <v>#N/A</v>
        <stp/>
        <stp>VOLUME</stp>
        <stp>.SPXW250506P5760</stp>
        <tr r="C97" s="2"/>
      </tp>
      <tp t="e">
        <v>#N/A</v>
        <stp/>
        <stp>VOLUME</stp>
        <stp>.SPXW250507P5770</stp>
        <tr r="D96" s="2"/>
      </tp>
      <tp t="e">
        <v>#N/A</v>
        <stp/>
        <stp>VOLUME</stp>
        <stp>.SPXW250508P5780</stp>
        <tr r="E95" s="2"/>
      </tp>
      <tp t="e">
        <v>#N/A</v>
        <stp/>
        <stp>VOLUME</stp>
        <stp>.SPXW250509P5790</stp>
        <tr r="BD93" s="1"/>
        <tr r="BD93" s="1"/>
      </tp>
      <tp t="e">
        <v>#N/A</v>
        <stp/>
        <stp>VOLUME</stp>
        <stp>.SPXW250516P5660</stp>
        <tr r="BF106" s="1"/>
        <tr r="BF106" s="1"/>
      </tp>
      <tp t="e">
        <v>#N/A</v>
        <stp/>
        <stp>VOLUME</stp>
        <stp>.SPXW250606P5760</stp>
        <tr r="J97" s="2"/>
      </tp>
      <tp t="e">
        <v>#N/A</v>
        <stp/>
        <stp>VOLUME</stp>
        <stp>.SPYP548</stp>
        <tr r="F39" s="2"/>
        <tr r="G39" s="2"/>
      </tp>
      <tp t="e">
        <v>#N/A</v>
        <stp/>
        <stp>VOLUME</stp>
        <stp>.SPYC548</stp>
        <tr r="F39" s="2"/>
        <tr r="G39" s="2"/>
      </tp>
      <tp t="e">
        <v>#N/A</v>
        <stp/>
        <stp>VOLUME</stp>
        <stp>.SPYP549</stp>
        <tr r="F38" s="2"/>
        <tr r="G38" s="2"/>
      </tp>
      <tp t="e">
        <v>#N/A</v>
        <stp/>
        <stp>VOLUME</stp>
        <stp>.SPYC549</stp>
        <tr r="F38" s="2"/>
        <tr r="G38" s="2"/>
      </tp>
      <tp t="e">
        <v>#N/A</v>
        <stp/>
        <stp>VOLUME</stp>
        <stp>.NDXP251128P20240</stp>
        <tr r="V148" s="2"/>
      </tp>
      <tp t="e">
        <v>#N/A</v>
        <stp/>
        <stp>VOLUME</stp>
        <stp>.SPXW250829C5580</stp>
        <tr r="P115" s="2"/>
      </tp>
      <tp t="e">
        <v>#N/A</v>
        <stp/>
        <stp>VOLUME</stp>
        <stp>.SPXW250502C5730</stp>
        <tr r="BA99" s="1"/>
        <tr r="BA99" s="1"/>
      </tp>
      <tp t="e">
        <v>#N/A</v>
        <stp/>
        <stp>VOLUME</stp>
        <stp>.SPXW250505C5740</stp>
        <tr r="B99" s="2"/>
      </tp>
      <tp t="e">
        <v>#N/A</v>
        <stp/>
        <stp>VOLUME</stp>
        <stp>.SPXW250506C5770</stp>
        <tr r="C96" s="2"/>
      </tp>
      <tp t="e">
        <v>#N/A</v>
        <stp/>
        <stp>VOLUME</stp>
        <stp>.SPXW250507C5760</stp>
        <tr r="D97" s="2"/>
      </tp>
      <tp t="e">
        <v>#N/A</v>
        <stp/>
        <stp>VOLUME</stp>
        <stp>.SPXW250508C5790</stp>
        <tr r="E94" s="2"/>
      </tp>
      <tp t="e">
        <v>#N/A</v>
        <stp/>
        <stp>VOLUME</stp>
        <stp>.SPXW250509C5780</stp>
        <tr r="BC94" s="1"/>
        <tr r="BC94" s="1"/>
      </tp>
      <tp t="e">
        <v>#N/A</v>
        <stp/>
        <stp>VOLUME</stp>
        <stp>.SPXW250516C5670</stp>
        <tr r="BE105" s="1"/>
        <tr r="BE105" s="1"/>
      </tp>
      <tp t="e">
        <v>#N/A</v>
        <stp/>
        <stp>VOLUME</stp>
        <stp>.SPXW250606C5770</stp>
        <tr r="J96" s="2"/>
      </tp>
      <tp t="e">
        <v>#N/A</v>
        <stp/>
        <stp>VOLUME</stp>
        <stp>.SPXW251128C5590</stp>
        <tr r="V114" s="2"/>
      </tp>
      <tp t="e">
        <v>#N/A</v>
        <stp/>
        <stp>VOLUME</stp>
        <stp>.SPXW251128P5590</stp>
        <tr r="V114" s="2"/>
      </tp>
      <tp t="e">
        <v>#N/A</v>
        <stp/>
        <stp>VOLUME</stp>
        <stp>.SPXW250829P5580</stp>
        <tr r="P115" s="2"/>
      </tp>
      <tp t="e">
        <v>#N/A</v>
        <stp/>
        <stp>VOLUME</stp>
        <stp>.SPXW250502P5730</stp>
        <tr r="BB99" s="1"/>
        <tr r="BB99" s="1"/>
      </tp>
      <tp t="e">
        <v>#N/A</v>
        <stp/>
        <stp>VOLUME</stp>
        <stp>.SPXW250505P5740</stp>
        <tr r="B99" s="2"/>
      </tp>
      <tp t="e">
        <v>#N/A</v>
        <stp/>
        <stp>VOLUME</stp>
        <stp>.SPXW250506P5770</stp>
        <tr r="C96" s="2"/>
      </tp>
      <tp t="e">
        <v>#N/A</v>
        <stp/>
        <stp>VOLUME</stp>
        <stp>.SPXW250507P5760</stp>
        <tr r="D97" s="2"/>
      </tp>
      <tp t="e">
        <v>#N/A</v>
        <stp/>
        <stp>VOLUME</stp>
        <stp>.SPXW250508P5790</stp>
        <tr r="E94" s="2"/>
      </tp>
      <tp t="e">
        <v>#N/A</v>
        <stp/>
        <stp>VOLUME</stp>
        <stp>.SPXW250509P5780</stp>
        <tr r="BD94" s="1"/>
        <tr r="BD94" s="1"/>
      </tp>
      <tp t="e">
        <v>#N/A</v>
        <stp/>
        <stp>VOLUME</stp>
        <stp>.SPXW250516P5670</stp>
        <tr r="BF105" s="1"/>
        <tr r="BF105" s="1"/>
      </tp>
      <tp t="e">
        <v>#N/A</v>
        <stp/>
        <stp>VOLUME</stp>
        <stp>.SPXW250606P5770</stp>
        <tr r="J96" s="2"/>
      </tp>
      <tp t="e">
        <v>#N/A</v>
        <stp/>
        <stp>VOLUME</stp>
        <stp>.SPYP574</stp>
        <tr r="F13" s="2"/>
        <tr r="G13" s="2"/>
      </tp>
      <tp t="e">
        <v>#N/A</v>
        <stp/>
        <stp>VOLUME</stp>
        <stp>.SPYC574</stp>
        <tr r="F13" s="2"/>
        <tr r="G13" s="2"/>
      </tp>
      <tp t="e">
        <v>#N/A</v>
        <stp/>
        <stp>VOLUME</stp>
        <stp>.SPYP575</stp>
        <tr r="G12" s="2"/>
        <tr r="F12" s="2"/>
      </tp>
      <tp t="e">
        <v>#N/A</v>
        <stp/>
        <stp>VOLUME</stp>
        <stp>.SPYC575</stp>
        <tr r="G12" s="2"/>
        <tr r="F12" s="2"/>
      </tp>
      <tp t="e">
        <v>#N/A</v>
        <stp/>
        <stp>VOLUME</stp>
        <stp>.SPYP576</stp>
        <tr r="F11" s="2"/>
        <tr r="G11" s="2"/>
      </tp>
      <tp t="e">
        <v>#N/A</v>
        <stp/>
        <stp>VOLUME</stp>
        <stp>.SPYC576</stp>
        <tr r="F11" s="2"/>
        <tr r="G11" s="2"/>
      </tp>
      <tp t="e">
        <v>#N/A</v>
        <stp/>
        <stp>VOLUME</stp>
        <stp>.SPYP577</stp>
        <tr r="F10" s="2"/>
        <tr r="G10" s="2"/>
      </tp>
      <tp t="e">
        <v>#N/A</v>
        <stp/>
        <stp>VOLUME</stp>
        <stp>.SPYC577</stp>
        <tr r="F10" s="2"/>
        <tr r="G10" s="2"/>
      </tp>
      <tp t="e">
        <v>#N/A</v>
        <stp/>
        <stp>VOLUME</stp>
        <stp>.SPYP570</stp>
        <tr r="G17" s="2"/>
        <tr r="F17" s="2"/>
      </tp>
      <tp t="e">
        <v>#N/A</v>
        <stp/>
        <stp>VOLUME</stp>
        <stp>.SPYC570</stp>
        <tr r="G17" s="2"/>
        <tr r="F17" s="2"/>
      </tp>
      <tp t="e">
        <v>#N/A</v>
        <stp/>
        <stp>VOLUME</stp>
        <stp>.SPYP571</stp>
        <tr r="G16" s="2"/>
        <tr r="F16" s="2"/>
      </tp>
      <tp t="e">
        <v>#N/A</v>
        <stp/>
        <stp>VOLUME</stp>
        <stp>.SPYC571</stp>
        <tr r="G16" s="2"/>
        <tr r="F16" s="2"/>
      </tp>
      <tp t="e">
        <v>#N/A</v>
        <stp/>
        <stp>VOLUME</stp>
        <stp>.SPYP572</stp>
        <tr r="G15" s="2"/>
        <tr r="F15" s="2"/>
      </tp>
      <tp t="e">
        <v>#N/A</v>
        <stp/>
        <stp>VOLUME</stp>
        <stp>.SPYC572</stp>
        <tr r="G15" s="2"/>
        <tr r="F15" s="2"/>
      </tp>
      <tp t="e">
        <v>#N/A</v>
        <stp/>
        <stp>VOLUME</stp>
        <stp>.SPYP573</stp>
        <tr r="G14" s="2"/>
        <tr r="F14" s="2"/>
      </tp>
      <tp t="e">
        <v>#N/A</v>
        <stp/>
        <stp>VOLUME</stp>
        <stp>.SPYC573</stp>
        <tr r="G14" s="2"/>
        <tr r="F14" s="2"/>
      </tp>
      <tp t="e">
        <v>#N/A</v>
        <stp/>
        <stp>VOLUME</stp>
        <stp>.SPYP578</stp>
        <tr r="G9" s="2"/>
        <tr r="F9" s="2"/>
      </tp>
      <tp t="e">
        <v>#N/A</v>
        <stp/>
        <stp>VOLUME</stp>
        <stp>.SPYC578</stp>
        <tr r="G9" s="2"/>
        <tr r="F9" s="2"/>
      </tp>
      <tp t="e">
        <v>#N/A</v>
        <stp/>
        <stp>VOLUME</stp>
        <stp>.SPYP579</stp>
        <tr r="F8" s="2"/>
        <tr r="G8" s="2"/>
      </tp>
      <tp t="e">
        <v>#N/A</v>
        <stp/>
        <stp>VOLUME</stp>
        <stp>.SPYC579</stp>
        <tr r="F8" s="2"/>
        <tr r="G8" s="2"/>
      </tp>
      <tp t="s">
        <v>N/A</v>
        <stp/>
        <stp>VOLUME</stp>
        <stp>.NDXP250829P20360</stp>
        <tr r="P142" s="2"/>
      </tp>
      <tp t="e">
        <v>#N/A</v>
        <stp/>
        <stp>VOLUME</stp>
        <stp>.NDXP250508P20260</stp>
        <tr r="E147" s="2"/>
      </tp>
      <tp t="s">
        <v>N/A</v>
        <stp/>
        <stp>VOLUME</stp>
        <stp>.NDXP250509P20360</stp>
        <tr r="BD141" s="1"/>
      </tp>
      <tp>
        <v>60</v>
        <stp/>
        <stp>VOLUME</stp>
        <stp>.NDXP250502P19860</stp>
        <tr r="BB166" s="1"/>
        <tr r="BB166" s="1"/>
      </tp>
      <tp t="e">
        <v>#N/A</v>
        <stp/>
        <stp>VOLUME</stp>
        <stp>.SPXW250930C5420</stp>
        <tr r="R131" s="2"/>
      </tp>
      <tp t="e">
        <v>#N/A</v>
        <stp/>
        <stp>VOLUME</stp>
        <stp>.SPXW250502C5700</stp>
        <tr r="BA102" s="1"/>
        <tr r="BA102" s="1"/>
      </tp>
      <tp t="e">
        <v>#N/A</v>
        <stp/>
        <stp>VOLUME</stp>
        <stp>.SPXW250505C5770</stp>
        <tr r="B96" s="2"/>
      </tp>
      <tp t="e">
        <v>#N/A</v>
        <stp/>
        <stp>VOLUME</stp>
        <stp>.SPXW250506C5740</stp>
        <tr r="C99" s="2"/>
      </tp>
      <tp t="e">
        <v>#N/A</v>
        <stp/>
        <stp>VOLUME</stp>
        <stp>.SPXW250507C5750</stp>
        <tr r="D98" s="2"/>
      </tp>
      <tp t="e">
        <v>#N/A</v>
        <stp/>
        <stp>VOLUME</stp>
        <stp>.SPXW250516C5640</stp>
        <tr r="BE108" s="1"/>
        <tr r="BE108" s="1"/>
      </tp>
      <tp t="e">
        <v>#N/A</v>
        <stp/>
        <stp>VOLUME</stp>
        <stp>.SPXW250530C5420</stp>
        <tr r="I131" s="2"/>
      </tp>
      <tp t="e">
        <v>#N/A</v>
        <stp/>
        <stp>VOLUME</stp>
        <stp>.SPXW250731C5430</stp>
        <tr r="N130" s="2"/>
      </tp>
      <tp t="e">
        <v>#N/A</v>
        <stp/>
        <stp>VOLUME</stp>
        <stp>.SPXW250606C5740</stp>
        <tr r="J99" s="2"/>
      </tp>
      <tp t="e">
        <v>#N/A</v>
        <stp/>
        <stp>VOLUME</stp>
        <stp>.SPXW250630C5420</stp>
        <tr r="L131" s="2"/>
      </tp>
      <tp t="e">
        <v>#N/A</v>
        <stp/>
        <stp>VOLUME</stp>
        <stp>.SPXW251031C5430</stp>
        <tr r="T130" s="2"/>
      </tp>
      <tp t="e">
        <v>#N/A</v>
        <stp/>
        <stp>VOLUME</stp>
        <stp>.SPXW251231C5430</stp>
        <tr r="X130" s="2"/>
      </tp>
      <tp t="e">
        <v>#N/A</v>
        <stp/>
        <stp>VOLUME</stp>
        <stp>.SPXW251031P5430</stp>
        <tr r="T130" s="2"/>
      </tp>
      <tp t="e">
        <v>#N/A</v>
        <stp/>
        <stp>VOLUME</stp>
        <stp>.SPXW251231P5430</stp>
        <tr r="X130" s="2"/>
      </tp>
      <tp t="e">
        <v>#N/A</v>
        <stp/>
        <stp>VOLUME</stp>
        <stp>.SPXW250930P5420</stp>
        <tr r="R131" s="2"/>
      </tp>
      <tp t="e">
        <v>#N/A</v>
        <stp/>
        <stp>VOLUME</stp>
        <stp>.SPXW250502P5700</stp>
        <tr r="BB102" s="1"/>
        <tr r="BB102" s="1"/>
      </tp>
      <tp t="e">
        <v>#N/A</v>
        <stp/>
        <stp>VOLUME</stp>
        <stp>.SPXW250505P5770</stp>
        <tr r="B96" s="2"/>
      </tp>
      <tp t="e">
        <v>#N/A</v>
        <stp/>
        <stp>VOLUME</stp>
        <stp>.SPXW250506P5740</stp>
        <tr r="C99" s="2"/>
      </tp>
      <tp t="e">
        <v>#N/A</v>
        <stp/>
        <stp>VOLUME</stp>
        <stp>.SPXW250507P5750</stp>
        <tr r="D98" s="2"/>
      </tp>
      <tp t="e">
        <v>#N/A</v>
        <stp/>
        <stp>VOLUME</stp>
        <stp>.SPXW250516P5640</stp>
        <tr r="BF108" s="1"/>
        <tr r="BF108" s="1"/>
      </tp>
      <tp t="e">
        <v>#N/A</v>
        <stp/>
        <stp>VOLUME</stp>
        <stp>.SPXW250530P5420</stp>
        <tr r="I131" s="2"/>
      </tp>
      <tp t="e">
        <v>#N/A</v>
        <stp/>
        <stp>VOLUME</stp>
        <stp>.SPXW250731P5430</stp>
        <tr r="N130" s="2"/>
      </tp>
      <tp t="e">
        <v>#N/A</v>
        <stp/>
        <stp>VOLUME</stp>
        <stp>.SPXW250606P5740</stp>
        <tr r="J99" s="2"/>
      </tp>
      <tp t="e">
        <v>#N/A</v>
        <stp/>
        <stp>VOLUME</stp>
        <stp>.SPXW250630P5420</stp>
        <tr r="L131" s="2"/>
      </tp>
      <tp t="e">
        <v>#N/A</v>
        <stp/>
        <stp>VOLUME</stp>
        <stp>.SPYP564</stp>
        <tr r="G23" s="2"/>
        <tr r="F23" s="2"/>
      </tp>
      <tp t="e">
        <v>#N/A</v>
        <stp/>
        <stp>VOLUME</stp>
        <stp>.SPYC564</stp>
        <tr r="G23" s="2"/>
        <tr r="F23" s="2"/>
      </tp>
      <tp t="e">
        <v>#N/A</v>
        <stp/>
        <stp>VOLUME</stp>
        <stp>.SPYP565</stp>
        <tr r="G22" s="2"/>
        <tr r="F22" s="2"/>
      </tp>
      <tp t="e">
        <v>#N/A</v>
        <stp/>
        <stp>VOLUME</stp>
        <stp>.SPYC565</stp>
        <tr r="G22" s="2"/>
        <tr r="F22" s="2"/>
      </tp>
      <tp t="e">
        <v>#N/A</v>
        <stp/>
        <stp>VOLUME</stp>
        <stp>.SPYP566</stp>
        <tr r="G21" s="2"/>
        <tr r="F21" s="2"/>
      </tp>
      <tp t="e">
        <v>#N/A</v>
        <stp/>
        <stp>VOLUME</stp>
        <stp>.SPYC566</stp>
        <tr r="G21" s="2"/>
        <tr r="F21" s="2"/>
      </tp>
      <tp t="e">
        <v>#N/A</v>
        <stp/>
        <stp>VOLUME</stp>
        <stp>.SPYP567</stp>
        <tr r="F20" s="2"/>
        <tr r="G20" s="2"/>
      </tp>
      <tp t="e">
        <v>#N/A</v>
        <stp/>
        <stp>VOLUME</stp>
        <stp>.SPYC567</stp>
        <tr r="F20" s="2"/>
        <tr r="G20" s="2"/>
      </tp>
      <tp t="e">
        <v>#N/A</v>
        <stp/>
        <stp>VOLUME</stp>
        <stp>.SPYP560</stp>
        <tr r="G27" s="2"/>
        <tr r="F27" s="2"/>
      </tp>
      <tp t="e">
        <v>#N/A</v>
        <stp/>
        <stp>VOLUME</stp>
        <stp>.SPYC560</stp>
        <tr r="G27" s="2"/>
        <tr r="F27" s="2"/>
      </tp>
      <tp t="e">
        <v>#N/A</v>
        <stp/>
        <stp>VOLUME</stp>
        <stp>.SPYP561</stp>
        <tr r="F26" s="2"/>
        <tr r="G26" s="2"/>
      </tp>
      <tp t="e">
        <v>#N/A</v>
        <stp/>
        <stp>VOLUME</stp>
        <stp>.SPYC561</stp>
        <tr r="F26" s="2"/>
        <tr r="G26" s="2"/>
      </tp>
      <tp t="e">
        <v>#N/A</v>
        <stp/>
        <stp>VOLUME</stp>
        <stp>.SPYP562</stp>
        <tr r="F25" s="2"/>
        <tr r="G25" s="2"/>
      </tp>
      <tp t="e">
        <v>#N/A</v>
        <stp/>
        <stp>VOLUME</stp>
        <stp>.SPYC562</stp>
        <tr r="F25" s="2"/>
        <tr r="G25" s="2"/>
      </tp>
      <tp t="e">
        <v>#N/A</v>
        <stp/>
        <stp>VOLUME</stp>
        <stp>.SPYP563</stp>
        <tr r="G24" s="2"/>
        <tr r="F24" s="2"/>
      </tp>
      <tp t="e">
        <v>#N/A</v>
        <stp/>
        <stp>VOLUME</stp>
        <stp>.SPYC563</stp>
        <tr r="G24" s="2"/>
        <tr r="F24" s="2"/>
      </tp>
      <tp t="e">
        <v>#N/A</v>
        <stp/>
        <stp>VOLUME</stp>
        <stp>.SPYP568</stp>
        <tr r="F19" s="2"/>
        <tr r="G19" s="2"/>
      </tp>
      <tp t="e">
        <v>#N/A</v>
        <stp/>
        <stp>VOLUME</stp>
        <stp>.SPYC568</stp>
        <tr r="F19" s="2"/>
        <tr r="G19" s="2"/>
      </tp>
      <tp t="e">
        <v>#N/A</v>
        <stp/>
        <stp>VOLUME</stp>
        <stp>.SPYP569</stp>
        <tr r="G18" s="2"/>
        <tr r="F18" s="2"/>
      </tp>
      <tp t="e">
        <v>#N/A</v>
        <stp/>
        <stp>VOLUME</stp>
        <stp>.SPYC569</stp>
        <tr r="G18" s="2"/>
        <tr r="F18" s="2"/>
      </tp>
      <tp t="e">
        <v>#N/A</v>
        <stp/>
        <stp>VOLUME</stp>
        <stp>.NDXP251128P20260</stp>
        <tr r="V147" s="2"/>
      </tp>
      <tp t="e">
        <v>#N/A</v>
        <stp/>
        <stp>VOLUME</stp>
        <stp>.SPXW250930C5430</stp>
        <tr r="R130" s="2"/>
      </tp>
      <tp t="e">
        <v>#N/A</v>
        <stp/>
        <stp>VOLUME</stp>
        <stp>.SPXW250502C5710</stp>
        <tr r="BA101" s="1"/>
        <tr r="BA101" s="1"/>
      </tp>
      <tp t="e">
        <v>#N/A</v>
        <stp/>
        <stp>VOLUME</stp>
        <stp>.SPXW250505C5760</stp>
        <tr r="B97" s="2"/>
      </tp>
      <tp t="e">
        <v>#N/A</v>
        <stp/>
        <stp>VOLUME</stp>
        <stp>.SPXW250506C5750</stp>
        <tr r="C98" s="2"/>
      </tp>
      <tp t="e">
        <v>#N/A</v>
        <stp/>
        <stp>VOLUME</stp>
        <stp>.SPXW250507C5740</stp>
        <tr r="D99" s="2"/>
      </tp>
      <tp t="e">
        <v>#N/A</v>
        <stp/>
        <stp>VOLUME</stp>
        <stp>.SPXW250516C5650</stp>
        <tr r="BE107" s="1"/>
        <tr r="BE107" s="1"/>
      </tp>
      <tp t="e">
        <v>#N/A</v>
        <stp/>
        <stp>VOLUME</stp>
        <stp>.SPXW250530C5430</stp>
        <tr r="I130" s="2"/>
      </tp>
      <tp t="e">
        <v>#N/A</v>
        <stp/>
        <stp>VOLUME</stp>
        <stp>.SPXW250731C5420</stp>
        <tr r="N131" s="2"/>
      </tp>
      <tp t="e">
        <v>#N/A</v>
        <stp/>
        <stp>VOLUME</stp>
        <stp>.SPXW250606C5750</stp>
        <tr r="J98" s="2"/>
      </tp>
      <tp t="e">
        <v>#N/A</v>
        <stp/>
        <stp>VOLUME</stp>
        <stp>.SPXW250630C5430</stp>
        <tr r="L130" s="2"/>
      </tp>
      <tp t="e">
        <v>#N/A</v>
        <stp/>
        <stp>VOLUME</stp>
        <stp>.SPXW251031C5420</stp>
        <tr r="T131" s="2"/>
      </tp>
      <tp t="e">
        <v>#N/A</v>
        <stp/>
        <stp>VOLUME</stp>
        <stp>.SPXW251231C5420</stp>
        <tr r="X131" s="2"/>
      </tp>
      <tp t="e">
        <v>#N/A</v>
        <stp/>
        <stp>VOLUME</stp>
        <stp>.SPXW251031P5420</stp>
        <tr r="T131" s="2"/>
      </tp>
      <tp t="e">
        <v>#N/A</v>
        <stp/>
        <stp>VOLUME</stp>
        <stp>.SPXW251231P5420</stp>
        <tr r="X131" s="2"/>
      </tp>
      <tp t="e">
        <v>#N/A</v>
        <stp/>
        <stp>VOLUME</stp>
        <stp>.SPXW250930P5430</stp>
        <tr r="R130" s="2"/>
      </tp>
      <tp t="e">
        <v>#N/A</v>
        <stp/>
        <stp>VOLUME</stp>
        <stp>.SPXW250502P5710</stp>
        <tr r="BB101" s="1"/>
        <tr r="BB101" s="1"/>
      </tp>
      <tp t="e">
        <v>#N/A</v>
        <stp/>
        <stp>VOLUME</stp>
        <stp>.SPXW250505P5760</stp>
        <tr r="B97" s="2"/>
      </tp>
      <tp t="e">
        <v>#N/A</v>
        <stp/>
        <stp>VOLUME</stp>
        <stp>.SPXW250506P5750</stp>
        <tr r="C98" s="2"/>
      </tp>
      <tp t="e">
        <v>#N/A</v>
        <stp/>
        <stp>VOLUME</stp>
        <stp>.SPXW250507P5740</stp>
        <tr r="D99" s="2"/>
      </tp>
      <tp t="e">
        <v>#N/A</v>
        <stp/>
        <stp>VOLUME</stp>
        <stp>.SPXW250516P5650</stp>
        <tr r="BF107" s="1"/>
        <tr r="BF107" s="1"/>
      </tp>
      <tp t="e">
        <v>#N/A</v>
        <stp/>
        <stp>VOLUME</stp>
        <stp>.SPXW250530P5430</stp>
        <tr r="I130" s="2"/>
      </tp>
      <tp t="e">
        <v>#N/A</v>
        <stp/>
        <stp>VOLUME</stp>
        <stp>.SPXW250731P5420</stp>
        <tr r="N131" s="2"/>
      </tp>
      <tp t="e">
        <v>#N/A</v>
        <stp/>
        <stp>VOLUME</stp>
        <stp>.SPXW250606P5750</stp>
        <tr r="J98" s="2"/>
      </tp>
      <tp t="e">
        <v>#N/A</v>
        <stp/>
        <stp>VOLUME</stp>
        <stp>.SPXW250630P5430</stp>
        <tr r="L130" s="2"/>
      </tp>
      <tp t="s">
        <v>N/A</v>
        <stp/>
        <stp>VOLUME</stp>
        <stp>.NDXP250829P20300</stp>
        <tr r="P145" s="2"/>
      </tp>
      <tp t="e">
        <v>#N/A</v>
        <stp/>
        <stp>VOLUME</stp>
        <stp>.NDXP250508P20200</stp>
        <tr r="E150" s="2"/>
      </tp>
      <tp>
        <v>1</v>
        <stp/>
        <stp>VOLUME</stp>
        <stp>.NDXP250509P20300</stp>
        <tr r="BD144" s="1"/>
        <tr r="BD144" s="1"/>
      </tp>
      <tp>
        <v>692</v>
        <stp/>
        <stp>VOLUME</stp>
        <stp>.NDXP250502P19800</stp>
        <tr r="BB169" s="1"/>
        <tr r="BB169" s="1"/>
      </tp>
      <tp t="e">
        <v>#N/A</v>
        <stp/>
        <stp>VOLUME</stp>
        <stp>.SPXW250930C5440</stp>
        <tr r="R129" s="2"/>
      </tp>
      <tp t="e">
        <v>#N/A</v>
        <stp/>
        <stp>VOLUME</stp>
        <stp>.SPXW250502C5760</stp>
        <tr r="BA96" s="1"/>
        <tr r="BA96" s="1"/>
      </tp>
      <tp t="e">
        <v>#N/A</v>
        <stp/>
        <stp>VOLUME</stp>
        <stp>.SPXW250505C5710</stp>
        <tr r="B102" s="2"/>
      </tp>
      <tp t="e">
        <v>#N/A</v>
        <stp/>
        <stp>VOLUME</stp>
        <stp>.SPXW250506C5720</stp>
        <tr r="C101" s="2"/>
      </tp>
      <tp t="e">
        <v>#N/A</v>
        <stp/>
        <stp>VOLUME</stp>
        <stp>.SPXW250507C5730</stp>
        <tr r="D100" s="2"/>
      </tp>
      <tp t="e">
        <v>#N/A</v>
        <stp/>
        <stp>VOLUME</stp>
        <stp>.SPXW250516C5620</stp>
        <tr r="BE110" s="1"/>
        <tr r="BE110" s="1"/>
      </tp>
      <tp t="e">
        <v>#N/A</v>
        <stp/>
        <stp>VOLUME</stp>
        <stp>.SPXW250530C5440</stp>
        <tr r="I129" s="2"/>
      </tp>
      <tp t="e">
        <v>#N/A</v>
        <stp/>
        <stp>VOLUME</stp>
        <stp>.SPXW250731C5450</stp>
        <tr r="N128" s="2"/>
      </tp>
      <tp t="e">
        <v>#N/A</v>
        <stp/>
        <stp>VOLUME</stp>
        <stp>.SPXW250606C5720</stp>
        <tr r="J101" s="2"/>
      </tp>
      <tp t="e">
        <v>#N/A</v>
        <stp/>
        <stp>VOLUME</stp>
        <stp>.SPXW250630C5440</stp>
        <tr r="L129" s="2"/>
      </tp>
      <tp t="e">
        <v>#N/A</v>
        <stp/>
        <stp>VOLUME</stp>
        <stp>.SPXW251031C5450</stp>
        <tr r="T128" s="2"/>
      </tp>
      <tp t="e">
        <v>#N/A</v>
        <stp/>
        <stp>VOLUME</stp>
        <stp>.SPXW251231C5450</stp>
        <tr r="X128" s="2"/>
      </tp>
      <tp t="e">
        <v>#N/A</v>
        <stp/>
        <stp>VOLUME</stp>
        <stp>.SPXW251031P5450</stp>
        <tr r="T128" s="2"/>
      </tp>
      <tp t="e">
        <v>#N/A</v>
        <stp/>
        <stp>VOLUME</stp>
        <stp>.SPXW251231P5450</stp>
        <tr r="X128" s="2"/>
      </tp>
      <tp t="e">
        <v>#N/A</v>
        <stp/>
        <stp>VOLUME</stp>
        <stp>.SPXW250930P5440</stp>
        <tr r="R129" s="2"/>
      </tp>
      <tp t="e">
        <v>#N/A</v>
        <stp/>
        <stp>VOLUME</stp>
        <stp>.SPXW250502P5760</stp>
        <tr r="BB96" s="1"/>
        <tr r="BB96" s="1"/>
      </tp>
      <tp t="e">
        <v>#N/A</v>
        <stp/>
        <stp>VOLUME</stp>
        <stp>.SPXW250505P5710</stp>
        <tr r="B102" s="2"/>
      </tp>
      <tp t="e">
        <v>#N/A</v>
        <stp/>
        <stp>VOLUME</stp>
        <stp>.SPXW250506P5720</stp>
        <tr r="C101" s="2"/>
      </tp>
      <tp t="e">
        <v>#N/A</v>
        <stp/>
        <stp>VOLUME</stp>
        <stp>.SPXW250507P5730</stp>
        <tr r="D100" s="2"/>
      </tp>
      <tp t="e">
        <v>#N/A</v>
        <stp/>
        <stp>VOLUME</stp>
        <stp>.SPXW250516P5620</stp>
        <tr r="BF110" s="1"/>
        <tr r="BF110" s="1"/>
      </tp>
      <tp t="e">
        <v>#N/A</v>
        <stp/>
        <stp>VOLUME</stp>
        <stp>.SPXW250530P5440</stp>
        <tr r="I129" s="2"/>
      </tp>
      <tp t="e">
        <v>#N/A</v>
        <stp/>
        <stp>VOLUME</stp>
        <stp>.SPXW250731P5450</stp>
        <tr r="N128" s="2"/>
      </tp>
      <tp t="e">
        <v>#N/A</v>
        <stp/>
        <stp>VOLUME</stp>
        <stp>.SPXW250606P5720</stp>
        <tr r="J101" s="2"/>
      </tp>
      <tp t="e">
        <v>#N/A</v>
        <stp/>
        <stp>VOLUME</stp>
        <stp>.SPXW250630P5440</stp>
        <tr r="L129" s="2"/>
      </tp>
      <tp t="e">
        <v>#N/A</v>
        <stp/>
        <stp>VOLUME</stp>
        <stp>.NDXP251128P20200</stp>
        <tr r="V150" s="2"/>
      </tp>
      <tp t="e">
        <v>#N/A</v>
        <stp/>
        <stp>VOLUME</stp>
        <stp>.SPXW250930C5450</stp>
        <tr r="R128" s="2"/>
      </tp>
      <tp t="e">
        <v>#N/A</v>
        <stp/>
        <stp>VOLUME</stp>
        <stp>.SPXW250502C5770</stp>
        <tr r="BA95" s="1"/>
        <tr r="BA95" s="1"/>
      </tp>
      <tp t="e">
        <v>#N/A</v>
        <stp/>
        <stp>VOLUME</stp>
        <stp>.SPXW250505C5700</stp>
        <tr r="B103" s="2"/>
      </tp>
      <tp t="e">
        <v>#N/A</v>
        <stp/>
        <stp>VOLUME</stp>
        <stp>.SPXW250506C5730</stp>
        <tr r="C100" s="2"/>
      </tp>
      <tp t="e">
        <v>#N/A</v>
        <stp/>
        <stp>VOLUME</stp>
        <stp>.SPXW250507C5720</stp>
        <tr r="D101" s="2"/>
      </tp>
      <tp t="e">
        <v>#N/A</v>
        <stp/>
        <stp>VOLUME</stp>
        <stp>.SPXW250516C5630</stp>
        <tr r="BE109" s="1"/>
        <tr r="BE109" s="1"/>
      </tp>
      <tp t="e">
        <v>#N/A</v>
        <stp/>
        <stp>VOLUME</stp>
        <stp>.SPXW250530C5450</stp>
        <tr r="I128" s="2"/>
      </tp>
      <tp t="e">
        <v>#N/A</v>
        <stp/>
        <stp>VOLUME</stp>
        <stp>.SPXW250731C5440</stp>
        <tr r="N129" s="2"/>
      </tp>
      <tp t="e">
        <v>#N/A</v>
        <stp/>
        <stp>VOLUME</stp>
        <stp>.SPXW250606C5730</stp>
        <tr r="J100" s="2"/>
      </tp>
      <tp t="e">
        <v>#N/A</v>
        <stp/>
        <stp>VOLUME</stp>
        <stp>.SPXW250630C5450</stp>
        <tr r="L128" s="2"/>
      </tp>
      <tp t="e">
        <v>#N/A</v>
        <stp/>
        <stp>VOLUME</stp>
        <stp>.SPXW251031C5440</stp>
        <tr r="T129" s="2"/>
      </tp>
      <tp t="e">
        <v>#N/A</v>
        <stp/>
        <stp>VOLUME</stp>
        <stp>.SPXW251231C5440</stp>
        <tr r="X129" s="2"/>
      </tp>
      <tp t="e">
        <v>#N/A</v>
        <stp/>
        <stp>VOLUME</stp>
        <stp>.SPXW251031P5440</stp>
        <tr r="T129" s="2"/>
      </tp>
      <tp t="e">
        <v>#N/A</v>
        <stp/>
        <stp>VOLUME</stp>
        <stp>.SPXW251231P5440</stp>
        <tr r="X129" s="2"/>
      </tp>
      <tp t="e">
        <v>#N/A</v>
        <stp/>
        <stp>VOLUME</stp>
        <stp>.SPXW250930P5450</stp>
        <tr r="R128" s="2"/>
      </tp>
      <tp t="e">
        <v>#N/A</v>
        <stp/>
        <stp>VOLUME</stp>
        <stp>.SPXW250502P5770</stp>
        <tr r="BB95" s="1"/>
        <tr r="BB95" s="1"/>
      </tp>
      <tp t="e">
        <v>#N/A</v>
        <stp/>
        <stp>VOLUME</stp>
        <stp>.SPXW250505P5700</stp>
        <tr r="B103" s="2"/>
      </tp>
      <tp t="e">
        <v>#N/A</v>
        <stp/>
        <stp>VOLUME</stp>
        <stp>.SPXW250506P5730</stp>
        <tr r="C100" s="2"/>
      </tp>
      <tp t="e">
        <v>#N/A</v>
        <stp/>
        <stp>VOLUME</stp>
        <stp>.SPXW250507P5720</stp>
        <tr r="D101" s="2"/>
      </tp>
      <tp t="e">
        <v>#N/A</v>
        <stp/>
        <stp>VOLUME</stp>
        <stp>.SPXW250516P5630</stp>
        <tr r="BF109" s="1"/>
        <tr r="BF109" s="1"/>
      </tp>
      <tp t="e">
        <v>#N/A</v>
        <stp/>
        <stp>VOLUME</stp>
        <stp>.SPXW250530P5450</stp>
        <tr r="I128" s="2"/>
      </tp>
      <tp t="e">
        <v>#N/A</v>
        <stp/>
        <stp>VOLUME</stp>
        <stp>.SPXW250731P5440</stp>
        <tr r="N129" s="2"/>
      </tp>
      <tp t="e">
        <v>#N/A</v>
        <stp/>
        <stp>VOLUME</stp>
        <stp>.SPXW250606P5730</stp>
        <tr r="J100" s="2"/>
      </tp>
      <tp t="e">
        <v>#N/A</v>
        <stp/>
        <stp>VOLUME</stp>
        <stp>.SPXW250630P5450</stp>
        <tr r="L128" s="2"/>
      </tp>
      <tp t="s">
        <v>N/A</v>
        <stp/>
        <stp>VOLUME</stp>
        <stp>.NDXP250829P20320</stp>
        <tr r="P144" s="2"/>
      </tp>
      <tp t="e">
        <v>#N/A</v>
        <stp/>
        <stp>VOLUME</stp>
        <stp>.NDXP250508P20220</stp>
        <tr r="E149" s="2"/>
      </tp>
      <tp t="s">
        <v>N/A</v>
        <stp/>
        <stp>VOLUME</stp>
        <stp>.NDXP250509P20320</stp>
        <tr r="BD143" s="1"/>
      </tp>
      <tp>
        <v>42</v>
        <stp/>
        <stp>VOLUME</stp>
        <stp>.NDXP250502P19820</stp>
        <tr r="BB168" s="1"/>
        <tr r="BB168" s="1"/>
      </tp>
      <tp t="e">
        <v>#N/A</v>
        <stp/>
        <stp>VOLUME</stp>
        <stp>.SPXW250930C5460</stp>
        <tr r="R127" s="2"/>
      </tp>
      <tp t="e">
        <v>#N/A</v>
        <stp/>
        <stp>VOLUME</stp>
        <stp>.SPXW250502C5740</stp>
        <tr r="BA98" s="1"/>
        <tr r="BA98" s="1"/>
      </tp>
      <tp t="e">
        <v>#N/A</v>
        <stp/>
        <stp>VOLUME</stp>
        <stp>.SPXW250505C5730</stp>
        <tr r="B100" s="2"/>
      </tp>
      <tp t="e">
        <v>#N/A</v>
        <stp/>
        <stp>VOLUME</stp>
        <stp>.SPXW250506C5700</stp>
        <tr r="C103" s="2"/>
      </tp>
      <tp t="e">
        <v>#N/A</v>
        <stp/>
        <stp>VOLUME</stp>
        <stp>.SPXW250507C5710</stp>
        <tr r="D102" s="2"/>
      </tp>
      <tp t="e">
        <v>#N/A</v>
        <stp/>
        <stp>VOLUME</stp>
        <stp>.SPXW250516C5600</stp>
        <tr r="BE112" s="1"/>
        <tr r="BE112" s="1"/>
      </tp>
      <tp t="e">
        <v>#N/A</v>
        <stp/>
        <stp>VOLUME</stp>
        <stp>.SPXW250530C5460</stp>
        <tr r="I127" s="2"/>
      </tp>
      <tp t="e">
        <v>#N/A</v>
        <stp/>
        <stp>VOLUME</stp>
        <stp>.SPXW250731C5470</stp>
        <tr r="N126" s="2"/>
      </tp>
      <tp t="e">
        <v>#N/A</v>
        <stp/>
        <stp>VOLUME</stp>
        <stp>.SPXW250606C5700</stp>
        <tr r="J103" s="2"/>
      </tp>
      <tp t="e">
        <v>#N/A</v>
        <stp/>
        <stp>VOLUME</stp>
        <stp>.SPXW250630C5460</stp>
        <tr r="L127" s="2"/>
      </tp>
      <tp t="e">
        <v>#N/A</v>
        <stp/>
        <stp>VOLUME</stp>
        <stp>.SPXW251031C5470</stp>
        <tr r="T126" s="2"/>
      </tp>
      <tp t="e">
        <v>#N/A</v>
        <stp/>
        <stp>VOLUME</stp>
        <stp>.SPXW251231C5470</stp>
        <tr r="X126" s="2"/>
      </tp>
      <tp t="e">
        <v>#N/A</v>
        <stp/>
        <stp>VOLUME</stp>
        <stp>.SPXW251031P5470</stp>
        <tr r="T126" s="2"/>
      </tp>
      <tp t="e">
        <v>#N/A</v>
        <stp/>
        <stp>VOLUME</stp>
        <stp>.SPXW251231P5470</stp>
        <tr r="X126" s="2"/>
      </tp>
      <tp t="e">
        <v>#N/A</v>
        <stp/>
        <stp>VOLUME</stp>
        <stp>.SPXW250930P5460</stp>
        <tr r="R127" s="2"/>
      </tp>
      <tp t="e">
        <v>#N/A</v>
        <stp/>
        <stp>VOLUME</stp>
        <stp>.SPXW250502P5740</stp>
        <tr r="BB98" s="1"/>
        <tr r="BB98" s="1"/>
      </tp>
      <tp t="e">
        <v>#N/A</v>
        <stp/>
        <stp>VOLUME</stp>
        <stp>.SPXW250505P5730</stp>
        <tr r="B100" s="2"/>
      </tp>
      <tp t="e">
        <v>#N/A</v>
        <stp/>
        <stp>VOLUME</stp>
        <stp>.SPXW250506P5700</stp>
        <tr r="C103" s="2"/>
      </tp>
      <tp t="e">
        <v>#N/A</v>
        <stp/>
        <stp>VOLUME</stp>
        <stp>.SPXW250507P5710</stp>
        <tr r="D102" s="2"/>
      </tp>
      <tp t="e">
        <v>#N/A</v>
        <stp/>
        <stp>VOLUME</stp>
        <stp>.SPXW250516P5600</stp>
        <tr r="BF112" s="1"/>
        <tr r="BF112" s="1"/>
      </tp>
      <tp t="e">
        <v>#N/A</v>
        <stp/>
        <stp>VOLUME</stp>
        <stp>.SPXW250530P5460</stp>
        <tr r="I127" s="2"/>
      </tp>
      <tp t="e">
        <v>#N/A</v>
        <stp/>
        <stp>VOLUME</stp>
        <stp>.SPXW250731P5470</stp>
        <tr r="N126" s="2"/>
      </tp>
      <tp t="e">
        <v>#N/A</v>
        <stp/>
        <stp>VOLUME</stp>
        <stp>.SPXW250606P5700</stp>
        <tr r="J103" s="2"/>
      </tp>
      <tp t="e">
        <v>#N/A</v>
        <stp/>
        <stp>VOLUME</stp>
        <stp>.SPXW250630P5460</stp>
        <tr r="L127" s="2"/>
      </tp>
      <tp t="e">
        <v>#N/A</v>
        <stp/>
        <stp>VOLUME</stp>
        <stp>.NDXP251128P20220</stp>
        <tr r="V149" s="2"/>
      </tp>
      <tp t="e">
        <v>#N/A</v>
        <stp/>
        <stp>VOLUME</stp>
        <stp>.SPXW250930C5470</stp>
        <tr r="R126" s="2"/>
      </tp>
      <tp t="e">
        <v>#N/A</v>
        <stp/>
        <stp>VOLUME</stp>
        <stp>.SPXW250502C5750</stp>
        <tr r="BA97" s="1"/>
        <tr r="BA97" s="1"/>
      </tp>
      <tp t="e">
        <v>#N/A</v>
        <stp/>
        <stp>VOLUME</stp>
        <stp>.SPXW250505C5720</stp>
        <tr r="B101" s="2"/>
      </tp>
      <tp t="e">
        <v>#N/A</v>
        <stp/>
        <stp>VOLUME</stp>
        <stp>.SPXW250506C5710</stp>
        <tr r="C102" s="2"/>
      </tp>
      <tp t="e">
        <v>#N/A</v>
        <stp/>
        <stp>VOLUME</stp>
        <stp>.SPXW250507C5700</stp>
        <tr r="D103" s="2"/>
      </tp>
      <tp t="e">
        <v>#N/A</v>
        <stp/>
        <stp>VOLUME</stp>
        <stp>.SPXW250516C5610</stp>
        <tr r="BE111" s="1"/>
        <tr r="BE111" s="1"/>
      </tp>
      <tp t="e">
        <v>#N/A</v>
        <stp/>
        <stp>VOLUME</stp>
        <stp>.SPXW250530C5470</stp>
        <tr r="I126" s="2"/>
      </tp>
      <tp t="e">
        <v>#N/A</v>
        <stp/>
        <stp>VOLUME</stp>
        <stp>.SPXW250731C5460</stp>
        <tr r="N127" s="2"/>
      </tp>
      <tp t="e">
        <v>#N/A</v>
        <stp/>
        <stp>VOLUME</stp>
        <stp>.SPXW250606C5710</stp>
        <tr r="J102" s="2"/>
      </tp>
      <tp t="e">
        <v>#N/A</v>
        <stp/>
        <stp>VOLUME</stp>
        <stp>.SPXW250630C5470</stp>
        <tr r="L126" s="2"/>
      </tp>
      <tp t="e">
        <v>#N/A</v>
        <stp/>
        <stp>VOLUME</stp>
        <stp>.SPXW251031C5460</stp>
        <tr r="T127" s="2"/>
      </tp>
      <tp t="e">
        <v>#N/A</v>
        <stp/>
        <stp>VOLUME</stp>
        <stp>.SPXW251231C5460</stp>
        <tr r="X127" s="2"/>
      </tp>
      <tp t="e">
        <v>#N/A</v>
        <stp/>
        <stp>VOLUME</stp>
        <stp>.SPXW251031P5460</stp>
        <tr r="T127" s="2"/>
      </tp>
      <tp t="e">
        <v>#N/A</v>
        <stp/>
        <stp>VOLUME</stp>
        <stp>.SPXW251231P5460</stp>
        <tr r="X127" s="2"/>
      </tp>
      <tp t="e">
        <v>#N/A</v>
        <stp/>
        <stp>VOLUME</stp>
        <stp>.SPXW250930P5470</stp>
        <tr r="R126" s="2"/>
      </tp>
      <tp t="e">
        <v>#N/A</v>
        <stp/>
        <stp>VOLUME</stp>
        <stp>.SPXW250502P5750</stp>
        <tr r="BB97" s="1"/>
        <tr r="BB97" s="1"/>
      </tp>
      <tp t="e">
        <v>#N/A</v>
        <stp/>
        <stp>VOLUME</stp>
        <stp>.SPXW250505P5720</stp>
        <tr r="B101" s="2"/>
      </tp>
      <tp t="e">
        <v>#N/A</v>
        <stp/>
        <stp>VOLUME</stp>
        <stp>.SPXW250506P5710</stp>
        <tr r="C102" s="2"/>
      </tp>
      <tp t="e">
        <v>#N/A</v>
        <stp/>
        <stp>VOLUME</stp>
        <stp>.SPXW250507P5700</stp>
        <tr r="D103" s="2"/>
      </tp>
      <tp t="e">
        <v>#N/A</v>
        <stp/>
        <stp>VOLUME</stp>
        <stp>.SPXW250516P5610</stp>
        <tr r="BF111" s="1"/>
        <tr r="BF111" s="1"/>
      </tp>
      <tp t="e">
        <v>#N/A</v>
        <stp/>
        <stp>VOLUME</stp>
        <stp>.SPXW250530P5470</stp>
        <tr r="I126" s="2"/>
      </tp>
      <tp t="e">
        <v>#N/A</v>
        <stp/>
        <stp>VOLUME</stp>
        <stp>.SPXW250731P5460</stp>
        <tr r="N127" s="2"/>
      </tp>
      <tp t="e">
        <v>#N/A</v>
        <stp/>
        <stp>VOLUME</stp>
        <stp>.SPXW250606P5710</stp>
        <tr r="J102" s="2"/>
      </tp>
      <tp t="e">
        <v>#N/A</v>
        <stp/>
        <stp>VOLUME</stp>
        <stp>.SPXW250630P5470</stp>
        <tr r="L126" s="2"/>
      </tp>
      <tp>
        <v>83</v>
        <stp/>
        <stp>OPEN_INT</stp>
        <stp>.NDXP250502C20000</stp>
        <tr r="AS159" s="1"/>
        <tr r="AS159" s="1"/>
      </tp>
      <tp>
        <v>16</v>
        <stp/>
        <stp>OPEN_INT</stp>
        <stp>.NDXP250502C20020</stp>
        <tr r="AS158" s="1"/>
        <tr r="AS158" s="1"/>
      </tp>
      <tp>
        <v>2</v>
        <stp/>
        <stp>OPEN_INT</stp>
        <stp>.NDXP250502C20040</stp>
        <tr r="AS157" s="1"/>
        <tr r="AS157" s="1"/>
      </tp>
      <tp>
        <v>2</v>
        <stp/>
        <stp>OPEN_INT</stp>
        <stp>.NDXP250502C20060</stp>
        <tr r="AS156" s="1"/>
        <tr r="AS156" s="1"/>
      </tp>
      <tp>
        <v>2</v>
        <stp/>
        <stp>OPEN_INT</stp>
        <stp>.NDXP250502C20080</stp>
        <tr r="AS155" s="1"/>
        <tr r="AS155" s="1"/>
      </tp>
      <tp>
        <v>1</v>
        <stp/>
        <stp>OPEN_INT</stp>
        <stp>.NDXP250502P20020</stp>
        <tr r="AT158" s="1"/>
        <tr r="AT158" s="1"/>
      </tp>
      <tp>
        <v>9</v>
        <stp/>
        <stp>OPEN_INT</stp>
        <stp>.NDXP250502P20000</stp>
        <tr r="AT159" s="1"/>
        <tr r="AT159" s="1"/>
      </tp>
      <tp>
        <v>0</v>
        <stp/>
        <stp>OPEN_INT</stp>
        <stp>.NDXP250502P20060</stp>
        <tr r="AT156" s="1"/>
        <tr r="AT156" s="1"/>
      </tp>
      <tp>
        <v>0</v>
        <stp/>
        <stp>OPEN_INT</stp>
        <stp>.NDXP250502P20040</stp>
        <tr r="AT157" s="1"/>
        <tr r="AT157" s="1"/>
      </tp>
      <tp>
        <v>0</v>
        <stp/>
        <stp>OPEN_INT</stp>
        <stp>.NDXP250502P20080</stp>
        <tr r="AT155" s="1"/>
        <tr r="AT155" s="1"/>
      </tp>
      <tp t="e">
        <v>#N/A</v>
        <stp/>
        <stp>DELTA</stp>
        <stp>.NDXP250509P20180</stp>
        <tr r="CG150" s="1"/>
      </tp>
      <tp t="e">
        <v>#N/A</v>
        <stp/>
        <stp>DELTA</stp>
        <stp>.NDXP250509P20120</stp>
        <tr r="CG153" s="1"/>
      </tp>
      <tp t="e">
        <v>#N/A</v>
        <stp/>
        <stp>DELTA</stp>
        <stp>.NDXP250509P20100</stp>
        <tr r="CG154" s="1"/>
        <tr r="CG154" s="1"/>
      </tp>
      <tp t="e">
        <v>#N/A</v>
        <stp/>
        <stp>DELTA</stp>
        <stp>.NDXP250509P20160</stp>
        <tr r="CG151" s="1"/>
      </tp>
      <tp t="e">
        <v>#N/A</v>
        <stp/>
        <stp>DELTA</stp>
        <stp>.NDXP250509P20140</stp>
        <tr r="CG152" s="1"/>
      </tp>
      <tp t="e">
        <v>#N/A</v>
        <stp/>
        <stp>DELTA</stp>
        <stp>.NDXP250509C20180</stp>
        <tr r="CF150" s="1"/>
      </tp>
      <tp t="e">
        <v>#N/A</v>
        <stp/>
        <stp>DELTA</stp>
        <stp>.NDXP250509C20100</stp>
        <tr r="CF154" s="1"/>
        <tr r="CF154" s="1"/>
      </tp>
      <tp t="e">
        <v>#N/A</v>
        <stp/>
        <stp>DELTA</stp>
        <stp>.NDXP250509C20120</stp>
        <tr r="CF153" s="1"/>
      </tp>
      <tp t="e">
        <v>#N/A</v>
        <stp/>
        <stp>DELTA</stp>
        <stp>.NDXP250509C20140</stp>
        <tr r="CF152" s="1"/>
      </tp>
      <tp t="e">
        <v>#N/A</v>
        <stp/>
        <stp>DELTA</stp>
        <stp>.NDXP250509C20160</stp>
        <tr r="CF151" s="1"/>
      </tp>
      <tp t="e">
        <v>#N/A</v>
        <stp/>
        <stp>VOLUME</stp>
        <stp>.NDXP251128C20380</stp>
        <tr r="V141" s="2"/>
      </tp>
      <tp t="s">
        <v>N/A</v>
        <stp/>
        <stp>VOLUME</stp>
        <stp>.NDXP250829C20280</stp>
        <tr r="P146" s="2"/>
      </tp>
      <tp t="e">
        <v>#N/A</v>
        <stp/>
        <stp>VOLUME</stp>
        <stp>.NDXP250508C20380</stp>
        <tr r="E141" s="2"/>
      </tp>
      <tp t="s">
        <v>N/A</v>
        <stp/>
        <stp>VOLUME</stp>
        <stp>.NDXP250509C20280</stp>
        <tr r="BC145" s="1"/>
      </tp>
      <tp>
        <v>26</v>
        <stp/>
        <stp>VOLUME</stp>
        <stp>.NDXP250502C19980</stp>
        <tr r="BA160" s="1"/>
        <tr r="BA160" s="1"/>
      </tp>
      <tp t="e">
        <v>#N/A</v>
        <stp/>
        <stp>VOLUME</stp>
        <stp>.NDXP251128C20360</stp>
        <tr r="V142" s="2"/>
      </tp>
      <tp t="s">
        <v>N/A</v>
        <stp/>
        <stp>VOLUME</stp>
        <stp>.NDXP250829C20260</stp>
        <tr r="P147" s="2"/>
      </tp>
      <tp t="e">
        <v>#N/A</v>
        <stp/>
        <stp>VOLUME</stp>
        <stp>.NDXP250508C20360</stp>
        <tr r="E142" s="2"/>
      </tp>
      <tp t="s">
        <v>N/A</v>
        <stp/>
        <stp>VOLUME</stp>
        <stp>.NDXP250509C20260</stp>
        <tr r="BC146" s="1"/>
      </tp>
      <tp>
        <v>7</v>
        <stp/>
        <stp>VOLUME</stp>
        <stp>.NDXP250502C19960</stp>
        <tr r="BA161" s="1"/>
        <tr r="BA161" s="1"/>
      </tp>
      <tp t="e">
        <v>#N/A</v>
        <stp/>
        <stp>VOLUME</stp>
        <stp>.NDXP251128C20340</stp>
        <tr r="V143" s="2"/>
      </tp>
      <tp t="s">
        <v>N/A</v>
        <stp/>
        <stp>VOLUME</stp>
        <stp>.NDXP250829C20240</stp>
        <tr r="P148" s="2"/>
      </tp>
      <tp t="e">
        <v>#N/A</v>
        <stp/>
        <stp>VOLUME</stp>
        <stp>.NDXP250508C20340</stp>
        <tr r="E143" s="2"/>
      </tp>
      <tp t="s">
        <v>N/A</v>
        <stp/>
        <stp>VOLUME</stp>
        <stp>.NDXP250509C20240</stp>
        <tr r="BC147" s="1"/>
      </tp>
      <tp>
        <v>9</v>
        <stp/>
        <stp>VOLUME</stp>
        <stp>.NDXP250502C19940</stp>
        <tr r="BA162" s="1"/>
        <tr r="BA162" s="1"/>
      </tp>
      <tp t="e">
        <v>#N/A</v>
        <stp/>
        <stp>VOLUME</stp>
        <stp>.NDXP251128C20320</stp>
        <tr r="V144" s="2"/>
      </tp>
      <tp t="s">
        <v>N/A</v>
        <stp/>
        <stp>VOLUME</stp>
        <stp>.NDXP250829C20220</stp>
        <tr r="P149" s="2"/>
      </tp>
      <tp t="e">
        <v>#N/A</v>
        <stp/>
        <stp>VOLUME</stp>
        <stp>.NDXP250508C20320</stp>
        <tr r="E144" s="2"/>
      </tp>
      <tp t="s">
        <v>N/A</v>
        <stp/>
        <stp>VOLUME</stp>
        <stp>.NDXP250509C20220</stp>
        <tr r="BC148" s="1"/>
      </tp>
      <tp>
        <v>8</v>
        <stp/>
        <stp>VOLUME</stp>
        <stp>.NDXP250502C19920</stp>
        <tr r="BA163" s="1"/>
        <tr r="BA163" s="1"/>
      </tp>
      <tp t="e">
        <v>#N/A</v>
        <stp/>
        <stp>VOLUME</stp>
        <stp>.NDXP251128C20300</stp>
        <tr r="V145" s="2"/>
      </tp>
      <tp t="s">
        <v>N/A</v>
        <stp/>
        <stp>VOLUME</stp>
        <stp>.NDXP250829C20200</stp>
        <tr r="P150" s="2"/>
      </tp>
      <tp t="e">
        <v>#N/A</v>
        <stp/>
        <stp>VOLUME</stp>
        <stp>.NDXP250508C20300</stp>
        <tr r="E145" s="2"/>
      </tp>
      <tp>
        <v>23</v>
        <stp/>
        <stp>VOLUME</stp>
        <stp>.NDXP250509C20200</stp>
        <tr r="BC149" s="1"/>
        <tr r="BC149" s="1"/>
      </tp>
      <tp>
        <v>26</v>
        <stp/>
        <stp>VOLUME</stp>
        <stp>.NDXP250502C19900</stp>
        <tr r="BA164" s="1"/>
        <tr r="BA164" s="1"/>
      </tp>
      <tp t="e">
        <v>#N/A</v>
        <stp/>
        <stp>VOLUME</stp>
        <stp>.SPXW250930C5580</stp>
        <tr r="R115" s="2"/>
      </tp>
      <tp t="e">
        <v>#N/A</v>
        <stp/>
        <stp>VOLUME</stp>
        <stp>.SPXW250508C5600</stp>
        <tr r="E113" s="2"/>
      </tp>
      <tp t="e">
        <v>#N/A</v>
        <stp/>
        <stp>VOLUME</stp>
        <stp>.SPXW250509C5610</stp>
        <tr r="BC111" s="1"/>
        <tr r="BC111" s="1"/>
      </tp>
      <tp t="e">
        <v>#N/A</v>
        <stp/>
        <stp>VOLUME</stp>
        <stp>.SPXW250530C5580</stp>
        <tr r="I115" s="2"/>
      </tp>
      <tp t="e">
        <v>#N/A</v>
        <stp/>
        <stp>VOLUME</stp>
        <stp>.SPXW250731C5590</stp>
        <tr r="N114" s="2"/>
      </tp>
      <tp t="e">
        <v>#N/A</v>
        <stp/>
        <stp>VOLUME</stp>
        <stp>.SPXW250630C5580</stp>
        <tr r="L115" s="2"/>
      </tp>
      <tp t="e">
        <v>#N/A</v>
        <stp/>
        <stp>VOLUME</stp>
        <stp>.SPXW251031C5590</stp>
        <tr r="T114" s="2"/>
      </tp>
      <tp t="e">
        <v>#N/A</v>
        <stp/>
        <stp>VOLUME</stp>
        <stp>.SPXW251231C5590</stp>
        <tr r="X114" s="2"/>
      </tp>
      <tp t="e">
        <v>#N/A</v>
        <stp/>
        <stp>VOLUME</stp>
        <stp>.SPXW251031P5590</stp>
        <tr r="T114" s="2"/>
      </tp>
      <tp t="e">
        <v>#N/A</v>
        <stp/>
        <stp>VOLUME</stp>
        <stp>.SPXW251231P5590</stp>
        <tr r="X114" s="2"/>
      </tp>
      <tp t="e">
        <v>#N/A</v>
        <stp/>
        <stp>VOLUME</stp>
        <stp>.SPXW250930P5580</stp>
        <tr r="R115" s="2"/>
      </tp>
      <tp t="e">
        <v>#N/A</v>
        <stp/>
        <stp>VOLUME</stp>
        <stp>.SPXW250508P5600</stp>
        <tr r="E113" s="2"/>
      </tp>
      <tp t="e">
        <v>#N/A</v>
        <stp/>
        <stp>VOLUME</stp>
        <stp>.SPXW250509P5610</stp>
        <tr r="BD111" s="1"/>
        <tr r="BD111" s="1"/>
      </tp>
      <tp t="e">
        <v>#N/A</v>
        <stp/>
        <stp>VOLUME</stp>
        <stp>.SPXW250530P5580</stp>
        <tr r="I115" s="2"/>
      </tp>
      <tp t="e">
        <v>#N/A</v>
        <stp/>
        <stp>VOLUME</stp>
        <stp>.SPXW250731P5590</stp>
        <tr r="N114" s="2"/>
      </tp>
      <tp t="e">
        <v>#N/A</v>
        <stp/>
        <stp>VOLUME</stp>
        <stp>.SPXW250630P5580</stp>
        <tr r="L115" s="2"/>
      </tp>
      <tp t="e">
        <v>#N/A</v>
        <stp/>
        <stp>VOLUME</stp>
        <stp>.SPXW250930C5590</stp>
        <tr r="R114" s="2"/>
      </tp>
      <tp t="e">
        <v>#N/A</v>
        <stp/>
        <stp>VOLUME</stp>
        <stp>.SPXW250508C5610</stp>
        <tr r="E112" s="2"/>
      </tp>
      <tp t="e">
        <v>#N/A</v>
        <stp/>
        <stp>VOLUME</stp>
        <stp>.SPXW250509C5600</stp>
        <tr r="BC112" s="1"/>
        <tr r="BC112" s="1"/>
      </tp>
      <tp t="e">
        <v>#N/A</v>
        <stp/>
        <stp>VOLUME</stp>
        <stp>.SPXW250530C5590</stp>
        <tr r="I114" s="2"/>
      </tp>
      <tp t="e">
        <v>#N/A</v>
        <stp/>
        <stp>VOLUME</stp>
        <stp>.SPXW250731C5580</stp>
        <tr r="N115" s="2"/>
      </tp>
      <tp t="e">
        <v>#N/A</v>
        <stp/>
        <stp>VOLUME</stp>
        <stp>.SPXW250630C5590</stp>
        <tr r="L114" s="2"/>
      </tp>
      <tp t="e">
        <v>#N/A</v>
        <stp/>
        <stp>VOLUME</stp>
        <stp>.SPXW251031C5580</stp>
        <tr r="T115" s="2"/>
      </tp>
      <tp t="e">
        <v>#N/A</v>
        <stp/>
        <stp>VOLUME</stp>
        <stp>.SPXW251231C5580</stp>
        <tr r="X115" s="2"/>
      </tp>
      <tp t="e">
        <v>#N/A</v>
        <stp/>
        <stp>VOLUME</stp>
        <stp>.SPXW251031P5580</stp>
        <tr r="T115" s="2"/>
      </tp>
      <tp t="e">
        <v>#N/A</v>
        <stp/>
        <stp>VOLUME</stp>
        <stp>.SPXW251231P5580</stp>
        <tr r="X115" s="2"/>
      </tp>
      <tp t="e">
        <v>#N/A</v>
        <stp/>
        <stp>VOLUME</stp>
        <stp>.SPXW250930P5590</stp>
        <tr r="R114" s="2"/>
      </tp>
      <tp t="e">
        <v>#N/A</v>
        <stp/>
        <stp>VOLUME</stp>
        <stp>.SPXW250508P5610</stp>
        <tr r="E112" s="2"/>
      </tp>
      <tp t="e">
        <v>#N/A</v>
        <stp/>
        <stp>VOLUME</stp>
        <stp>.SPXW250509P5600</stp>
        <tr r="BD112" s="1"/>
        <tr r="BD112" s="1"/>
      </tp>
      <tp t="e">
        <v>#N/A</v>
        <stp/>
        <stp>VOLUME</stp>
        <stp>.SPXW250530P5590</stp>
        <tr r="I114" s="2"/>
      </tp>
      <tp t="e">
        <v>#N/A</v>
        <stp/>
        <stp>VOLUME</stp>
        <stp>.SPXW250731P5580</stp>
        <tr r="N115" s="2"/>
      </tp>
      <tp t="e">
        <v>#N/A</v>
        <stp/>
        <stp>VOLUME</stp>
        <stp>.SPXW250630P5590</stp>
        <tr r="L114" s="2"/>
      </tp>
      <tp t="e">
        <v>#N/A</v>
        <stp/>
        <stp>VOLUME</stp>
        <stp>.SPXW250829C5430</stp>
        <tr r="P130" s="2"/>
      </tp>
      <tp t="e">
        <v>#N/A</v>
        <stp/>
        <stp>VOLUME</stp>
        <stp>.SPXW250502C5680</stp>
        <tr r="BA104" s="1"/>
        <tr r="BA104" s="1"/>
      </tp>
      <tp t="e">
        <v>#N/A</v>
        <stp/>
        <stp>VOLUME</stp>
        <stp>.SPXW250508C5620</stp>
        <tr r="E111" s="2"/>
      </tp>
      <tp t="e">
        <v>#N/A</v>
        <stp/>
        <stp>VOLUME</stp>
        <stp>.SPXW250509C5630</stp>
        <tr r="BC109" s="1"/>
        <tr r="BC109" s="1"/>
      </tp>
      <tp t="e">
        <v>#N/A</v>
        <stp/>
        <stp>VOLUME</stp>
        <stp>.SPXW251128C5420</stp>
        <tr r="V131" s="2"/>
      </tp>
      <tp t="e">
        <v>#N/A</v>
        <stp/>
        <stp>VOLUME</stp>
        <stp>.SPXW251128P5420</stp>
        <tr r="V131" s="2"/>
      </tp>
      <tp t="e">
        <v>#N/A</v>
        <stp/>
        <stp>VOLUME</stp>
        <stp>.SPXW250829P5430</stp>
        <tr r="P130" s="2"/>
      </tp>
      <tp t="e">
        <v>#N/A</v>
        <stp/>
        <stp>VOLUME</stp>
        <stp>.SPXW250502P5680</stp>
        <tr r="BB104" s="1"/>
        <tr r="BB104" s="1"/>
      </tp>
      <tp t="e">
        <v>#N/A</v>
        <stp/>
        <stp>VOLUME</stp>
        <stp>.SPXW250508P5620</stp>
        <tr r="E111" s="2"/>
      </tp>
      <tp t="e">
        <v>#N/A</v>
        <stp/>
        <stp>VOLUME</stp>
        <stp>.SPXW250509P5630</stp>
        <tr r="BD109" s="1"/>
        <tr r="BD109" s="1"/>
      </tp>
      <tp t="e">
        <v>#N/A</v>
        <stp/>
        <stp>VOLUME</stp>
        <stp>.SPXW250829C5420</stp>
        <tr r="P131" s="2"/>
      </tp>
      <tp t="e">
        <v>#N/A</v>
        <stp/>
        <stp>VOLUME</stp>
        <stp>.SPXW250502C5690</stp>
        <tr r="BA103" s="1"/>
        <tr r="BA103" s="1"/>
      </tp>
      <tp t="e">
        <v>#N/A</v>
        <stp/>
        <stp>VOLUME</stp>
        <stp>.SPXW250508C5630</stp>
        <tr r="E110" s="2"/>
      </tp>
      <tp t="e">
        <v>#N/A</v>
        <stp/>
        <stp>VOLUME</stp>
        <stp>.SPXW250509C5620</stp>
        <tr r="BC110" s="1"/>
        <tr r="BC110" s="1"/>
      </tp>
      <tp t="e">
        <v>#N/A</v>
        <stp/>
        <stp>VOLUME</stp>
        <stp>.SPXW251128C5430</stp>
        <tr r="V130" s="2"/>
      </tp>
      <tp t="e">
        <v>#N/A</v>
        <stp/>
        <stp>VOLUME</stp>
        <stp>.SPXW251128P5430</stp>
        <tr r="V130" s="2"/>
      </tp>
      <tp t="e">
        <v>#N/A</v>
        <stp/>
        <stp>VOLUME</stp>
        <stp>.SPXW250829P5420</stp>
        <tr r="P131" s="2"/>
      </tp>
      <tp t="e">
        <v>#N/A</v>
        <stp/>
        <stp>VOLUME</stp>
        <stp>.SPXW250502P5690</stp>
        <tr r="BB103" s="1"/>
        <tr r="BB103" s="1"/>
      </tp>
      <tp t="e">
        <v>#N/A</v>
        <stp/>
        <stp>VOLUME</stp>
        <stp>.SPXW250508P5630</stp>
        <tr r="E110" s="2"/>
      </tp>
      <tp t="e">
        <v>#N/A</v>
        <stp/>
        <stp>VOLUME</stp>
        <stp>.SPXW250509P5620</stp>
        <tr r="BD110" s="1"/>
        <tr r="BD110" s="1"/>
      </tp>
      <tp t="s">
        <v>N/A</v>
        <stp/>
        <stp>VOLUME</stp>
        <stp>.NDXP250829P20280</stp>
        <tr r="P146" s="2"/>
      </tp>
      <tp t="e">
        <v>#N/A</v>
        <stp/>
        <stp>VOLUME</stp>
        <stp>.NDXP250508P20380</stp>
        <tr r="E141" s="2"/>
      </tp>
      <tp t="s">
        <v>N/A</v>
        <stp/>
        <stp>VOLUME</stp>
        <stp>.NDXP250509P20280</stp>
        <tr r="BD145" s="1"/>
      </tp>
      <tp>
        <v>100</v>
        <stp/>
        <stp>VOLUME</stp>
        <stp>.NDXP250502P19980</stp>
        <tr r="BB160" s="1"/>
        <tr r="BB160" s="1"/>
      </tp>
      <tp t="e">
        <v>#N/A</v>
        <stp/>
        <stp>VOLUME</stp>
        <stp>.SPXW250829C5450</stp>
        <tr r="P128" s="2"/>
      </tp>
      <tp t="e">
        <v>#N/A</v>
        <stp/>
        <stp>VOLUME</stp>
        <stp>.SPXW250505C5690</stp>
        <tr r="B104" s="2"/>
      </tp>
      <tp t="e">
        <v>#N/A</v>
        <stp/>
        <stp>VOLUME</stp>
        <stp>.SPXW250508C5640</stp>
        <tr r="E109" s="2"/>
      </tp>
      <tp t="e">
        <v>#N/A</v>
        <stp/>
        <stp>VOLUME</stp>
        <stp>.SPXW250509C5650</stp>
        <tr r="BC107" s="1"/>
        <tr r="BC107" s="1"/>
      </tp>
      <tp t="e">
        <v>#N/A</v>
        <stp/>
        <stp>VOLUME</stp>
        <stp>.SPXW251128C5440</stp>
        <tr r="V129" s="2"/>
      </tp>
      <tp t="e">
        <v>#N/A</v>
        <stp/>
        <stp>VOLUME</stp>
        <stp>.SPXW251128P5440</stp>
        <tr r="V129" s="2"/>
      </tp>
      <tp t="e">
        <v>#N/A</v>
        <stp/>
        <stp>VOLUME</stp>
        <stp>.SPXW250829P5450</stp>
        <tr r="P128" s="2"/>
      </tp>
      <tp t="e">
        <v>#N/A</v>
        <stp/>
        <stp>VOLUME</stp>
        <stp>.SPXW250505P5690</stp>
        <tr r="B104" s="2"/>
      </tp>
      <tp t="e">
        <v>#N/A</v>
        <stp/>
        <stp>VOLUME</stp>
        <stp>.SPXW250508P5640</stp>
        <tr r="E109" s="2"/>
      </tp>
      <tp t="e">
        <v>#N/A</v>
        <stp/>
        <stp>VOLUME</stp>
        <stp>.SPXW250509P5650</stp>
        <tr r="BD107" s="1"/>
        <tr r="BD107" s="1"/>
      </tp>
      <tp t="e">
        <v>#N/A</v>
        <stp/>
        <stp>VOLUME</stp>
        <stp>.NDXP251128P20380</stp>
        <tr r="V141" s="2"/>
      </tp>
      <tp t="e">
        <v>#N/A</v>
        <stp/>
        <stp>VOLUME</stp>
        <stp>.SPXW250829C5440</stp>
        <tr r="P129" s="2"/>
      </tp>
      <tp t="e">
        <v>#N/A</v>
        <stp/>
        <stp>VOLUME</stp>
        <stp>.SPXW250505C5680</stp>
        <tr r="B105" s="2"/>
      </tp>
      <tp t="e">
        <v>#N/A</v>
        <stp/>
        <stp>VOLUME</stp>
        <stp>.SPXW250508C5650</stp>
        <tr r="E108" s="2"/>
      </tp>
      <tp t="e">
        <v>#N/A</v>
        <stp/>
        <stp>VOLUME</stp>
        <stp>.SPXW250509C5640</stp>
        <tr r="BC108" s="1"/>
        <tr r="BC108" s="1"/>
      </tp>
      <tp t="e">
        <v>#N/A</v>
        <stp/>
        <stp>VOLUME</stp>
        <stp>.SPXW251128C5450</stp>
        <tr r="V128" s="2"/>
      </tp>
      <tp t="e">
        <v>#N/A</v>
        <stp/>
        <stp>VOLUME</stp>
        <stp>.SPXW251128P5450</stp>
        <tr r="V128" s="2"/>
      </tp>
      <tp t="e">
        <v>#N/A</v>
        <stp/>
        <stp>VOLUME</stp>
        <stp>.SPXW250829P5440</stp>
        <tr r="P129" s="2"/>
      </tp>
      <tp t="e">
        <v>#N/A</v>
        <stp/>
        <stp>VOLUME</stp>
        <stp>.SPXW250505P5680</stp>
        <tr r="B105" s="2"/>
      </tp>
      <tp t="e">
        <v>#N/A</v>
        <stp/>
        <stp>VOLUME</stp>
        <stp>.SPXW250508P5650</stp>
        <tr r="E108" s="2"/>
      </tp>
      <tp t="e">
        <v>#N/A</v>
        <stp/>
        <stp>VOLUME</stp>
        <stp>.SPXW250509P5640</stp>
        <tr r="BD108" s="1"/>
        <tr r="BD108" s="1"/>
      </tp>
      <tp t="e">
        <v>#N/A</v>
        <stp/>
        <stp>VOLUME</stp>
        <stp>.SPXW250829C5470</stp>
        <tr r="P126" s="2"/>
      </tp>
      <tp t="e">
        <v>#N/A</v>
        <stp/>
        <stp>VOLUME</stp>
        <stp>.SPXW250506C5680</stp>
        <tr r="C105" s="2"/>
      </tp>
      <tp t="e">
        <v>#N/A</v>
        <stp/>
        <stp>VOLUME</stp>
        <stp>.SPXW250507C5690</stp>
        <tr r="D104" s="2"/>
      </tp>
      <tp t="e">
        <v>#N/A</v>
        <stp/>
        <stp>VOLUME</stp>
        <stp>.SPXW250508C5660</stp>
        <tr r="E107" s="2"/>
      </tp>
      <tp t="e">
        <v>#N/A</v>
        <stp/>
        <stp>VOLUME</stp>
        <stp>.SPXW250509C5670</stp>
        <tr r="BC105" s="1"/>
        <tr r="BC105" s="1"/>
      </tp>
      <tp t="e">
        <v>#N/A</v>
        <stp/>
        <stp>VOLUME</stp>
        <stp>.SPXW250516C5780</stp>
        <tr r="BE94" s="1"/>
        <tr r="BE94" s="1"/>
      </tp>
      <tp t="e">
        <v>#N/A</v>
        <stp/>
        <stp>VOLUME</stp>
        <stp>.SPXW250606C5680</stp>
        <tr r="J105" s="2"/>
      </tp>
      <tp t="e">
        <v>#N/A</v>
        <stp/>
        <stp>VOLUME</stp>
        <stp>.SPXW251128C5460</stp>
        <tr r="V127" s="2"/>
      </tp>
      <tp t="e">
        <v>#N/A</v>
        <stp/>
        <stp>VOLUME</stp>
        <stp>.SPXW251128P5460</stp>
        <tr r="V127" s="2"/>
      </tp>
      <tp t="e">
        <v>#N/A</v>
        <stp/>
        <stp>VOLUME</stp>
        <stp>.SPXW250829P5470</stp>
        <tr r="P126" s="2"/>
      </tp>
      <tp t="e">
        <v>#N/A</v>
        <stp/>
        <stp>VOLUME</stp>
        <stp>.SPXW250506P5680</stp>
        <tr r="C105" s="2"/>
      </tp>
      <tp t="e">
        <v>#N/A</v>
        <stp/>
        <stp>VOLUME</stp>
        <stp>.SPXW250507P5690</stp>
        <tr r="D104" s="2"/>
      </tp>
      <tp t="e">
        <v>#N/A</v>
        <stp/>
        <stp>VOLUME</stp>
        <stp>.SPXW250508P5660</stp>
        <tr r="E107" s="2"/>
      </tp>
      <tp t="e">
        <v>#N/A</v>
        <stp/>
        <stp>VOLUME</stp>
        <stp>.SPXW250509P5670</stp>
        <tr r="BD105" s="1"/>
        <tr r="BD105" s="1"/>
      </tp>
      <tp t="e">
        <v>#N/A</v>
        <stp/>
        <stp>VOLUME</stp>
        <stp>.SPXW250516P5780</stp>
        <tr r="BF94" s="1"/>
        <tr r="BF94" s="1"/>
      </tp>
      <tp t="e">
        <v>#N/A</v>
        <stp/>
        <stp>VOLUME</stp>
        <stp>.SPXW250606P5680</stp>
        <tr r="J105" s="2"/>
      </tp>
      <tp t="e">
        <v>#N/A</v>
        <stp/>
        <stp>VOLUME</stp>
        <stp>.SPXW250829C5460</stp>
        <tr r="P127" s="2"/>
      </tp>
      <tp t="e">
        <v>#N/A</v>
        <stp/>
        <stp>VOLUME</stp>
        <stp>.SPXW250506C5690</stp>
        <tr r="C104" s="2"/>
      </tp>
      <tp t="e">
        <v>#N/A</v>
        <stp/>
        <stp>VOLUME</stp>
        <stp>.SPXW250507C5680</stp>
        <tr r="D105" s="2"/>
      </tp>
      <tp t="e">
        <v>#N/A</v>
        <stp/>
        <stp>VOLUME</stp>
        <stp>.SPXW250508C5670</stp>
        <tr r="E106" s="2"/>
      </tp>
      <tp t="e">
        <v>#N/A</v>
        <stp/>
        <stp>VOLUME</stp>
        <stp>.SPXW250509C5660</stp>
        <tr r="BC106" s="1"/>
        <tr r="BC106" s="1"/>
      </tp>
      <tp t="e">
        <v>#N/A</v>
        <stp/>
        <stp>VOLUME</stp>
        <stp>.SPXW250516C5790</stp>
        <tr r="BE93" s="1"/>
        <tr r="BE93" s="1"/>
      </tp>
      <tp t="e">
        <v>#N/A</v>
        <stp/>
        <stp>VOLUME</stp>
        <stp>.SPXW250606C5690</stp>
        <tr r="J104" s="2"/>
      </tp>
      <tp t="e">
        <v>#N/A</v>
        <stp/>
        <stp>VOLUME</stp>
        <stp>.SPXW251128C5470</stp>
        <tr r="V126" s="2"/>
      </tp>
      <tp t="e">
        <v>#N/A</v>
        <stp/>
        <stp>VOLUME</stp>
        <stp>.SPXW251128P5470</stp>
        <tr r="V126" s="2"/>
      </tp>
      <tp t="e">
        <v>#N/A</v>
        <stp/>
        <stp>VOLUME</stp>
        <stp>.SPXW250829P5460</stp>
        <tr r="P127" s="2"/>
      </tp>
      <tp t="e">
        <v>#N/A</v>
        <stp/>
        <stp>VOLUME</stp>
        <stp>.SPXW250506P5690</stp>
        <tr r="C104" s="2"/>
      </tp>
      <tp t="e">
        <v>#N/A</v>
        <stp/>
        <stp>VOLUME</stp>
        <stp>.SPXW250507P5680</stp>
        <tr r="D105" s="2"/>
      </tp>
      <tp t="e">
        <v>#N/A</v>
        <stp/>
        <stp>VOLUME</stp>
        <stp>.SPXW250508P5670</stp>
        <tr r="E106" s="2"/>
      </tp>
      <tp t="e">
        <v>#N/A</v>
        <stp/>
        <stp>VOLUME</stp>
        <stp>.SPXW250509P5660</stp>
        <tr r="BD106" s="1"/>
        <tr r="BD106" s="1"/>
      </tp>
      <tp t="e">
        <v>#N/A</v>
        <stp/>
        <stp>VOLUME</stp>
        <stp>.SPXW250516P5790</stp>
        <tr r="BF93" s="1"/>
      </tp>
      <tp t="e">
        <v>#N/A</v>
        <stp/>
        <stp>VOLUME</stp>
        <stp>.SPXW250606P5690</stp>
        <tr r="J104" s="2"/>
      </tp>
      <tp t="s">
        <v>N/A</v>
        <stp/>
        <stp>VOLUME</stp>
        <stp>.NDXP250829P20240</stp>
        <tr r="P148" s="2"/>
      </tp>
      <tp t="e">
        <v>#N/A</v>
        <stp/>
        <stp>VOLUME</stp>
        <stp>.NDXP250508P20340</stp>
        <tr r="E143" s="2"/>
      </tp>
      <tp t="s">
        <v>N/A</v>
        <stp/>
        <stp>VOLUME</stp>
        <stp>.NDXP250509P20240</stp>
        <tr r="BD147" s="1"/>
      </tp>
      <tp>
        <v>114</v>
        <stp/>
        <stp>VOLUME</stp>
        <stp>.NDXP250502P19940</stp>
        <tr r="BB162" s="1"/>
        <tr r="BB162" s="1"/>
      </tp>
      <tp t="e">
        <v>#N/A</v>
        <stp/>
        <stp>VOLUME</stp>
        <stp>.SPXW250930C5500</stp>
        <tr r="R123" s="2"/>
      </tp>
      <tp t="e">
        <v>#N/A</v>
        <stp/>
        <stp>VOLUME</stp>
        <stp>.SPXW250829C5490</stp>
        <tr r="P124" s="2"/>
      </tp>
      <tp t="e">
        <v>#N/A</v>
        <stp/>
        <stp>VOLUME</stp>
        <stp>.SPXW250502C5620</stp>
        <tr r="BA110" s="1"/>
        <tr r="BA110" s="1"/>
      </tp>
      <tp t="e">
        <v>#N/A</v>
        <stp/>
        <stp>VOLUME</stp>
        <stp>.SPXW250505C5650</stp>
        <tr r="B108" s="2"/>
      </tp>
      <tp t="e">
        <v>#N/A</v>
        <stp/>
        <stp>VOLUME</stp>
        <stp>.SPXW250506C5660</stp>
        <tr r="C107" s="2"/>
      </tp>
      <tp t="e">
        <v>#N/A</v>
        <stp/>
        <stp>VOLUME</stp>
        <stp>.SPXW250507C5670</stp>
        <tr r="D106" s="2"/>
      </tp>
      <tp t="e">
        <v>#N/A</v>
        <stp/>
        <stp>VOLUME</stp>
        <stp>.SPXW250508C5680</stp>
        <tr r="E105" s="2"/>
      </tp>
      <tp t="e">
        <v>#N/A</v>
        <stp/>
        <stp>VOLUME</stp>
        <stp>.SPXW250509C5690</stp>
        <tr r="BC103" s="1"/>
        <tr r="BC103" s="1"/>
      </tp>
      <tp t="e">
        <v>#N/A</v>
        <stp/>
        <stp>VOLUME</stp>
        <stp>.SPXW250516C5760</stp>
        <tr r="BE96" s="1"/>
        <tr r="BE96" s="1"/>
      </tp>
      <tp t="e">
        <v>#N/A</v>
        <stp/>
        <stp>VOLUME</stp>
        <stp>.SPXW250530C5500</stp>
        <tr r="I123" s="2"/>
      </tp>
      <tp t="e">
        <v>#N/A</v>
        <stp/>
        <stp>VOLUME</stp>
        <stp>.SPXW250731C5510</stp>
        <tr r="N122" s="2"/>
      </tp>
      <tp t="e">
        <v>#N/A</v>
        <stp/>
        <stp>VOLUME</stp>
        <stp>.SPXW250606C5660</stp>
        <tr r="J107" s="2"/>
      </tp>
      <tp t="e">
        <v>#N/A</v>
        <stp/>
        <stp>VOLUME</stp>
        <stp>.SPXW250630C5500</stp>
        <tr r="L123" s="2"/>
      </tp>
      <tp t="e">
        <v>#N/A</v>
        <stp/>
        <stp>VOLUME</stp>
        <stp>.SPXW251128C5480</stp>
        <tr r="V125" s="2"/>
      </tp>
      <tp t="e">
        <v>#N/A</v>
        <stp/>
        <stp>VOLUME</stp>
        <stp>.SPXW251031C5510</stp>
        <tr r="T122" s="2"/>
      </tp>
      <tp t="e">
        <v>#N/A</v>
        <stp/>
        <stp>VOLUME</stp>
        <stp>.SPXW251231C5510</stp>
        <tr r="X122" s="2"/>
      </tp>
      <tp t="e">
        <v>#N/A</v>
        <stp/>
        <stp>VOLUME</stp>
        <stp>.SPXW251128P5480</stp>
        <tr r="V125" s="2"/>
      </tp>
      <tp t="e">
        <v>#N/A</v>
        <stp/>
        <stp>VOLUME</stp>
        <stp>.SPXW251031P5510</stp>
        <tr r="T122" s="2"/>
      </tp>
      <tp t="e">
        <v>#N/A</v>
        <stp/>
        <stp>VOLUME</stp>
        <stp>.SPXW251231P5510</stp>
        <tr r="X122" s="2"/>
      </tp>
      <tp t="e">
        <v>#N/A</v>
        <stp/>
        <stp>VOLUME</stp>
        <stp>.SPXW250930P5500</stp>
        <tr r="R123" s="2"/>
      </tp>
      <tp t="e">
        <v>#N/A</v>
        <stp/>
        <stp>VOLUME</stp>
        <stp>.SPXW250829P5490</stp>
        <tr r="P124" s="2"/>
      </tp>
      <tp t="e">
        <v>#N/A</v>
        <stp/>
        <stp>VOLUME</stp>
        <stp>.SPXW250502P5620</stp>
        <tr r="BB110" s="1"/>
        <tr r="BB110" s="1"/>
      </tp>
      <tp t="e">
        <v>#N/A</v>
        <stp/>
        <stp>VOLUME</stp>
        <stp>.SPXW250505P5650</stp>
        <tr r="B108" s="2"/>
      </tp>
      <tp t="e">
        <v>#N/A</v>
        <stp/>
        <stp>VOLUME</stp>
        <stp>.SPXW250506P5660</stp>
        <tr r="C107" s="2"/>
      </tp>
      <tp t="e">
        <v>#N/A</v>
        <stp/>
        <stp>VOLUME</stp>
        <stp>.SPXW250507P5670</stp>
        <tr r="D106" s="2"/>
      </tp>
      <tp t="e">
        <v>#N/A</v>
        <stp/>
        <stp>VOLUME</stp>
        <stp>.SPXW250508P5680</stp>
        <tr r="E105" s="2"/>
      </tp>
      <tp t="e">
        <v>#N/A</v>
        <stp/>
        <stp>VOLUME</stp>
        <stp>.SPXW250509P5690</stp>
        <tr r="BD103" s="1"/>
        <tr r="BD103" s="1"/>
      </tp>
      <tp t="e">
        <v>#N/A</v>
        <stp/>
        <stp>VOLUME</stp>
        <stp>.SPXW250516P5760</stp>
        <tr r="BF96" s="1"/>
        <tr r="BF96" s="1"/>
      </tp>
      <tp t="e">
        <v>#N/A</v>
        <stp/>
        <stp>VOLUME</stp>
        <stp>.SPXW250530P5500</stp>
        <tr r="I123" s="2"/>
      </tp>
      <tp t="e">
        <v>#N/A</v>
        <stp/>
        <stp>VOLUME</stp>
        <stp>.SPXW250731P5510</stp>
        <tr r="N122" s="2"/>
      </tp>
      <tp t="e">
        <v>#N/A</v>
        <stp/>
        <stp>VOLUME</stp>
        <stp>.SPXW250606P5660</stp>
        <tr r="J107" s="2"/>
      </tp>
      <tp t="e">
        <v>#N/A</v>
        <stp/>
        <stp>VOLUME</stp>
        <stp>.SPXW250630P5500</stp>
        <tr r="L123" s="2"/>
      </tp>
      <tp t="e">
        <v>#N/A</v>
        <stp/>
        <stp>VOLUME</stp>
        <stp>.NDXP251128P20340</stp>
        <tr r="V143" s="2"/>
      </tp>
      <tp t="e">
        <v>#N/A</v>
        <stp/>
        <stp>VOLUME</stp>
        <stp>.SPXW250930C5510</stp>
        <tr r="R122" s="2"/>
      </tp>
      <tp t="e">
        <v>#N/A</v>
        <stp/>
        <stp>VOLUME</stp>
        <stp>.SPXW250829C5480</stp>
        <tr r="P125" s="2"/>
      </tp>
      <tp t="e">
        <v>#N/A</v>
        <stp/>
        <stp>VOLUME</stp>
        <stp>.SPXW250502C5630</stp>
        <tr r="BA109" s="1"/>
        <tr r="BA109" s="1"/>
      </tp>
      <tp t="e">
        <v>#N/A</v>
        <stp/>
        <stp>VOLUME</stp>
        <stp>.SPXW250505C5640</stp>
        <tr r="B109" s="2"/>
      </tp>
      <tp t="e">
        <v>#N/A</v>
        <stp/>
        <stp>VOLUME</stp>
        <stp>.SPXW250506C5670</stp>
        <tr r="C106" s="2"/>
      </tp>
      <tp t="e">
        <v>#N/A</v>
        <stp/>
        <stp>VOLUME</stp>
        <stp>.SPXW250507C5660</stp>
        <tr r="D107" s="2"/>
      </tp>
      <tp t="e">
        <v>#N/A</v>
        <stp/>
        <stp>VOLUME</stp>
        <stp>.SPXW250508C5690</stp>
        <tr r="E104" s="2"/>
      </tp>
      <tp t="e">
        <v>#N/A</v>
        <stp/>
        <stp>VOLUME</stp>
        <stp>.SPXW250509C5680</stp>
        <tr r="BC104" s="1"/>
        <tr r="BC104" s="1"/>
      </tp>
      <tp t="e">
        <v>#N/A</v>
        <stp/>
        <stp>VOLUME</stp>
        <stp>.SPXW250516C5770</stp>
        <tr r="BE95" s="1"/>
        <tr r="BE95" s="1"/>
      </tp>
      <tp t="e">
        <v>#N/A</v>
        <stp/>
        <stp>VOLUME</stp>
        <stp>.SPXW250530C5510</stp>
        <tr r="I122" s="2"/>
      </tp>
      <tp t="e">
        <v>#N/A</v>
        <stp/>
        <stp>VOLUME</stp>
        <stp>.SPXW250731C5500</stp>
        <tr r="N123" s="2"/>
      </tp>
      <tp t="e">
        <v>#N/A</v>
        <stp/>
        <stp>VOLUME</stp>
        <stp>.SPXW250606C5670</stp>
        <tr r="J106" s="2"/>
      </tp>
      <tp t="e">
        <v>#N/A</v>
        <stp/>
        <stp>VOLUME</stp>
        <stp>.SPXW250630C5510</stp>
        <tr r="L122" s="2"/>
      </tp>
      <tp t="e">
        <v>#N/A</v>
        <stp/>
        <stp>VOLUME</stp>
        <stp>.SPXW251128C5490</stp>
        <tr r="V124" s="2"/>
      </tp>
      <tp t="e">
        <v>#N/A</v>
        <stp/>
        <stp>VOLUME</stp>
        <stp>.SPXW251031C5500</stp>
        <tr r="T123" s="2"/>
      </tp>
      <tp t="e">
        <v>#N/A</v>
        <stp/>
        <stp>VOLUME</stp>
        <stp>.SPXW251231C5500</stp>
        <tr r="X123" s="2"/>
      </tp>
      <tp t="e">
        <v>#N/A</v>
        <stp/>
        <stp>VOLUME</stp>
        <stp>.SPXW251128P5490</stp>
        <tr r="V124" s="2"/>
      </tp>
      <tp t="e">
        <v>#N/A</v>
        <stp/>
        <stp>VOLUME</stp>
        <stp>.SPXW251031P5500</stp>
        <tr r="T123" s="2"/>
      </tp>
      <tp t="e">
        <v>#N/A</v>
        <stp/>
        <stp>VOLUME</stp>
        <stp>.SPXW251231P5500</stp>
        <tr r="X123" s="2"/>
      </tp>
      <tp t="e">
        <v>#N/A</v>
        <stp/>
        <stp>VOLUME</stp>
        <stp>.SPXW250930P5510</stp>
        <tr r="R122" s="2"/>
      </tp>
      <tp t="e">
        <v>#N/A</v>
        <stp/>
        <stp>VOLUME</stp>
        <stp>.SPXW250829P5480</stp>
        <tr r="P125" s="2"/>
      </tp>
      <tp t="e">
        <v>#N/A</v>
        <stp/>
        <stp>VOLUME</stp>
        <stp>.SPXW250502P5630</stp>
        <tr r="BB109" s="1"/>
        <tr r="BB109" s="1"/>
      </tp>
      <tp t="e">
        <v>#N/A</v>
        <stp/>
        <stp>VOLUME</stp>
        <stp>.SPXW250505P5640</stp>
        <tr r="B109" s="2"/>
      </tp>
      <tp t="e">
        <v>#N/A</v>
        <stp/>
        <stp>VOLUME</stp>
        <stp>.SPXW250506P5670</stp>
        <tr r="C106" s="2"/>
      </tp>
      <tp t="e">
        <v>#N/A</v>
        <stp/>
        <stp>VOLUME</stp>
        <stp>.SPXW250507P5660</stp>
        <tr r="D107" s="2"/>
      </tp>
      <tp t="e">
        <v>#N/A</v>
        <stp/>
        <stp>VOLUME</stp>
        <stp>.SPXW250508P5690</stp>
        <tr r="E104" s="2"/>
      </tp>
      <tp t="e">
        <v>#N/A</v>
        <stp/>
        <stp>VOLUME</stp>
        <stp>.SPXW250509P5680</stp>
        <tr r="BD104" s="1"/>
        <tr r="BD104" s="1"/>
      </tp>
      <tp t="e">
        <v>#N/A</v>
        <stp/>
        <stp>VOLUME</stp>
        <stp>.SPXW250516P5770</stp>
        <tr r="BF95" s="1"/>
        <tr r="BF95" s="1"/>
      </tp>
      <tp t="e">
        <v>#N/A</v>
        <stp/>
        <stp>VOLUME</stp>
        <stp>.SPXW250530P5510</stp>
        <tr r="I122" s="2"/>
      </tp>
      <tp t="e">
        <v>#N/A</v>
        <stp/>
        <stp>VOLUME</stp>
        <stp>.SPXW250731P5500</stp>
        <tr r="N123" s="2"/>
      </tp>
      <tp t="e">
        <v>#N/A</v>
        <stp/>
        <stp>VOLUME</stp>
        <stp>.SPXW250606P5670</stp>
        <tr r="J106" s="2"/>
      </tp>
      <tp t="e">
        <v>#N/A</v>
        <stp/>
        <stp>VOLUME</stp>
        <stp>.SPXW250630P5510</stp>
        <tr r="L122" s="2"/>
      </tp>
      <tp t="s">
        <v>N/A</v>
        <stp/>
        <stp>VOLUME</stp>
        <stp>.NDXP250829P20260</stp>
        <tr r="P147" s="2"/>
      </tp>
      <tp t="e">
        <v>#N/A</v>
        <stp/>
        <stp>VOLUME</stp>
        <stp>.NDXP250508P20360</stp>
        <tr r="E142" s="2"/>
      </tp>
      <tp t="s">
        <v>N/A</v>
        <stp/>
        <stp>VOLUME</stp>
        <stp>.NDXP250509P20260</stp>
        <tr r="BD146" s="1"/>
      </tp>
      <tp>
        <v>72</v>
        <stp/>
        <stp>VOLUME</stp>
        <stp>.NDXP250502P19960</stp>
        <tr r="BB161" s="1"/>
        <tr r="BB161" s="1"/>
      </tp>
      <tp t="e">
        <v>#N/A</v>
        <stp/>
        <stp>VOLUME</stp>
        <stp>.SPXW250930C5520</stp>
        <tr r="R121" s="2"/>
      </tp>
      <tp t="e">
        <v>#N/A</v>
        <stp/>
        <stp>VOLUME</stp>
        <stp>.SPXW250502C5600</stp>
        <tr r="BA112" s="1"/>
        <tr r="BA112" s="1"/>
      </tp>
      <tp t="e">
        <v>#N/A</v>
        <stp/>
        <stp>VOLUME</stp>
        <stp>.SPXW250505C5670</stp>
        <tr r="B106" s="2"/>
      </tp>
      <tp t="e">
        <v>#N/A</v>
        <stp/>
        <stp>VOLUME</stp>
        <stp>.SPXW250506C5640</stp>
        <tr r="C109" s="2"/>
      </tp>
      <tp t="e">
        <v>#N/A</v>
        <stp/>
        <stp>VOLUME</stp>
        <stp>.SPXW250507C5650</stp>
        <tr r="D108" s="2"/>
      </tp>
      <tp t="e">
        <v>#N/A</v>
        <stp/>
        <stp>VOLUME</stp>
        <stp>.SPXW250516C5740</stp>
        <tr r="BE98" s="1"/>
        <tr r="BE98" s="1"/>
      </tp>
      <tp t="e">
        <v>#N/A</v>
        <stp/>
        <stp>VOLUME</stp>
        <stp>.SPXW250530C5520</stp>
        <tr r="I121" s="2"/>
      </tp>
      <tp t="e">
        <v>#N/A</v>
        <stp/>
        <stp>VOLUME</stp>
        <stp>.SPXW250731C5530</stp>
        <tr r="N120" s="2"/>
      </tp>
      <tp t="e">
        <v>#N/A</v>
        <stp/>
        <stp>VOLUME</stp>
        <stp>.SPXW250606C5640</stp>
        <tr r="J109" s="2"/>
      </tp>
      <tp t="e">
        <v>#N/A</v>
        <stp/>
        <stp>VOLUME</stp>
        <stp>.SPXW250630C5520</stp>
        <tr r="L121" s="2"/>
      </tp>
      <tp t="e">
        <v>#N/A</v>
        <stp/>
        <stp>VOLUME</stp>
        <stp>.SPXW251031C5530</stp>
        <tr r="T120" s="2"/>
      </tp>
      <tp t="e">
        <v>#N/A</v>
        <stp/>
        <stp>VOLUME</stp>
        <stp>.SPXW251231C5530</stp>
        <tr r="X120" s="2"/>
      </tp>
      <tp t="e">
        <v>#N/A</v>
        <stp/>
        <stp>VOLUME</stp>
        <stp>.SPXW251031P5530</stp>
        <tr r="T120" s="2"/>
      </tp>
      <tp t="e">
        <v>#N/A</v>
        <stp/>
        <stp>VOLUME</stp>
        <stp>.SPXW251231P5530</stp>
        <tr r="X120" s="2"/>
      </tp>
      <tp t="e">
        <v>#N/A</v>
        <stp/>
        <stp>VOLUME</stp>
        <stp>.SPXW250930P5520</stp>
        <tr r="R121" s="2"/>
      </tp>
      <tp t="e">
        <v>#N/A</v>
        <stp/>
        <stp>VOLUME</stp>
        <stp>.SPXW250502P5600</stp>
        <tr r="BB112" s="1"/>
        <tr r="BB112" s="1"/>
      </tp>
      <tp t="e">
        <v>#N/A</v>
        <stp/>
        <stp>VOLUME</stp>
        <stp>.SPXW250505P5670</stp>
        <tr r="B106" s="2"/>
      </tp>
      <tp t="e">
        <v>#N/A</v>
        <stp/>
        <stp>VOLUME</stp>
        <stp>.SPXW250506P5640</stp>
        <tr r="C109" s="2"/>
      </tp>
      <tp t="e">
        <v>#N/A</v>
        <stp/>
        <stp>VOLUME</stp>
        <stp>.SPXW250507P5650</stp>
        <tr r="D108" s="2"/>
      </tp>
      <tp t="e">
        <v>#N/A</v>
        <stp/>
        <stp>VOLUME</stp>
        <stp>.SPXW250516P5740</stp>
        <tr r="BF98" s="1"/>
        <tr r="BF98" s="1"/>
      </tp>
      <tp t="e">
        <v>#N/A</v>
        <stp/>
        <stp>VOLUME</stp>
        <stp>.SPXW250530P5520</stp>
        <tr r="I121" s="2"/>
      </tp>
      <tp t="e">
        <v>#N/A</v>
        <stp/>
        <stp>VOLUME</stp>
        <stp>.SPXW250731P5530</stp>
        <tr r="N120" s="2"/>
      </tp>
      <tp t="e">
        <v>#N/A</v>
        <stp/>
        <stp>VOLUME</stp>
        <stp>.SPXW250606P5640</stp>
        <tr r="J109" s="2"/>
      </tp>
      <tp t="e">
        <v>#N/A</v>
        <stp/>
        <stp>VOLUME</stp>
        <stp>.SPXW250630P5520</stp>
        <tr r="L121" s="2"/>
      </tp>
      <tp t="e">
        <v>#N/A</v>
        <stp/>
        <stp>VOLUME</stp>
        <stp>.NDXP251128P20360</stp>
        <tr r="V142" s="2"/>
      </tp>
      <tp t="e">
        <v>#N/A</v>
        <stp/>
        <stp>VOLUME</stp>
        <stp>.SPXW250930C5530</stp>
        <tr r="R120" s="2"/>
      </tp>
      <tp t="e">
        <v>#N/A</v>
        <stp/>
        <stp>VOLUME</stp>
        <stp>.SPXW250502C5610</stp>
        <tr r="BA111" s="1"/>
        <tr r="BA111" s="1"/>
      </tp>
      <tp t="e">
        <v>#N/A</v>
        <stp/>
        <stp>VOLUME</stp>
        <stp>.SPXW250505C5660</stp>
        <tr r="B107" s="2"/>
      </tp>
      <tp t="e">
        <v>#N/A</v>
        <stp/>
        <stp>VOLUME</stp>
        <stp>.SPXW250506C5650</stp>
        <tr r="C108" s="2"/>
      </tp>
      <tp t="e">
        <v>#N/A</v>
        <stp/>
        <stp>VOLUME</stp>
        <stp>.SPXW250507C5640</stp>
        <tr r="D109" s="2"/>
      </tp>
      <tp t="e">
        <v>#N/A</v>
        <stp/>
        <stp>VOLUME</stp>
        <stp>.SPXW250516C5750</stp>
        <tr r="BE97" s="1"/>
        <tr r="BE97" s="1"/>
      </tp>
      <tp t="e">
        <v>#N/A</v>
        <stp/>
        <stp>VOLUME</stp>
        <stp>.SPXW250530C5530</stp>
        <tr r="I120" s="2"/>
      </tp>
      <tp t="e">
        <v>#N/A</v>
        <stp/>
        <stp>VOLUME</stp>
        <stp>.SPXW250731C5520</stp>
        <tr r="N121" s="2"/>
      </tp>
      <tp t="e">
        <v>#N/A</v>
        <stp/>
        <stp>VOLUME</stp>
        <stp>.SPXW250606C5650</stp>
        <tr r="J108" s="2"/>
      </tp>
      <tp t="e">
        <v>#N/A</v>
        <stp/>
        <stp>VOLUME</stp>
        <stp>.SPXW250630C5530</stp>
        <tr r="L120" s="2"/>
      </tp>
      <tp t="e">
        <v>#N/A</v>
        <stp/>
        <stp>VOLUME</stp>
        <stp>.SPXW251031C5520</stp>
        <tr r="T121" s="2"/>
      </tp>
      <tp t="e">
        <v>#N/A</v>
        <stp/>
        <stp>VOLUME</stp>
        <stp>.SPXW251231C5520</stp>
        <tr r="X121" s="2"/>
      </tp>
      <tp t="e">
        <v>#N/A</v>
        <stp/>
        <stp>VOLUME</stp>
        <stp>.SPXW251031P5520</stp>
        <tr r="T121" s="2"/>
      </tp>
      <tp t="e">
        <v>#N/A</v>
        <stp/>
        <stp>VOLUME</stp>
        <stp>.SPXW251231P5520</stp>
        <tr r="X121" s="2"/>
      </tp>
      <tp t="e">
        <v>#N/A</v>
        <stp/>
        <stp>VOLUME</stp>
        <stp>.SPXW250930P5530</stp>
        <tr r="R120" s="2"/>
      </tp>
      <tp t="e">
        <v>#N/A</v>
        <stp/>
        <stp>VOLUME</stp>
        <stp>.SPXW250502P5610</stp>
        <tr r="BB111" s="1"/>
        <tr r="BB111" s="1"/>
      </tp>
      <tp t="e">
        <v>#N/A</v>
        <stp/>
        <stp>VOLUME</stp>
        <stp>.SPXW250505P5660</stp>
        <tr r="B107" s="2"/>
      </tp>
      <tp t="e">
        <v>#N/A</v>
        <stp/>
        <stp>VOLUME</stp>
        <stp>.SPXW250506P5650</stp>
        <tr r="C108" s="2"/>
      </tp>
      <tp t="e">
        <v>#N/A</v>
        <stp/>
        <stp>VOLUME</stp>
        <stp>.SPXW250507P5640</stp>
        <tr r="D109" s="2"/>
      </tp>
      <tp t="e">
        <v>#N/A</v>
        <stp/>
        <stp>VOLUME</stp>
        <stp>.SPXW250516P5750</stp>
        <tr r="BF97" s="1"/>
        <tr r="BF97" s="1"/>
      </tp>
      <tp t="e">
        <v>#N/A</v>
        <stp/>
        <stp>VOLUME</stp>
        <stp>.SPXW250530P5530</stp>
        <tr r="I120" s="2"/>
      </tp>
      <tp t="e">
        <v>#N/A</v>
        <stp/>
        <stp>VOLUME</stp>
        <stp>.SPXW250731P5520</stp>
        <tr r="N121" s="2"/>
      </tp>
      <tp t="e">
        <v>#N/A</v>
        <stp/>
        <stp>VOLUME</stp>
        <stp>.SPXW250606P5650</stp>
        <tr r="J108" s="2"/>
      </tp>
      <tp t="e">
        <v>#N/A</v>
        <stp/>
        <stp>VOLUME</stp>
        <stp>.SPXW250630P5530</stp>
        <tr r="L120" s="2"/>
      </tp>
      <tp t="s">
        <v>N/A</v>
        <stp/>
        <stp>VOLUME</stp>
        <stp>.NDXP250829P20200</stp>
        <tr r="P150" s="2"/>
      </tp>
      <tp t="e">
        <v>#N/A</v>
        <stp/>
        <stp>VOLUME</stp>
        <stp>.NDXP250508P20300</stp>
        <tr r="E145" s="2"/>
      </tp>
      <tp>
        <v>3</v>
        <stp/>
        <stp>VOLUME</stp>
        <stp>.NDXP250509P20200</stp>
        <tr r="BD149" s="1"/>
        <tr r="BD149" s="1"/>
      </tp>
      <tp>
        <v>430</v>
        <stp/>
        <stp>VOLUME</stp>
        <stp>.NDXP250502P19900</stp>
        <tr r="BB164" s="1"/>
        <tr r="BB164" s="1"/>
      </tp>
      <tp t="e">
        <v>#N/A</v>
        <stp/>
        <stp>VOLUME</stp>
        <stp>.SPXW250930C5540</stp>
        <tr r="R119" s="2"/>
      </tp>
      <tp t="e">
        <v>#N/A</v>
        <stp/>
        <stp>VOLUME</stp>
        <stp>.SPXW250502C5660</stp>
        <tr r="BA106" s="1"/>
        <tr r="BA106" s="1"/>
      </tp>
      <tp t="e">
        <v>#N/A</v>
        <stp/>
        <stp>VOLUME</stp>
        <stp>.SPXW250505C5610</stp>
        <tr r="B112" s="2"/>
      </tp>
      <tp t="e">
        <v>#N/A</v>
        <stp/>
        <stp>VOLUME</stp>
        <stp>.SPXW250506C5620</stp>
        <tr r="C111" s="2"/>
      </tp>
      <tp t="e">
        <v>#N/A</v>
        <stp/>
        <stp>VOLUME</stp>
        <stp>.SPXW250507C5630</stp>
        <tr r="D110" s="2"/>
      </tp>
      <tp t="e">
        <v>#N/A</v>
        <stp/>
        <stp>VOLUME</stp>
        <stp>.SPXW250516C5720</stp>
        <tr r="BE100" s="1"/>
        <tr r="BE100" s="1"/>
      </tp>
      <tp t="e">
        <v>#N/A</v>
        <stp/>
        <stp>VOLUME</stp>
        <stp>.SPXW250530C5540</stp>
        <tr r="I119" s="2"/>
      </tp>
      <tp t="e">
        <v>#N/A</v>
        <stp/>
        <stp>VOLUME</stp>
        <stp>.SPXW250731C5550</stp>
        <tr r="N118" s="2"/>
      </tp>
      <tp t="e">
        <v>#N/A</v>
        <stp/>
        <stp>VOLUME</stp>
        <stp>.SPXW250606C5620</stp>
        <tr r="J111" s="2"/>
      </tp>
      <tp t="e">
        <v>#N/A</v>
        <stp/>
        <stp>VOLUME</stp>
        <stp>.SPXW250630C5540</stp>
        <tr r="L119" s="2"/>
      </tp>
      <tp t="e">
        <v>#N/A</v>
        <stp/>
        <stp>VOLUME</stp>
        <stp>.SPXW251031C5550</stp>
        <tr r="T118" s="2"/>
      </tp>
      <tp t="e">
        <v>#N/A</v>
        <stp/>
        <stp>VOLUME</stp>
        <stp>.SPXW251231C5550</stp>
        <tr r="X118" s="2"/>
      </tp>
      <tp t="e">
        <v>#N/A</v>
        <stp/>
        <stp>VOLUME</stp>
        <stp>.SPXW251031P5550</stp>
        <tr r="T118" s="2"/>
      </tp>
      <tp t="e">
        <v>#N/A</v>
        <stp/>
        <stp>VOLUME</stp>
        <stp>.SPXW251231P5550</stp>
        <tr r="X118" s="2"/>
      </tp>
      <tp t="e">
        <v>#N/A</v>
        <stp/>
        <stp>VOLUME</stp>
        <stp>.SPXW250930P5540</stp>
        <tr r="R119" s="2"/>
      </tp>
      <tp t="e">
        <v>#N/A</v>
        <stp/>
        <stp>VOLUME</stp>
        <stp>.SPXW250502P5660</stp>
        <tr r="BB106" s="1"/>
        <tr r="BB106" s="1"/>
      </tp>
      <tp t="e">
        <v>#N/A</v>
        <stp/>
        <stp>VOLUME</stp>
        <stp>.SPXW250505P5610</stp>
        <tr r="B112" s="2"/>
      </tp>
      <tp t="e">
        <v>#N/A</v>
        <stp/>
        <stp>VOLUME</stp>
        <stp>.SPXW250506P5620</stp>
        <tr r="C111" s="2"/>
      </tp>
      <tp t="e">
        <v>#N/A</v>
        <stp/>
        <stp>VOLUME</stp>
        <stp>.SPXW250507P5630</stp>
        <tr r="D110" s="2"/>
      </tp>
      <tp t="e">
        <v>#N/A</v>
        <stp/>
        <stp>VOLUME</stp>
        <stp>.SPXW250516P5720</stp>
        <tr r="BF100" s="1"/>
        <tr r="BF100" s="1"/>
      </tp>
      <tp t="e">
        <v>#N/A</v>
        <stp/>
        <stp>VOLUME</stp>
        <stp>.SPXW250530P5540</stp>
        <tr r="I119" s="2"/>
      </tp>
      <tp t="e">
        <v>#N/A</v>
        <stp/>
        <stp>VOLUME</stp>
        <stp>.SPXW250731P5550</stp>
        <tr r="N118" s="2"/>
      </tp>
      <tp t="e">
        <v>#N/A</v>
        <stp/>
        <stp>VOLUME</stp>
        <stp>.SPXW250606P5620</stp>
        <tr r="J111" s="2"/>
      </tp>
      <tp t="e">
        <v>#N/A</v>
        <stp/>
        <stp>VOLUME</stp>
        <stp>.SPXW250630P5540</stp>
        <tr r="L119" s="2"/>
      </tp>
      <tp t="e">
        <v>#N/A</v>
        <stp/>
        <stp>VOLUME</stp>
        <stp>.NDXP251128P20300</stp>
        <tr r="V145" s="2"/>
      </tp>
      <tp t="e">
        <v>#N/A</v>
        <stp/>
        <stp>VOLUME</stp>
        <stp>.SPXW250930C5550</stp>
        <tr r="R118" s="2"/>
      </tp>
      <tp t="e">
        <v>#N/A</v>
        <stp/>
        <stp>VOLUME</stp>
        <stp>.SPXW250502C5670</stp>
        <tr r="BA105" s="1"/>
        <tr r="BA105" s="1"/>
      </tp>
      <tp t="e">
        <v>#N/A</v>
        <stp/>
        <stp>VOLUME</stp>
        <stp>.SPXW250505C5600</stp>
        <tr r="B113" s="2"/>
      </tp>
      <tp t="e">
        <v>#N/A</v>
        <stp/>
        <stp>VOLUME</stp>
        <stp>.SPXW250506C5630</stp>
        <tr r="C110" s="2"/>
      </tp>
      <tp t="e">
        <v>#N/A</v>
        <stp/>
        <stp>VOLUME</stp>
        <stp>.SPXW250507C5620</stp>
        <tr r="D111" s="2"/>
      </tp>
      <tp t="e">
        <v>#N/A</v>
        <stp/>
        <stp>VOLUME</stp>
        <stp>.SPXW250516C5730</stp>
        <tr r="BE99" s="1"/>
        <tr r="BE99" s="1"/>
      </tp>
      <tp t="e">
        <v>#N/A</v>
        <stp/>
        <stp>VOLUME</stp>
        <stp>.SPXW250530C5550</stp>
        <tr r="I118" s="2"/>
      </tp>
      <tp t="e">
        <v>#N/A</v>
        <stp/>
        <stp>VOLUME</stp>
        <stp>.SPXW250731C5540</stp>
        <tr r="N119" s="2"/>
      </tp>
      <tp t="e">
        <v>#N/A</v>
        <stp/>
        <stp>VOLUME</stp>
        <stp>.SPXW250606C5630</stp>
        <tr r="J110" s="2"/>
      </tp>
      <tp t="e">
        <v>#N/A</v>
        <stp/>
        <stp>VOLUME</stp>
        <stp>.SPXW250630C5550</stp>
        <tr r="L118" s="2"/>
      </tp>
      <tp t="e">
        <v>#N/A</v>
        <stp/>
        <stp>VOLUME</stp>
        <stp>.SPXW251031C5540</stp>
        <tr r="T119" s="2"/>
      </tp>
      <tp t="e">
        <v>#N/A</v>
        <stp/>
        <stp>VOLUME</stp>
        <stp>.SPXW251231C5540</stp>
        <tr r="X119" s="2"/>
      </tp>
      <tp t="e">
        <v>#N/A</v>
        <stp/>
        <stp>VOLUME</stp>
        <stp>.SPXW251031P5540</stp>
        <tr r="T119" s="2"/>
      </tp>
      <tp t="e">
        <v>#N/A</v>
        <stp/>
        <stp>VOLUME</stp>
        <stp>.SPXW251231P5540</stp>
        <tr r="X119" s="2"/>
      </tp>
      <tp t="e">
        <v>#N/A</v>
        <stp/>
        <stp>VOLUME</stp>
        <stp>.SPXW250930P5550</stp>
        <tr r="R118" s="2"/>
      </tp>
      <tp t="e">
        <v>#N/A</v>
        <stp/>
        <stp>VOLUME</stp>
        <stp>.SPXW250502P5670</stp>
        <tr r="BB105" s="1"/>
        <tr r="BB105" s="1"/>
      </tp>
      <tp t="e">
        <v>#N/A</v>
        <stp/>
        <stp>VOLUME</stp>
        <stp>.SPXW250505P5600</stp>
        <tr r="B113" s="2"/>
      </tp>
      <tp t="e">
        <v>#N/A</v>
        <stp/>
        <stp>VOLUME</stp>
        <stp>.SPXW250506P5630</stp>
        <tr r="C110" s="2"/>
      </tp>
      <tp t="e">
        <v>#N/A</v>
        <stp/>
        <stp>VOLUME</stp>
        <stp>.SPXW250507P5620</stp>
        <tr r="D111" s="2"/>
      </tp>
      <tp t="e">
        <v>#N/A</v>
        <stp/>
        <stp>VOLUME</stp>
        <stp>.SPXW250516P5730</stp>
        <tr r="BF99" s="1"/>
        <tr r="BF99" s="1"/>
      </tp>
      <tp t="e">
        <v>#N/A</v>
        <stp/>
        <stp>VOLUME</stp>
        <stp>.SPXW250530P5550</stp>
        <tr r="I118" s="2"/>
      </tp>
      <tp t="e">
        <v>#N/A</v>
        <stp/>
        <stp>VOLUME</stp>
        <stp>.SPXW250731P5540</stp>
        <tr r="N119" s="2"/>
      </tp>
      <tp t="e">
        <v>#N/A</v>
        <stp/>
        <stp>VOLUME</stp>
        <stp>.SPXW250606P5630</stp>
        <tr r="J110" s="2"/>
      </tp>
      <tp t="e">
        <v>#N/A</v>
        <stp/>
        <stp>VOLUME</stp>
        <stp>.SPXW250630P5550</stp>
        <tr r="L118" s="2"/>
      </tp>
      <tp t="s">
        <v>N/A</v>
        <stp/>
        <stp>VOLUME</stp>
        <stp>.NDXP250829P20220</stp>
        <tr r="P149" s="2"/>
      </tp>
      <tp t="e">
        <v>#N/A</v>
        <stp/>
        <stp>VOLUME</stp>
        <stp>.NDXP250508P20320</stp>
        <tr r="E144" s="2"/>
      </tp>
      <tp t="s">
        <v>N/A</v>
        <stp/>
        <stp>VOLUME</stp>
        <stp>.NDXP250509P20220</stp>
        <tr r="BD148" s="1"/>
      </tp>
      <tp>
        <v>108</v>
        <stp/>
        <stp>VOLUME</stp>
        <stp>.NDXP250502P19920</stp>
        <tr r="BB163" s="1"/>
        <tr r="BB163" s="1"/>
      </tp>
      <tp t="e">
        <v>#N/A</v>
        <stp/>
        <stp>VOLUME</stp>
        <stp>.SPXW250930C5560</stp>
        <tr r="R117" s="2"/>
      </tp>
      <tp t="e">
        <v>#N/A</v>
        <stp/>
        <stp>VOLUME</stp>
        <stp>.SPXW250502C5640</stp>
        <tr r="BA108" s="1"/>
        <tr r="BA108" s="1"/>
      </tp>
      <tp t="e">
        <v>#N/A</v>
        <stp/>
        <stp>VOLUME</stp>
        <stp>.SPXW250505C5630</stp>
        <tr r="B110" s="2"/>
      </tp>
      <tp t="e">
        <v>#N/A</v>
        <stp/>
        <stp>VOLUME</stp>
        <stp>.SPXW250506C5600</stp>
        <tr r="C113" s="2"/>
      </tp>
      <tp t="e">
        <v>#N/A</v>
        <stp/>
        <stp>VOLUME</stp>
        <stp>.SPXW250507C5610</stp>
        <tr r="D112" s="2"/>
      </tp>
      <tp t="e">
        <v>#N/A</v>
        <stp/>
        <stp>VOLUME</stp>
        <stp>.SPXW250516C5700</stp>
        <tr r="BE102" s="1"/>
        <tr r="BE102" s="1"/>
      </tp>
      <tp t="e">
        <v>#N/A</v>
        <stp/>
        <stp>VOLUME</stp>
        <stp>.SPXW250530C5560</stp>
        <tr r="I117" s="2"/>
      </tp>
      <tp t="e">
        <v>#N/A</v>
        <stp/>
        <stp>VOLUME</stp>
        <stp>.SPXW250731C5570</stp>
        <tr r="N116" s="2"/>
      </tp>
      <tp t="e">
        <v>#N/A</v>
        <stp/>
        <stp>VOLUME</stp>
        <stp>.SPXW250606C5600</stp>
        <tr r="J113" s="2"/>
      </tp>
      <tp t="e">
        <v>#N/A</v>
        <stp/>
        <stp>VOLUME</stp>
        <stp>.SPXW250630C5560</stp>
        <tr r="L117" s="2"/>
      </tp>
      <tp t="e">
        <v>#N/A</v>
        <stp/>
        <stp>VOLUME</stp>
        <stp>.SPXW251031C5570</stp>
        <tr r="T116" s="2"/>
      </tp>
      <tp t="e">
        <v>#N/A</v>
        <stp/>
        <stp>VOLUME</stp>
        <stp>.SPXW251231C5570</stp>
        <tr r="X116" s="2"/>
      </tp>
      <tp t="e">
        <v>#N/A</v>
        <stp/>
        <stp>VOLUME</stp>
        <stp>.SPXW251031P5570</stp>
        <tr r="T116" s="2"/>
      </tp>
      <tp t="e">
        <v>#N/A</v>
        <stp/>
        <stp>VOLUME</stp>
        <stp>.SPXW251231P5570</stp>
        <tr r="X116" s="2"/>
      </tp>
      <tp t="e">
        <v>#N/A</v>
        <stp/>
        <stp>VOLUME</stp>
        <stp>.SPXW250930P5560</stp>
        <tr r="R117" s="2"/>
      </tp>
      <tp t="e">
        <v>#N/A</v>
        <stp/>
        <stp>VOLUME</stp>
        <stp>.SPXW250502P5640</stp>
        <tr r="BB108" s="1"/>
        <tr r="BB108" s="1"/>
      </tp>
      <tp t="e">
        <v>#N/A</v>
        <stp/>
        <stp>VOLUME</stp>
        <stp>.SPXW250505P5630</stp>
        <tr r="B110" s="2"/>
      </tp>
      <tp t="e">
        <v>#N/A</v>
        <stp/>
        <stp>VOLUME</stp>
        <stp>.SPXW250506P5600</stp>
        <tr r="C113" s="2"/>
      </tp>
      <tp t="e">
        <v>#N/A</v>
        <stp/>
        <stp>VOLUME</stp>
        <stp>.SPXW250507P5610</stp>
        <tr r="D112" s="2"/>
      </tp>
      <tp t="e">
        <v>#N/A</v>
        <stp/>
        <stp>VOLUME</stp>
        <stp>.SPXW250516P5700</stp>
        <tr r="BF102" s="1"/>
        <tr r="BF102" s="1"/>
      </tp>
      <tp t="e">
        <v>#N/A</v>
        <stp/>
        <stp>VOLUME</stp>
        <stp>.SPXW250530P5560</stp>
        <tr r="I117" s="2"/>
      </tp>
      <tp t="e">
        <v>#N/A</v>
        <stp/>
        <stp>VOLUME</stp>
        <stp>.SPXW250731P5570</stp>
        <tr r="N116" s="2"/>
      </tp>
      <tp t="e">
        <v>#N/A</v>
        <stp/>
        <stp>VOLUME</stp>
        <stp>.SPXW250606P5600</stp>
        <tr r="J113" s="2"/>
      </tp>
      <tp t="e">
        <v>#N/A</v>
        <stp/>
        <stp>VOLUME</stp>
        <stp>.SPXW250630P5560</stp>
        <tr r="L117" s="2"/>
      </tp>
      <tp t="e">
        <v>#N/A</v>
        <stp/>
        <stp>VOLUME</stp>
        <stp>.NDXP251128P20320</stp>
        <tr r="V144" s="2"/>
      </tp>
      <tp t="e">
        <v>#N/A</v>
        <stp/>
        <stp>VOLUME</stp>
        <stp>.SPXW250930C5570</stp>
        <tr r="R116" s="2"/>
      </tp>
      <tp t="e">
        <v>#N/A</v>
        <stp/>
        <stp>VOLUME</stp>
        <stp>.SPXW250502C5650</stp>
        <tr r="BA107" s="1"/>
        <tr r="BA107" s="1"/>
      </tp>
      <tp t="e">
        <v>#N/A</v>
        <stp/>
        <stp>VOLUME</stp>
        <stp>.SPXW250505C5620</stp>
        <tr r="B111" s="2"/>
      </tp>
      <tp t="e">
        <v>#N/A</v>
        <stp/>
        <stp>VOLUME</stp>
        <stp>.SPXW250506C5610</stp>
        <tr r="C112" s="2"/>
      </tp>
      <tp t="e">
        <v>#N/A</v>
        <stp/>
        <stp>VOLUME</stp>
        <stp>.SPXW250507C5600</stp>
        <tr r="D113" s="2"/>
      </tp>
      <tp t="e">
        <v>#N/A</v>
        <stp/>
        <stp>VOLUME</stp>
        <stp>.SPXW250516C5710</stp>
        <tr r="BE101" s="1"/>
        <tr r="BE101" s="1"/>
      </tp>
      <tp t="e">
        <v>#N/A</v>
        <stp/>
        <stp>VOLUME</stp>
        <stp>.SPXW250530C5570</stp>
        <tr r="I116" s="2"/>
      </tp>
      <tp t="e">
        <v>#N/A</v>
        <stp/>
        <stp>VOLUME</stp>
        <stp>.SPXW250731C5560</stp>
        <tr r="N117" s="2"/>
      </tp>
      <tp t="e">
        <v>#N/A</v>
        <stp/>
        <stp>VOLUME</stp>
        <stp>.SPXW250606C5610</stp>
        <tr r="J112" s="2"/>
      </tp>
      <tp t="e">
        <v>#N/A</v>
        <stp/>
        <stp>VOLUME</stp>
        <stp>.SPXW250630C5570</stp>
        <tr r="L116" s="2"/>
      </tp>
      <tp t="e">
        <v>#N/A</v>
        <stp/>
        <stp>VOLUME</stp>
        <stp>.SPXW251031C5560</stp>
        <tr r="T117" s="2"/>
      </tp>
      <tp t="e">
        <v>#N/A</v>
        <stp/>
        <stp>VOLUME</stp>
        <stp>.SPXW251231C5560</stp>
        <tr r="X117" s="2"/>
      </tp>
      <tp t="e">
        <v>#N/A</v>
        <stp/>
        <stp>VOLUME</stp>
        <stp>.SPXW251031P5560</stp>
        <tr r="T117" s="2"/>
      </tp>
      <tp t="e">
        <v>#N/A</v>
        <stp/>
        <stp>VOLUME</stp>
        <stp>.SPXW251231P5560</stp>
        <tr r="X117" s="2"/>
      </tp>
      <tp t="e">
        <v>#N/A</v>
        <stp/>
        <stp>VOLUME</stp>
        <stp>.SPXW250930P5570</stp>
        <tr r="R116" s="2"/>
      </tp>
      <tp t="e">
        <v>#N/A</v>
        <stp/>
        <stp>VOLUME</stp>
        <stp>.SPXW250502P5650</stp>
        <tr r="BB107" s="1"/>
        <tr r="BB107" s="1"/>
      </tp>
      <tp t="e">
        <v>#N/A</v>
        <stp/>
        <stp>VOLUME</stp>
        <stp>.SPXW250505P5620</stp>
        <tr r="B111" s="2"/>
      </tp>
      <tp t="e">
        <v>#N/A</v>
        <stp/>
        <stp>VOLUME</stp>
        <stp>.SPXW250506P5610</stp>
        <tr r="C112" s="2"/>
      </tp>
      <tp t="e">
        <v>#N/A</v>
        <stp/>
        <stp>VOLUME</stp>
        <stp>.SPXW250507P5600</stp>
        <tr r="D113" s="2"/>
      </tp>
      <tp t="e">
        <v>#N/A</v>
        <stp/>
        <stp>VOLUME</stp>
        <stp>.SPXW250516P5710</stp>
        <tr r="BF101" s="1"/>
        <tr r="BF101" s="1"/>
      </tp>
      <tp t="e">
        <v>#N/A</v>
        <stp/>
        <stp>VOLUME</stp>
        <stp>.SPXW250530P5570</stp>
        <tr r="I116" s="2"/>
      </tp>
      <tp t="e">
        <v>#N/A</v>
        <stp/>
        <stp>VOLUME</stp>
        <stp>.SPXW250731P5560</stp>
        <tr r="N117" s="2"/>
      </tp>
      <tp t="e">
        <v>#N/A</v>
        <stp/>
        <stp>VOLUME</stp>
        <stp>.SPXW250606P5610</stp>
        <tr r="J112" s="2"/>
      </tp>
      <tp t="e">
        <v>#N/A</v>
        <stp/>
        <stp>VOLUME</stp>
        <stp>.SPXW250630P5570</stp>
        <tr r="L116" s="2"/>
      </tp>
      <tp t="e">
        <v>#N/A</v>
        <stp/>
        <stp>OPEN_INT</stp>
        <stp>.NDXP250509C19400</stp>
        <tr r="AU189" s="1"/>
        <tr r="AU189" s="1"/>
      </tp>
      <tp>
        <v>15</v>
        <stp/>
        <stp>OPEN_INT</stp>
        <stp>.NDXP250509C20400</stp>
        <tr r="AU139" s="1"/>
        <tr r="AU139" s="1"/>
      </tp>
      <tp t="e">
        <v>#N/A</v>
        <stp/>
        <stp>OPEN_INT</stp>
        <stp>.NDXP250509C19420</stp>
        <tr r="AU188" s="1"/>
      </tp>
      <tp t="s">
        <v>N/A</v>
        <stp/>
        <stp>OPEN_INT</stp>
        <stp>.NDXP250509C20420</stp>
        <tr r="AU138" s="1"/>
      </tp>
      <tp t="e">
        <v>#N/A</v>
        <stp/>
        <stp>OPEN_INT</stp>
        <stp>.NDXP250509C19440</stp>
        <tr r="AU187" s="1"/>
      </tp>
      <tp t="s">
        <v>N/A</v>
        <stp/>
        <stp>OPEN_INT</stp>
        <stp>.NDXP250509C20440</stp>
        <tr r="AU137" s="1"/>
      </tp>
      <tp t="e">
        <v>#N/A</v>
        <stp/>
        <stp>OPEN_INT</stp>
        <stp>.NDXP250509C19460</stp>
        <tr r="AU186" s="1"/>
      </tp>
      <tp t="e">
        <v>#N/A</v>
        <stp/>
        <stp>OPEN_INT</stp>
        <stp>.NDXP250509C19480</stp>
        <tr r="AU185" s="1"/>
      </tp>
      <tp t="e">
        <v>#N/A</v>
        <stp/>
        <stp>OPEN_INT</stp>
        <stp>.NDXP250509P19420</stp>
        <tr r="AV188" s="1"/>
      </tp>
      <tp t="s">
        <v>N/A</v>
        <stp/>
        <stp>OPEN_INT</stp>
        <stp>.NDXP250509P20420</stp>
        <tr r="AV138" s="1"/>
      </tp>
      <tp t="e">
        <v>#N/A</v>
        <stp/>
        <stp>OPEN_INT</stp>
        <stp>.NDXP250509P19400</stp>
        <tr r="AV189" s="1"/>
        <tr r="AV189" s="1"/>
      </tp>
      <tp>
        <v>1</v>
        <stp/>
        <stp>OPEN_INT</stp>
        <stp>.NDXP250509P20400</stp>
        <tr r="AV139" s="1"/>
        <tr r="AV139" s="1"/>
      </tp>
      <tp t="e">
        <v>#N/A</v>
        <stp/>
        <stp>OPEN_INT</stp>
        <stp>.NDXP250509P19460</stp>
        <tr r="AV186" s="1"/>
      </tp>
      <tp t="e">
        <v>#N/A</v>
        <stp/>
        <stp>OPEN_INT</stp>
        <stp>.NDXP250509P19440</stp>
        <tr r="AV187" s="1"/>
      </tp>
      <tp t="s">
        <v>N/A</v>
        <stp/>
        <stp>OPEN_INT</stp>
        <stp>.NDXP250509P20440</stp>
        <tr r="AV137" s="1"/>
      </tp>
      <tp t="e">
        <v>#N/A</v>
        <stp/>
        <stp>OPEN_INT</stp>
        <stp>.NDXP250509P19480</stp>
        <tr r="AV185" s="1"/>
      </tp>
      <tp t="e">
        <v>#N/A</v>
        <stp/>
        <stp>DELTA</stp>
        <stp>.NDXP250502P19580</stp>
        <tr r="CE180" s="1"/>
        <tr r="CE180" s="1"/>
      </tp>
      <tp t="e">
        <v>#N/A</v>
        <stp/>
        <stp>DELTA</stp>
        <stp>.NDXP250502P19520</stp>
        <tr r="CE183" s="1"/>
        <tr r="CE183" s="1"/>
      </tp>
      <tp t="e">
        <v>#N/A</v>
        <stp/>
        <stp>DELTA</stp>
        <stp>.NDXP250502P19500</stp>
        <tr r="CE184" s="1"/>
        <tr r="CE184" s="1"/>
      </tp>
      <tp t="e">
        <v>#N/A</v>
        <stp/>
        <stp>DELTA</stp>
        <stp>.NDXP250502P19560</stp>
        <tr r="CE181" s="1"/>
        <tr r="CE181" s="1"/>
      </tp>
      <tp t="e">
        <v>#N/A</v>
        <stp/>
        <stp>DELTA</stp>
        <stp>.NDXP250502P19540</stp>
        <tr r="CE182" s="1"/>
        <tr r="CE182" s="1"/>
      </tp>
      <tp t="e">
        <v>#N/A</v>
        <stp/>
        <stp>DELTA</stp>
        <stp>.NDXP250502C19580</stp>
        <tr r="CD180" s="1"/>
        <tr r="CD180" s="1"/>
      </tp>
      <tp t="e">
        <v>#N/A</v>
        <stp/>
        <stp>DELTA</stp>
        <stp>.NDXP250502C19500</stp>
        <tr r="CD184" s="1"/>
        <tr r="CD184" s="1"/>
      </tp>
      <tp t="e">
        <v>#N/A</v>
        <stp/>
        <stp>DELTA</stp>
        <stp>.NDXP250502C19520</stp>
        <tr r="CD183" s="1"/>
        <tr r="CD183" s="1"/>
      </tp>
      <tp t="e">
        <v>#N/A</v>
        <stp/>
        <stp>DELTA</stp>
        <stp>.NDXP250502C19540</stp>
        <tr r="CD182" s="1"/>
        <tr r="CD182" s="1"/>
      </tp>
      <tp t="e">
        <v>#N/A</v>
        <stp/>
        <stp>DELTA</stp>
        <stp>.NDXP250502C19560</stp>
        <tr r="CD181" s="1"/>
        <tr r="CD181" s="1"/>
      </tp>
      <tp t="e">
        <v>#N/A</v>
        <stp/>
        <stp>VOLUME</stp>
        <stp>.NDXP251231C19580</stp>
        <tr r="X181" s="2"/>
      </tp>
      <tp t="e">
        <v>#N/A</v>
        <stp/>
        <stp>VOLUME</stp>
        <stp>.NDXP251031C19580</stp>
        <tr r="T181" s="2"/>
      </tp>
      <tp t="e">
        <v>#N/A</v>
        <stp/>
        <stp>VOLUME</stp>
        <stp>.NDXP250930C19480</stp>
        <tr r="R186" s="2"/>
      </tp>
      <tp t="e">
        <v>#N/A</v>
        <stp/>
        <stp>VOLUME</stp>
        <stp>.NDXP250630C19480</stp>
        <tr r="L186" s="2"/>
      </tp>
      <tp>
        <v>7</v>
        <stp/>
        <stp>VOLUME</stp>
        <stp>.NDXP250505C20180</stp>
        <tr r="B151" s="2"/>
        <tr r="B151" s="2"/>
      </tp>
      <tp t="s">
        <v>N/A</v>
        <stp/>
        <stp>VOLUME</stp>
        <stp>.NDXP250506C20280</stp>
        <tr r="C146" s="2"/>
      </tp>
      <tp t="e">
        <v>#N/A</v>
        <stp/>
        <stp>VOLUME</stp>
        <stp>.NDXP250507C20380</stp>
        <tr r="D141" s="2"/>
      </tp>
      <tp t="e">
        <v>#N/A</v>
        <stp/>
        <stp>VOLUME</stp>
        <stp>.NDXP250731C19580</stp>
        <tr r="N181" s="2"/>
      </tp>
      <tp t="s">
        <v>N/A</v>
        <stp/>
        <stp>VOLUME</stp>
        <stp>.NDXP250502C19680</stp>
        <tr r="BA175" s="1"/>
      </tp>
      <tp t="e">
        <v>#N/A</v>
        <stp/>
        <stp>VOLUME</stp>
        <stp>.NDXP250530C19480</stp>
        <tr r="I186" s="2"/>
      </tp>
      <tp t="e">
        <v>#N/A</v>
        <stp/>
        <stp>VOLUME</stp>
        <stp>.NDXP250606C20280</stp>
        <tr r="J146" s="2"/>
      </tp>
      <tp t="e">
        <v>#N/A</v>
        <stp/>
        <stp>VOLUME</stp>
        <stp>.NDXP251231C19560</stp>
        <tr r="X182" s="2"/>
      </tp>
      <tp t="e">
        <v>#N/A</v>
        <stp/>
        <stp>VOLUME</stp>
        <stp>.NDXP251031C19560</stp>
        <tr r="T182" s="2"/>
      </tp>
      <tp t="e">
        <v>#N/A</v>
        <stp/>
        <stp>VOLUME</stp>
        <stp>.NDXP250930C19460</stp>
        <tr r="R187" s="2"/>
      </tp>
      <tp t="e">
        <v>#N/A</v>
        <stp/>
        <stp>VOLUME</stp>
        <stp>.NDXP250630C19460</stp>
        <tr r="L187" s="2"/>
      </tp>
      <tp>
        <v>2</v>
        <stp/>
        <stp>VOLUME</stp>
        <stp>.NDXP250505C20160</stp>
        <tr r="B152" s="2"/>
        <tr r="B152" s="2"/>
      </tp>
      <tp>
        <v>3</v>
        <stp/>
        <stp>VOLUME</stp>
        <stp>.NDXP250506C20260</stp>
        <tr r="C147" s="2"/>
        <tr r="C147" s="2"/>
      </tp>
      <tp t="e">
        <v>#N/A</v>
        <stp/>
        <stp>VOLUME</stp>
        <stp>.NDXP250507C20360</stp>
        <tr r="D142" s="2"/>
      </tp>
      <tp t="e">
        <v>#N/A</v>
        <stp/>
        <stp>VOLUME</stp>
        <stp>.NDXP250731C19560</stp>
        <tr r="N182" s="2"/>
      </tp>
      <tp t="s">
        <v>N/A</v>
        <stp/>
        <stp>VOLUME</stp>
        <stp>.NDXP250502C19660</stp>
        <tr r="BA176" s="1"/>
      </tp>
      <tp t="e">
        <v>#N/A</v>
        <stp/>
        <stp>VOLUME</stp>
        <stp>.NDXP250530C19460</stp>
        <tr r="I187" s="2"/>
      </tp>
      <tp t="e">
        <v>#N/A</v>
        <stp/>
        <stp>VOLUME</stp>
        <stp>.NDXP250606C20260</stp>
        <tr r="J147" s="2"/>
      </tp>
      <tp t="e">
        <v>#N/A</v>
        <stp/>
        <stp>VOLUME</stp>
        <stp>.NDXP251231C19540</stp>
        <tr r="X183" s="2"/>
      </tp>
      <tp t="e">
        <v>#N/A</v>
        <stp/>
        <stp>VOLUME</stp>
        <stp>.NDXP251031C19540</stp>
        <tr r="T183" s="2"/>
      </tp>
      <tp t="s">
        <v>N/A</v>
        <stp/>
        <stp>VOLUME</stp>
        <stp>.NDXP250930C20440</stp>
        <tr r="R138" s="2"/>
      </tp>
      <tp t="e">
        <v>#N/A</v>
        <stp/>
        <stp>VOLUME</stp>
        <stp>.NDXP250930C19440</stp>
        <tr r="R188" s="2"/>
      </tp>
      <tp t="e">
        <v>#N/A</v>
        <stp/>
        <stp>VOLUME</stp>
        <stp>.NDXP250630C19440</stp>
        <tr r="L188" s="2"/>
      </tp>
      <tp>
        <v>4</v>
        <stp/>
        <stp>VOLUME</stp>
        <stp>.NDXP250505C20140</stp>
        <tr r="B153" s="2"/>
        <tr r="B153" s="2"/>
      </tp>
      <tp t="s">
        <v>N/A</v>
        <stp/>
        <stp>VOLUME</stp>
        <stp>.NDXP250506C20240</stp>
        <tr r="C148" s="2"/>
      </tp>
      <tp t="e">
        <v>#N/A</v>
        <stp/>
        <stp>VOLUME</stp>
        <stp>.NDXP250507C20340</stp>
        <tr r="D143" s="2"/>
      </tp>
      <tp t="s">
        <v>N/A</v>
        <stp/>
        <stp>VOLUME</stp>
        <stp>.NDXP250530C20440</stp>
        <tr r="I138" s="2"/>
      </tp>
      <tp t="e">
        <v>#N/A</v>
        <stp/>
        <stp>VOLUME</stp>
        <stp>.NDXP250731C19540</stp>
        <tr r="N183" s="2"/>
      </tp>
      <tp t="s">
        <v>N/A</v>
        <stp/>
        <stp>VOLUME</stp>
        <stp>.NDXP250502C19640</stp>
        <tr r="BA177" s="1"/>
      </tp>
      <tp t="e">
        <v>#N/A</v>
        <stp/>
        <stp>VOLUME</stp>
        <stp>.NDXP250530C19440</stp>
        <tr r="I188" s="2"/>
      </tp>
      <tp t="e">
        <v>#N/A</v>
        <stp/>
        <stp>VOLUME</stp>
        <stp>.NDXP250606C20240</stp>
        <tr r="J148" s="2"/>
      </tp>
      <tp t="s">
        <v>N/A</v>
        <stp/>
        <stp>VOLUME</stp>
        <stp>.NDXP250630C20440</stp>
        <tr r="L138" s="2"/>
      </tp>
      <tp t="e">
        <v>#N/A</v>
        <stp/>
        <stp>VOLUME</stp>
        <stp>.NDXP251231C19520</stp>
        <tr r="X184" s="2"/>
      </tp>
      <tp t="e">
        <v>#N/A</v>
        <stp/>
        <stp>VOLUME</stp>
        <stp>.NDXP251031C19520</stp>
        <tr r="T184" s="2"/>
      </tp>
      <tp t="s">
        <v>N/A</v>
        <stp/>
        <stp>VOLUME</stp>
        <stp>.NDXP250930C20420</stp>
        <tr r="R139" s="2"/>
      </tp>
      <tp t="e">
        <v>#N/A</v>
        <stp/>
        <stp>VOLUME</stp>
        <stp>.NDXP250930C19420</stp>
        <tr r="R189" s="2"/>
      </tp>
      <tp t="e">
        <v>#N/A</v>
        <stp/>
        <stp>VOLUME</stp>
        <stp>.NDXP250630C19420</stp>
        <tr r="L189" s="2"/>
      </tp>
      <tp>
        <v>16</v>
        <stp/>
        <stp>VOLUME</stp>
        <stp>.NDXP250505C20120</stp>
        <tr r="B154" s="2"/>
        <tr r="B154" s="2"/>
      </tp>
      <tp t="s">
        <v>N/A</v>
        <stp/>
        <stp>VOLUME</stp>
        <stp>.NDXP250506C20220</stp>
        <tr r="C149" s="2"/>
      </tp>
      <tp t="e">
        <v>#N/A</v>
        <stp/>
        <stp>VOLUME</stp>
        <stp>.NDXP250507C20320</stp>
        <tr r="D144" s="2"/>
      </tp>
      <tp t="s">
        <v>N/A</v>
        <stp/>
        <stp>VOLUME</stp>
        <stp>.NDXP250530C20420</stp>
        <tr r="I139" s="2"/>
      </tp>
      <tp t="e">
        <v>#N/A</v>
        <stp/>
        <stp>VOLUME</stp>
        <stp>.NDXP250731C19520</stp>
        <tr r="N184" s="2"/>
      </tp>
      <tp t="s">
        <v>N/A</v>
        <stp/>
        <stp>VOLUME</stp>
        <stp>.NDXP250502C19620</stp>
        <tr r="BA178" s="1"/>
      </tp>
      <tp t="e">
        <v>#N/A</v>
        <stp/>
        <stp>VOLUME</stp>
        <stp>.NDXP250530C19420</stp>
        <tr r="I189" s="2"/>
      </tp>
      <tp t="e">
        <v>#N/A</v>
        <stp/>
        <stp>VOLUME</stp>
        <stp>.NDXP250606C20220</stp>
        <tr r="J149" s="2"/>
      </tp>
      <tp t="s">
        <v>N/A</v>
        <stp/>
        <stp>VOLUME</stp>
        <stp>.NDXP250630C20420</stp>
        <tr r="L139" s="2"/>
      </tp>
      <tp t="e">
        <v>#N/A</v>
        <stp/>
        <stp>VOLUME</stp>
        <stp>.NDXP251231C19500</stp>
        <tr r="X185" s="2"/>
      </tp>
      <tp t="e">
        <v>#N/A</v>
        <stp/>
        <stp>VOLUME</stp>
        <stp>.NDXP251031C19500</stp>
        <tr r="T185" s="2"/>
      </tp>
      <tp t="s">
        <v>N/A</v>
        <stp/>
        <stp>VOLUME</stp>
        <stp>.NDXP250930C20400</stp>
        <tr r="R140" s="2"/>
      </tp>
      <tp t="e">
        <v>#N/A</v>
        <stp/>
        <stp>VOLUME</stp>
        <stp>.NDXP250930C19400</stp>
        <tr r="R190" s="2"/>
      </tp>
      <tp t="e">
        <v>#N/A</v>
        <stp/>
        <stp>VOLUME</stp>
        <stp>.NDXP250630C19400</stp>
        <tr r="L190" s="2"/>
      </tp>
      <tp>
        <v>59</v>
        <stp/>
        <stp>VOLUME</stp>
        <stp>.NDXP250505C20100</stp>
        <tr r="B155" s="2"/>
        <tr r="B155" s="2"/>
      </tp>
      <tp>
        <v>2</v>
        <stp/>
        <stp>VOLUME</stp>
        <stp>.NDXP250506C20200</stp>
        <tr r="C150" s="2"/>
        <tr r="C150" s="2"/>
      </tp>
      <tp t="e">
        <v>#N/A</v>
        <stp/>
        <stp>VOLUME</stp>
        <stp>.NDXP250507C20300</stp>
        <tr r="D145" s="2"/>
      </tp>
      <tp>
        <v>31</v>
        <stp/>
        <stp>VOLUME</stp>
        <stp>.NDXP250530C20400</stp>
        <tr r="I140" s="2"/>
        <tr r="I140" s="2"/>
      </tp>
      <tp t="e">
        <v>#N/A</v>
        <stp/>
        <stp>VOLUME</stp>
        <stp>.NDXP250731C19500</stp>
        <tr r="N185" s="2"/>
      </tp>
      <tp t="e">
        <v>#N/A</v>
        <stp/>
        <stp>VOLUME</stp>
        <stp>.NDXP250502C19600</stp>
        <tr r="BA179" s="1"/>
        <tr r="BA179" s="1"/>
      </tp>
      <tp t="e">
        <v>#N/A</v>
        <stp/>
        <stp>VOLUME</stp>
        <stp>.NDXP250530C19400</stp>
        <tr r="I190" s="2"/>
      </tp>
      <tp t="e">
        <v>#N/A</v>
        <stp/>
        <stp>VOLUME</stp>
        <stp>.NDXP250606C20200</stp>
        <tr r="J150" s="2"/>
      </tp>
      <tp t="s">
        <v>N/A</v>
        <stp/>
        <stp>VOLUME</stp>
        <stp>.NDXP250630C20400</stp>
        <tr r="L140" s="2"/>
      </tp>
      <tp t="e">
        <v>#N/A</v>
        <stp/>
        <stp>VOLUME</stp>
        <stp>.NDXP250930P19480</stp>
        <tr r="R186" s="2"/>
      </tp>
      <tp t="e">
        <v>#N/A</v>
        <stp/>
        <stp>VOLUME</stp>
        <stp>.NDXP250630P19480</stp>
        <tr r="L186" s="2"/>
      </tp>
      <tp t="s">
        <v>N/A</v>
        <stp/>
        <stp>VOLUME</stp>
        <stp>.NDXP250505P20180</stp>
        <tr r="B151" s="2"/>
      </tp>
      <tp t="s">
        <v>N/A</v>
        <stp/>
        <stp>VOLUME</stp>
        <stp>.NDXP250506P20280</stp>
        <tr r="C146" s="2"/>
      </tp>
      <tp t="e">
        <v>#N/A</v>
        <stp/>
        <stp>VOLUME</stp>
        <stp>.NDXP250507P20380</stp>
        <tr r="D141" s="2"/>
      </tp>
      <tp t="e">
        <v>#N/A</v>
        <stp/>
        <stp>VOLUME</stp>
        <stp>.NDXP250731P19580</stp>
        <tr r="N181" s="2"/>
      </tp>
      <tp>
        <v>95</v>
        <stp/>
        <stp>VOLUME</stp>
        <stp>.NDXP250502P19680</stp>
        <tr r="BB175" s="1"/>
        <tr r="BB175" s="1"/>
      </tp>
      <tp t="e">
        <v>#N/A</v>
        <stp/>
        <stp>VOLUME</stp>
        <stp>.NDXP250530P19480</stp>
        <tr r="I186" s="2"/>
      </tp>
      <tp t="e">
        <v>#N/A</v>
        <stp/>
        <stp>VOLUME</stp>
        <stp>.NDXP250606P20280</stp>
        <tr r="J146" s="2"/>
      </tp>
      <tp t="e">
        <v>#N/A</v>
        <stp/>
        <stp>VOLUME</stp>
        <stp>.NDXP251231P19580</stp>
        <tr r="X181" s="2"/>
      </tp>
      <tp t="e">
        <v>#N/A</v>
        <stp/>
        <stp>VOLUME</stp>
        <stp>.NDXP251031P19580</stp>
        <tr r="T181" s="2"/>
      </tp>
      <tp t="s">
        <v>N/A</v>
        <stp/>
        <stp>VOLUME</stp>
        <stp>.NDXP250930P20440</stp>
        <tr r="R138" s="2"/>
      </tp>
      <tp t="e">
        <v>#N/A</v>
        <stp/>
        <stp>VOLUME</stp>
        <stp>.NDXP250930P19440</stp>
        <tr r="R188" s="2"/>
      </tp>
      <tp t="e">
        <v>#N/A</v>
        <stp/>
        <stp>VOLUME</stp>
        <stp>.NDXP250630P19440</stp>
        <tr r="L188" s="2"/>
      </tp>
      <tp>
        <v>26</v>
        <stp/>
        <stp>VOLUME</stp>
        <stp>.NDXP250505P20140</stp>
        <tr r="B153" s="2"/>
        <tr r="B153" s="2"/>
      </tp>
      <tp>
        <v>4</v>
        <stp/>
        <stp>VOLUME</stp>
        <stp>.NDXP250506P20240</stp>
        <tr r="C148" s="2"/>
        <tr r="C148" s="2"/>
      </tp>
      <tp t="e">
        <v>#N/A</v>
        <stp/>
        <stp>VOLUME</stp>
        <stp>.NDXP250507P20340</stp>
        <tr r="D143" s="2"/>
      </tp>
      <tp t="s">
        <v>N/A</v>
        <stp/>
        <stp>VOLUME</stp>
        <stp>.NDXP250530P20440</stp>
        <tr r="I138" s="2"/>
      </tp>
      <tp t="e">
        <v>#N/A</v>
        <stp/>
        <stp>VOLUME</stp>
        <stp>.NDXP250731P19540</stp>
        <tr r="N183" s="2"/>
      </tp>
      <tp>
        <v>85</v>
        <stp/>
        <stp>VOLUME</stp>
        <stp>.NDXP250502P19640</stp>
        <tr r="BB177" s="1"/>
        <tr r="BB177" s="1"/>
      </tp>
      <tp t="e">
        <v>#N/A</v>
        <stp/>
        <stp>VOLUME</stp>
        <stp>.NDXP250530P19440</stp>
        <tr r="I188" s="2"/>
      </tp>
      <tp t="e">
        <v>#N/A</v>
        <stp/>
        <stp>VOLUME</stp>
        <stp>.NDXP250606P20240</stp>
        <tr r="J148" s="2"/>
      </tp>
      <tp t="s">
        <v>N/A</v>
        <stp/>
        <stp>VOLUME</stp>
        <stp>.NDXP250630P20440</stp>
        <tr r="L138" s="2"/>
      </tp>
      <tp t="e">
        <v>#N/A</v>
        <stp/>
        <stp>VOLUME</stp>
        <stp>.SPXW250516C5860</stp>
        <tr r="BE86" s="1"/>
        <tr r="BE86" s="1"/>
      </tp>
      <tp t="e">
        <v>#N/A</v>
        <stp/>
        <stp>VOLUME</stp>
        <stp>.SPXW250516P5860</stp>
        <tr r="BF86" s="1"/>
      </tp>
      <tp t="e">
        <v>#N/A</v>
        <stp/>
        <stp>VOLUME</stp>
        <stp>.NDXP251231P19540</stp>
        <tr r="X183" s="2"/>
      </tp>
      <tp t="e">
        <v>#N/A</v>
        <stp/>
        <stp>VOLUME</stp>
        <stp>.NDXP251031P19540</stp>
        <tr r="T183" s="2"/>
      </tp>
      <tp t="e">
        <v>#N/A</v>
        <stp/>
        <stp>VOLUME</stp>
        <stp>.SPXW250516C5870</stp>
        <tr r="BE85" s="1"/>
        <tr r="BE85" s="1"/>
      </tp>
      <tp t="e">
        <v>#N/A</v>
        <stp/>
        <stp>VOLUME</stp>
        <stp>.SPXW250516P5870</stp>
        <tr r="BF85" s="1"/>
      </tp>
      <tp t="e">
        <v>#N/A</v>
        <stp/>
        <stp>VOLUME</stp>
        <stp>.NDXP250930P19460</stp>
        <tr r="R187" s="2"/>
      </tp>
      <tp t="e">
        <v>#N/A</v>
        <stp/>
        <stp>VOLUME</stp>
        <stp>.NDXP250630P19460</stp>
        <tr r="L187" s="2"/>
      </tp>
      <tp>
        <v>78</v>
        <stp/>
        <stp>VOLUME</stp>
        <stp>.NDXP250505P20160</stp>
        <tr r="B152" s="2"/>
        <tr r="B152" s="2"/>
      </tp>
      <tp t="s">
        <v>N/A</v>
        <stp/>
        <stp>VOLUME</stp>
        <stp>.NDXP250506P20260</stp>
        <tr r="C147" s="2"/>
      </tp>
      <tp t="e">
        <v>#N/A</v>
        <stp/>
        <stp>VOLUME</stp>
        <stp>.NDXP250507P20360</stp>
        <tr r="D142" s="2"/>
      </tp>
      <tp t="e">
        <v>#N/A</v>
        <stp/>
        <stp>VOLUME</stp>
        <stp>.NDXP250731P19560</stp>
        <tr r="N182" s="2"/>
      </tp>
      <tp>
        <v>46</v>
        <stp/>
        <stp>VOLUME</stp>
        <stp>.NDXP250502P19660</stp>
        <tr r="BB176" s="1"/>
        <tr r="BB176" s="1"/>
      </tp>
      <tp t="e">
        <v>#N/A</v>
        <stp/>
        <stp>VOLUME</stp>
        <stp>.NDXP250530P19460</stp>
        <tr r="I187" s="2"/>
      </tp>
      <tp t="e">
        <v>#N/A</v>
        <stp/>
        <stp>VOLUME</stp>
        <stp>.NDXP250606P20260</stp>
        <tr r="J147" s="2"/>
      </tp>
      <tp t="e">
        <v>#N/A</v>
        <stp/>
        <stp>VOLUME</stp>
        <stp>.SPXW250516C5840</stp>
        <tr r="BE88" s="1"/>
        <tr r="BE88" s="1"/>
      </tp>
      <tp t="e">
        <v>#N/A</v>
        <stp/>
        <stp>VOLUME</stp>
        <stp>.SPXW250516P5840</stp>
        <tr r="BF88" s="1"/>
        <tr r="BF88" s="1"/>
      </tp>
      <tp t="e">
        <v>#N/A</v>
        <stp/>
        <stp>VOLUME</stp>
        <stp>.NDXP251231P19560</stp>
        <tr r="X182" s="2"/>
      </tp>
      <tp t="e">
        <v>#N/A</v>
        <stp/>
        <stp>VOLUME</stp>
        <stp>.NDXP251031P19560</stp>
        <tr r="T182" s="2"/>
      </tp>
      <tp t="e">
        <v>#N/A</v>
        <stp/>
        <stp>VOLUME</stp>
        <stp>.SPXW250516C5850</stp>
        <tr r="BE87" s="1"/>
        <tr r="BE87" s="1"/>
      </tp>
      <tp t="e">
        <v>#N/A</v>
        <stp/>
        <stp>VOLUME</stp>
        <stp>.SPXW250516P5850</stp>
        <tr r="BF87" s="1"/>
        <tr r="BF87" s="1"/>
      </tp>
      <tp t="s">
        <v>N/A</v>
        <stp/>
        <stp>VOLUME</stp>
        <stp>.NDXP250930P20400</stp>
        <tr r="R140" s="2"/>
      </tp>
      <tp t="e">
        <v>#N/A</v>
        <stp/>
        <stp>VOLUME</stp>
        <stp>.NDXP250930P19400</stp>
        <tr r="R190" s="2"/>
      </tp>
      <tp t="e">
        <v>#N/A</v>
        <stp/>
        <stp>VOLUME</stp>
        <stp>.NDXP250630P19400</stp>
        <tr r="L190" s="2"/>
      </tp>
      <tp>
        <v>35</v>
        <stp/>
        <stp>VOLUME</stp>
        <stp>.NDXP250505P20100</stp>
        <tr r="B155" s="2"/>
        <tr r="B155" s="2"/>
      </tp>
      <tp t="s">
        <v>N/A</v>
        <stp/>
        <stp>VOLUME</stp>
        <stp>.NDXP250506P20200</stp>
        <tr r="C150" s="2"/>
      </tp>
      <tp t="e">
        <v>#N/A</v>
        <stp/>
        <stp>VOLUME</stp>
        <stp>.NDXP250507P20300</stp>
        <tr r="D145" s="2"/>
      </tp>
      <tp t="s">
        <v>N/A</v>
        <stp/>
        <stp>VOLUME</stp>
        <stp>.NDXP250530P20400</stp>
        <tr r="I140" s="2"/>
      </tp>
      <tp t="e">
        <v>#N/A</v>
        <stp/>
        <stp>VOLUME</stp>
        <stp>.NDXP250731P19500</stp>
        <tr r="N185" s="2"/>
      </tp>
      <tp t="e">
        <v>#N/A</v>
        <stp/>
        <stp>VOLUME</stp>
        <stp>.NDXP250502P19600</stp>
        <tr r="BB179" s="1"/>
        <tr r="BB179" s="1"/>
      </tp>
      <tp t="e">
        <v>#N/A</v>
        <stp/>
        <stp>VOLUME</stp>
        <stp>.NDXP250530P19400</stp>
        <tr r="I190" s="2"/>
      </tp>
      <tp t="e">
        <v>#N/A</v>
        <stp/>
        <stp>VOLUME</stp>
        <stp>.NDXP250606P20200</stp>
        <tr r="J150" s="2"/>
      </tp>
      <tp t="s">
        <v>N/A</v>
        <stp/>
        <stp>VOLUME</stp>
        <stp>.NDXP250630P20400</stp>
        <tr r="L140" s="2"/>
      </tp>
      <tp t="e">
        <v>#N/A</v>
        <stp/>
        <stp>VOLUME</stp>
        <stp>.SPXW250516C5820</stp>
        <tr r="BE90" s="1"/>
        <tr r="BE90" s="1"/>
      </tp>
      <tp t="e">
        <v>#N/A</v>
        <stp/>
        <stp>VOLUME</stp>
        <stp>.SPXW250516P5820</stp>
        <tr r="BF90" s="1"/>
      </tp>
      <tp t="e">
        <v>#N/A</v>
        <stp/>
        <stp>VOLUME</stp>
        <stp>.NDXP251231P19500</stp>
        <tr r="X185" s="2"/>
      </tp>
      <tp t="e">
        <v>#N/A</v>
        <stp/>
        <stp>VOLUME</stp>
        <stp>.NDXP251031P19500</stp>
        <tr r="T185" s="2"/>
      </tp>
      <tp t="e">
        <v>#N/A</v>
        <stp/>
        <stp>VOLUME</stp>
        <stp>.SPXW250516C5830</stp>
        <tr r="BE89" s="1"/>
        <tr r="BE89" s="1"/>
      </tp>
      <tp t="e">
        <v>#N/A</v>
        <stp/>
        <stp>VOLUME</stp>
        <stp>.SPXW250516P5830</stp>
        <tr r="BF89" s="1"/>
        <tr r="BF89" s="1"/>
      </tp>
      <tp t="s">
        <v>N/A</v>
        <stp/>
        <stp>VOLUME</stp>
        <stp>.NDXP250930P20420</stp>
        <tr r="R139" s="2"/>
      </tp>
      <tp t="e">
        <v>#N/A</v>
        <stp/>
        <stp>VOLUME</stp>
        <stp>.NDXP250930P19420</stp>
        <tr r="R189" s="2"/>
      </tp>
      <tp t="e">
        <v>#N/A</v>
        <stp/>
        <stp>VOLUME</stp>
        <stp>.NDXP250630P19420</stp>
        <tr r="L189" s="2"/>
      </tp>
      <tp>
        <v>12</v>
        <stp/>
        <stp>VOLUME</stp>
        <stp>.NDXP250505P20120</stp>
        <tr r="B154" s="2"/>
        <tr r="B154" s="2"/>
      </tp>
      <tp t="s">
        <v>N/A</v>
        <stp/>
        <stp>VOLUME</stp>
        <stp>.NDXP250506P20220</stp>
        <tr r="C149" s="2"/>
      </tp>
      <tp t="e">
        <v>#N/A</v>
        <stp/>
        <stp>VOLUME</stp>
        <stp>.NDXP250507P20320</stp>
        <tr r="D144" s="2"/>
      </tp>
      <tp t="s">
        <v>N/A</v>
        <stp/>
        <stp>VOLUME</stp>
        <stp>.NDXP250530P20420</stp>
        <tr r="I139" s="2"/>
      </tp>
      <tp t="e">
        <v>#N/A</v>
        <stp/>
        <stp>VOLUME</stp>
        <stp>.NDXP250731P19520</stp>
        <tr r="N184" s="2"/>
      </tp>
      <tp>
        <v>65</v>
        <stp/>
        <stp>VOLUME</stp>
        <stp>.NDXP250502P19620</stp>
        <tr r="BB178" s="1"/>
        <tr r="BB178" s="1"/>
      </tp>
      <tp t="e">
        <v>#N/A</v>
        <stp/>
        <stp>VOLUME</stp>
        <stp>.NDXP250530P19420</stp>
        <tr r="I189" s="2"/>
      </tp>
      <tp t="e">
        <v>#N/A</v>
        <stp/>
        <stp>VOLUME</stp>
        <stp>.NDXP250606P20220</stp>
        <tr r="J149" s="2"/>
      </tp>
      <tp t="s">
        <v>N/A</v>
        <stp/>
        <stp>VOLUME</stp>
        <stp>.NDXP250630P20420</stp>
        <tr r="L139" s="2"/>
      </tp>
      <tp t="e">
        <v>#N/A</v>
        <stp/>
        <stp>VOLUME</stp>
        <stp>.SPXW250516C5800</stp>
        <tr r="BE92" s="1"/>
        <tr r="BE92" s="1"/>
      </tp>
      <tp t="e">
        <v>#N/A</v>
        <stp/>
        <stp>VOLUME</stp>
        <stp>.SPXW250516P5800</stp>
        <tr r="BF92" s="1"/>
        <tr r="BF92" s="1"/>
      </tp>
      <tp t="e">
        <v>#N/A</v>
        <stp/>
        <stp>VOLUME</stp>
        <stp>.NDXP251231P19520</stp>
        <tr r="X184" s="2"/>
      </tp>
      <tp t="e">
        <v>#N/A</v>
        <stp/>
        <stp>VOLUME</stp>
        <stp>.NDXP251031P19520</stp>
        <tr r="T184" s="2"/>
      </tp>
      <tp t="e">
        <v>#N/A</v>
        <stp/>
        <stp>VOLUME</stp>
        <stp>.SPXW250516C5810</stp>
        <tr r="BE91" s="1"/>
        <tr r="BE91" s="1"/>
      </tp>
      <tp t="e">
        <v>#N/A</v>
        <stp/>
        <stp>VOLUME</stp>
        <stp>.SPXW250516P5810</stp>
        <tr r="BF91" s="1"/>
      </tp>
      <tp t="e">
        <v>#N/A</v>
        <stp/>
        <stp>OPEN_INT</stp>
        <stp>.NDXP250509C19500</stp>
        <tr r="AU184" s="1"/>
        <tr r="AU184" s="1"/>
      </tp>
      <tp t="e">
        <v>#N/A</v>
        <stp/>
        <stp>OPEN_INT</stp>
        <stp>.NDXP250509C19520</stp>
        <tr r="AU183" s="1"/>
      </tp>
      <tp t="e">
        <v>#N/A</v>
        <stp/>
        <stp>OPEN_INT</stp>
        <stp>.NDXP250509C19540</stp>
        <tr r="AU182" s="1"/>
      </tp>
      <tp t="e">
        <v>#N/A</v>
        <stp/>
        <stp>OPEN_INT</stp>
        <stp>.NDXP250509C19560</stp>
        <tr r="AU181" s="1"/>
      </tp>
      <tp t="e">
        <v>#N/A</v>
        <stp/>
        <stp>OPEN_INT</stp>
        <stp>.NDXP250509C19580</stp>
        <tr r="AU180" s="1"/>
      </tp>
      <tp t="e">
        <v>#N/A</v>
        <stp/>
        <stp>OPEN_INT</stp>
        <stp>.NDXP250509P19520</stp>
        <tr r="AV183" s="1"/>
      </tp>
      <tp t="e">
        <v>#N/A</v>
        <stp/>
        <stp>OPEN_INT</stp>
        <stp>.NDXP250509P19500</stp>
        <tr r="AV184" s="1"/>
        <tr r="AV184" s="1"/>
      </tp>
      <tp t="e">
        <v>#N/A</v>
        <stp/>
        <stp>OPEN_INT</stp>
        <stp>.NDXP250509P19560</stp>
        <tr r="AV181" s="1"/>
      </tp>
      <tp t="e">
        <v>#N/A</v>
        <stp/>
        <stp>OPEN_INT</stp>
        <stp>.NDXP250509P19540</stp>
        <tr r="AV182" s="1"/>
      </tp>
      <tp t="e">
        <v>#N/A</v>
        <stp/>
        <stp>OPEN_INT</stp>
        <stp>.NDXP250509P19580</stp>
        <tr r="AV180" s="1"/>
      </tp>
      <tp t="e">
        <v>#N/A</v>
        <stp/>
        <stp>DELTA</stp>
        <stp>.NDXP250502P19480</stp>
        <tr r="CE185" s="1"/>
        <tr r="CE185" s="1"/>
      </tp>
      <tp t="e">
        <v>#N/A</v>
        <stp/>
        <stp>DELTA</stp>
        <stp>.NDXP250502P20420</stp>
        <tr r="CE138" s="1"/>
      </tp>
      <tp t="e">
        <v>#N/A</v>
        <stp/>
        <stp>DELTA</stp>
        <stp>.NDXP250502P19420</stp>
        <tr r="CE188" s="1"/>
        <tr r="CE188" s="1"/>
      </tp>
      <tp t="e">
        <v>#N/A</v>
        <stp/>
        <stp>DELTA</stp>
        <stp>.NDXP250502P20400</stp>
        <tr r="CE139" s="1"/>
        <tr r="CE139" s="1"/>
      </tp>
      <tp t="e">
        <v>#N/A</v>
        <stp/>
        <stp>DELTA</stp>
        <stp>.NDXP250502P19400</stp>
        <tr r="CE189" s="1"/>
        <tr r="CE189" s="1"/>
      </tp>
      <tp t="e">
        <v>#N/A</v>
        <stp/>
        <stp>DELTA</stp>
        <stp>.NDXP250502P19460</stp>
        <tr r="CE186" s="1"/>
        <tr r="CE186" s="1"/>
      </tp>
      <tp t="e">
        <v>#N/A</v>
        <stp/>
        <stp>DELTA</stp>
        <stp>.NDXP250502P20440</stp>
        <tr r="CE137" s="1"/>
      </tp>
      <tp t="e">
        <v>#N/A</v>
        <stp/>
        <stp>DELTA</stp>
        <stp>.NDXP250502P19440</stp>
        <tr r="CE187" s="1"/>
        <tr r="CE187" s="1"/>
      </tp>
      <tp t="e">
        <v>#N/A</v>
        <stp/>
        <stp>DELTA</stp>
        <stp>.NDXP250502C19480</stp>
        <tr r="CD185" s="1"/>
        <tr r="CD185" s="1"/>
      </tp>
      <tp t="e">
        <v>#N/A</v>
        <stp/>
        <stp>DELTA</stp>
        <stp>.NDXP250502C20400</stp>
        <tr r="CD139" s="1"/>
        <tr r="CD139" s="1"/>
      </tp>
      <tp t="e">
        <v>#N/A</v>
        <stp/>
        <stp>DELTA</stp>
        <stp>.NDXP250502C19400</stp>
        <tr r="CD189" s="1"/>
        <tr r="CD189" s="1"/>
      </tp>
      <tp t="e">
        <v>#N/A</v>
        <stp/>
        <stp>DELTA</stp>
        <stp>.NDXP250502C20420</stp>
        <tr r="CD138" s="1"/>
      </tp>
      <tp t="e">
        <v>#N/A</v>
        <stp/>
        <stp>DELTA</stp>
        <stp>.NDXP250502C19420</stp>
        <tr r="CD188" s="1"/>
        <tr r="CD188" s="1"/>
      </tp>
      <tp t="e">
        <v>#N/A</v>
        <stp/>
        <stp>DELTA</stp>
        <stp>.NDXP250502C20440</stp>
        <tr r="CD137" s="1"/>
      </tp>
      <tp t="e">
        <v>#N/A</v>
        <stp/>
        <stp>DELTA</stp>
        <stp>.NDXP250502C19440</stp>
        <tr r="CD187" s="1"/>
        <tr r="CD187" s="1"/>
      </tp>
      <tp t="e">
        <v>#N/A</v>
        <stp/>
        <stp>DELTA</stp>
        <stp>.NDXP250502C19460</stp>
        <tr r="CD186" s="1"/>
        <tr r="CD186" s="1"/>
      </tp>
      <tp t="e">
        <v>#N/A</v>
        <stp/>
        <stp>VOLUME</stp>
        <stp>.NDXP251231C19480</stp>
        <tr r="X186" s="2"/>
      </tp>
      <tp t="e">
        <v>#N/A</v>
        <stp/>
        <stp>VOLUME</stp>
        <stp>.NDXP251031C19480</stp>
        <tr r="T186" s="2"/>
      </tp>
      <tp t="e">
        <v>#N/A</v>
        <stp/>
        <stp>VOLUME</stp>
        <stp>.NDXP250930C19580</stp>
        <tr r="R181" s="2"/>
      </tp>
      <tp t="e">
        <v>#N/A</v>
        <stp/>
        <stp>VOLUME</stp>
        <stp>.NDXP250630C19580</stp>
        <tr r="L181" s="2"/>
      </tp>
      <tp>
        <v>5</v>
        <stp/>
        <stp>VOLUME</stp>
        <stp>.NDXP250505C20080</stp>
        <tr r="B156" s="2"/>
        <tr r="B156" s="2"/>
      </tp>
      <tp t="s">
        <v>N/A</v>
        <stp/>
        <stp>VOLUME</stp>
        <stp>.NDXP250506C20380</stp>
        <tr r="C141" s="2"/>
      </tp>
      <tp t="e">
        <v>#N/A</v>
        <stp/>
        <stp>VOLUME</stp>
        <stp>.NDXP250507C20280</stp>
        <tr r="D146" s="2"/>
      </tp>
      <tp t="e">
        <v>#N/A</v>
        <stp/>
        <stp>VOLUME</stp>
        <stp>.NDXP250731C19480</stp>
        <tr r="N186" s="2"/>
      </tp>
      <tp t="s">
        <v>N/A</v>
        <stp/>
        <stp>VOLUME</stp>
        <stp>.NDXP250502C19780</stp>
        <tr r="BA170" s="1"/>
      </tp>
      <tp t="e">
        <v>#N/A</v>
        <stp/>
        <stp>VOLUME</stp>
        <stp>.NDXP250530C19580</stp>
        <tr r="I181" s="2"/>
      </tp>
      <tp t="e">
        <v>#N/A</v>
        <stp/>
        <stp>VOLUME</stp>
        <stp>.NDXP250606C20380</stp>
        <tr r="J141" s="2"/>
      </tp>
      <tp t="e">
        <v>#N/A</v>
        <stp/>
        <stp>VOLUME</stp>
        <stp>.NDXP251231C19460</stp>
        <tr r="X187" s="2"/>
      </tp>
      <tp t="e">
        <v>#N/A</v>
        <stp/>
        <stp>VOLUME</stp>
        <stp>.NDXP251031C19460</stp>
        <tr r="T187" s="2"/>
      </tp>
      <tp t="e">
        <v>#N/A</v>
        <stp/>
        <stp>VOLUME</stp>
        <stp>.NDXP250930C19560</stp>
        <tr r="R182" s="2"/>
      </tp>
      <tp t="e">
        <v>#N/A</v>
        <stp/>
        <stp>VOLUME</stp>
        <stp>.NDXP250630C19560</stp>
        <tr r="L182" s="2"/>
      </tp>
      <tp>
        <v>9</v>
        <stp/>
        <stp>VOLUME</stp>
        <stp>.NDXP250505C20060</stp>
        <tr r="B157" s="2"/>
        <tr r="B157" s="2"/>
      </tp>
      <tp>
        <v>1</v>
        <stp/>
        <stp>VOLUME</stp>
        <stp>.NDXP250506C20360</stp>
        <tr r="C142" s="2"/>
        <tr r="C142" s="2"/>
      </tp>
      <tp t="e">
        <v>#N/A</v>
        <stp/>
        <stp>VOLUME</stp>
        <stp>.NDXP250507C20260</stp>
        <tr r="D147" s="2"/>
      </tp>
      <tp t="e">
        <v>#N/A</v>
        <stp/>
        <stp>VOLUME</stp>
        <stp>.NDXP250731C19460</stp>
        <tr r="N187" s="2"/>
      </tp>
      <tp>
        <v>4</v>
        <stp/>
        <stp>VOLUME</stp>
        <stp>.NDXP250502C19760</stp>
        <tr r="BA171" s="1"/>
        <tr r="BA171" s="1"/>
      </tp>
      <tp t="e">
        <v>#N/A</v>
        <stp/>
        <stp>VOLUME</stp>
        <stp>.NDXP250530C19560</stp>
        <tr r="I182" s="2"/>
      </tp>
      <tp t="e">
        <v>#N/A</v>
        <stp/>
        <stp>VOLUME</stp>
        <stp>.NDXP250606C20360</stp>
        <tr r="J142" s="2"/>
      </tp>
      <tp t="e">
        <v>#N/A</v>
        <stp/>
        <stp>VOLUME</stp>
        <stp>.NDXP251231C19440</stp>
        <tr r="X188" s="2"/>
      </tp>
      <tp t="e">
        <v>#N/A</v>
        <stp/>
        <stp>VOLUME</stp>
        <stp>.NDXP251031C20440</stp>
        <tr r="T138" s="2"/>
      </tp>
      <tp t="e">
        <v>#N/A</v>
        <stp/>
        <stp>VOLUME</stp>
        <stp>.NDXP251031C19440</stp>
        <tr r="T188" s="2"/>
      </tp>
      <tp t="s">
        <v>N/A</v>
        <stp/>
        <stp>VOLUME</stp>
        <stp>.NDXP251231C20440</stp>
        <tr r="X138" s="2"/>
      </tp>
      <tp t="e">
        <v>#N/A</v>
        <stp/>
        <stp>VOLUME</stp>
        <stp>.NDXP250930C19540</stp>
        <tr r="R183" s="2"/>
      </tp>
      <tp t="e">
        <v>#N/A</v>
        <stp/>
        <stp>VOLUME</stp>
        <stp>.NDXP250630C19540</stp>
        <tr r="L183" s="2"/>
      </tp>
      <tp>
        <v>4</v>
        <stp/>
        <stp>VOLUME</stp>
        <stp>.NDXP250505C20040</stp>
        <tr r="B158" s="2"/>
        <tr r="B158" s="2"/>
      </tp>
      <tp>
        <v>12</v>
        <stp/>
        <stp>VOLUME</stp>
        <stp>.NDXP250506C20340</stp>
        <tr r="C143" s="2"/>
        <tr r="C143" s="2"/>
      </tp>
      <tp t="e">
        <v>#N/A</v>
        <stp/>
        <stp>VOLUME</stp>
        <stp>.NDXP250507C20240</stp>
        <tr r="D148" s="2"/>
      </tp>
      <tp t="e">
        <v>#N/A</v>
        <stp/>
        <stp>VOLUME</stp>
        <stp>.NDXP250731C19440</stp>
        <tr r="N188" s="2"/>
      </tp>
      <tp t="s">
        <v>N/A</v>
        <stp/>
        <stp>VOLUME</stp>
        <stp>.NDXP250731C20440</stp>
        <tr r="N138" s="2"/>
      </tp>
      <tp t="s">
        <v>N/A</v>
        <stp/>
        <stp>VOLUME</stp>
        <stp>.NDXP250502C19740</stp>
        <tr r="BA172" s="1"/>
      </tp>
      <tp t="e">
        <v>#N/A</v>
        <stp/>
        <stp>VOLUME</stp>
        <stp>.NDXP250530C19540</stp>
        <tr r="I183" s="2"/>
      </tp>
      <tp t="e">
        <v>#N/A</v>
        <stp/>
        <stp>VOLUME</stp>
        <stp>.NDXP250606C20340</stp>
        <tr r="J143" s="2"/>
      </tp>
      <tp t="e">
        <v>#N/A</v>
        <stp/>
        <stp>VOLUME</stp>
        <stp>.NDXP251231C19420</stp>
        <tr r="X189" s="2"/>
      </tp>
      <tp t="e">
        <v>#N/A</v>
        <stp/>
        <stp>VOLUME</stp>
        <stp>.NDXP251031C20420</stp>
        <tr r="T139" s="2"/>
      </tp>
      <tp t="e">
        <v>#N/A</v>
        <stp/>
        <stp>VOLUME</stp>
        <stp>.NDXP251031C19420</stp>
        <tr r="T189" s="2"/>
      </tp>
      <tp t="s">
        <v>N/A</v>
        <stp/>
        <stp>VOLUME</stp>
        <stp>.NDXP251231C20420</stp>
        <tr r="X139" s="2"/>
      </tp>
      <tp t="e">
        <v>#N/A</v>
        <stp/>
        <stp>VOLUME</stp>
        <stp>.NDXP250930C19520</stp>
        <tr r="R184" s="2"/>
      </tp>
      <tp t="e">
        <v>#N/A</v>
        <stp/>
        <stp>VOLUME</stp>
        <stp>.NDXP250630C19520</stp>
        <tr r="L184" s="2"/>
      </tp>
      <tp>
        <v>6</v>
        <stp/>
        <stp>VOLUME</stp>
        <stp>.NDXP250505C20020</stp>
        <tr r="B159" s="2"/>
        <tr r="B159" s="2"/>
      </tp>
      <tp>
        <v>2</v>
        <stp/>
        <stp>VOLUME</stp>
        <stp>.NDXP250506C20320</stp>
        <tr r="C144" s="2"/>
        <tr r="C144" s="2"/>
      </tp>
      <tp t="e">
        <v>#N/A</v>
        <stp/>
        <stp>VOLUME</stp>
        <stp>.NDXP250507C20220</stp>
        <tr r="D149" s="2"/>
      </tp>
      <tp t="e">
        <v>#N/A</v>
        <stp/>
        <stp>VOLUME</stp>
        <stp>.NDXP250731C19420</stp>
        <tr r="N189" s="2"/>
      </tp>
      <tp t="s">
        <v>N/A</v>
        <stp/>
        <stp>VOLUME</stp>
        <stp>.NDXP250731C20420</stp>
        <tr r="N139" s="2"/>
      </tp>
      <tp t="s">
        <v>N/A</v>
        <stp/>
        <stp>VOLUME</stp>
        <stp>.NDXP250502C19720</stp>
        <tr r="BA173" s="1"/>
      </tp>
      <tp t="e">
        <v>#N/A</v>
        <stp/>
        <stp>VOLUME</stp>
        <stp>.NDXP250530C19520</stp>
        <tr r="I184" s="2"/>
      </tp>
      <tp t="e">
        <v>#N/A</v>
        <stp/>
        <stp>VOLUME</stp>
        <stp>.NDXP250606C20320</stp>
        <tr r="J144" s="2"/>
      </tp>
      <tp t="e">
        <v>#N/A</v>
        <stp/>
        <stp>VOLUME</stp>
        <stp>.NDXP251231C19400</stp>
        <tr r="X190" s="2"/>
      </tp>
      <tp t="e">
        <v>#N/A</v>
        <stp/>
        <stp>VOLUME</stp>
        <stp>.NDXP251031C20400</stp>
        <tr r="T140" s="2"/>
      </tp>
      <tp t="e">
        <v>#N/A</v>
        <stp/>
        <stp>VOLUME</stp>
        <stp>.NDXP251031C19400</stp>
        <tr r="T190" s="2"/>
      </tp>
      <tp t="s">
        <v>N/A</v>
        <stp/>
        <stp>VOLUME</stp>
        <stp>.NDXP251231C20400</stp>
        <tr r="X140" s="2"/>
      </tp>
      <tp t="e">
        <v>#N/A</v>
        <stp/>
        <stp>VOLUME</stp>
        <stp>.NDXP250930C19500</stp>
        <tr r="R185" s="2"/>
      </tp>
      <tp t="e">
        <v>#N/A</v>
        <stp/>
        <stp>VOLUME</stp>
        <stp>.NDXP250630C19500</stp>
        <tr r="L185" s="2"/>
      </tp>
      <tp>
        <v>55</v>
        <stp/>
        <stp>VOLUME</stp>
        <stp>.NDXP250505C20000</stp>
        <tr r="B160" s="2"/>
        <tr r="B160" s="2"/>
      </tp>
      <tp>
        <v>5</v>
        <stp/>
        <stp>VOLUME</stp>
        <stp>.NDXP250506C20300</stp>
        <tr r="C145" s="2"/>
        <tr r="C145" s="2"/>
      </tp>
      <tp t="e">
        <v>#N/A</v>
        <stp/>
        <stp>VOLUME</stp>
        <stp>.NDXP250507C20200</stp>
        <tr r="D150" s="2"/>
      </tp>
      <tp t="e">
        <v>#N/A</v>
        <stp/>
        <stp>VOLUME</stp>
        <stp>.NDXP250731C19400</stp>
        <tr r="N190" s="2"/>
      </tp>
      <tp t="s">
        <v>N/A</v>
        <stp/>
        <stp>VOLUME</stp>
        <stp>.NDXP250731C20400</stp>
        <tr r="N140" s="2"/>
      </tp>
      <tp>
        <v>8</v>
        <stp/>
        <stp>VOLUME</stp>
        <stp>.NDXP250502C19700</stp>
        <tr r="BA174" s="1"/>
        <tr r="BA174" s="1"/>
      </tp>
      <tp t="e">
        <v>#N/A</v>
        <stp/>
        <stp>VOLUME</stp>
        <stp>.NDXP250530C19500</stp>
        <tr r="I185" s="2"/>
      </tp>
      <tp t="e">
        <v>#N/A</v>
        <stp/>
        <stp>VOLUME</stp>
        <stp>.NDXP250606C20300</stp>
        <tr r="J145" s="2"/>
      </tp>
      <tp t="e">
        <v>#N/A</v>
        <stp/>
        <stp>VOLUME</stp>
        <stp>.SPXW250508C5800</stp>
        <tr r="E93" s="2"/>
      </tp>
      <tp t="e">
        <v>#N/A</v>
        <stp/>
        <stp>VOLUME</stp>
        <stp>.SPXW250509C5810</stp>
        <tr r="BC91" s="1"/>
        <tr r="BC91" s="1"/>
      </tp>
      <tp t="e">
        <v>#N/A</v>
        <stp/>
        <stp>VOLUME</stp>
        <stp>.SPXW250508P5800</stp>
        <tr r="E93" s="2"/>
      </tp>
      <tp t="e">
        <v>#N/A</v>
        <stp/>
        <stp>VOLUME</stp>
        <stp>.SPXW250509P5810</stp>
        <tr r="BD91" s="1"/>
        <tr r="BD91" s="1"/>
      </tp>
      <tp t="e">
        <v>#N/A</v>
        <stp/>
        <stp>VOLUME</stp>
        <stp>.SPXW250508C5810</stp>
        <tr r="E92" s="2"/>
      </tp>
      <tp t="e">
        <v>#N/A</v>
        <stp/>
        <stp>VOLUME</stp>
        <stp>.SPXW250509C5800</stp>
        <tr r="BC92" s="1"/>
        <tr r="BC92" s="1"/>
      </tp>
      <tp t="e">
        <v>#N/A</v>
        <stp/>
        <stp>VOLUME</stp>
        <stp>.SPXW250508P5810</stp>
        <tr r="E92" s="2"/>
      </tp>
      <tp t="e">
        <v>#N/A</v>
        <stp/>
        <stp>VOLUME</stp>
        <stp>.SPXW250509P5800</stp>
        <tr r="BD92" s="1"/>
        <tr r="BD92" s="1"/>
      </tp>
      <tp t="e">
        <v>#N/A</v>
        <stp/>
        <stp>VOLUME</stp>
        <stp>.SPXW250508C5820</stp>
        <tr r="E91" s="2"/>
      </tp>
      <tp t="e">
        <v>#N/A</v>
        <stp/>
        <stp>VOLUME</stp>
        <stp>.SPXW250509C5830</stp>
        <tr r="BC89" s="1"/>
        <tr r="BC89" s="1"/>
      </tp>
      <tp t="e">
        <v>#N/A</v>
        <stp/>
        <stp>VOLUME</stp>
        <stp>.SPXW250508P5820</stp>
        <tr r="E91" s="2"/>
      </tp>
      <tp t="e">
        <v>#N/A</v>
        <stp/>
        <stp>VOLUME</stp>
        <stp>.SPXW250509P5830</stp>
        <tr r="BD89" s="1"/>
        <tr r="BD89" s="1"/>
      </tp>
      <tp t="e">
        <v>#N/A</v>
        <stp/>
        <stp>VOLUME</stp>
        <stp>.SPXW250508C5830</stp>
        <tr r="E90" s="2"/>
      </tp>
      <tp t="e">
        <v>#N/A</v>
        <stp/>
        <stp>VOLUME</stp>
        <stp>.SPXW250509C5820</stp>
        <tr r="BC90" s="1"/>
        <tr r="BC90" s="1"/>
      </tp>
      <tp t="e">
        <v>#N/A</v>
        <stp/>
        <stp>VOLUME</stp>
        <stp>.SPXW250508P5830</stp>
        <tr r="E90" s="2"/>
      </tp>
      <tp t="e">
        <v>#N/A</v>
        <stp/>
        <stp>VOLUME</stp>
        <stp>.SPXW250509P5820</stp>
        <tr r="BD90" s="1"/>
        <tr r="BD90" s="1"/>
      </tp>
      <tp t="e">
        <v>#N/A</v>
        <stp/>
        <stp>VOLUME</stp>
        <stp>.NDXP250930P19580</stp>
        <tr r="R181" s="2"/>
      </tp>
      <tp t="e">
        <v>#N/A</v>
        <stp/>
        <stp>VOLUME</stp>
        <stp>.NDXP250630P19580</stp>
        <tr r="L181" s="2"/>
      </tp>
      <tp>
        <v>12</v>
        <stp/>
        <stp>VOLUME</stp>
        <stp>.NDXP250505P20080</stp>
        <tr r="B156" s="2"/>
        <tr r="B156" s="2"/>
      </tp>
      <tp t="s">
        <v>N/A</v>
        <stp/>
        <stp>VOLUME</stp>
        <stp>.NDXP250506P20380</stp>
        <tr r="C141" s="2"/>
      </tp>
      <tp t="e">
        <v>#N/A</v>
        <stp/>
        <stp>VOLUME</stp>
        <stp>.NDXP250507P20280</stp>
        <tr r="D146" s="2"/>
      </tp>
      <tp t="e">
        <v>#N/A</v>
        <stp/>
        <stp>VOLUME</stp>
        <stp>.NDXP250731P19480</stp>
        <tr r="N186" s="2"/>
      </tp>
      <tp>
        <v>91</v>
        <stp/>
        <stp>VOLUME</stp>
        <stp>.NDXP250502P19780</stp>
        <tr r="BB170" s="1"/>
        <tr r="BB170" s="1"/>
      </tp>
      <tp t="e">
        <v>#N/A</v>
        <stp/>
        <stp>VOLUME</stp>
        <stp>.NDXP250530P19580</stp>
        <tr r="I181" s="2"/>
      </tp>
      <tp t="e">
        <v>#N/A</v>
        <stp/>
        <stp>VOLUME</stp>
        <stp>.NDXP250606P20380</stp>
        <tr r="J141" s="2"/>
      </tp>
      <tp t="e">
        <v>#N/A</v>
        <stp/>
        <stp>VOLUME</stp>
        <stp>.SPXW250508C5840</stp>
        <tr r="E89" s="2"/>
      </tp>
      <tp t="e">
        <v>#N/A</v>
        <stp/>
        <stp>VOLUME</stp>
        <stp>.SPXW250509C5850</stp>
        <tr r="BC87" s="1"/>
        <tr r="BC87" s="1"/>
      </tp>
      <tp t="e">
        <v>#N/A</v>
        <stp/>
        <stp>VOLUME</stp>
        <stp>.SPXW250508P5840</stp>
        <tr r="E89" s="2"/>
      </tp>
      <tp t="e">
        <v>#N/A</v>
        <stp/>
        <stp>VOLUME</stp>
        <stp>.SPXW250509P5850</stp>
        <tr r="BD87" s="1"/>
        <tr r="BD87" s="1"/>
      </tp>
      <tp t="e">
        <v>#N/A</v>
        <stp/>
        <stp>VOLUME</stp>
        <stp>.NDXP251231P19480</stp>
        <tr r="X186" s="2"/>
      </tp>
      <tp t="e">
        <v>#N/A</v>
        <stp/>
        <stp>VOLUME</stp>
        <stp>.NDXP251031P19480</stp>
        <tr r="T186" s="2"/>
      </tp>
      <tp t="e">
        <v>#N/A</v>
        <stp/>
        <stp>VOLUME</stp>
        <stp>.SPXW250508C5850</stp>
        <tr r="E88" s="2"/>
      </tp>
      <tp t="e">
        <v>#N/A</v>
        <stp/>
        <stp>VOLUME</stp>
        <stp>.SPXW250509C5840</stp>
        <tr r="BC88" s="1"/>
        <tr r="BC88" s="1"/>
      </tp>
      <tp t="e">
        <v>#N/A</v>
        <stp/>
        <stp>VOLUME</stp>
        <stp>.SPXW250508P5850</stp>
        <tr r="E88" s="2"/>
      </tp>
      <tp t="e">
        <v>#N/A</v>
        <stp/>
        <stp>VOLUME</stp>
        <stp>.SPXW250509P5840</stp>
        <tr r="BD88" s="1"/>
        <tr r="BD88" s="1"/>
      </tp>
      <tp t="e">
        <v>#N/A</v>
        <stp/>
        <stp>VOLUME</stp>
        <stp>.SPXW250508C5860</stp>
        <tr r="E87" s="2"/>
      </tp>
      <tp t="e">
        <v>#N/A</v>
        <stp/>
        <stp>VOLUME</stp>
        <stp>.SPXW250509C5870</stp>
        <tr r="BC85" s="1"/>
        <tr r="BC85" s="1"/>
      </tp>
      <tp t="e">
        <v>#N/A</v>
        <stp/>
        <stp>VOLUME</stp>
        <stp>.SPXW250508P5860</stp>
        <tr r="E87" s="2"/>
      </tp>
      <tp t="e">
        <v>#N/A</v>
        <stp/>
        <stp>VOLUME</stp>
        <stp>.SPXW250509P5870</stp>
        <tr r="BD85" s="1"/>
      </tp>
      <tp t="e">
        <v>#N/A</v>
        <stp/>
        <stp>VOLUME</stp>
        <stp>.SPXW250508C5870</stp>
        <tr r="E86" s="2"/>
      </tp>
      <tp t="e">
        <v>#N/A</v>
        <stp/>
        <stp>VOLUME</stp>
        <stp>.SPXW250509C5860</stp>
        <tr r="BC86" s="1"/>
        <tr r="BC86" s="1"/>
      </tp>
      <tp t="e">
        <v>#N/A</v>
        <stp/>
        <stp>VOLUME</stp>
        <stp>.SPXW250508P5870</stp>
        <tr r="E86" s="2"/>
      </tp>
      <tp t="e">
        <v>#N/A</v>
        <stp/>
        <stp>VOLUME</stp>
        <stp>.SPXW250509P5860</stp>
        <tr r="BD86" s="1"/>
        <tr r="BD86" s="1"/>
      </tp>
      <tp t="e">
        <v>#N/A</v>
        <stp/>
        <stp>VOLUME</stp>
        <stp>.NDXP250930P19540</stp>
        <tr r="R183" s="2"/>
      </tp>
      <tp t="e">
        <v>#N/A</v>
        <stp/>
        <stp>VOLUME</stp>
        <stp>.NDXP250630P19540</stp>
        <tr r="L183" s="2"/>
      </tp>
      <tp>
        <v>29</v>
        <stp/>
        <stp>VOLUME</stp>
        <stp>.NDXP250505P20040</stp>
        <tr r="B158" s="2"/>
        <tr r="B158" s="2"/>
      </tp>
      <tp t="s">
        <v>N/A</v>
        <stp/>
        <stp>VOLUME</stp>
        <stp>.NDXP250506P20340</stp>
        <tr r="C143" s="2"/>
      </tp>
      <tp t="e">
        <v>#N/A</v>
        <stp/>
        <stp>VOLUME</stp>
        <stp>.NDXP250507P20240</stp>
        <tr r="D148" s="2"/>
      </tp>
      <tp t="e">
        <v>#N/A</v>
        <stp/>
        <stp>VOLUME</stp>
        <stp>.NDXP250731P19440</stp>
        <tr r="N188" s="2"/>
      </tp>
      <tp t="s">
        <v>N/A</v>
        <stp/>
        <stp>VOLUME</stp>
        <stp>.NDXP250731P20440</stp>
        <tr r="N138" s="2"/>
      </tp>
      <tp>
        <v>56</v>
        <stp/>
        <stp>VOLUME</stp>
        <stp>.NDXP250502P19740</stp>
        <tr r="BB172" s="1"/>
        <tr r="BB172" s="1"/>
      </tp>
      <tp t="e">
        <v>#N/A</v>
        <stp/>
        <stp>VOLUME</stp>
        <stp>.NDXP250530P19540</stp>
        <tr r="I183" s="2"/>
      </tp>
      <tp t="e">
        <v>#N/A</v>
        <stp/>
        <stp>VOLUME</stp>
        <stp>.NDXP250606P20340</stp>
        <tr r="J143" s="2"/>
      </tp>
      <tp t="e">
        <v>#N/A</v>
        <stp/>
        <stp>VOLUME</stp>
        <stp>.SPXW250502C5820</stp>
        <tr r="BA90" s="1"/>
        <tr r="BA90" s="1"/>
      </tp>
      <tp t="e">
        <v>#N/A</v>
        <stp/>
        <stp>VOLUME</stp>
        <stp>.SPXW250505C5850</stp>
        <tr r="B88" s="2"/>
      </tp>
      <tp t="e">
        <v>#N/A</v>
        <stp/>
        <stp>VOLUME</stp>
        <stp>.SPXW250506C5860</stp>
        <tr r="C87" s="2"/>
      </tp>
      <tp t="e">
        <v>#N/A</v>
        <stp/>
        <stp>VOLUME</stp>
        <stp>.SPXW250507C5870</stp>
        <tr r="D86" s="2"/>
      </tp>
      <tp t="e">
        <v>#N/A</v>
        <stp/>
        <stp>VOLUME</stp>
        <stp>.SPXW250606C5860</stp>
        <tr r="J87" s="2"/>
      </tp>
      <tp t="e">
        <v>#N/A</v>
        <stp/>
        <stp>VOLUME</stp>
        <stp>.SPXW250502P5820</stp>
        <tr r="BB90" s="1"/>
        <tr r="BB90" s="1"/>
      </tp>
      <tp t="e">
        <v>#N/A</v>
        <stp/>
        <stp>VOLUME</stp>
        <stp>.SPXW250505P5850</stp>
        <tr r="B88" s="2"/>
      </tp>
      <tp t="e">
        <v>#N/A</v>
        <stp/>
        <stp>VOLUME</stp>
        <stp>.SPXW250506P5860</stp>
        <tr r="C87" s="2"/>
      </tp>
      <tp t="e">
        <v>#N/A</v>
        <stp/>
        <stp>VOLUME</stp>
        <stp>.SPXW250507P5870</stp>
        <tr r="D86" s="2"/>
      </tp>
      <tp t="e">
        <v>#N/A</v>
        <stp/>
        <stp>VOLUME</stp>
        <stp>.SPXW250606P5860</stp>
        <tr r="J87" s="2"/>
      </tp>
      <tp t="e">
        <v>#N/A</v>
        <stp/>
        <stp>VOLUME</stp>
        <stp>.NDXP251231P19440</stp>
        <tr r="X188" s="2"/>
      </tp>
      <tp t="e">
        <v>#N/A</v>
        <stp/>
        <stp>VOLUME</stp>
        <stp>.NDXP251031P20440</stp>
        <tr r="T138" s="2"/>
      </tp>
      <tp t="e">
        <v>#N/A</v>
        <stp/>
        <stp>VOLUME</stp>
        <stp>.NDXP251031P19440</stp>
        <tr r="T188" s="2"/>
      </tp>
      <tp t="s">
        <v>N/A</v>
        <stp/>
        <stp>VOLUME</stp>
        <stp>.NDXP251231P20440</stp>
        <tr r="X138" s="2"/>
      </tp>
      <tp t="e">
        <v>#N/A</v>
        <stp/>
        <stp>VOLUME</stp>
        <stp>.SPXW250502C5830</stp>
        <tr r="BA89" s="1"/>
        <tr r="BA89" s="1"/>
      </tp>
      <tp t="e">
        <v>#N/A</v>
        <stp/>
        <stp>VOLUME</stp>
        <stp>.SPXW250505C5840</stp>
        <tr r="B89" s="2"/>
      </tp>
      <tp t="e">
        <v>#N/A</v>
        <stp/>
        <stp>VOLUME</stp>
        <stp>.SPXW250506C5870</stp>
        <tr r="C86" s="2"/>
      </tp>
      <tp t="e">
        <v>#N/A</v>
        <stp/>
        <stp>VOLUME</stp>
        <stp>.SPXW250507C5860</stp>
        <tr r="D87" s="2"/>
      </tp>
      <tp t="e">
        <v>#N/A</v>
        <stp/>
        <stp>VOLUME</stp>
        <stp>.SPXW250606C5870</stp>
        <tr r="J86" s="2"/>
      </tp>
      <tp t="e">
        <v>#N/A</v>
        <stp/>
        <stp>VOLUME</stp>
        <stp>.SPXW250502P5830</stp>
        <tr r="BB89" s="1"/>
        <tr r="BB89" s="1"/>
      </tp>
      <tp t="e">
        <v>#N/A</v>
        <stp/>
        <stp>VOLUME</stp>
        <stp>.SPXW250505P5840</stp>
        <tr r="B89" s="2"/>
      </tp>
      <tp t="e">
        <v>#N/A</v>
        <stp/>
        <stp>VOLUME</stp>
        <stp>.SPXW250506P5870</stp>
        <tr r="C86" s="2"/>
      </tp>
      <tp t="e">
        <v>#N/A</v>
        <stp/>
        <stp>VOLUME</stp>
        <stp>.SPXW250507P5860</stp>
        <tr r="D87" s="2"/>
      </tp>
      <tp t="e">
        <v>#N/A</v>
        <stp/>
        <stp>VOLUME</stp>
        <stp>.SPXW250606P5870</stp>
        <tr r="J86" s="2"/>
      </tp>
      <tp t="e">
        <v>#N/A</v>
        <stp/>
        <stp>VOLUME</stp>
        <stp>.NDXP250930P19560</stp>
        <tr r="R182" s="2"/>
      </tp>
      <tp t="e">
        <v>#N/A</v>
        <stp/>
        <stp>VOLUME</stp>
        <stp>.NDXP250630P19560</stp>
        <tr r="L182" s="2"/>
      </tp>
      <tp>
        <v>4</v>
        <stp/>
        <stp>VOLUME</stp>
        <stp>.NDXP250505P20060</stp>
        <tr r="B157" s="2"/>
        <tr r="B157" s="2"/>
      </tp>
      <tp t="s">
        <v>N/A</v>
        <stp/>
        <stp>VOLUME</stp>
        <stp>.NDXP250506P20360</stp>
        <tr r="C142" s="2"/>
      </tp>
      <tp t="e">
        <v>#N/A</v>
        <stp/>
        <stp>VOLUME</stp>
        <stp>.NDXP250507P20260</stp>
        <tr r="D147" s="2"/>
      </tp>
      <tp t="e">
        <v>#N/A</v>
        <stp/>
        <stp>VOLUME</stp>
        <stp>.NDXP250731P19460</stp>
        <tr r="N187" s="2"/>
      </tp>
      <tp>
        <v>51</v>
        <stp/>
        <stp>VOLUME</stp>
        <stp>.NDXP250502P19760</stp>
        <tr r="BB171" s="1"/>
        <tr r="BB171" s="1"/>
      </tp>
      <tp t="e">
        <v>#N/A</v>
        <stp/>
        <stp>VOLUME</stp>
        <stp>.NDXP250530P19560</stp>
        <tr r="I182" s="2"/>
      </tp>
      <tp t="e">
        <v>#N/A</v>
        <stp/>
        <stp>VOLUME</stp>
        <stp>.NDXP250606P20360</stp>
        <tr r="J142" s="2"/>
      </tp>
      <tp t="e">
        <v>#N/A</v>
        <stp/>
        <stp>VOLUME</stp>
        <stp>.SPXW250502C5800</stp>
        <tr r="BA92" s="1"/>
        <tr r="BA92" s="1"/>
      </tp>
      <tp t="e">
        <v>#N/A</v>
        <stp/>
        <stp>VOLUME</stp>
        <stp>.SPXW250505C5870</stp>
        <tr r="B86" s="2"/>
      </tp>
      <tp t="e">
        <v>#N/A</v>
        <stp/>
        <stp>VOLUME</stp>
        <stp>.SPXW250506C5840</stp>
        <tr r="C89" s="2"/>
      </tp>
      <tp t="e">
        <v>#N/A</v>
        <stp/>
        <stp>VOLUME</stp>
        <stp>.SPXW250507C5850</stp>
        <tr r="D88" s="2"/>
      </tp>
      <tp t="e">
        <v>#N/A</v>
        <stp/>
        <stp>VOLUME</stp>
        <stp>.SPXW250606C5840</stp>
        <tr r="J89" s="2"/>
      </tp>
      <tp t="e">
        <v>#N/A</v>
        <stp/>
        <stp>VOLUME</stp>
        <stp>.SPXW250502P5800</stp>
        <tr r="BB92" s="1"/>
        <tr r="BB92" s="1"/>
      </tp>
      <tp t="e">
        <v>#N/A</v>
        <stp/>
        <stp>VOLUME</stp>
        <stp>.SPXW250505P5870</stp>
        <tr r="B86" s="2"/>
      </tp>
      <tp t="e">
        <v>#N/A</v>
        <stp/>
        <stp>VOLUME</stp>
        <stp>.SPXW250506P5840</stp>
        <tr r="C89" s="2"/>
      </tp>
      <tp t="e">
        <v>#N/A</v>
        <stp/>
        <stp>VOLUME</stp>
        <stp>.SPXW250507P5850</stp>
        <tr r="D88" s="2"/>
      </tp>
      <tp t="e">
        <v>#N/A</v>
        <stp/>
        <stp>VOLUME</stp>
        <stp>.SPXW250606P5840</stp>
        <tr r="J89" s="2"/>
      </tp>
      <tp t="e">
        <v>#N/A</v>
        <stp/>
        <stp>VOLUME</stp>
        <stp>.NDXP251231P19460</stp>
        <tr r="X187" s="2"/>
      </tp>
      <tp t="e">
        <v>#N/A</v>
        <stp/>
        <stp>VOLUME</stp>
        <stp>.NDXP251031P19460</stp>
        <tr r="T187" s="2"/>
      </tp>
      <tp t="e">
        <v>#N/A</v>
        <stp/>
        <stp>VOLUME</stp>
        <stp>.SPXW250502C5810</stp>
        <tr r="BA91" s="1"/>
        <tr r="BA91" s="1"/>
      </tp>
      <tp t="e">
        <v>#N/A</v>
        <stp/>
        <stp>VOLUME</stp>
        <stp>.SPXW250505C5860</stp>
        <tr r="B87" s="2"/>
      </tp>
      <tp t="e">
        <v>#N/A</v>
        <stp/>
        <stp>VOLUME</stp>
        <stp>.SPXW250506C5850</stp>
        <tr r="C88" s="2"/>
      </tp>
      <tp t="e">
        <v>#N/A</v>
        <stp/>
        <stp>VOLUME</stp>
        <stp>.SPXW250507C5840</stp>
        <tr r="D89" s="2"/>
      </tp>
      <tp t="e">
        <v>#N/A</v>
        <stp/>
        <stp>VOLUME</stp>
        <stp>.SPXW250606C5850</stp>
        <tr r="J88" s="2"/>
      </tp>
      <tp t="e">
        <v>#N/A</v>
        <stp/>
        <stp>VOLUME</stp>
        <stp>.SPXW250502P5810</stp>
        <tr r="BB91" s="1"/>
        <tr r="BB91" s="1"/>
      </tp>
      <tp t="e">
        <v>#N/A</v>
        <stp/>
        <stp>VOLUME</stp>
        <stp>.SPXW250505P5860</stp>
        <tr r="B87" s="2"/>
      </tp>
      <tp t="e">
        <v>#N/A</v>
        <stp/>
        <stp>VOLUME</stp>
        <stp>.SPXW250506P5850</stp>
        <tr r="C88" s="2"/>
      </tp>
      <tp t="e">
        <v>#N/A</v>
        <stp/>
        <stp>VOLUME</stp>
        <stp>.SPXW250507P5840</stp>
        <tr r="D89" s="2"/>
      </tp>
      <tp t="e">
        <v>#N/A</v>
        <stp/>
        <stp>VOLUME</stp>
        <stp>.SPXW250606P5850</stp>
        <tr r="J88" s="2"/>
      </tp>
      <tp t="e">
        <v>#N/A</v>
        <stp/>
        <stp>VOLUME</stp>
        <stp>.NDXP250930P19500</stp>
        <tr r="R185" s="2"/>
      </tp>
      <tp t="e">
        <v>#N/A</v>
        <stp/>
        <stp>VOLUME</stp>
        <stp>.NDXP250630P19500</stp>
        <tr r="L185" s="2"/>
      </tp>
      <tp>
        <v>24</v>
        <stp/>
        <stp>VOLUME</stp>
        <stp>.NDXP250505P20000</stp>
        <tr r="B160" s="2"/>
        <tr r="B160" s="2"/>
      </tp>
      <tp t="s">
        <v>N/A</v>
        <stp/>
        <stp>VOLUME</stp>
        <stp>.NDXP250506P20300</stp>
        <tr r="C145" s="2"/>
      </tp>
      <tp t="e">
        <v>#N/A</v>
        <stp/>
        <stp>VOLUME</stp>
        <stp>.NDXP250507P20200</stp>
        <tr r="D150" s="2"/>
      </tp>
      <tp t="e">
        <v>#N/A</v>
        <stp/>
        <stp>VOLUME</stp>
        <stp>.NDXP250731P19400</stp>
        <tr r="N190" s="2"/>
      </tp>
      <tp t="s">
        <v>N/A</v>
        <stp/>
        <stp>VOLUME</stp>
        <stp>.NDXP250731P20400</stp>
        <tr r="N140" s="2"/>
      </tp>
      <tp>
        <v>303</v>
        <stp/>
        <stp>VOLUME</stp>
        <stp>.NDXP250502P19700</stp>
        <tr r="BB174" s="1"/>
        <tr r="BB174" s="1"/>
      </tp>
      <tp t="e">
        <v>#N/A</v>
        <stp/>
        <stp>VOLUME</stp>
        <stp>.NDXP250530P19500</stp>
        <tr r="I185" s="2"/>
      </tp>
      <tp t="e">
        <v>#N/A</v>
        <stp/>
        <stp>VOLUME</stp>
        <stp>.NDXP250606P20300</stp>
        <tr r="J145" s="2"/>
      </tp>
      <tp t="e">
        <v>#N/A</v>
        <stp/>
        <stp>VOLUME</stp>
        <stp>.SPXW250502C5860</stp>
        <tr r="BA86" s="1"/>
        <tr r="BA86" s="1"/>
      </tp>
      <tp t="e">
        <v>#N/A</v>
        <stp/>
        <stp>VOLUME</stp>
        <stp>.SPXW250505C5810</stp>
        <tr r="B92" s="2"/>
      </tp>
      <tp t="e">
        <v>#N/A</v>
        <stp/>
        <stp>VOLUME</stp>
        <stp>.SPXW250506C5820</stp>
        <tr r="C91" s="2"/>
      </tp>
      <tp t="e">
        <v>#N/A</v>
        <stp/>
        <stp>VOLUME</stp>
        <stp>.SPXW250507C5830</stp>
        <tr r="D90" s="2"/>
      </tp>
      <tp t="e">
        <v>#N/A</v>
        <stp/>
        <stp>VOLUME</stp>
        <stp>.SPXW250606C5820</stp>
        <tr r="J91" s="2"/>
      </tp>
      <tp t="e">
        <v>#N/A</v>
        <stp/>
        <stp>VOLUME</stp>
        <stp>.SPXW250502P5860</stp>
        <tr r="BB86" s="1"/>
        <tr r="BB86" s="1"/>
      </tp>
      <tp t="e">
        <v>#N/A</v>
        <stp/>
        <stp>VOLUME</stp>
        <stp>.SPXW250505P5810</stp>
        <tr r="B92" s="2"/>
      </tp>
      <tp t="e">
        <v>#N/A</v>
        <stp/>
        <stp>VOLUME</stp>
        <stp>.SPXW250506P5820</stp>
        <tr r="C91" s="2"/>
      </tp>
      <tp t="e">
        <v>#N/A</v>
        <stp/>
        <stp>VOLUME</stp>
        <stp>.SPXW250507P5830</stp>
        <tr r="D90" s="2"/>
      </tp>
      <tp t="e">
        <v>#N/A</v>
        <stp/>
        <stp>VOLUME</stp>
        <stp>.SPXW250606P5820</stp>
        <tr r="J91" s="2"/>
      </tp>
      <tp t="e">
        <v>#N/A</v>
        <stp/>
        <stp>VOLUME</stp>
        <stp>.NDXP251231P19400</stp>
        <tr r="X190" s="2"/>
      </tp>
      <tp t="e">
        <v>#N/A</v>
        <stp/>
        <stp>VOLUME</stp>
        <stp>.NDXP251031P20400</stp>
        <tr r="T140" s="2"/>
      </tp>
      <tp t="e">
        <v>#N/A</v>
        <stp/>
        <stp>VOLUME</stp>
        <stp>.NDXP251031P19400</stp>
        <tr r="T190" s="2"/>
      </tp>
      <tp t="s">
        <v>N/A</v>
        <stp/>
        <stp>VOLUME</stp>
        <stp>.NDXP251231P20400</stp>
        <tr r="X140" s="2"/>
      </tp>
      <tp t="e">
        <v>#N/A</v>
        <stp/>
        <stp>VOLUME</stp>
        <stp>.SPXW250502C5870</stp>
        <tr r="BA85" s="1"/>
        <tr r="BA85" s="1"/>
      </tp>
      <tp t="e">
        <v>#N/A</v>
        <stp/>
        <stp>VOLUME</stp>
        <stp>.SPXW250505C5800</stp>
        <tr r="B93" s="2"/>
      </tp>
      <tp t="e">
        <v>#N/A</v>
        <stp/>
        <stp>VOLUME</stp>
        <stp>.SPXW250506C5830</stp>
        <tr r="C90" s="2"/>
      </tp>
      <tp t="e">
        <v>#N/A</v>
        <stp/>
        <stp>VOLUME</stp>
        <stp>.SPXW250507C5820</stp>
        <tr r="D91" s="2"/>
      </tp>
      <tp t="e">
        <v>#N/A</v>
        <stp/>
        <stp>VOLUME</stp>
        <stp>.SPXW250606C5830</stp>
        <tr r="J90" s="2"/>
      </tp>
      <tp t="e">
        <v>#N/A</v>
        <stp/>
        <stp>VOLUME</stp>
        <stp>.SPXW250502P5870</stp>
        <tr r="BB85" s="1"/>
        <tr r="BB85" s="1"/>
      </tp>
      <tp t="e">
        <v>#N/A</v>
        <stp/>
        <stp>VOLUME</stp>
        <stp>.SPXW250505P5800</stp>
        <tr r="B93" s="2"/>
      </tp>
      <tp t="e">
        <v>#N/A</v>
        <stp/>
        <stp>VOLUME</stp>
        <stp>.SPXW250506P5830</stp>
        <tr r="C90" s="2"/>
      </tp>
      <tp t="e">
        <v>#N/A</v>
        <stp/>
        <stp>VOLUME</stp>
        <stp>.SPXW250507P5820</stp>
        <tr r="D91" s="2"/>
      </tp>
      <tp t="e">
        <v>#N/A</v>
        <stp/>
        <stp>VOLUME</stp>
        <stp>.SPXW250606P5830</stp>
        <tr r="J90" s="2"/>
      </tp>
      <tp t="e">
        <v>#N/A</v>
        <stp/>
        <stp>VOLUME</stp>
        <stp>.NDXP250930P19520</stp>
        <tr r="R184" s="2"/>
      </tp>
      <tp t="e">
        <v>#N/A</v>
        <stp/>
        <stp>VOLUME</stp>
        <stp>.NDXP250630P19520</stp>
        <tr r="L184" s="2"/>
      </tp>
      <tp>
        <v>1</v>
        <stp/>
        <stp>VOLUME</stp>
        <stp>.NDXP250505P20020</stp>
        <tr r="B159" s="2"/>
        <tr r="B159" s="2"/>
      </tp>
      <tp t="s">
        <v>N/A</v>
        <stp/>
        <stp>VOLUME</stp>
        <stp>.NDXP250506P20320</stp>
        <tr r="C144" s="2"/>
      </tp>
      <tp t="e">
        <v>#N/A</v>
        <stp/>
        <stp>VOLUME</stp>
        <stp>.NDXP250507P20220</stp>
        <tr r="D149" s="2"/>
      </tp>
      <tp t="e">
        <v>#N/A</v>
        <stp/>
        <stp>VOLUME</stp>
        <stp>.NDXP250731P19420</stp>
        <tr r="N189" s="2"/>
      </tp>
      <tp t="s">
        <v>N/A</v>
        <stp/>
        <stp>VOLUME</stp>
        <stp>.NDXP250731P20420</stp>
        <tr r="N139" s="2"/>
      </tp>
      <tp>
        <v>49</v>
        <stp/>
        <stp>VOLUME</stp>
        <stp>.NDXP250502P19720</stp>
        <tr r="BB173" s="1"/>
        <tr r="BB173" s="1"/>
      </tp>
      <tp t="e">
        <v>#N/A</v>
        <stp/>
        <stp>VOLUME</stp>
        <stp>.NDXP250530P19520</stp>
        <tr r="I184" s="2"/>
      </tp>
      <tp t="e">
        <v>#N/A</v>
        <stp/>
        <stp>VOLUME</stp>
        <stp>.NDXP250606P20320</stp>
        <tr r="J144" s="2"/>
      </tp>
      <tp t="e">
        <v>#N/A</v>
        <stp/>
        <stp>VOLUME</stp>
        <stp>.SPXW250502C5840</stp>
        <tr r="BA88" s="1"/>
        <tr r="BA88" s="1"/>
      </tp>
      <tp t="e">
        <v>#N/A</v>
        <stp/>
        <stp>VOLUME</stp>
        <stp>.SPXW250505C5830</stp>
        <tr r="B90" s="2"/>
      </tp>
      <tp t="e">
        <v>#N/A</v>
        <stp/>
        <stp>VOLUME</stp>
        <stp>.SPXW250506C5800</stp>
        <tr r="C93" s="2"/>
      </tp>
      <tp t="e">
        <v>#N/A</v>
        <stp/>
        <stp>VOLUME</stp>
        <stp>.SPXW250507C5810</stp>
        <tr r="D92" s="2"/>
      </tp>
      <tp t="e">
        <v>#N/A</v>
        <stp/>
        <stp>VOLUME</stp>
        <stp>.SPXW250606C5800</stp>
        <tr r="J93" s="2"/>
      </tp>
      <tp t="e">
        <v>#N/A</v>
        <stp/>
        <stp>VOLUME</stp>
        <stp>.SPXW250502P5840</stp>
        <tr r="BB88" s="1"/>
        <tr r="BB88" s="1"/>
      </tp>
      <tp t="e">
        <v>#N/A</v>
        <stp/>
        <stp>VOLUME</stp>
        <stp>.SPXW250505P5830</stp>
        <tr r="B90" s="2"/>
      </tp>
      <tp t="e">
        <v>#N/A</v>
        <stp/>
        <stp>VOLUME</stp>
        <stp>.SPXW250506P5800</stp>
        <tr r="C93" s="2"/>
      </tp>
      <tp t="e">
        <v>#N/A</v>
        <stp/>
        <stp>VOLUME</stp>
        <stp>.SPXW250507P5810</stp>
        <tr r="D92" s="2"/>
      </tp>
      <tp t="e">
        <v>#N/A</v>
        <stp/>
        <stp>VOLUME</stp>
        <stp>.SPXW250606P5800</stp>
        <tr r="J93" s="2"/>
      </tp>
      <tp t="e">
        <v>#N/A</v>
        <stp/>
        <stp>VOLUME</stp>
        <stp>.NDXP251231P19420</stp>
        <tr r="X189" s="2"/>
      </tp>
      <tp t="e">
        <v>#N/A</v>
        <stp/>
        <stp>VOLUME</stp>
        <stp>.NDXP251031P20420</stp>
        <tr r="T139" s="2"/>
      </tp>
      <tp t="e">
        <v>#N/A</v>
        <stp/>
        <stp>VOLUME</stp>
        <stp>.NDXP251031P19420</stp>
        <tr r="T189" s="2"/>
      </tp>
      <tp t="s">
        <v>N/A</v>
        <stp/>
        <stp>VOLUME</stp>
        <stp>.NDXP251231P20420</stp>
        <tr r="X139" s="2"/>
      </tp>
      <tp t="e">
        <v>#N/A</v>
        <stp/>
        <stp>VOLUME</stp>
        <stp>.SPXW250502C5850</stp>
        <tr r="BA87" s="1"/>
        <tr r="BA87" s="1"/>
      </tp>
      <tp t="e">
        <v>#N/A</v>
        <stp/>
        <stp>VOLUME</stp>
        <stp>.SPXW250505C5820</stp>
        <tr r="B91" s="2"/>
      </tp>
      <tp t="e">
        <v>#N/A</v>
        <stp/>
        <stp>VOLUME</stp>
        <stp>.SPXW250506C5810</stp>
        <tr r="C92" s="2"/>
      </tp>
      <tp t="e">
        <v>#N/A</v>
        <stp/>
        <stp>VOLUME</stp>
        <stp>.SPXW250507C5800</stp>
        <tr r="D93" s="2"/>
      </tp>
      <tp t="e">
        <v>#N/A</v>
        <stp/>
        <stp>VOLUME</stp>
        <stp>.SPXW250606C5810</stp>
        <tr r="J92" s="2"/>
      </tp>
      <tp t="e">
        <v>#N/A</v>
        <stp/>
        <stp>VOLUME</stp>
        <stp>.SPXW250502P5850</stp>
        <tr r="BB87" s="1"/>
        <tr r="BB87" s="1"/>
      </tp>
      <tp t="e">
        <v>#N/A</v>
        <stp/>
        <stp>VOLUME</stp>
        <stp>.SPXW250505P5820</stp>
        <tr r="B91" s="2"/>
      </tp>
      <tp t="e">
        <v>#N/A</v>
        <stp/>
        <stp>VOLUME</stp>
        <stp>.SPXW250506P5810</stp>
        <tr r="C92" s="2"/>
      </tp>
      <tp t="e">
        <v>#N/A</v>
        <stp/>
        <stp>VOLUME</stp>
        <stp>.SPXW250507P5800</stp>
        <tr r="D93" s="2"/>
      </tp>
      <tp t="e">
        <v>#N/A</v>
        <stp/>
        <stp>VOLUME</stp>
        <stp>.SPXW250606P5810</stp>
        <tr r="J92" s="2"/>
      </tp>
      <tp t="e">
        <v>#N/A</v>
        <stp/>
        <stp>OPEN_INT</stp>
        <stp>.NDXP250509C19600</stp>
        <tr r="AU179" s="1"/>
        <tr r="AU179" s="1"/>
      </tp>
      <tp t="s">
        <v>N/A</v>
        <stp/>
        <stp>OPEN_INT</stp>
        <stp>.NDXP250509C19620</stp>
        <tr r="AU178" s="1"/>
      </tp>
      <tp t="s">
        <v>N/A</v>
        <stp/>
        <stp>OPEN_INT</stp>
        <stp>.NDXP250509C19640</stp>
        <tr r="AU177" s="1"/>
      </tp>
      <tp t="s">
        <v>N/A</v>
        <stp/>
        <stp>OPEN_INT</stp>
        <stp>.NDXP250509C19660</stp>
        <tr r="AU176" s="1"/>
      </tp>
      <tp t="s">
        <v>N/A</v>
        <stp/>
        <stp>OPEN_INT</stp>
        <stp>.NDXP250509C19680</stp>
        <tr r="AU175" s="1"/>
      </tp>
      <tp t="s">
        <v>N/A</v>
        <stp/>
        <stp>OPEN_INT</stp>
        <stp>.NDXP250509P19620</stp>
        <tr r="AV178" s="1"/>
      </tp>
      <tp t="e">
        <v>#N/A</v>
        <stp/>
        <stp>OPEN_INT</stp>
        <stp>.NDXP250509P19600</stp>
        <tr r="AV179" s="1"/>
        <tr r="AV179" s="1"/>
      </tp>
      <tp t="s">
        <v>N/A</v>
        <stp/>
        <stp>OPEN_INT</stp>
        <stp>.NDXP250509P19660</stp>
        <tr r="AV176" s="1"/>
      </tp>
      <tp t="s">
        <v>N/A</v>
        <stp/>
        <stp>OPEN_INT</stp>
        <stp>.NDXP250509P19640</stp>
        <tr r="AV177" s="1"/>
      </tp>
      <tp t="s">
        <v>N/A</v>
        <stp/>
        <stp>OPEN_INT</stp>
        <stp>.NDXP250509P19680</stp>
        <tr r="AV175" s="1"/>
      </tp>
      <tp t="e">
        <v>#N/A</v>
        <stp/>
        <stp>DELTA</stp>
        <stp>.NDXP250502P19780</stp>
        <tr r="CE170" s="1"/>
        <tr r="CE170" s="1"/>
      </tp>
      <tp t="e">
        <v>#N/A</v>
        <stp/>
        <stp>DELTA</stp>
        <stp>.NDXP250502P19720</stp>
        <tr r="CE173" s="1"/>
        <tr r="CE173" s="1"/>
      </tp>
      <tp t="e">
        <v>#N/A</v>
        <stp/>
        <stp>DELTA</stp>
        <stp>.NDXP250502P19700</stp>
        <tr r="CE174" s="1"/>
        <tr r="CE174" s="1"/>
      </tp>
      <tp t="e">
        <v>#N/A</v>
        <stp/>
        <stp>DELTA</stp>
        <stp>.NDXP250502P19760</stp>
        <tr r="CE171" s="1"/>
        <tr r="CE171" s="1"/>
      </tp>
      <tp t="e">
        <v>#N/A</v>
        <stp/>
        <stp>DELTA</stp>
        <stp>.NDXP250502P19740</stp>
        <tr r="CE172" s="1"/>
        <tr r="CE172" s="1"/>
      </tp>
      <tp t="e">
        <v>#N/A</v>
        <stp/>
        <stp>DELTA</stp>
        <stp>.NDXP250502C19780</stp>
        <tr r="CD170" s="1"/>
        <tr r="CD170" s="1"/>
      </tp>
      <tp t="e">
        <v>#N/A</v>
        <stp/>
        <stp>DELTA</stp>
        <stp>.NDXP250502C19700</stp>
        <tr r="CD174" s="1"/>
        <tr r="CD174" s="1"/>
      </tp>
      <tp t="e">
        <v>#N/A</v>
        <stp/>
        <stp>DELTA</stp>
        <stp>.NDXP250502C19720</stp>
        <tr r="CD173" s="1"/>
        <tr r="CD173" s="1"/>
      </tp>
      <tp t="e">
        <v>#N/A</v>
        <stp/>
        <stp>DELTA</stp>
        <stp>.NDXP250502C19740</stp>
        <tr r="CD172" s="1"/>
        <tr r="CD172" s="1"/>
      </tp>
      <tp t="e">
        <v>#N/A</v>
        <stp/>
        <stp>DELTA</stp>
        <stp>.NDXP250502C19760</stp>
        <tr r="CD171" s="1"/>
        <tr r="CD171" s="1"/>
      </tp>
      <tp t="s">
        <v>N/A</v>
        <stp/>
        <stp>VOLUME</stp>
        <stp>.NDXP251231C19780</stp>
        <tr r="X171" s="2"/>
      </tp>
      <tp t="e">
        <v>#N/A</v>
        <stp/>
        <stp>VOLUME</stp>
        <stp>.NDXP251031C19780</stp>
        <tr r="T171" s="2"/>
      </tp>
      <tp t="s">
        <v>N/A</v>
        <stp/>
        <stp>VOLUME</stp>
        <stp>.NDXP250930C19680</stp>
        <tr r="R176" s="2"/>
      </tp>
      <tp t="s">
        <v>N/A</v>
        <stp/>
        <stp>VOLUME</stp>
        <stp>.NDXP250630C19680</stp>
        <tr r="L176" s="2"/>
      </tp>
      <tp>
        <v>4</v>
        <stp/>
        <stp>VOLUME</stp>
        <stp>.NDXP250505C20380</stp>
        <tr r="B141" s="2"/>
        <tr r="B141" s="2"/>
      </tp>
      <tp>
        <v>1</v>
        <stp/>
        <stp>VOLUME</stp>
        <stp>.NDXP250506C20080</stp>
        <tr r="C156" s="2"/>
        <tr r="C156" s="2"/>
      </tp>
      <tp t="e">
        <v>#N/A</v>
        <stp/>
        <stp>VOLUME</stp>
        <stp>.NDXP250507C20180</stp>
        <tr r="D151" s="2"/>
      </tp>
      <tp t="s">
        <v>N/A</v>
        <stp/>
        <stp>VOLUME</stp>
        <stp>.NDXP250731C19780</stp>
        <tr r="N171" s="2"/>
      </tp>
      <tp t="e">
        <v>#N/A</v>
        <stp/>
        <stp>VOLUME</stp>
        <stp>.NDXP250502C19480</stp>
        <tr r="BA185" s="1"/>
      </tp>
      <tp t="s">
        <v>N/A</v>
        <stp/>
        <stp>VOLUME</stp>
        <stp>.NDXP250530C19680</stp>
        <tr r="I176" s="2"/>
      </tp>
      <tp t="e">
        <v>#N/A</v>
        <stp/>
        <stp>VOLUME</stp>
        <stp>.NDXP250606C20080</stp>
        <tr r="J156" s="2"/>
      </tp>
      <tp t="s">
        <v>N/A</v>
        <stp/>
        <stp>VOLUME</stp>
        <stp>.NDXP251231C19760</stp>
        <tr r="X172" s="2"/>
      </tp>
      <tp t="e">
        <v>#N/A</v>
        <stp/>
        <stp>VOLUME</stp>
        <stp>.NDXP251031C19760</stp>
        <tr r="T172" s="2"/>
      </tp>
      <tp t="s">
        <v>N/A</v>
        <stp/>
        <stp>VOLUME</stp>
        <stp>.NDXP250930C19660</stp>
        <tr r="R177" s="2"/>
      </tp>
      <tp t="s">
        <v>N/A</v>
        <stp/>
        <stp>VOLUME</stp>
        <stp>.NDXP250630C19660</stp>
        <tr r="L177" s="2"/>
      </tp>
      <tp>
        <v>1</v>
        <stp/>
        <stp>VOLUME</stp>
        <stp>.NDXP250505C20360</stp>
        <tr r="B142" s="2"/>
        <tr r="B142" s="2"/>
      </tp>
      <tp>
        <v>1</v>
        <stp/>
        <stp>VOLUME</stp>
        <stp>.NDXP250506C20060</stp>
        <tr r="C157" s="2"/>
        <tr r="C157" s="2"/>
      </tp>
      <tp t="e">
        <v>#N/A</v>
        <stp/>
        <stp>VOLUME</stp>
        <stp>.NDXP250507C20160</stp>
        <tr r="D152" s="2"/>
      </tp>
      <tp t="s">
        <v>N/A</v>
        <stp/>
        <stp>VOLUME</stp>
        <stp>.NDXP250731C19760</stp>
        <tr r="N172" s="2"/>
      </tp>
      <tp t="e">
        <v>#N/A</v>
        <stp/>
        <stp>VOLUME</stp>
        <stp>.NDXP250502C19460</stp>
        <tr r="BA186" s="1"/>
        <tr r="BA186" s="1"/>
      </tp>
      <tp t="s">
        <v>N/A</v>
        <stp/>
        <stp>VOLUME</stp>
        <stp>.NDXP250530C19660</stp>
        <tr r="I177" s="2"/>
      </tp>
      <tp t="e">
        <v>#N/A</v>
        <stp/>
        <stp>VOLUME</stp>
        <stp>.NDXP250606C20060</stp>
        <tr r="J157" s="2"/>
      </tp>
      <tp t="s">
        <v>N/A</v>
        <stp/>
        <stp>VOLUME</stp>
        <stp>.NDXP251231C19740</stp>
        <tr r="X173" s="2"/>
      </tp>
      <tp t="e">
        <v>#N/A</v>
        <stp/>
        <stp>VOLUME</stp>
        <stp>.NDXP251031C19740</stp>
        <tr r="T173" s="2"/>
      </tp>
      <tp t="s">
        <v>N/A</v>
        <stp/>
        <stp>VOLUME</stp>
        <stp>.NDXP250930C19640</stp>
        <tr r="R178" s="2"/>
      </tp>
      <tp t="s">
        <v>N/A</v>
        <stp/>
        <stp>VOLUME</stp>
        <stp>.NDXP250630C19640</stp>
        <tr r="L178" s="2"/>
      </tp>
      <tp t="s">
        <v>N/A</v>
        <stp/>
        <stp>VOLUME</stp>
        <stp>.NDXP250502C20440</stp>
        <tr r="BA137" s="1"/>
      </tp>
      <tp>
        <v>97</v>
        <stp/>
        <stp>VOLUME</stp>
        <stp>.NDXP250505C20340</stp>
        <tr r="B143" s="2"/>
        <tr r="B143" s="2"/>
      </tp>
      <tp>
        <v>1</v>
        <stp/>
        <stp>VOLUME</stp>
        <stp>.NDXP250506C20040</stp>
        <tr r="C158" s="2"/>
        <tr r="C158" s="2"/>
      </tp>
      <tp t="e">
        <v>#N/A</v>
        <stp/>
        <stp>VOLUME</stp>
        <stp>.NDXP250507C20140</stp>
        <tr r="D153" s="2"/>
      </tp>
      <tp t="s">
        <v>N/A</v>
        <stp/>
        <stp>VOLUME</stp>
        <stp>.NDXP250731C19740</stp>
        <tr r="N173" s="2"/>
      </tp>
      <tp t="e">
        <v>#N/A</v>
        <stp/>
        <stp>VOLUME</stp>
        <stp>.NDXP250502C19440</stp>
        <tr r="BA187" s="1"/>
      </tp>
      <tp t="s">
        <v>N/A</v>
        <stp/>
        <stp>VOLUME</stp>
        <stp>.NDXP250530C19640</stp>
        <tr r="I178" s="2"/>
      </tp>
      <tp t="e">
        <v>#N/A</v>
        <stp/>
        <stp>VOLUME</stp>
        <stp>.NDXP250606C20040</stp>
        <tr r="J158" s="2"/>
      </tp>
      <tp t="s">
        <v>N/A</v>
        <stp/>
        <stp>VOLUME</stp>
        <stp>.NDXP251231C19720</stp>
        <tr r="X174" s="2"/>
      </tp>
      <tp t="e">
        <v>#N/A</v>
        <stp/>
        <stp>VOLUME</stp>
        <stp>.NDXP251031C19720</stp>
        <tr r="T174" s="2"/>
      </tp>
      <tp t="s">
        <v>N/A</v>
        <stp/>
        <stp>VOLUME</stp>
        <stp>.NDXP250930C19620</stp>
        <tr r="R179" s="2"/>
      </tp>
      <tp t="s">
        <v>N/A</v>
        <stp/>
        <stp>VOLUME</stp>
        <stp>.NDXP250630C19620</stp>
        <tr r="L179" s="2"/>
      </tp>
      <tp t="s">
        <v>N/A</v>
        <stp/>
        <stp>VOLUME</stp>
        <stp>.NDXP250502C20420</stp>
        <tr r="BA138" s="1"/>
      </tp>
      <tp>
        <v>11</v>
        <stp/>
        <stp>VOLUME</stp>
        <stp>.NDXP250505C20320</stp>
        <tr r="B144" s="2"/>
        <tr r="B144" s="2"/>
      </tp>
      <tp t="s">
        <v>N/A</v>
        <stp/>
        <stp>VOLUME</stp>
        <stp>.NDXP250506C20020</stp>
        <tr r="C159" s="2"/>
      </tp>
      <tp t="e">
        <v>#N/A</v>
        <stp/>
        <stp>VOLUME</stp>
        <stp>.NDXP250507C20120</stp>
        <tr r="D154" s="2"/>
      </tp>
      <tp t="s">
        <v>N/A</v>
        <stp/>
        <stp>VOLUME</stp>
        <stp>.NDXP250731C19720</stp>
        <tr r="N174" s="2"/>
      </tp>
      <tp t="e">
        <v>#N/A</v>
        <stp/>
        <stp>VOLUME</stp>
        <stp>.NDXP250502C19420</stp>
        <tr r="BA188" s="1"/>
        <tr r="BA188" s="1"/>
      </tp>
      <tp t="s">
        <v>N/A</v>
        <stp/>
        <stp>VOLUME</stp>
        <stp>.NDXP250530C19620</stp>
        <tr r="I179" s="2"/>
      </tp>
      <tp t="e">
        <v>#N/A</v>
        <stp/>
        <stp>VOLUME</stp>
        <stp>.NDXP250606C20020</stp>
        <tr r="J159" s="2"/>
      </tp>
      <tp t="s">
        <v>N/A</v>
        <stp/>
        <stp>VOLUME</stp>
        <stp>.NDXP251231C19700</stp>
        <tr r="X175" s="2"/>
      </tp>
      <tp t="e">
        <v>#N/A</v>
        <stp/>
        <stp>VOLUME</stp>
        <stp>.NDXP251031C19700</stp>
        <tr r="T175" s="2"/>
      </tp>
      <tp t="e">
        <v>#N/A</v>
        <stp/>
        <stp>VOLUME</stp>
        <stp>.NDXP250930C19600</stp>
        <tr r="R180" s="2"/>
      </tp>
      <tp t="e">
        <v>#N/A</v>
        <stp/>
        <stp>VOLUME</stp>
        <stp>.NDXP250630C19600</stp>
        <tr r="L180" s="2"/>
      </tp>
      <tp>
        <v>555</v>
        <stp/>
        <stp>VOLUME</stp>
        <stp>.NDXP250502C20400</stp>
        <tr r="BA139" s="1"/>
        <tr r="BA139" s="1"/>
      </tp>
      <tp>
        <v>615</v>
        <stp/>
        <stp>VOLUME</stp>
        <stp>.NDXP250505C20300</stp>
        <tr r="B145" s="2"/>
        <tr r="B145" s="2"/>
      </tp>
      <tp>
        <v>17</v>
        <stp/>
        <stp>VOLUME</stp>
        <stp>.NDXP250506C20000</stp>
        <tr r="C160" s="2"/>
        <tr r="C160" s="2"/>
      </tp>
      <tp t="e">
        <v>#N/A</v>
        <stp/>
        <stp>VOLUME</stp>
        <stp>.NDXP250507C20100</stp>
        <tr r="D155" s="2"/>
      </tp>
      <tp t="s">
        <v>N/A</v>
        <stp/>
        <stp>VOLUME</stp>
        <stp>.NDXP250731C19700</stp>
        <tr r="N175" s="2"/>
      </tp>
      <tp t="e">
        <v>#N/A</v>
        <stp/>
        <stp>VOLUME</stp>
        <stp>.NDXP250502C19400</stp>
        <tr r="BA189" s="1"/>
        <tr r="BA189" s="1"/>
      </tp>
      <tp t="e">
        <v>#N/A</v>
        <stp/>
        <stp>VOLUME</stp>
        <stp>.NDXP250530C19600</stp>
        <tr r="I180" s="2"/>
      </tp>
      <tp t="e">
        <v>#N/A</v>
        <stp/>
        <stp>VOLUME</stp>
        <stp>.NDXP250606C20000</stp>
        <tr r="J160" s="2"/>
      </tp>
      <tp t="s">
        <v>N/A</v>
        <stp/>
        <stp>VOLUME</stp>
        <stp>.NDXP250930P19680</stp>
        <tr r="R176" s="2"/>
      </tp>
      <tp t="s">
        <v>N/A</v>
        <stp/>
        <stp>VOLUME</stp>
        <stp>.NDXP250630P19680</stp>
        <tr r="L176" s="2"/>
      </tp>
      <tp t="s">
        <v>N/A</v>
        <stp/>
        <stp>VOLUME</stp>
        <stp>.NDXP250505P20380</stp>
        <tr r="B141" s="2"/>
      </tp>
      <tp>
        <v>2</v>
        <stp/>
        <stp>VOLUME</stp>
        <stp>.NDXP250506P20080</stp>
        <tr r="C156" s="2"/>
        <tr r="C156" s="2"/>
      </tp>
      <tp t="e">
        <v>#N/A</v>
        <stp/>
        <stp>VOLUME</stp>
        <stp>.NDXP250507P20180</stp>
        <tr r="D151" s="2"/>
      </tp>
      <tp t="s">
        <v>N/A</v>
        <stp/>
        <stp>VOLUME</stp>
        <stp>.NDXP250731P19780</stp>
        <tr r="N171" s="2"/>
      </tp>
      <tp t="e">
        <v>#N/A</v>
        <stp/>
        <stp>VOLUME</stp>
        <stp>.NDXP250502P19480</stp>
        <tr r="BB185" s="1"/>
        <tr r="BB185" s="1"/>
      </tp>
      <tp t="s">
        <v>N/A</v>
        <stp/>
        <stp>VOLUME</stp>
        <stp>.NDXP250530P19680</stp>
        <tr r="I176" s="2"/>
      </tp>
      <tp t="e">
        <v>#N/A</v>
        <stp/>
        <stp>VOLUME</stp>
        <stp>.NDXP250606P20080</stp>
        <tr r="J156" s="2"/>
      </tp>
      <tp t="s">
        <v>N/A</v>
        <stp/>
        <stp>VOLUME</stp>
        <stp>.NDXP251231P19780</stp>
        <tr r="X171" s="2"/>
      </tp>
      <tp t="e">
        <v>#N/A</v>
        <stp/>
        <stp>VOLUME</stp>
        <stp>.NDXP251031P19780</stp>
        <tr r="T171" s="2"/>
      </tp>
      <tp t="s">
        <v>N/A</v>
        <stp/>
        <stp>VOLUME</stp>
        <stp>.NDXP250930P19640</stp>
        <tr r="R178" s="2"/>
      </tp>
      <tp t="s">
        <v>N/A</v>
        <stp/>
        <stp>VOLUME</stp>
        <stp>.NDXP250630P19640</stp>
        <tr r="L178" s="2"/>
      </tp>
      <tp t="s">
        <v>N/A</v>
        <stp/>
        <stp>VOLUME</stp>
        <stp>.NDXP250502P20440</stp>
        <tr r="BB137" s="1"/>
      </tp>
      <tp t="s">
        <v>N/A</v>
        <stp/>
        <stp>VOLUME</stp>
        <stp>.NDXP250505P20340</stp>
        <tr r="B143" s="2"/>
      </tp>
      <tp>
        <v>1</v>
        <stp/>
        <stp>VOLUME</stp>
        <stp>.NDXP250506P20040</stp>
        <tr r="C158" s="2"/>
        <tr r="C158" s="2"/>
      </tp>
      <tp t="e">
        <v>#N/A</v>
        <stp/>
        <stp>VOLUME</stp>
        <stp>.NDXP250507P20140</stp>
        <tr r="D153" s="2"/>
      </tp>
      <tp t="s">
        <v>N/A</v>
        <stp/>
        <stp>VOLUME</stp>
        <stp>.NDXP250731P19740</stp>
        <tr r="N173" s="2"/>
      </tp>
      <tp t="e">
        <v>#N/A</v>
        <stp/>
        <stp>VOLUME</stp>
        <stp>.NDXP250502P19440</stp>
        <tr r="BB187" s="1"/>
        <tr r="BB187" s="1"/>
      </tp>
      <tp t="s">
        <v>N/A</v>
        <stp/>
        <stp>VOLUME</stp>
        <stp>.NDXP250530P19640</stp>
        <tr r="I178" s="2"/>
      </tp>
      <tp t="e">
        <v>#N/A</v>
        <stp/>
        <stp>VOLUME</stp>
        <stp>.NDXP250606P20040</stp>
        <tr r="J158" s="2"/>
      </tp>
      <tp t="e">
        <v>#N/A</v>
        <stp/>
        <stp>VOLUME</stp>
        <stp>.SPXW250930C5800</stp>
        <tr r="R93" s="2"/>
      </tp>
      <tp t="e">
        <v>#N/A</v>
        <stp/>
        <stp>VOLUME</stp>
        <stp>.SPXW250530C5800</stp>
        <tr r="I93" s="2"/>
      </tp>
      <tp t="e">
        <v>#N/A</v>
        <stp/>
        <stp>VOLUME</stp>
        <stp>.SPXW250731C5810</stp>
        <tr r="N92" s="2"/>
      </tp>
      <tp t="e">
        <v>#N/A</v>
        <stp/>
        <stp>VOLUME</stp>
        <stp>.SPXW250630C5800</stp>
        <tr r="L93" s="2"/>
      </tp>
      <tp t="e">
        <v>#N/A</v>
        <stp/>
        <stp>VOLUME</stp>
        <stp>.SPXW251031C5810</stp>
        <tr r="T92" s="2"/>
      </tp>
      <tp t="e">
        <v>#N/A</v>
        <stp/>
        <stp>VOLUME</stp>
        <stp>.SPXW251231C5810</stp>
        <tr r="X92" s="2"/>
      </tp>
      <tp t="e">
        <v>#N/A</v>
        <stp/>
        <stp>VOLUME</stp>
        <stp>.SPXW251031P5810</stp>
        <tr r="T92" s="2"/>
      </tp>
      <tp t="e">
        <v>#N/A</v>
        <stp/>
        <stp>VOLUME</stp>
        <stp>.SPXW251231P5810</stp>
        <tr r="X92" s="2"/>
      </tp>
      <tp t="e">
        <v>#N/A</v>
        <stp/>
        <stp>VOLUME</stp>
        <stp>.SPXW250930P5800</stp>
        <tr r="R93" s="2"/>
      </tp>
      <tp t="e">
        <v>#N/A</v>
        <stp/>
        <stp>VOLUME</stp>
        <stp>.SPXW250530P5800</stp>
        <tr r="I93" s="2"/>
      </tp>
      <tp t="e">
        <v>#N/A</v>
        <stp/>
        <stp>VOLUME</stp>
        <stp>.SPXW250731P5810</stp>
        <tr r="N92" s="2"/>
      </tp>
      <tp t="e">
        <v>#N/A</v>
        <stp/>
        <stp>VOLUME</stp>
        <stp>.SPXW250630P5800</stp>
        <tr r="L93" s="2"/>
      </tp>
      <tp t="s">
        <v>N/A</v>
        <stp/>
        <stp>VOLUME</stp>
        <stp>.NDXP251231P19740</stp>
        <tr r="X173" s="2"/>
      </tp>
      <tp t="e">
        <v>#N/A</v>
        <stp/>
        <stp>VOLUME</stp>
        <stp>.NDXP251031P19740</stp>
        <tr r="T173" s="2"/>
      </tp>
      <tp t="e">
        <v>#N/A</v>
        <stp/>
        <stp>VOLUME</stp>
        <stp>.SPXW250930C5810</stp>
        <tr r="R92" s="2"/>
      </tp>
      <tp t="e">
        <v>#N/A</v>
        <stp/>
        <stp>VOLUME</stp>
        <stp>.SPXW250530C5810</stp>
        <tr r="I92" s="2"/>
      </tp>
      <tp t="e">
        <v>#N/A</v>
        <stp/>
        <stp>VOLUME</stp>
        <stp>.SPXW250731C5800</stp>
        <tr r="N93" s="2"/>
      </tp>
      <tp t="e">
        <v>#N/A</v>
        <stp/>
        <stp>VOLUME</stp>
        <stp>.SPXW250630C5810</stp>
        <tr r="L92" s="2"/>
      </tp>
      <tp t="e">
        <v>#N/A</v>
        <stp/>
        <stp>VOLUME</stp>
        <stp>.SPXW251031C5800</stp>
        <tr r="T93" s="2"/>
      </tp>
      <tp t="e">
        <v>#N/A</v>
        <stp/>
        <stp>VOLUME</stp>
        <stp>.SPXW251231C5800</stp>
        <tr r="X93" s="2"/>
      </tp>
      <tp t="e">
        <v>#N/A</v>
        <stp/>
        <stp>VOLUME</stp>
        <stp>.SPXW251031P5800</stp>
        <tr r="T93" s="2"/>
      </tp>
      <tp t="e">
        <v>#N/A</v>
        <stp/>
        <stp>VOLUME</stp>
        <stp>.SPXW251231P5800</stp>
        <tr r="X93" s="2"/>
      </tp>
      <tp t="e">
        <v>#N/A</v>
        <stp/>
        <stp>VOLUME</stp>
        <stp>.SPXW250930P5810</stp>
        <tr r="R92" s="2"/>
      </tp>
      <tp t="e">
        <v>#N/A</v>
        <stp/>
        <stp>VOLUME</stp>
        <stp>.SPXW250530P5810</stp>
        <tr r="I92" s="2"/>
      </tp>
      <tp t="e">
        <v>#N/A</v>
        <stp/>
        <stp>VOLUME</stp>
        <stp>.SPXW250731P5800</stp>
        <tr r="N93" s="2"/>
      </tp>
      <tp t="e">
        <v>#N/A</v>
        <stp/>
        <stp>VOLUME</stp>
        <stp>.SPXW250630P5810</stp>
        <tr r="L92" s="2"/>
      </tp>
      <tp t="s">
        <v>N/A</v>
        <stp/>
        <stp>VOLUME</stp>
        <stp>.NDXP250930P19660</stp>
        <tr r="R177" s="2"/>
      </tp>
      <tp t="s">
        <v>N/A</v>
        <stp/>
        <stp>VOLUME</stp>
        <stp>.NDXP250630P19660</stp>
        <tr r="L177" s="2"/>
      </tp>
      <tp t="s">
        <v>N/A</v>
        <stp/>
        <stp>VOLUME</stp>
        <stp>.NDXP250505P20360</stp>
        <tr r="B142" s="2"/>
      </tp>
      <tp t="s">
        <v>N/A</v>
        <stp/>
        <stp>VOLUME</stp>
        <stp>.NDXP250506P20060</stp>
        <tr r="C157" s="2"/>
      </tp>
      <tp t="e">
        <v>#N/A</v>
        <stp/>
        <stp>VOLUME</stp>
        <stp>.NDXP250507P20160</stp>
        <tr r="D152" s="2"/>
      </tp>
      <tp t="s">
        <v>N/A</v>
        <stp/>
        <stp>VOLUME</stp>
        <stp>.NDXP250731P19760</stp>
        <tr r="N172" s="2"/>
      </tp>
      <tp t="e">
        <v>#N/A</v>
        <stp/>
        <stp>VOLUME</stp>
        <stp>.NDXP250502P19460</stp>
        <tr r="BB186" s="1"/>
        <tr r="BB186" s="1"/>
      </tp>
      <tp t="s">
        <v>N/A</v>
        <stp/>
        <stp>VOLUME</stp>
        <stp>.NDXP250530P19660</stp>
        <tr r="I177" s="2"/>
      </tp>
      <tp t="e">
        <v>#N/A</v>
        <stp/>
        <stp>VOLUME</stp>
        <stp>.NDXP250606P20060</stp>
        <tr r="J157" s="2"/>
      </tp>
      <tp t="e">
        <v>#N/A</v>
        <stp/>
        <stp>VOLUME</stp>
        <stp>.SPXW250930C5820</stp>
        <tr r="R91" s="2"/>
      </tp>
      <tp t="e">
        <v>#N/A</v>
        <stp/>
        <stp>VOLUME</stp>
        <stp>.SPXW250530C5820</stp>
        <tr r="I91" s="2"/>
      </tp>
      <tp t="e">
        <v>#N/A</v>
        <stp/>
        <stp>VOLUME</stp>
        <stp>.SPXW250731C5830</stp>
        <tr r="N90" s="2"/>
      </tp>
      <tp t="e">
        <v>#N/A</v>
        <stp/>
        <stp>VOLUME</stp>
        <stp>.SPXW250630C5820</stp>
        <tr r="L91" s="2"/>
      </tp>
      <tp t="e">
        <v>#N/A</v>
        <stp/>
        <stp>VOLUME</stp>
        <stp>.SPXW251031C5830</stp>
        <tr r="T90" s="2"/>
      </tp>
      <tp t="e">
        <v>#N/A</v>
        <stp/>
        <stp>VOLUME</stp>
        <stp>.SPXW251231C5830</stp>
        <tr r="X90" s="2"/>
      </tp>
      <tp t="e">
        <v>#N/A</v>
        <stp/>
        <stp>VOLUME</stp>
        <stp>.SPXW251031P5830</stp>
        <tr r="T90" s="2"/>
      </tp>
      <tp t="e">
        <v>#N/A</v>
        <stp/>
        <stp>VOLUME</stp>
        <stp>.SPXW251231P5830</stp>
        <tr r="X90" s="2"/>
      </tp>
      <tp t="e">
        <v>#N/A</v>
        <stp/>
        <stp>VOLUME</stp>
        <stp>.SPXW250930P5820</stp>
        <tr r="R91" s="2"/>
      </tp>
      <tp t="e">
        <v>#N/A</v>
        <stp/>
        <stp>VOLUME</stp>
        <stp>.SPXW250530P5820</stp>
        <tr r="I91" s="2"/>
      </tp>
      <tp t="e">
        <v>#N/A</v>
        <stp/>
        <stp>VOLUME</stp>
        <stp>.SPXW250731P5830</stp>
        <tr r="N90" s="2"/>
      </tp>
      <tp t="e">
        <v>#N/A</v>
        <stp/>
        <stp>VOLUME</stp>
        <stp>.SPXW250630P5820</stp>
        <tr r="L91" s="2"/>
      </tp>
      <tp t="s">
        <v>N/A</v>
        <stp/>
        <stp>VOLUME</stp>
        <stp>.NDXP251231P19760</stp>
        <tr r="X172" s="2"/>
      </tp>
      <tp t="e">
        <v>#N/A</v>
        <stp/>
        <stp>VOLUME</stp>
        <stp>.NDXP251031P19760</stp>
        <tr r="T172" s="2"/>
      </tp>
      <tp t="e">
        <v>#N/A</v>
        <stp/>
        <stp>VOLUME</stp>
        <stp>.SPXW250930C5830</stp>
        <tr r="R90" s="2"/>
      </tp>
      <tp t="e">
        <v>#N/A</v>
        <stp/>
        <stp>VOLUME</stp>
        <stp>.SPXW250530C5830</stp>
        <tr r="I90" s="2"/>
      </tp>
      <tp t="e">
        <v>#N/A</v>
        <stp/>
        <stp>VOLUME</stp>
        <stp>.SPXW250731C5820</stp>
        <tr r="N91" s="2"/>
      </tp>
      <tp t="e">
        <v>#N/A</v>
        <stp/>
        <stp>VOLUME</stp>
        <stp>.SPXW250630C5830</stp>
        <tr r="L90" s="2"/>
      </tp>
      <tp t="e">
        <v>#N/A</v>
        <stp/>
        <stp>VOLUME</stp>
        <stp>.SPXW251031C5820</stp>
        <tr r="T91" s="2"/>
      </tp>
      <tp t="e">
        <v>#N/A</v>
        <stp/>
        <stp>VOLUME</stp>
        <stp>.SPXW251231C5820</stp>
        <tr r="X91" s="2"/>
      </tp>
      <tp t="e">
        <v>#N/A</v>
        <stp/>
        <stp>VOLUME</stp>
        <stp>.SPXW251031P5820</stp>
        <tr r="T91" s="2"/>
      </tp>
      <tp t="e">
        <v>#N/A</v>
        <stp/>
        <stp>VOLUME</stp>
        <stp>.SPXW251231P5820</stp>
        <tr r="X91" s="2"/>
      </tp>
      <tp t="e">
        <v>#N/A</v>
        <stp/>
        <stp>VOLUME</stp>
        <stp>.SPXW250930P5830</stp>
        <tr r="R90" s="2"/>
      </tp>
      <tp t="e">
        <v>#N/A</v>
        <stp/>
        <stp>VOLUME</stp>
        <stp>.SPXW250530P5830</stp>
        <tr r="I90" s="2"/>
      </tp>
      <tp t="e">
        <v>#N/A</v>
        <stp/>
        <stp>VOLUME</stp>
        <stp>.SPXW250731P5820</stp>
        <tr r="N91" s="2"/>
      </tp>
      <tp t="e">
        <v>#N/A</v>
        <stp/>
        <stp>VOLUME</stp>
        <stp>.SPXW250630P5830</stp>
        <tr r="L90" s="2"/>
      </tp>
      <tp t="e">
        <v>#N/A</v>
        <stp/>
        <stp>VOLUME</stp>
        <stp>.NDXP250930P19600</stp>
        <tr r="R180" s="2"/>
      </tp>
      <tp t="e">
        <v>#N/A</v>
        <stp/>
        <stp>VOLUME</stp>
        <stp>.NDXP250630P19600</stp>
        <tr r="L180" s="2"/>
      </tp>
      <tp>
        <v>10</v>
        <stp/>
        <stp>VOLUME</stp>
        <stp>.NDXP250502P20400</stp>
        <tr r="BB139" s="1"/>
        <tr r="BB139" s="1"/>
      </tp>
      <tp t="s">
        <v>N/A</v>
        <stp/>
        <stp>VOLUME</stp>
        <stp>.NDXP250505P20300</stp>
        <tr r="B145" s="2"/>
      </tp>
      <tp>
        <v>1</v>
        <stp/>
        <stp>VOLUME</stp>
        <stp>.NDXP250506P20000</stp>
        <tr r="C160" s="2"/>
        <tr r="C160" s="2"/>
      </tp>
      <tp t="e">
        <v>#N/A</v>
        <stp/>
        <stp>VOLUME</stp>
        <stp>.NDXP250507P20100</stp>
        <tr r="D155" s="2"/>
      </tp>
      <tp t="s">
        <v>N/A</v>
        <stp/>
        <stp>VOLUME</stp>
        <stp>.NDXP250731P19700</stp>
        <tr r="N175" s="2"/>
      </tp>
      <tp t="e">
        <v>#N/A</v>
        <stp/>
        <stp>VOLUME</stp>
        <stp>.NDXP250502P19400</stp>
        <tr r="BB189" s="1"/>
        <tr r="BB189" s="1"/>
      </tp>
      <tp t="e">
        <v>#N/A</v>
        <stp/>
        <stp>VOLUME</stp>
        <stp>.NDXP250530P19600</stp>
        <tr r="I180" s="2"/>
      </tp>
      <tp t="e">
        <v>#N/A</v>
        <stp/>
        <stp>VOLUME</stp>
        <stp>.NDXP250606P20000</stp>
        <tr r="J160" s="2"/>
      </tp>
      <tp t="e">
        <v>#N/A</v>
        <stp/>
        <stp>VOLUME</stp>
        <stp>.SPXW250930C5840</stp>
        <tr r="R89" s="2"/>
      </tp>
      <tp t="e">
        <v>#N/A</v>
        <stp/>
        <stp>VOLUME</stp>
        <stp>.SPXW250530C5840</stp>
        <tr r="I89" s="2"/>
      </tp>
      <tp t="e">
        <v>#N/A</v>
        <stp/>
        <stp>VOLUME</stp>
        <stp>.SPXW250731C5850</stp>
        <tr r="N88" s="2"/>
      </tp>
      <tp t="e">
        <v>#N/A</v>
        <stp/>
        <stp>VOLUME</stp>
        <stp>.SPXW250630C5840</stp>
        <tr r="L89" s="2"/>
      </tp>
      <tp t="e">
        <v>#N/A</v>
        <stp/>
        <stp>VOLUME</stp>
        <stp>.SPXW251031C5850</stp>
        <tr r="T88" s="2"/>
      </tp>
      <tp t="e">
        <v>#N/A</v>
        <stp/>
        <stp>VOLUME</stp>
        <stp>.SPXW251231C5850</stp>
        <tr r="X88" s="2"/>
      </tp>
      <tp t="e">
        <v>#N/A</v>
        <stp/>
        <stp>VOLUME</stp>
        <stp>.SPXW251031P5850</stp>
        <tr r="T88" s="2"/>
      </tp>
      <tp t="e">
        <v>#N/A</v>
        <stp/>
        <stp>VOLUME</stp>
        <stp>.SPXW251231P5850</stp>
        <tr r="X88" s="2"/>
      </tp>
      <tp t="e">
        <v>#N/A</v>
        <stp/>
        <stp>VOLUME</stp>
        <stp>.SPXW250930P5840</stp>
        <tr r="R89" s="2"/>
      </tp>
      <tp t="e">
        <v>#N/A</v>
        <stp/>
        <stp>VOLUME</stp>
        <stp>.SPXW250530P5840</stp>
        <tr r="I89" s="2"/>
      </tp>
      <tp t="e">
        <v>#N/A</v>
        <stp/>
        <stp>VOLUME</stp>
        <stp>.SPXW250731P5850</stp>
        <tr r="N88" s="2"/>
      </tp>
      <tp t="e">
        <v>#N/A</v>
        <stp/>
        <stp>VOLUME</stp>
        <stp>.SPXW250630P5840</stp>
        <tr r="L89" s="2"/>
      </tp>
      <tp t="s">
        <v>N/A</v>
        <stp/>
        <stp>VOLUME</stp>
        <stp>.NDXP251231P19700</stp>
        <tr r="X175" s="2"/>
      </tp>
      <tp t="e">
        <v>#N/A</v>
        <stp/>
        <stp>VOLUME</stp>
        <stp>.NDXP251031P19700</stp>
        <tr r="T175" s="2"/>
      </tp>
      <tp t="e">
        <v>#N/A</v>
        <stp/>
        <stp>VOLUME</stp>
        <stp>.SPXW250930C5850</stp>
        <tr r="R88" s="2"/>
      </tp>
      <tp t="e">
        <v>#N/A</v>
        <stp/>
        <stp>VOLUME</stp>
        <stp>.SPXW250530C5850</stp>
        <tr r="I88" s="2"/>
      </tp>
      <tp t="e">
        <v>#N/A</v>
        <stp/>
        <stp>VOLUME</stp>
        <stp>.SPXW250731C5840</stp>
        <tr r="N89" s="2"/>
      </tp>
      <tp t="e">
        <v>#N/A</v>
        <stp/>
        <stp>VOLUME</stp>
        <stp>.SPXW250630C5850</stp>
        <tr r="L88" s="2"/>
      </tp>
      <tp t="e">
        <v>#N/A</v>
        <stp/>
        <stp>VOLUME</stp>
        <stp>.SPXW251031C5840</stp>
        <tr r="T89" s="2"/>
      </tp>
      <tp t="e">
        <v>#N/A</v>
        <stp/>
        <stp>VOLUME</stp>
        <stp>.SPXW251231C5840</stp>
        <tr r="X89" s="2"/>
      </tp>
      <tp t="e">
        <v>#N/A</v>
        <stp/>
        <stp>VOLUME</stp>
        <stp>.SPXW251031P5840</stp>
        <tr r="T89" s="2"/>
      </tp>
      <tp t="e">
        <v>#N/A</v>
        <stp/>
        <stp>VOLUME</stp>
        <stp>.SPXW251231P5840</stp>
        <tr r="X89" s="2"/>
      </tp>
      <tp t="e">
        <v>#N/A</v>
        <stp/>
        <stp>VOLUME</stp>
        <stp>.SPXW250930P5850</stp>
        <tr r="R88" s="2"/>
      </tp>
      <tp t="e">
        <v>#N/A</v>
        <stp/>
        <stp>VOLUME</stp>
        <stp>.SPXW250530P5850</stp>
        <tr r="I88" s="2"/>
      </tp>
      <tp t="e">
        <v>#N/A</v>
        <stp/>
        <stp>VOLUME</stp>
        <stp>.SPXW250731P5840</stp>
        <tr r="N89" s="2"/>
      </tp>
      <tp t="e">
        <v>#N/A</v>
        <stp/>
        <stp>VOLUME</stp>
        <stp>.SPXW250630P5850</stp>
        <tr r="L88" s="2"/>
      </tp>
      <tp t="s">
        <v>N/A</v>
        <stp/>
        <stp>VOLUME</stp>
        <stp>.NDXP250930P19620</stp>
        <tr r="R179" s="2"/>
      </tp>
      <tp t="s">
        <v>N/A</v>
        <stp/>
        <stp>VOLUME</stp>
        <stp>.NDXP250630P19620</stp>
        <tr r="L179" s="2"/>
      </tp>
      <tp t="s">
        <v>N/A</v>
        <stp/>
        <stp>VOLUME</stp>
        <stp>.NDXP250502P20420</stp>
        <tr r="BB138" s="1"/>
      </tp>
      <tp t="s">
        <v>N/A</v>
        <stp/>
        <stp>VOLUME</stp>
        <stp>.NDXP250505P20320</stp>
        <tr r="B144" s="2"/>
      </tp>
      <tp>
        <v>1</v>
        <stp/>
        <stp>VOLUME</stp>
        <stp>.NDXP250506P20020</stp>
        <tr r="C159" s="2"/>
        <tr r="C159" s="2"/>
      </tp>
      <tp t="e">
        <v>#N/A</v>
        <stp/>
        <stp>VOLUME</stp>
        <stp>.NDXP250507P20120</stp>
        <tr r="D154" s="2"/>
      </tp>
      <tp t="s">
        <v>N/A</v>
        <stp/>
        <stp>VOLUME</stp>
        <stp>.NDXP250731P19720</stp>
        <tr r="N174" s="2"/>
      </tp>
      <tp t="e">
        <v>#N/A</v>
        <stp/>
        <stp>VOLUME</stp>
        <stp>.NDXP250502P19420</stp>
        <tr r="BB188" s="1"/>
        <tr r="BB188" s="1"/>
      </tp>
      <tp t="s">
        <v>N/A</v>
        <stp/>
        <stp>VOLUME</stp>
        <stp>.NDXP250530P19620</stp>
        <tr r="I179" s="2"/>
      </tp>
      <tp t="e">
        <v>#N/A</v>
        <stp/>
        <stp>VOLUME</stp>
        <stp>.NDXP250606P20020</stp>
        <tr r="J159" s="2"/>
      </tp>
      <tp t="e">
        <v>#N/A</v>
        <stp/>
        <stp>VOLUME</stp>
        <stp>.SPXW250930C5860</stp>
        <tr r="R87" s="2"/>
      </tp>
      <tp t="e">
        <v>#N/A</v>
        <stp/>
        <stp>VOLUME</stp>
        <stp>.SPXW250530C5860</stp>
        <tr r="I87" s="2"/>
      </tp>
      <tp t="e">
        <v>#N/A</v>
        <stp/>
        <stp>VOLUME</stp>
        <stp>.SPXW250731C5870</stp>
        <tr r="N86" s="2"/>
      </tp>
      <tp t="e">
        <v>#N/A</v>
        <stp/>
        <stp>VOLUME</stp>
        <stp>.SPXW250630C5860</stp>
        <tr r="L87" s="2"/>
      </tp>
      <tp t="e">
        <v>#N/A</v>
        <stp/>
        <stp>VOLUME</stp>
        <stp>.SPXW251031C5870</stp>
        <tr r="T86" s="2"/>
      </tp>
      <tp t="e">
        <v>#N/A</v>
        <stp/>
        <stp>VOLUME</stp>
        <stp>.SPXW251231C5870</stp>
        <tr r="X86" s="2"/>
      </tp>
      <tp t="e">
        <v>#N/A</v>
        <stp/>
        <stp>VOLUME</stp>
        <stp>.SPXW251031P5870</stp>
        <tr r="T86" s="2"/>
      </tp>
      <tp t="e">
        <v>#N/A</v>
        <stp/>
        <stp>VOLUME</stp>
        <stp>.SPXW251231P5870</stp>
        <tr r="X86" s="2"/>
      </tp>
      <tp t="e">
        <v>#N/A</v>
        <stp/>
        <stp>VOLUME</stp>
        <stp>.SPXW250930P5860</stp>
        <tr r="R87" s="2"/>
      </tp>
      <tp t="e">
        <v>#N/A</v>
        <stp/>
        <stp>VOLUME</stp>
        <stp>.SPXW250530P5860</stp>
        <tr r="I87" s="2"/>
      </tp>
      <tp t="e">
        <v>#N/A</v>
        <stp/>
        <stp>VOLUME</stp>
        <stp>.SPXW250731P5870</stp>
        <tr r="N86" s="2"/>
      </tp>
      <tp t="e">
        <v>#N/A</v>
        <stp/>
        <stp>VOLUME</stp>
        <stp>.SPXW250630P5860</stp>
        <tr r="L87" s="2"/>
      </tp>
      <tp t="s">
        <v>N/A</v>
        <stp/>
        <stp>VOLUME</stp>
        <stp>.NDXP251231P19720</stp>
        <tr r="X174" s="2"/>
      </tp>
      <tp t="e">
        <v>#N/A</v>
        <stp/>
        <stp>VOLUME</stp>
        <stp>.NDXP251031P19720</stp>
        <tr r="T174" s="2"/>
      </tp>
      <tp t="e">
        <v>#N/A</v>
        <stp/>
        <stp>VOLUME</stp>
        <stp>.SPXW250930C5870</stp>
        <tr r="R86" s="2"/>
      </tp>
      <tp t="e">
        <v>#N/A</v>
        <stp/>
        <stp>VOLUME</stp>
        <stp>.SPXW250530C5870</stp>
        <tr r="I86" s="2"/>
      </tp>
      <tp t="e">
        <v>#N/A</v>
        <stp/>
        <stp>VOLUME</stp>
        <stp>.SPXW250731C5860</stp>
        <tr r="N87" s="2"/>
      </tp>
      <tp t="e">
        <v>#N/A</v>
        <stp/>
        <stp>VOLUME</stp>
        <stp>.SPXW250630C5870</stp>
        <tr r="L86" s="2"/>
      </tp>
      <tp t="e">
        <v>#N/A</v>
        <stp/>
        <stp>VOLUME</stp>
        <stp>.SPXW251031C5860</stp>
        <tr r="T87" s="2"/>
      </tp>
      <tp t="e">
        <v>#N/A</v>
        <stp/>
        <stp>VOLUME</stp>
        <stp>.SPXW251231C5860</stp>
        <tr r="X87" s="2"/>
      </tp>
      <tp t="e">
        <v>#N/A</v>
        <stp/>
        <stp>VOLUME</stp>
        <stp>.SPXW251031P5860</stp>
        <tr r="T87" s="2"/>
      </tp>
      <tp t="e">
        <v>#N/A</v>
        <stp/>
        <stp>VOLUME</stp>
        <stp>.SPXW251231P5860</stp>
        <tr r="X87" s="2"/>
      </tp>
      <tp t="e">
        <v>#N/A</v>
        <stp/>
        <stp>VOLUME</stp>
        <stp>.SPXW250930P5870</stp>
        <tr r="R86" s="2"/>
      </tp>
      <tp t="e">
        <v>#N/A</v>
        <stp/>
        <stp>VOLUME</stp>
        <stp>.SPXW250530P5870</stp>
        <tr r="I86" s="2"/>
      </tp>
      <tp t="e">
        <v>#N/A</v>
        <stp/>
        <stp>VOLUME</stp>
        <stp>.SPXW250731P5860</stp>
        <tr r="N87" s="2"/>
      </tp>
      <tp t="e">
        <v>#N/A</v>
        <stp/>
        <stp>VOLUME</stp>
        <stp>.SPXW250630P5870</stp>
        <tr r="L86" s="2"/>
      </tp>
      <tp>
        <v>6</v>
        <stp/>
        <stp>OPEN_INT</stp>
        <stp>.NDXP250509C19700</stp>
        <tr r="AU174" s="1"/>
        <tr r="AU174" s="1"/>
      </tp>
      <tp t="s">
        <v>N/A</v>
        <stp/>
        <stp>OPEN_INT</stp>
        <stp>.NDXP250509C19720</stp>
        <tr r="AU173" s="1"/>
      </tp>
      <tp t="s">
        <v>N/A</v>
        <stp/>
        <stp>OPEN_INT</stp>
        <stp>.NDXP250509C19740</stp>
        <tr r="AU172" s="1"/>
      </tp>
      <tp t="s">
        <v>N/A</v>
        <stp/>
        <stp>OPEN_INT</stp>
        <stp>.NDXP250509C19760</stp>
        <tr r="AU171" s="1"/>
      </tp>
      <tp t="s">
        <v>N/A</v>
        <stp/>
        <stp>OPEN_INT</stp>
        <stp>.NDXP250509C19780</stp>
        <tr r="AU170" s="1"/>
      </tp>
      <tp t="s">
        <v>N/A</v>
        <stp/>
        <stp>OPEN_INT</stp>
        <stp>.NDXP250509P19720</stp>
        <tr r="AV173" s="1"/>
      </tp>
      <tp>
        <v>3</v>
        <stp/>
        <stp>OPEN_INT</stp>
        <stp>.NDXP250509P19700</stp>
        <tr r="AV174" s="1"/>
        <tr r="AV174" s="1"/>
      </tp>
      <tp t="s">
        <v>N/A</v>
        <stp/>
        <stp>OPEN_INT</stp>
        <stp>.NDXP250509P19760</stp>
        <tr r="AV171" s="1"/>
      </tp>
      <tp t="s">
        <v>N/A</v>
        <stp/>
        <stp>OPEN_INT</stp>
        <stp>.NDXP250509P19740</stp>
        <tr r="AV172" s="1"/>
      </tp>
      <tp t="s">
        <v>N/A</v>
        <stp/>
        <stp>OPEN_INT</stp>
        <stp>.NDXP250509P19780</stp>
        <tr r="AV170" s="1"/>
      </tp>
      <tp t="e">
        <v>#N/A</v>
        <stp/>
        <stp>DELTA</stp>
        <stp>.NDXP250502P19680</stp>
        <tr r="CE175" s="1"/>
        <tr r="CE175" s="1"/>
      </tp>
      <tp t="e">
        <v>#N/A</v>
        <stp/>
        <stp>DELTA</stp>
        <stp>.NDXP250502P19620</stp>
        <tr r="CE178" s="1"/>
        <tr r="CE178" s="1"/>
      </tp>
      <tp t="e">
        <v>#N/A</v>
        <stp/>
        <stp>DELTA</stp>
        <stp>.NDXP250502P19600</stp>
        <tr r="CE179" s="1"/>
        <tr r="CE179" s="1"/>
      </tp>
      <tp t="e">
        <v>#N/A</v>
        <stp/>
        <stp>DELTA</stp>
        <stp>.NDXP250502P19660</stp>
        <tr r="CE176" s="1"/>
        <tr r="CE176" s="1"/>
      </tp>
      <tp t="e">
        <v>#N/A</v>
        <stp/>
        <stp>DELTA</stp>
        <stp>.NDXP250502P19640</stp>
        <tr r="CE177" s="1"/>
        <tr r="CE177" s="1"/>
      </tp>
      <tp t="e">
        <v>#N/A</v>
        <stp/>
        <stp>DELTA</stp>
        <stp>.NDXP250502C19680</stp>
        <tr r="CD175" s="1"/>
        <tr r="CD175" s="1"/>
      </tp>
      <tp t="e">
        <v>#N/A</v>
        <stp/>
        <stp>DELTA</stp>
        <stp>.NDXP250502C19600</stp>
        <tr r="CD179" s="1"/>
        <tr r="CD179" s="1"/>
      </tp>
      <tp t="e">
        <v>#N/A</v>
        <stp/>
        <stp>DELTA</stp>
        <stp>.NDXP250502C19620</stp>
        <tr r="CD178" s="1"/>
        <tr r="CD178" s="1"/>
      </tp>
      <tp t="e">
        <v>#N/A</v>
        <stp/>
        <stp>DELTA</stp>
        <stp>.NDXP250502C19640</stp>
        <tr r="CD177" s="1"/>
        <tr r="CD177" s="1"/>
      </tp>
      <tp t="e">
        <v>#N/A</v>
        <stp/>
        <stp>DELTA</stp>
        <stp>.NDXP250502C19660</stp>
        <tr r="CD176" s="1"/>
        <tr r="CD176" s="1"/>
      </tp>
      <tp t="s">
        <v>N/A</v>
        <stp/>
        <stp>VOLUME</stp>
        <stp>.NDXP251231C19680</stp>
        <tr r="X176" s="2"/>
      </tp>
      <tp t="e">
        <v>#N/A</v>
        <stp/>
        <stp>VOLUME</stp>
        <stp>.NDXP251031C19680</stp>
        <tr r="T176" s="2"/>
      </tp>
      <tp t="s">
        <v>N/A</v>
        <stp/>
        <stp>VOLUME</stp>
        <stp>.NDXP250930C19780</stp>
        <tr r="R171" s="2"/>
      </tp>
      <tp t="s">
        <v>N/A</v>
        <stp/>
        <stp>VOLUME</stp>
        <stp>.NDXP250630C19780</stp>
        <tr r="L171" s="2"/>
      </tp>
      <tp>
        <v>13</v>
        <stp/>
        <stp>VOLUME</stp>
        <stp>.NDXP250505C20280</stp>
        <tr r="B146" s="2"/>
        <tr r="B146" s="2"/>
      </tp>
      <tp>
        <v>2</v>
        <stp/>
        <stp>VOLUME</stp>
        <stp>.NDXP250506C20180</stp>
        <tr r="C151" s="2"/>
        <tr r="C151" s="2"/>
      </tp>
      <tp t="e">
        <v>#N/A</v>
        <stp/>
        <stp>VOLUME</stp>
        <stp>.NDXP250507C20080</stp>
        <tr r="D156" s="2"/>
      </tp>
      <tp t="s">
        <v>N/A</v>
        <stp/>
        <stp>VOLUME</stp>
        <stp>.NDXP250731C19680</stp>
        <tr r="N176" s="2"/>
      </tp>
      <tp t="e">
        <v>#N/A</v>
        <stp/>
        <stp>VOLUME</stp>
        <stp>.NDXP250502C19580</stp>
        <tr r="BA180" s="1"/>
      </tp>
      <tp t="s">
        <v>N/A</v>
        <stp/>
        <stp>VOLUME</stp>
        <stp>.NDXP250530C19780</stp>
        <tr r="I171" s="2"/>
      </tp>
      <tp t="e">
        <v>#N/A</v>
        <stp/>
        <stp>VOLUME</stp>
        <stp>.NDXP250606C20180</stp>
        <tr r="J151" s="2"/>
      </tp>
      <tp t="s">
        <v>N/A</v>
        <stp/>
        <stp>VOLUME</stp>
        <stp>.NDXP251231C19660</stp>
        <tr r="X177" s="2"/>
      </tp>
      <tp t="e">
        <v>#N/A</v>
        <stp/>
        <stp>VOLUME</stp>
        <stp>.NDXP251031C19660</stp>
        <tr r="T177" s="2"/>
      </tp>
      <tp t="s">
        <v>N/A</v>
        <stp/>
        <stp>VOLUME</stp>
        <stp>.NDXP250930C19760</stp>
        <tr r="R172" s="2"/>
      </tp>
      <tp t="s">
        <v>N/A</v>
        <stp/>
        <stp>VOLUME</stp>
        <stp>.NDXP250630C19760</stp>
        <tr r="L172" s="2"/>
      </tp>
      <tp>
        <v>1</v>
        <stp/>
        <stp>VOLUME</stp>
        <stp>.NDXP250505C20260</stp>
        <tr r="B147" s="2"/>
        <tr r="B147" s="2"/>
      </tp>
      <tp t="s">
        <v>N/A</v>
        <stp/>
        <stp>VOLUME</stp>
        <stp>.NDXP250506C20160</stp>
        <tr r="C152" s="2"/>
      </tp>
      <tp t="e">
        <v>#N/A</v>
        <stp/>
        <stp>VOLUME</stp>
        <stp>.NDXP250507C20060</stp>
        <tr r="D157" s="2"/>
      </tp>
      <tp t="s">
        <v>N/A</v>
        <stp/>
        <stp>VOLUME</stp>
        <stp>.NDXP250731C19660</stp>
        <tr r="N177" s="2"/>
      </tp>
      <tp t="e">
        <v>#N/A</v>
        <stp/>
        <stp>VOLUME</stp>
        <stp>.NDXP250502C19560</stp>
        <tr r="BA181" s="1"/>
      </tp>
      <tp t="s">
        <v>N/A</v>
        <stp/>
        <stp>VOLUME</stp>
        <stp>.NDXP250530C19760</stp>
        <tr r="I172" s="2"/>
      </tp>
      <tp t="e">
        <v>#N/A</v>
        <stp/>
        <stp>VOLUME</stp>
        <stp>.NDXP250606C20160</stp>
        <tr r="J152" s="2"/>
      </tp>
      <tp t="s">
        <v>N/A</v>
        <stp/>
        <stp>VOLUME</stp>
        <stp>.NDXP251231C19640</stp>
        <tr r="X178" s="2"/>
      </tp>
      <tp t="e">
        <v>#N/A</v>
        <stp/>
        <stp>VOLUME</stp>
        <stp>.NDXP251031C19640</stp>
        <tr r="T178" s="2"/>
      </tp>
      <tp t="s">
        <v>N/A</v>
        <stp/>
        <stp>VOLUME</stp>
        <stp>.NDXP250930C19740</stp>
        <tr r="R173" s="2"/>
      </tp>
      <tp t="s">
        <v>N/A</v>
        <stp/>
        <stp>VOLUME</stp>
        <stp>.NDXP250630C19740</stp>
        <tr r="L173" s="2"/>
      </tp>
      <tp>
        <v>25</v>
        <stp/>
        <stp>VOLUME</stp>
        <stp>.NDXP250505C20240</stp>
        <tr r="B148" s="2"/>
        <tr r="B148" s="2"/>
      </tp>
      <tp>
        <v>15</v>
        <stp/>
        <stp>VOLUME</stp>
        <stp>.NDXP250506C20140</stp>
        <tr r="C153" s="2"/>
        <tr r="C153" s="2"/>
      </tp>
      <tp t="e">
        <v>#N/A</v>
        <stp/>
        <stp>VOLUME</stp>
        <stp>.NDXP250507C20040</stp>
        <tr r="D158" s="2"/>
      </tp>
      <tp t="s">
        <v>N/A</v>
        <stp/>
        <stp>VOLUME</stp>
        <stp>.NDXP250731C19640</stp>
        <tr r="N178" s="2"/>
      </tp>
      <tp t="e">
        <v>#N/A</v>
        <stp/>
        <stp>VOLUME</stp>
        <stp>.NDXP250502C19540</stp>
        <tr r="BA182" s="1"/>
      </tp>
      <tp t="s">
        <v>N/A</v>
        <stp/>
        <stp>VOLUME</stp>
        <stp>.NDXP250530C19740</stp>
        <tr r="I173" s="2"/>
      </tp>
      <tp t="e">
        <v>#N/A</v>
        <stp/>
        <stp>VOLUME</stp>
        <stp>.NDXP250606C20140</stp>
        <tr r="J153" s="2"/>
      </tp>
      <tp t="s">
        <v>N/A</v>
        <stp/>
        <stp>VOLUME</stp>
        <stp>.NDXP251231C19620</stp>
        <tr r="X179" s="2"/>
      </tp>
      <tp t="e">
        <v>#N/A</v>
        <stp/>
        <stp>VOLUME</stp>
        <stp>.NDXP251031C19620</stp>
        <tr r="T179" s="2"/>
      </tp>
      <tp t="s">
        <v>N/A</v>
        <stp/>
        <stp>VOLUME</stp>
        <stp>.NDXP250930C19720</stp>
        <tr r="R174" s="2"/>
      </tp>
      <tp t="s">
        <v>N/A</v>
        <stp/>
        <stp>VOLUME</stp>
        <stp>.NDXP250630C19720</stp>
        <tr r="L174" s="2"/>
      </tp>
      <tp>
        <v>9</v>
        <stp/>
        <stp>VOLUME</stp>
        <stp>.NDXP250505C20220</stp>
        <tr r="B149" s="2"/>
        <tr r="B149" s="2"/>
      </tp>
      <tp>
        <v>7</v>
        <stp/>
        <stp>VOLUME</stp>
        <stp>.NDXP250506C20120</stp>
        <tr r="C154" s="2"/>
        <tr r="C154" s="2"/>
      </tp>
      <tp t="e">
        <v>#N/A</v>
        <stp/>
        <stp>VOLUME</stp>
        <stp>.NDXP250507C20020</stp>
        <tr r="D159" s="2"/>
      </tp>
      <tp t="s">
        <v>N/A</v>
        <stp/>
        <stp>VOLUME</stp>
        <stp>.NDXP250731C19620</stp>
        <tr r="N179" s="2"/>
      </tp>
      <tp t="e">
        <v>#N/A</v>
        <stp/>
        <stp>VOLUME</stp>
        <stp>.NDXP250502C19520</stp>
        <tr r="BA183" s="1"/>
      </tp>
      <tp t="s">
        <v>N/A</v>
        <stp/>
        <stp>VOLUME</stp>
        <stp>.NDXP250530C19720</stp>
        <tr r="I174" s="2"/>
      </tp>
      <tp t="e">
        <v>#N/A</v>
        <stp/>
        <stp>VOLUME</stp>
        <stp>.NDXP250606C20120</stp>
        <tr r="J154" s="2"/>
      </tp>
      <tp t="e">
        <v>#N/A</v>
        <stp/>
        <stp>VOLUME</stp>
        <stp>.NDXP251231C19600</stp>
        <tr r="X180" s="2"/>
      </tp>
      <tp t="e">
        <v>#N/A</v>
        <stp/>
        <stp>VOLUME</stp>
        <stp>.NDXP251031C19600</stp>
        <tr r="T180" s="2"/>
      </tp>
      <tp t="s">
        <v>N/A</v>
        <stp/>
        <stp>VOLUME</stp>
        <stp>.NDXP250930C19700</stp>
        <tr r="R175" s="2"/>
      </tp>
      <tp t="s">
        <v>N/A</v>
        <stp/>
        <stp>VOLUME</stp>
        <stp>.NDXP250630C19700</stp>
        <tr r="L175" s="2"/>
      </tp>
      <tp>
        <v>64</v>
        <stp/>
        <stp>VOLUME</stp>
        <stp>.NDXP250505C20200</stp>
        <tr r="B150" s="2"/>
        <tr r="B150" s="2"/>
      </tp>
      <tp>
        <v>71</v>
        <stp/>
        <stp>VOLUME</stp>
        <stp>.NDXP250506C20100</stp>
        <tr r="C155" s="2"/>
        <tr r="C155" s="2"/>
      </tp>
      <tp t="e">
        <v>#N/A</v>
        <stp/>
        <stp>VOLUME</stp>
        <stp>.NDXP250507C20000</stp>
        <tr r="D160" s="2"/>
      </tp>
      <tp t="e">
        <v>#N/A</v>
        <stp/>
        <stp>VOLUME</stp>
        <stp>.NDXP250731C19600</stp>
        <tr r="N180" s="2"/>
      </tp>
      <tp t="e">
        <v>#N/A</v>
        <stp/>
        <stp>VOLUME</stp>
        <stp>.NDXP250502C19500</stp>
        <tr r="BA184" s="1"/>
        <tr r="BA184" s="1"/>
      </tp>
      <tp>
        <v>1</v>
        <stp/>
        <stp>VOLUME</stp>
        <stp>.NDXP250530C19700</stp>
        <tr r="I175" s="2"/>
        <tr r="I175" s="2"/>
      </tp>
      <tp t="e">
        <v>#N/A</v>
        <stp/>
        <stp>VOLUME</stp>
        <stp>.NDXP250606C20100</stp>
        <tr r="J155" s="2"/>
      </tp>
      <tp t="e">
        <v>#N/A</v>
        <stp/>
        <stp>VOLUME</stp>
        <stp>.SPXW250829C5810</stp>
        <tr r="P92" s="2"/>
      </tp>
      <tp t="e">
        <v>#N/A</v>
        <stp/>
        <stp>VOLUME</stp>
        <stp>.SPXW251128C5800</stp>
        <tr r="V93" s="2"/>
      </tp>
      <tp t="e">
        <v>#N/A</v>
        <stp/>
        <stp>VOLUME</stp>
        <stp>.SPXW251128P5800</stp>
        <tr r="V93" s="2"/>
      </tp>
      <tp t="e">
        <v>#N/A</v>
        <stp/>
        <stp>VOLUME</stp>
        <stp>.SPXW250829P5810</stp>
        <tr r="P92" s="2"/>
      </tp>
      <tp t="e">
        <v>#N/A</v>
        <stp/>
        <stp>VOLUME</stp>
        <stp>.SPXW250829C5800</stp>
        <tr r="P93" s="2"/>
      </tp>
      <tp t="e">
        <v>#N/A</v>
        <stp/>
        <stp>VOLUME</stp>
        <stp>.SPXW251128C5810</stp>
        <tr r="V92" s="2"/>
      </tp>
      <tp t="e">
        <v>#N/A</v>
        <stp/>
        <stp>VOLUME</stp>
        <stp>.SPXW251128P5810</stp>
        <tr r="V92" s="2"/>
      </tp>
      <tp t="e">
        <v>#N/A</v>
        <stp/>
        <stp>VOLUME</stp>
        <stp>.SPXW250829P5800</stp>
        <tr r="P93" s="2"/>
      </tp>
      <tp t="e">
        <v>#N/A</v>
        <stp/>
        <stp>VOLUME</stp>
        <stp>.SPXW250829C5830</stp>
        <tr r="P90" s="2"/>
      </tp>
      <tp t="e">
        <v>#N/A</v>
        <stp/>
        <stp>VOLUME</stp>
        <stp>.SPXW251128C5820</stp>
        <tr r="V91" s="2"/>
      </tp>
      <tp t="e">
        <v>#N/A</v>
        <stp/>
        <stp>VOLUME</stp>
        <stp>.SPXW251128P5820</stp>
        <tr r="V91" s="2"/>
      </tp>
      <tp t="e">
        <v>#N/A</v>
        <stp/>
        <stp>VOLUME</stp>
        <stp>.SPXW250829P5830</stp>
        <tr r="P90" s="2"/>
      </tp>
      <tp t="e">
        <v>#N/A</v>
        <stp/>
        <stp>VOLUME</stp>
        <stp>.SPXW250829C5820</stp>
        <tr r="P91" s="2"/>
      </tp>
      <tp t="e">
        <v>#N/A</v>
        <stp/>
        <stp>VOLUME</stp>
        <stp>.SPXW251128C5830</stp>
        <tr r="V90" s="2"/>
      </tp>
      <tp t="e">
        <v>#N/A</v>
        <stp/>
        <stp>VOLUME</stp>
        <stp>.SPXW251128P5830</stp>
        <tr r="V90" s="2"/>
      </tp>
      <tp t="e">
        <v>#N/A</v>
        <stp/>
        <stp>VOLUME</stp>
        <stp>.SPXW250829P5820</stp>
        <tr r="P91" s="2"/>
      </tp>
      <tp t="s">
        <v>N/A</v>
        <stp/>
        <stp>VOLUME</stp>
        <stp>.NDXP250930P19780</stp>
        <tr r="R171" s="2"/>
      </tp>
      <tp t="s">
        <v>N/A</v>
        <stp/>
        <stp>VOLUME</stp>
        <stp>.NDXP250630P19780</stp>
        <tr r="L171" s="2"/>
      </tp>
      <tp t="s">
        <v>N/A</v>
        <stp/>
        <stp>VOLUME</stp>
        <stp>.NDXP250505P20280</stp>
        <tr r="B146" s="2"/>
      </tp>
      <tp t="s">
        <v>N/A</v>
        <stp/>
        <stp>VOLUME</stp>
        <stp>.NDXP250506P20180</stp>
        <tr r="C151" s="2"/>
      </tp>
      <tp t="e">
        <v>#N/A</v>
        <stp/>
        <stp>VOLUME</stp>
        <stp>.NDXP250507P20080</stp>
        <tr r="D156" s="2"/>
      </tp>
      <tp t="s">
        <v>N/A</v>
        <stp/>
        <stp>VOLUME</stp>
        <stp>.NDXP250731P19680</stp>
        <tr r="N176" s="2"/>
      </tp>
      <tp t="e">
        <v>#N/A</v>
        <stp/>
        <stp>VOLUME</stp>
        <stp>.NDXP250502P19580</stp>
        <tr r="BB180" s="1"/>
        <tr r="BB180" s="1"/>
      </tp>
      <tp t="s">
        <v>N/A</v>
        <stp/>
        <stp>VOLUME</stp>
        <stp>.NDXP250530P19780</stp>
        <tr r="I171" s="2"/>
      </tp>
      <tp t="e">
        <v>#N/A</v>
        <stp/>
        <stp>VOLUME</stp>
        <stp>.NDXP250606P20180</stp>
        <tr r="J151" s="2"/>
      </tp>
      <tp t="e">
        <v>#N/A</v>
        <stp/>
        <stp>VOLUME</stp>
        <stp>.SPXW250829C5850</stp>
        <tr r="P88" s="2"/>
      </tp>
      <tp t="e">
        <v>#N/A</v>
        <stp/>
        <stp>VOLUME</stp>
        <stp>.SPXW251128C5840</stp>
        <tr r="V89" s="2"/>
      </tp>
      <tp t="e">
        <v>#N/A</v>
        <stp/>
        <stp>VOLUME</stp>
        <stp>.SPXW251128P5840</stp>
        <tr r="V89" s="2"/>
      </tp>
      <tp t="e">
        <v>#N/A</v>
        <stp/>
        <stp>VOLUME</stp>
        <stp>.SPXW250829P5850</stp>
        <tr r="P88" s="2"/>
      </tp>
      <tp t="s">
        <v>N/A</v>
        <stp/>
        <stp>VOLUME</stp>
        <stp>.NDXP251231P19680</stp>
        <tr r="X176" s="2"/>
      </tp>
      <tp t="e">
        <v>#N/A</v>
        <stp/>
        <stp>VOLUME</stp>
        <stp>.NDXP251031P19680</stp>
        <tr r="T176" s="2"/>
      </tp>
      <tp t="e">
        <v>#N/A</v>
        <stp/>
        <stp>VOLUME</stp>
        <stp>.SPXW250829C5840</stp>
        <tr r="P89" s="2"/>
      </tp>
      <tp t="e">
        <v>#N/A</v>
        <stp/>
        <stp>VOLUME</stp>
        <stp>.SPXW251128C5850</stp>
        <tr r="V88" s="2"/>
      </tp>
      <tp t="e">
        <v>#N/A</v>
        <stp/>
        <stp>VOLUME</stp>
        <stp>.SPXW251128P5850</stp>
        <tr r="V88" s="2"/>
      </tp>
      <tp t="e">
        <v>#N/A</v>
        <stp/>
        <stp>VOLUME</stp>
        <stp>.SPXW250829P5840</stp>
        <tr r="P89" s="2"/>
      </tp>
      <tp t="e">
        <v>#N/A</v>
        <stp/>
        <stp>VOLUME</stp>
        <stp>.SPXW250829C5870</stp>
        <tr r="P86" s="2"/>
      </tp>
      <tp t="e">
        <v>#N/A</v>
        <stp/>
        <stp>VOLUME</stp>
        <stp>.SPXW251128C5860</stp>
        <tr r="V87" s="2"/>
      </tp>
      <tp t="e">
        <v>#N/A</v>
        <stp/>
        <stp>VOLUME</stp>
        <stp>.SPXW251128P5860</stp>
        <tr r="V87" s="2"/>
      </tp>
      <tp t="e">
        <v>#N/A</v>
        <stp/>
        <stp>VOLUME</stp>
        <stp>.SPXW250829P5870</stp>
        <tr r="P86" s="2"/>
      </tp>
      <tp t="e">
        <v>#N/A</v>
        <stp/>
        <stp>VOLUME</stp>
        <stp>.SPXW250829C5860</stp>
        <tr r="P87" s="2"/>
      </tp>
      <tp t="e">
        <v>#N/A</v>
        <stp/>
        <stp>VOLUME</stp>
        <stp>.SPXW251128C5870</stp>
        <tr r="V86" s="2"/>
      </tp>
      <tp t="e">
        <v>#N/A</v>
        <stp/>
        <stp>VOLUME</stp>
        <stp>.SPXW251128P5870</stp>
        <tr r="V86" s="2"/>
      </tp>
      <tp t="e">
        <v>#N/A</v>
        <stp/>
        <stp>VOLUME</stp>
        <stp>.SPXW250829P5860</stp>
        <tr r="P87" s="2"/>
      </tp>
      <tp t="s">
        <v>N/A</v>
        <stp/>
        <stp>VOLUME</stp>
        <stp>.NDXP250930P19740</stp>
        <tr r="R173" s="2"/>
      </tp>
      <tp t="s">
        <v>N/A</v>
        <stp/>
        <stp>VOLUME</stp>
        <stp>.NDXP250630P19740</stp>
        <tr r="L173" s="2"/>
      </tp>
      <tp t="s">
        <v>N/A</v>
        <stp/>
        <stp>VOLUME</stp>
        <stp>.NDXP250505P20240</stp>
        <tr r="B148" s="2"/>
      </tp>
      <tp>
        <v>4</v>
        <stp/>
        <stp>VOLUME</stp>
        <stp>.NDXP250506P20140</stp>
        <tr r="C153" s="2"/>
        <tr r="C153" s="2"/>
      </tp>
      <tp t="e">
        <v>#N/A</v>
        <stp/>
        <stp>VOLUME</stp>
        <stp>.NDXP250507P20040</stp>
        <tr r="D158" s="2"/>
      </tp>
      <tp t="s">
        <v>N/A</v>
        <stp/>
        <stp>VOLUME</stp>
        <stp>.NDXP250731P19640</stp>
        <tr r="N178" s="2"/>
      </tp>
      <tp t="e">
        <v>#N/A</v>
        <stp/>
        <stp>VOLUME</stp>
        <stp>.NDXP250502P19540</stp>
        <tr r="BB182" s="1"/>
        <tr r="BB182" s="1"/>
      </tp>
      <tp t="s">
        <v>N/A</v>
        <stp/>
        <stp>VOLUME</stp>
        <stp>.NDXP250530P19740</stp>
        <tr r="I173" s="2"/>
      </tp>
      <tp t="e">
        <v>#N/A</v>
        <stp/>
        <stp>VOLUME</stp>
        <stp>.NDXP250606P20140</stp>
        <tr r="J153" s="2"/>
      </tp>
      <tp t="s">
        <v>N/A</v>
        <stp/>
        <stp>VOLUME</stp>
        <stp>.NDXP251231P19640</stp>
        <tr r="X178" s="2"/>
      </tp>
      <tp t="e">
        <v>#N/A</v>
        <stp/>
        <stp>VOLUME</stp>
        <stp>.NDXP251031P19640</stp>
        <tr r="T178" s="2"/>
      </tp>
      <tp t="s">
        <v>N/A</v>
        <stp/>
        <stp>VOLUME</stp>
        <stp>.NDXP250930P19760</stp>
        <tr r="R172" s="2"/>
      </tp>
      <tp t="s">
        <v>N/A</v>
        <stp/>
        <stp>VOLUME</stp>
        <stp>.NDXP250630P19760</stp>
        <tr r="L172" s="2"/>
      </tp>
      <tp>
        <v>1</v>
        <stp/>
        <stp>VOLUME</stp>
        <stp>.NDXP250505P20260</stp>
        <tr r="B147" s="2"/>
        <tr r="B147" s="2"/>
      </tp>
      <tp>
        <v>1</v>
        <stp/>
        <stp>VOLUME</stp>
        <stp>.NDXP250506P20160</stp>
        <tr r="C152" s="2"/>
        <tr r="C152" s="2"/>
      </tp>
      <tp t="e">
        <v>#N/A</v>
        <stp/>
        <stp>VOLUME</stp>
        <stp>.NDXP250507P20060</stp>
        <tr r="D157" s="2"/>
      </tp>
      <tp t="s">
        <v>N/A</v>
        <stp/>
        <stp>VOLUME</stp>
        <stp>.NDXP250731P19660</stp>
        <tr r="N177" s="2"/>
      </tp>
      <tp t="e">
        <v>#N/A</v>
        <stp/>
        <stp>VOLUME</stp>
        <stp>.NDXP250502P19560</stp>
        <tr r="BB181" s="1"/>
        <tr r="BB181" s="1"/>
      </tp>
      <tp t="s">
        <v>N/A</v>
        <stp/>
        <stp>VOLUME</stp>
        <stp>.NDXP250530P19760</stp>
        <tr r="I172" s="2"/>
      </tp>
      <tp t="e">
        <v>#N/A</v>
        <stp/>
        <stp>VOLUME</stp>
        <stp>.NDXP250606P20160</stp>
        <tr r="J152" s="2"/>
      </tp>
      <tp t="s">
        <v>N/A</v>
        <stp/>
        <stp>VOLUME</stp>
        <stp>.NDXP251231P19660</stp>
        <tr r="X177" s="2"/>
      </tp>
      <tp t="e">
        <v>#N/A</v>
        <stp/>
        <stp>VOLUME</stp>
        <stp>.NDXP251031P19660</stp>
        <tr r="T177" s="2"/>
      </tp>
      <tp t="s">
        <v>N/A</v>
        <stp/>
        <stp>VOLUME</stp>
        <stp>.NDXP250930P19700</stp>
        <tr r="R175" s="2"/>
      </tp>
      <tp>
        <v>12</v>
        <stp/>
        <stp>VOLUME</stp>
        <stp>.NDXP250630P19700</stp>
        <tr r="L175" s="2"/>
        <tr r="L175" s="2"/>
      </tp>
      <tp>
        <v>8</v>
        <stp/>
        <stp>VOLUME</stp>
        <stp>.NDXP250505P20200</stp>
        <tr r="B150" s="2"/>
        <tr r="B150" s="2"/>
      </tp>
      <tp>
        <v>5</v>
        <stp/>
        <stp>VOLUME</stp>
        <stp>.NDXP250506P20100</stp>
        <tr r="C155" s="2"/>
        <tr r="C155" s="2"/>
      </tp>
      <tp t="e">
        <v>#N/A</v>
        <stp/>
        <stp>VOLUME</stp>
        <stp>.NDXP250507P20000</stp>
        <tr r="D160" s="2"/>
      </tp>
      <tp t="e">
        <v>#N/A</v>
        <stp/>
        <stp>VOLUME</stp>
        <stp>.NDXP250731P19600</stp>
        <tr r="N180" s="2"/>
      </tp>
      <tp t="e">
        <v>#N/A</v>
        <stp/>
        <stp>VOLUME</stp>
        <stp>.NDXP250502P19500</stp>
        <tr r="BB184" s="1"/>
        <tr r="BB184" s="1"/>
      </tp>
      <tp>
        <v>3</v>
        <stp/>
        <stp>VOLUME</stp>
        <stp>.NDXP250530P19700</stp>
        <tr r="I175" s="2"/>
        <tr r="I175" s="2"/>
      </tp>
      <tp t="e">
        <v>#N/A</v>
        <stp/>
        <stp>VOLUME</stp>
        <stp>.NDXP250606P20100</stp>
        <tr r="J155" s="2"/>
      </tp>
      <tp t="e">
        <v>#N/A</v>
        <stp/>
        <stp>VOLUME</stp>
        <stp>.NDXP251231P19600</stp>
        <tr r="X180" s="2"/>
      </tp>
      <tp t="e">
        <v>#N/A</v>
        <stp/>
        <stp>VOLUME</stp>
        <stp>.NDXP251031P19600</stp>
        <tr r="T180" s="2"/>
      </tp>
      <tp t="s">
        <v>N/A</v>
        <stp/>
        <stp>VOLUME</stp>
        <stp>.NDXP250930P19720</stp>
        <tr r="R174" s="2"/>
      </tp>
      <tp t="s">
        <v>N/A</v>
        <stp/>
        <stp>VOLUME</stp>
        <stp>.NDXP250630P19720</stp>
        <tr r="L174" s="2"/>
      </tp>
      <tp t="s">
        <v>N/A</v>
        <stp/>
        <stp>VOLUME</stp>
        <stp>.NDXP250505P20220</stp>
        <tr r="B149" s="2"/>
      </tp>
      <tp t="s">
        <v>N/A</v>
        <stp/>
        <stp>VOLUME</stp>
        <stp>.NDXP250506P20120</stp>
        <tr r="C154" s="2"/>
      </tp>
      <tp t="e">
        <v>#N/A</v>
        <stp/>
        <stp>VOLUME</stp>
        <stp>.NDXP250507P20020</stp>
        <tr r="D159" s="2"/>
      </tp>
      <tp t="s">
        <v>N/A</v>
        <stp/>
        <stp>VOLUME</stp>
        <stp>.NDXP250731P19620</stp>
        <tr r="N179" s="2"/>
      </tp>
      <tp t="e">
        <v>#N/A</v>
        <stp/>
        <stp>VOLUME</stp>
        <stp>.NDXP250502P19520</stp>
        <tr r="BB183" s="1"/>
        <tr r="BB183" s="1"/>
      </tp>
      <tp t="s">
        <v>N/A</v>
        <stp/>
        <stp>VOLUME</stp>
        <stp>.NDXP250530P19720</stp>
        <tr r="I174" s="2"/>
      </tp>
      <tp t="e">
        <v>#N/A</v>
        <stp/>
        <stp>VOLUME</stp>
        <stp>.NDXP250606P20120</stp>
        <tr r="J154" s="2"/>
      </tp>
      <tp t="s">
        <v>N/A</v>
        <stp/>
        <stp>VOLUME</stp>
        <stp>.NDXP251231P19620</stp>
        <tr r="X179" s="2"/>
      </tp>
      <tp t="e">
        <v>#N/A</v>
        <stp/>
        <stp>VOLUME</stp>
        <stp>.NDXP251031P19620</stp>
        <tr r="T179" s="2"/>
      </tp>
      <tp>
        <v>25</v>
        <stp/>
        <stp>OPEN_INT</stp>
        <stp>.NDXP250509C20000</stp>
        <tr r="AU159" s="1"/>
        <tr r="AU159" s="1"/>
      </tp>
      <tp t="s">
        <v>N/A</v>
        <stp/>
        <stp>OPEN_INT</stp>
        <stp>.NDXP250509C20020</stp>
        <tr r="AU158" s="1"/>
      </tp>
      <tp t="s">
        <v>N/A</v>
        <stp/>
        <stp>OPEN_INT</stp>
        <stp>.NDXP250509C20040</stp>
        <tr r="AU157" s="1"/>
      </tp>
      <tp t="s">
        <v>N/A</v>
        <stp/>
        <stp>OPEN_INT</stp>
        <stp>.NDXP250509C20060</stp>
        <tr r="AU156" s="1"/>
      </tp>
      <tp t="s">
        <v>N/A</v>
        <stp/>
        <stp>OPEN_INT</stp>
        <stp>.NDXP250509C20080</stp>
        <tr r="AU155" s="1"/>
      </tp>
      <tp t="s">
        <v>N/A</v>
        <stp/>
        <stp>OPEN_INT</stp>
        <stp>.NDXP250509P20020</stp>
        <tr r="AV158" s="1"/>
      </tp>
      <tp>
        <v>6</v>
        <stp/>
        <stp>OPEN_INT</stp>
        <stp>.NDXP250509P20000</stp>
        <tr r="AV159" s="1"/>
        <tr r="AV159" s="1"/>
      </tp>
      <tp t="s">
        <v>N/A</v>
        <stp/>
        <stp>OPEN_INT</stp>
        <stp>.NDXP250509P20060</stp>
        <tr r="AV156" s="1"/>
      </tp>
      <tp t="s">
        <v>N/A</v>
        <stp/>
        <stp>OPEN_INT</stp>
        <stp>.NDXP250509P20040</stp>
        <tr r="AV157" s="1"/>
      </tp>
      <tp t="s">
        <v>N/A</v>
        <stp/>
        <stp>OPEN_INT</stp>
        <stp>.NDXP250509P20080</stp>
        <tr r="AV155" s="1"/>
      </tp>
      <tp t="e">
        <v>#N/A</v>
        <stp/>
        <stp>DELTA</stp>
        <stp>.NDXP250502P20180</stp>
        <tr r="CE150" s="1"/>
        <tr r="CE150" s="1"/>
      </tp>
      <tp t="e">
        <v>#N/A</v>
        <stp/>
        <stp>DELTA</stp>
        <stp>.NDXP250502P20120</stp>
        <tr r="CE153" s="1"/>
        <tr r="CE153" s="1"/>
      </tp>
      <tp t="e">
        <v>#N/A</v>
        <stp/>
        <stp>DELTA</stp>
        <stp>.NDXP250502P20100</stp>
        <tr r="CE154" s="1"/>
        <tr r="CE154" s="1"/>
      </tp>
      <tp t="e">
        <v>#N/A</v>
        <stp/>
        <stp>DELTA</stp>
        <stp>.NDXP250502P20160</stp>
        <tr r="CE151" s="1"/>
        <tr r="CE151" s="1"/>
      </tp>
      <tp t="e">
        <v>#N/A</v>
        <stp/>
        <stp>DELTA</stp>
        <stp>.NDXP250502P20140</stp>
        <tr r="CE152" s="1"/>
        <tr r="CE152" s="1"/>
      </tp>
      <tp t="e">
        <v>#N/A</v>
        <stp/>
        <stp>DELTA</stp>
        <stp>.NDXP250502C20180</stp>
        <tr r="CD150" s="1"/>
        <tr r="CD150" s="1"/>
      </tp>
      <tp t="e">
        <v>#N/A</v>
        <stp/>
        <stp>DELTA</stp>
        <stp>.NDXP250502C20100</stp>
        <tr r="CD154" s="1"/>
        <tr r="CD154" s="1"/>
      </tp>
      <tp t="e">
        <v>#N/A</v>
        <stp/>
        <stp>DELTA</stp>
        <stp>.NDXP250502C20120</stp>
        <tr r="CD153" s="1"/>
        <tr r="CD153" s="1"/>
      </tp>
      <tp t="e">
        <v>#N/A</v>
        <stp/>
        <stp>DELTA</stp>
        <stp>.NDXP250502C20140</stp>
        <tr r="CD152" s="1"/>
        <tr r="CD152" s="1"/>
      </tp>
      <tp t="e">
        <v>#N/A</v>
        <stp/>
        <stp>DELTA</stp>
        <stp>.NDXP250502C20160</stp>
        <tr r="CD151" s="1"/>
        <tr r="CD151" s="1"/>
      </tp>
      <tp t="e">
        <v>#N/A</v>
        <stp/>
        <stp>VOLUME</stp>
        <stp>.NDXP251031C20180</stp>
        <tr r="T151" s="2"/>
      </tp>
      <tp t="e">
        <v>#N/A</v>
        <stp/>
        <stp>VOLUME</stp>
        <stp>.NDXP251128C19880</stp>
        <tr r="V166" s="2"/>
      </tp>
      <tp t="s">
        <v>N/A</v>
        <stp/>
        <stp>VOLUME</stp>
        <stp>.NDXP251231C20180</stp>
        <tr r="X151" s="2"/>
      </tp>
      <tp t="s">
        <v>N/A</v>
        <stp/>
        <stp>VOLUME</stp>
        <stp>.NDXP250930C20080</stp>
        <tr r="R156" s="2"/>
      </tp>
      <tp t="s">
        <v>N/A</v>
        <stp/>
        <stp>VOLUME</stp>
        <stp>.NDXP250829C19980</stp>
        <tr r="P161" s="2"/>
      </tp>
      <tp t="e">
        <v>#N/A</v>
        <stp/>
        <stp>VOLUME</stp>
        <stp>.NDXP250606C19680</stp>
        <tr r="J176" s="2"/>
      </tp>
      <tp>
        <v>193</v>
        <stp/>
        <stp>VOLUME</stp>
        <stp>.NDXP250502C20280</stp>
        <tr r="BA145" s="1"/>
        <tr r="BA145" s="1"/>
      </tp>
      <tp t="s">
        <v>N/A</v>
        <stp/>
        <stp>VOLUME</stp>
        <stp>.NDXP250530C20080</stp>
        <tr r="I156" s="2"/>
      </tp>
      <tp t="s">
        <v>N/A</v>
        <stp/>
        <stp>VOLUME</stp>
        <stp>.NDXP250731C20180</stp>
        <tr r="N151" s="2"/>
      </tp>
      <tp t="e">
        <v>#N/A</v>
        <stp/>
        <stp>VOLUME</stp>
        <stp>.NDXP250505C19580</stp>
        <tr r="B181" s="2"/>
      </tp>
      <tp t="s">
        <v>N/A</v>
        <stp/>
        <stp>VOLUME</stp>
        <stp>.NDXP250506C19680</stp>
        <tr r="C176" s="2"/>
      </tp>
      <tp t="e">
        <v>#N/A</v>
        <stp/>
        <stp>VOLUME</stp>
        <stp>.NDXP250507C19780</stp>
        <tr r="D171" s="2"/>
      </tp>
      <tp t="e">
        <v>#N/A</v>
        <stp/>
        <stp>VOLUME</stp>
        <stp>.NDXP250508C19880</stp>
        <tr r="E166" s="2"/>
      </tp>
      <tp t="s">
        <v>N/A</v>
        <stp/>
        <stp>VOLUME</stp>
        <stp>.NDXP250509C19980</stp>
        <tr r="BC160" s="1"/>
      </tp>
      <tp t="s">
        <v>N/A</v>
        <stp/>
        <stp>VOLUME</stp>
        <stp>.NDXP250630C20080</stp>
        <tr r="L156" s="2"/>
      </tp>
      <tp t="e">
        <v>#N/A</v>
        <stp/>
        <stp>VOLUME</stp>
        <stp>.NDXP251031C20160</stp>
        <tr r="T152" s="2"/>
      </tp>
      <tp t="e">
        <v>#N/A</v>
        <stp/>
        <stp>VOLUME</stp>
        <stp>.NDXP251128C19860</stp>
        <tr r="V167" s="2"/>
      </tp>
      <tp t="s">
        <v>N/A</v>
        <stp/>
        <stp>VOLUME</stp>
        <stp>.NDXP251231C20160</stp>
        <tr r="X152" s="2"/>
      </tp>
      <tp t="s">
        <v>N/A</v>
        <stp/>
        <stp>VOLUME</stp>
        <stp>.NDXP250930C20060</stp>
        <tr r="R157" s="2"/>
      </tp>
      <tp t="s">
        <v>N/A</v>
        <stp/>
        <stp>VOLUME</stp>
        <stp>.NDXP250829C19960</stp>
        <tr r="P162" s="2"/>
      </tp>
      <tp t="e">
        <v>#N/A</v>
        <stp/>
        <stp>VOLUME</stp>
        <stp>.NDXP250606C19660</stp>
        <tr r="J177" s="2"/>
      </tp>
      <tp>
        <v>212</v>
        <stp/>
        <stp>VOLUME</stp>
        <stp>.NDXP250502C20260</stp>
        <tr r="BA146" s="1"/>
        <tr r="BA146" s="1"/>
      </tp>
      <tp t="s">
        <v>N/A</v>
        <stp/>
        <stp>VOLUME</stp>
        <stp>.NDXP250530C20060</stp>
        <tr r="I157" s="2"/>
      </tp>
      <tp t="s">
        <v>N/A</v>
        <stp/>
        <stp>VOLUME</stp>
        <stp>.NDXP250731C20160</stp>
        <tr r="N152" s="2"/>
      </tp>
      <tp t="e">
        <v>#N/A</v>
        <stp/>
        <stp>VOLUME</stp>
        <stp>.NDXP250505C19560</stp>
        <tr r="B182" s="2"/>
      </tp>
      <tp t="s">
        <v>N/A</v>
        <stp/>
        <stp>VOLUME</stp>
        <stp>.NDXP250506C19660</stp>
        <tr r="C177" s="2"/>
      </tp>
      <tp t="e">
        <v>#N/A</v>
        <stp/>
        <stp>VOLUME</stp>
        <stp>.NDXP250507C19760</stp>
        <tr r="D172" s="2"/>
      </tp>
      <tp t="e">
        <v>#N/A</v>
        <stp/>
        <stp>VOLUME</stp>
        <stp>.NDXP250508C19860</stp>
        <tr r="E167" s="2"/>
      </tp>
      <tp t="s">
        <v>N/A</v>
        <stp/>
        <stp>VOLUME</stp>
        <stp>.NDXP250509C19960</stp>
        <tr r="BC161" s="1"/>
      </tp>
      <tp t="s">
        <v>N/A</v>
        <stp/>
        <stp>VOLUME</stp>
        <stp>.NDXP250630C20060</stp>
        <tr r="L157" s="2"/>
      </tp>
      <tp t="e">
        <v>#N/A</v>
        <stp/>
        <stp>VOLUME</stp>
        <stp>.NDXP251031C20140</stp>
        <tr r="T153" s="2"/>
      </tp>
      <tp t="e">
        <v>#N/A</v>
        <stp/>
        <stp>VOLUME</stp>
        <stp>.NDXP251128C19840</stp>
        <tr r="V168" s="2"/>
      </tp>
      <tp t="s">
        <v>N/A</v>
        <stp/>
        <stp>VOLUME</stp>
        <stp>.NDXP251231C20140</stp>
        <tr r="X153" s="2"/>
      </tp>
      <tp t="s">
        <v>N/A</v>
        <stp/>
        <stp>VOLUME</stp>
        <stp>.NDXP250930C20040</stp>
        <tr r="R158" s="2"/>
      </tp>
      <tp t="s">
        <v>N/A</v>
        <stp/>
        <stp>VOLUME</stp>
        <stp>.NDXP250829C19940</stp>
        <tr r="P163" s="2"/>
      </tp>
      <tp t="e">
        <v>#N/A</v>
        <stp/>
        <stp>VOLUME</stp>
        <stp>.NDXP250606C19640</stp>
        <tr r="J178" s="2"/>
      </tp>
      <tp>
        <v>242</v>
        <stp/>
        <stp>VOLUME</stp>
        <stp>.NDXP250502C20240</stp>
        <tr r="BA147" s="1"/>
        <tr r="BA147" s="1"/>
      </tp>
      <tp t="s">
        <v>N/A</v>
        <stp/>
        <stp>VOLUME</stp>
        <stp>.NDXP250530C20040</stp>
        <tr r="I158" s="2"/>
      </tp>
      <tp t="s">
        <v>N/A</v>
        <stp/>
        <stp>VOLUME</stp>
        <stp>.NDXP250731C20140</stp>
        <tr r="N153" s="2"/>
      </tp>
      <tp t="e">
        <v>#N/A</v>
        <stp/>
        <stp>VOLUME</stp>
        <stp>.NDXP250505C19540</stp>
        <tr r="B183" s="2"/>
      </tp>
      <tp t="s">
        <v>N/A</v>
        <stp/>
        <stp>VOLUME</stp>
        <stp>.NDXP250506C19640</stp>
        <tr r="C178" s="2"/>
      </tp>
      <tp t="e">
        <v>#N/A</v>
        <stp/>
        <stp>VOLUME</stp>
        <stp>.NDXP250507C19740</stp>
        <tr r="D173" s="2"/>
      </tp>
      <tp t="e">
        <v>#N/A</v>
        <stp/>
        <stp>VOLUME</stp>
        <stp>.NDXP250508C19840</stp>
        <tr r="E168" s="2"/>
      </tp>
      <tp t="s">
        <v>N/A</v>
        <stp/>
        <stp>VOLUME</stp>
        <stp>.NDXP250509C19940</stp>
        <tr r="BC162" s="1"/>
      </tp>
      <tp t="s">
        <v>N/A</v>
        <stp/>
        <stp>VOLUME</stp>
        <stp>.NDXP250630C20040</stp>
        <tr r="L158" s="2"/>
      </tp>
      <tp t="e">
        <v>#N/A</v>
        <stp/>
        <stp>VOLUME</stp>
        <stp>.NDXP251031C20120</stp>
        <tr r="T154" s="2"/>
      </tp>
      <tp t="e">
        <v>#N/A</v>
        <stp/>
        <stp>VOLUME</stp>
        <stp>.NDXP251128C19820</stp>
        <tr r="V169" s="2"/>
      </tp>
      <tp t="s">
        <v>N/A</v>
        <stp/>
        <stp>VOLUME</stp>
        <stp>.NDXP251231C20120</stp>
        <tr r="X154" s="2"/>
      </tp>
      <tp t="s">
        <v>N/A</v>
        <stp/>
        <stp>VOLUME</stp>
        <stp>.NDXP250930C20020</stp>
        <tr r="R159" s="2"/>
      </tp>
      <tp t="s">
        <v>N/A</v>
        <stp/>
        <stp>VOLUME</stp>
        <stp>.NDXP250829C19920</stp>
        <tr r="P164" s="2"/>
      </tp>
      <tp t="e">
        <v>#N/A</v>
        <stp/>
        <stp>VOLUME</stp>
        <stp>.NDXP250606C19620</stp>
        <tr r="J179" s="2"/>
      </tp>
      <tp>
        <v>351</v>
        <stp/>
        <stp>VOLUME</stp>
        <stp>.NDXP250502C20220</stp>
        <tr r="BA148" s="1"/>
        <tr r="BA148" s="1"/>
      </tp>
      <tp t="s">
        <v>N/A</v>
        <stp/>
        <stp>VOLUME</stp>
        <stp>.NDXP250530C20020</stp>
        <tr r="I159" s="2"/>
      </tp>
      <tp t="s">
        <v>N/A</v>
        <stp/>
        <stp>VOLUME</stp>
        <stp>.NDXP250731C20120</stp>
        <tr r="N154" s="2"/>
      </tp>
      <tp t="e">
        <v>#N/A</v>
        <stp/>
        <stp>VOLUME</stp>
        <stp>.NDXP250505C19520</stp>
        <tr r="B184" s="2"/>
      </tp>
      <tp t="s">
        <v>N/A</v>
        <stp/>
        <stp>VOLUME</stp>
        <stp>.NDXP250506C19620</stp>
        <tr r="C179" s="2"/>
      </tp>
      <tp t="e">
        <v>#N/A</v>
        <stp/>
        <stp>VOLUME</stp>
        <stp>.NDXP250507C19720</stp>
        <tr r="D174" s="2"/>
      </tp>
      <tp t="e">
        <v>#N/A</v>
        <stp/>
        <stp>VOLUME</stp>
        <stp>.NDXP250508C19820</stp>
        <tr r="E169" s="2"/>
      </tp>
      <tp t="s">
        <v>N/A</v>
        <stp/>
        <stp>VOLUME</stp>
        <stp>.NDXP250509C19920</stp>
        <tr r="BC163" s="1"/>
      </tp>
      <tp t="s">
        <v>N/A</v>
        <stp/>
        <stp>VOLUME</stp>
        <stp>.NDXP250630C20020</stp>
        <tr r="L159" s="2"/>
      </tp>
      <tp t="e">
        <v>#N/A</v>
        <stp/>
        <stp>VOLUME</stp>
        <stp>.NDXP251031C20100</stp>
        <tr r="T155" s="2"/>
      </tp>
      <tp t="e">
        <v>#N/A</v>
        <stp/>
        <stp>VOLUME</stp>
        <stp>.NDXP251128C19800</stp>
        <tr r="V170" s="2"/>
      </tp>
      <tp t="s">
        <v>N/A</v>
        <stp/>
        <stp>VOLUME</stp>
        <stp>.NDXP251231C20100</stp>
        <tr r="X155" s="2"/>
      </tp>
      <tp>
        <v>2</v>
        <stp/>
        <stp>VOLUME</stp>
        <stp>.NDXP250930C20000</stp>
        <tr r="R160" s="2"/>
        <tr r="R160" s="2"/>
      </tp>
      <tp t="s">
        <v>N/A</v>
        <stp/>
        <stp>VOLUME</stp>
        <stp>.NDXP250829C19900</stp>
        <tr r="P165" s="2"/>
      </tp>
      <tp t="e">
        <v>#N/A</v>
        <stp/>
        <stp>VOLUME</stp>
        <stp>.NDXP250606C19600</stp>
        <tr r="J180" s="2"/>
      </tp>
      <tp>
        <v>1944</v>
        <stp/>
        <stp>VOLUME</stp>
        <stp>.NDXP250502C20200</stp>
        <tr r="BA149" s="1"/>
        <tr r="BA149" s="1"/>
      </tp>
      <tp>
        <v>1</v>
        <stp/>
        <stp>VOLUME</stp>
        <stp>.NDXP250530C20000</stp>
        <tr r="I160" s="2"/>
        <tr r="I160" s="2"/>
      </tp>
      <tp t="s">
        <v>N/A</v>
        <stp/>
        <stp>VOLUME</stp>
        <stp>.NDXP250731C20100</stp>
        <tr r="N155" s="2"/>
      </tp>
      <tp t="e">
        <v>#N/A</v>
        <stp/>
        <stp>VOLUME</stp>
        <stp>.NDXP250505C19500</stp>
        <tr r="B185" s="2"/>
      </tp>
      <tp t="e">
        <v>#N/A</v>
        <stp/>
        <stp>VOLUME</stp>
        <stp>.NDXP250506C19600</stp>
        <tr r="C180" s="2"/>
      </tp>
      <tp t="e">
        <v>#N/A</v>
        <stp/>
        <stp>VOLUME</stp>
        <stp>.NDXP250507C19700</stp>
        <tr r="D175" s="2"/>
      </tp>
      <tp t="e">
        <v>#N/A</v>
        <stp/>
        <stp>VOLUME</stp>
        <stp>.NDXP250508C19800</stp>
        <tr r="E170" s="2"/>
      </tp>
      <tp>
        <v>6</v>
        <stp/>
        <stp>VOLUME</stp>
        <stp>.NDXP250509C19900</stp>
        <tr r="BC164" s="1"/>
        <tr r="BC164" s="1"/>
      </tp>
      <tp>
        <v>12</v>
        <stp/>
        <stp>VOLUME</stp>
        <stp>.NDXP250630C20000</stp>
        <tr r="L160" s="2"/>
        <tr r="L160" s="2"/>
      </tp>
      <tp t="s">
        <v>N/A</v>
        <stp/>
        <stp>VOLUME</stp>
        <stp>.NDXP250930P20080</stp>
        <tr r="R156" s="2"/>
      </tp>
      <tp t="s">
        <v>N/A</v>
        <stp/>
        <stp>VOLUME</stp>
        <stp>.NDXP250829P19980</stp>
        <tr r="P161" s="2"/>
      </tp>
      <tp t="e">
        <v>#N/A</v>
        <stp/>
        <stp>VOLUME</stp>
        <stp>.NDXP250606P19680</stp>
        <tr r="J176" s="2"/>
      </tp>
      <tp>
        <v>1</v>
        <stp/>
        <stp>VOLUME</stp>
        <stp>.NDXP250502P20280</stp>
        <tr r="BB145" s="1"/>
        <tr r="BB145" s="1"/>
      </tp>
      <tp t="s">
        <v>N/A</v>
        <stp/>
        <stp>VOLUME</stp>
        <stp>.NDXP250530P20080</stp>
        <tr r="I156" s="2"/>
      </tp>
      <tp t="s">
        <v>N/A</v>
        <stp/>
        <stp>VOLUME</stp>
        <stp>.NDXP250731P20180</stp>
        <tr r="N151" s="2"/>
      </tp>
      <tp t="e">
        <v>#N/A</v>
        <stp/>
        <stp>VOLUME</stp>
        <stp>.NDXP250505P19580</stp>
        <tr r="B181" s="2"/>
      </tp>
      <tp>
        <v>3</v>
        <stp/>
        <stp>VOLUME</stp>
        <stp>.NDXP250506P19680</stp>
        <tr r="C176" s="2"/>
        <tr r="C176" s="2"/>
      </tp>
      <tp t="e">
        <v>#N/A</v>
        <stp/>
        <stp>VOLUME</stp>
        <stp>.NDXP250507P19780</stp>
        <tr r="D171" s="2"/>
      </tp>
      <tp t="e">
        <v>#N/A</v>
        <stp/>
        <stp>VOLUME</stp>
        <stp>.NDXP250508P19880</stp>
        <tr r="E166" s="2"/>
      </tp>
      <tp t="s">
        <v>N/A</v>
        <stp/>
        <stp>VOLUME</stp>
        <stp>.NDXP250509P19980</stp>
        <tr r="BD160" s="1"/>
      </tp>
      <tp t="s">
        <v>N/A</v>
        <stp/>
        <stp>VOLUME</stp>
        <stp>.NDXP250630P20080</stp>
        <tr r="L156" s="2"/>
      </tp>
      <tp t="e">
        <v>#N/A</v>
        <stp/>
        <stp>VOLUME</stp>
        <stp>.NDXP251031P20180</stp>
        <tr r="T151" s="2"/>
      </tp>
      <tp t="e">
        <v>#N/A</v>
        <stp/>
        <stp>VOLUME</stp>
        <stp>.NDXP251128P19880</stp>
        <tr r="V166" s="2"/>
      </tp>
      <tp t="s">
        <v>N/A</v>
        <stp/>
        <stp>VOLUME</stp>
        <stp>.NDXP251231P20180</stp>
        <tr r="X151" s="2"/>
      </tp>
      <tp t="s">
        <v>N/A</v>
        <stp/>
        <stp>VOLUME</stp>
        <stp>.NDXP250930P20040</stp>
        <tr r="R158" s="2"/>
      </tp>
      <tp t="s">
        <v>N/A</v>
        <stp/>
        <stp>VOLUME</stp>
        <stp>.NDXP250829P19940</stp>
        <tr r="P163" s="2"/>
      </tp>
      <tp t="e">
        <v>#N/A</v>
        <stp/>
        <stp>VOLUME</stp>
        <stp>.NDXP250606P19640</stp>
        <tr r="J178" s="2"/>
      </tp>
      <tp>
        <v>6</v>
        <stp/>
        <stp>VOLUME</stp>
        <stp>.NDXP250502P20240</stp>
        <tr r="BB147" s="1"/>
        <tr r="BB147" s="1"/>
      </tp>
      <tp t="s">
        <v>N/A</v>
        <stp/>
        <stp>VOLUME</stp>
        <stp>.NDXP250530P20040</stp>
        <tr r="I158" s="2"/>
      </tp>
      <tp t="s">
        <v>N/A</v>
        <stp/>
        <stp>VOLUME</stp>
        <stp>.NDXP250731P20140</stp>
        <tr r="N153" s="2"/>
      </tp>
      <tp t="e">
        <v>#N/A</v>
        <stp/>
        <stp>VOLUME</stp>
        <stp>.NDXP250505P19540</stp>
        <tr r="B183" s="2"/>
      </tp>
      <tp t="s">
        <v>N/A</v>
        <stp/>
        <stp>VOLUME</stp>
        <stp>.NDXP250506P19640</stp>
        <tr r="C178" s="2"/>
      </tp>
      <tp t="e">
        <v>#N/A</v>
        <stp/>
        <stp>VOLUME</stp>
        <stp>.NDXP250507P19740</stp>
        <tr r="D173" s="2"/>
      </tp>
      <tp t="e">
        <v>#N/A</v>
        <stp/>
        <stp>VOLUME</stp>
        <stp>.NDXP250508P19840</stp>
        <tr r="E168" s="2"/>
      </tp>
      <tp t="s">
        <v>N/A</v>
        <stp/>
        <stp>VOLUME</stp>
        <stp>.NDXP250509P19940</stp>
        <tr r="BD162" s="1"/>
      </tp>
      <tp t="s">
        <v>N/A</v>
        <stp/>
        <stp>VOLUME</stp>
        <stp>.NDXP250630P20040</stp>
        <tr r="L158" s="2"/>
      </tp>
      <tp t="e">
        <v>#N/A</v>
        <stp/>
        <stp>VOLUME</stp>
        <stp>.NDXP251031P20140</stp>
        <tr r="T153" s="2"/>
      </tp>
      <tp t="e">
        <v>#N/A</v>
        <stp/>
        <stp>VOLUME</stp>
        <stp>.NDXP251128P19840</stp>
        <tr r="V168" s="2"/>
      </tp>
      <tp t="s">
        <v>N/A</v>
        <stp/>
        <stp>VOLUME</stp>
        <stp>.NDXP251231P20140</stp>
        <tr r="X153" s="2"/>
      </tp>
      <tp t="s">
        <v>N/A</v>
        <stp/>
        <stp>VOLUME</stp>
        <stp>.NDXP250930P20060</stp>
        <tr r="R157" s="2"/>
      </tp>
      <tp t="s">
        <v>N/A</v>
        <stp/>
        <stp>VOLUME</stp>
        <stp>.NDXP250829P19960</stp>
        <tr r="P162" s="2"/>
      </tp>
      <tp t="e">
        <v>#N/A</v>
        <stp/>
        <stp>VOLUME</stp>
        <stp>.NDXP250606P19660</stp>
        <tr r="J177" s="2"/>
      </tp>
      <tp>
        <v>8</v>
        <stp/>
        <stp>VOLUME</stp>
        <stp>.NDXP250502P20260</stp>
        <tr r="BB146" s="1"/>
        <tr r="BB146" s="1"/>
      </tp>
      <tp t="s">
        <v>N/A</v>
        <stp/>
        <stp>VOLUME</stp>
        <stp>.NDXP250530P20060</stp>
        <tr r="I157" s="2"/>
      </tp>
      <tp t="s">
        <v>N/A</v>
        <stp/>
        <stp>VOLUME</stp>
        <stp>.NDXP250731P20160</stp>
        <tr r="N152" s="2"/>
      </tp>
      <tp t="e">
        <v>#N/A</v>
        <stp/>
        <stp>VOLUME</stp>
        <stp>.NDXP250505P19560</stp>
        <tr r="B182" s="2"/>
      </tp>
      <tp t="s">
        <v>N/A</v>
        <stp/>
        <stp>VOLUME</stp>
        <stp>.NDXP250506P19660</stp>
        <tr r="C177" s="2"/>
      </tp>
      <tp t="e">
        <v>#N/A</v>
        <stp/>
        <stp>VOLUME</stp>
        <stp>.NDXP250507P19760</stp>
        <tr r="D172" s="2"/>
      </tp>
      <tp t="e">
        <v>#N/A</v>
        <stp/>
        <stp>VOLUME</stp>
        <stp>.NDXP250508P19860</stp>
        <tr r="E167" s="2"/>
      </tp>
      <tp t="s">
        <v>N/A</v>
        <stp/>
        <stp>VOLUME</stp>
        <stp>.NDXP250509P19960</stp>
        <tr r="BD161" s="1"/>
      </tp>
      <tp t="s">
        <v>N/A</v>
        <stp/>
        <stp>VOLUME</stp>
        <stp>.NDXP250630P20060</stp>
        <tr r="L157" s="2"/>
      </tp>
      <tp t="e">
        <v>#N/A</v>
        <stp/>
        <stp>VOLUME</stp>
        <stp>.NDXP251031P20160</stp>
        <tr r="T152" s="2"/>
      </tp>
      <tp t="e">
        <v>#N/A</v>
        <stp/>
        <stp>VOLUME</stp>
        <stp>.NDXP251128P19860</stp>
        <tr r="V167" s="2"/>
      </tp>
      <tp t="s">
        <v>N/A</v>
        <stp/>
        <stp>VOLUME</stp>
        <stp>.NDXP251231P20160</stp>
        <tr r="X152" s="2"/>
      </tp>
      <tp t="s">
        <v>N/A</v>
        <stp/>
        <stp>VOLUME</stp>
        <stp>.NDXP250930P20000</stp>
        <tr r="R160" s="2"/>
      </tp>
      <tp t="s">
        <v>N/A</v>
        <stp/>
        <stp>VOLUME</stp>
        <stp>.NDXP250829P19900</stp>
        <tr r="P165" s="2"/>
      </tp>
      <tp t="e">
        <v>#N/A</v>
        <stp/>
        <stp>VOLUME</stp>
        <stp>.NDXP250606P19600</stp>
        <tr r="J180" s="2"/>
      </tp>
      <tp>
        <v>42</v>
        <stp/>
        <stp>VOLUME</stp>
        <stp>.NDXP250502P20200</stp>
        <tr r="BB149" s="1"/>
        <tr r="BB149" s="1"/>
      </tp>
      <tp>
        <v>1</v>
        <stp/>
        <stp>VOLUME</stp>
        <stp>.NDXP250530P20000</stp>
        <tr r="I160" s="2"/>
        <tr r="I160" s="2"/>
      </tp>
      <tp t="s">
        <v>N/A</v>
        <stp/>
        <stp>VOLUME</stp>
        <stp>.NDXP250731P20100</stp>
        <tr r="N155" s="2"/>
      </tp>
      <tp t="e">
        <v>#N/A</v>
        <stp/>
        <stp>VOLUME</stp>
        <stp>.NDXP250505P19500</stp>
        <tr r="B185" s="2"/>
      </tp>
      <tp t="e">
        <v>#N/A</v>
        <stp/>
        <stp>VOLUME</stp>
        <stp>.NDXP250506P19600</stp>
        <tr r="C180" s="2"/>
      </tp>
      <tp t="e">
        <v>#N/A</v>
        <stp/>
        <stp>VOLUME</stp>
        <stp>.NDXP250507P19700</stp>
        <tr r="D175" s="2"/>
      </tp>
      <tp t="e">
        <v>#N/A</v>
        <stp/>
        <stp>VOLUME</stp>
        <stp>.NDXP250508P19800</stp>
        <tr r="E170" s="2"/>
      </tp>
      <tp>
        <v>1</v>
        <stp/>
        <stp>VOLUME</stp>
        <stp>.NDXP250509P19900</stp>
        <tr r="BD164" s="1"/>
        <tr r="BD164" s="1"/>
      </tp>
      <tp t="s">
        <v>N/A</v>
        <stp/>
        <stp>VOLUME</stp>
        <stp>.NDXP250630P20000</stp>
        <tr r="L160" s="2"/>
      </tp>
      <tp t="e">
        <v>#N/A</v>
        <stp/>
        <stp>VOLUME</stp>
        <stp>.NDXP251031P20100</stp>
        <tr r="T155" s="2"/>
      </tp>
      <tp t="e">
        <v>#N/A</v>
        <stp/>
        <stp>VOLUME</stp>
        <stp>.NDXP251128P19800</stp>
        <tr r="V170" s="2"/>
      </tp>
      <tp t="s">
        <v>N/A</v>
        <stp/>
        <stp>VOLUME</stp>
        <stp>.NDXP251231P20100</stp>
        <tr r="X155" s="2"/>
      </tp>
      <tp t="s">
        <v>N/A</v>
        <stp/>
        <stp>VOLUME</stp>
        <stp>.NDXP250930P20020</stp>
        <tr r="R159" s="2"/>
      </tp>
      <tp t="s">
        <v>N/A</v>
        <stp/>
        <stp>VOLUME</stp>
        <stp>.NDXP250829P19920</stp>
        <tr r="P164" s="2"/>
      </tp>
      <tp t="e">
        <v>#N/A</v>
        <stp/>
        <stp>VOLUME</stp>
        <stp>.NDXP250606P19620</stp>
        <tr r="J179" s="2"/>
      </tp>
      <tp>
        <v>6</v>
        <stp/>
        <stp>VOLUME</stp>
        <stp>.NDXP250502P20220</stp>
        <tr r="BB148" s="1"/>
        <tr r="BB148" s="1"/>
      </tp>
      <tp t="s">
        <v>N/A</v>
        <stp/>
        <stp>VOLUME</stp>
        <stp>.NDXP250530P20020</stp>
        <tr r="I159" s="2"/>
      </tp>
      <tp t="s">
        <v>N/A</v>
        <stp/>
        <stp>VOLUME</stp>
        <stp>.NDXP250731P20120</stp>
        <tr r="N154" s="2"/>
      </tp>
      <tp t="e">
        <v>#N/A</v>
        <stp/>
        <stp>VOLUME</stp>
        <stp>.NDXP250505P19520</stp>
        <tr r="B184" s="2"/>
      </tp>
      <tp t="s">
        <v>N/A</v>
        <stp/>
        <stp>VOLUME</stp>
        <stp>.NDXP250506P19620</stp>
        <tr r="C179" s="2"/>
      </tp>
      <tp t="e">
        <v>#N/A</v>
        <stp/>
        <stp>VOLUME</stp>
        <stp>.NDXP250507P19720</stp>
        <tr r="D174" s="2"/>
      </tp>
      <tp t="e">
        <v>#N/A</v>
        <stp/>
        <stp>VOLUME</stp>
        <stp>.NDXP250508P19820</stp>
        <tr r="E169" s="2"/>
      </tp>
      <tp t="s">
        <v>N/A</v>
        <stp/>
        <stp>VOLUME</stp>
        <stp>.NDXP250509P19920</stp>
        <tr r="BD163" s="1"/>
      </tp>
      <tp t="s">
        <v>N/A</v>
        <stp/>
        <stp>VOLUME</stp>
        <stp>.NDXP250630P20020</stp>
        <tr r="L159" s="2"/>
      </tp>
      <tp t="e">
        <v>#N/A</v>
        <stp/>
        <stp>VOLUME</stp>
        <stp>.NDXP251031P20120</stp>
        <tr r="T154" s="2"/>
      </tp>
      <tp t="e">
        <v>#N/A</v>
        <stp/>
        <stp>VOLUME</stp>
        <stp>.NDXP251128P19820</stp>
        <tr r="V169" s="2"/>
      </tp>
      <tp t="s">
        <v>N/A</v>
        <stp/>
        <stp>VOLUME</stp>
        <stp>.NDXP251231P20120</stp>
        <tr r="X154" s="2"/>
      </tp>
      <tp>
        <v>11</v>
        <stp/>
        <stp>OPEN_INT</stp>
        <stp>.NDXP250509C20100</stp>
        <tr r="AU154" s="1"/>
        <tr r="AU154" s="1"/>
      </tp>
      <tp t="s">
        <v>N/A</v>
        <stp/>
        <stp>OPEN_INT</stp>
        <stp>.NDXP250509C20120</stp>
        <tr r="AU153" s="1"/>
      </tp>
      <tp t="s">
        <v>N/A</v>
        <stp/>
        <stp>OPEN_INT</stp>
        <stp>.NDXP250509C20140</stp>
        <tr r="AU152" s="1"/>
      </tp>
      <tp t="s">
        <v>N/A</v>
        <stp/>
        <stp>OPEN_INT</stp>
        <stp>.NDXP250509C20160</stp>
        <tr r="AU151" s="1"/>
      </tp>
      <tp t="s">
        <v>N/A</v>
        <stp/>
        <stp>OPEN_INT</stp>
        <stp>.NDXP250509C20180</stp>
        <tr r="AU150" s="1"/>
      </tp>
      <tp t="s">
        <v>N/A</v>
        <stp/>
        <stp>OPEN_INT</stp>
        <stp>.NDXP250509P20120</stp>
        <tr r="AV153" s="1"/>
      </tp>
      <tp>
        <v>2</v>
        <stp/>
        <stp>OPEN_INT</stp>
        <stp>.NDXP250509P20100</stp>
        <tr r="AV154" s="1"/>
        <tr r="AV154" s="1"/>
      </tp>
      <tp t="s">
        <v>N/A</v>
        <stp/>
        <stp>OPEN_INT</stp>
        <stp>.NDXP250509P20160</stp>
        <tr r="AV151" s="1"/>
      </tp>
      <tp t="s">
        <v>N/A</v>
        <stp/>
        <stp>OPEN_INT</stp>
        <stp>.NDXP250509P20140</stp>
        <tr r="AV152" s="1"/>
      </tp>
      <tp t="s">
        <v>N/A</v>
        <stp/>
        <stp>OPEN_INT</stp>
        <stp>.NDXP250509P20180</stp>
        <tr r="AV150" s="1"/>
      </tp>
      <tp t="e">
        <v>#N/A</v>
        <stp/>
        <stp>DELTA</stp>
        <stp>.NDXP250502P20080</stp>
        <tr r="CE155" s="1"/>
        <tr r="CE155" s="1"/>
      </tp>
      <tp t="e">
        <v>#N/A</v>
        <stp/>
        <stp>DELTA</stp>
        <stp>.NDXP250502P20020</stp>
        <tr r="CE158" s="1"/>
        <tr r="CE158" s="1"/>
      </tp>
      <tp t="e">
        <v>#N/A</v>
        <stp/>
        <stp>DELTA</stp>
        <stp>.NDXP250502P20000</stp>
        <tr r="CE159" s="1"/>
        <tr r="CE159" s="1"/>
      </tp>
      <tp t="e">
        <v>#N/A</v>
        <stp/>
        <stp>DELTA</stp>
        <stp>.NDXP250502P20060</stp>
        <tr r="CE156" s="1"/>
        <tr r="CE156" s="1"/>
      </tp>
      <tp t="e">
        <v>#N/A</v>
        <stp/>
        <stp>DELTA</stp>
        <stp>.NDXP250502P20040</stp>
        <tr r="CE157" s="1"/>
        <tr r="CE157" s="1"/>
      </tp>
      <tp t="e">
        <v>#N/A</v>
        <stp/>
        <stp>DELTA</stp>
        <stp>.NDXP250502C20080</stp>
        <tr r="CD155" s="1"/>
        <tr r="CD155" s="1"/>
      </tp>
      <tp t="e">
        <v>#N/A</v>
        <stp/>
        <stp>DELTA</stp>
        <stp>.NDXP250502C20000</stp>
        <tr r="CD159" s="1"/>
        <tr r="CD159" s="1"/>
      </tp>
      <tp t="e">
        <v>#N/A</v>
        <stp/>
        <stp>DELTA</stp>
        <stp>.NDXP250502C20020</stp>
        <tr r="CD158" s="1"/>
        <tr r="CD158" s="1"/>
      </tp>
      <tp t="e">
        <v>#N/A</v>
        <stp/>
        <stp>DELTA</stp>
        <stp>.NDXP250502C20040</stp>
        <tr r="CD157" s="1"/>
        <tr r="CD157" s="1"/>
      </tp>
      <tp t="e">
        <v>#N/A</v>
        <stp/>
        <stp>DELTA</stp>
        <stp>.NDXP250502C20060</stp>
        <tr r="CD156" s="1"/>
        <tr r="CD156" s="1"/>
      </tp>
      <tp t="e">
        <v>#N/A</v>
        <stp/>
        <stp>VOLUME</stp>
        <stp>.NDXP251031C20080</stp>
        <tr r="T156" s="2"/>
      </tp>
      <tp t="e">
        <v>#N/A</v>
        <stp/>
        <stp>VOLUME</stp>
        <stp>.NDXP251128C19980</stp>
        <tr r="V161" s="2"/>
      </tp>
      <tp t="s">
        <v>N/A</v>
        <stp/>
        <stp>VOLUME</stp>
        <stp>.NDXP251231C20080</stp>
        <tr r="X156" s="2"/>
      </tp>
      <tp t="s">
        <v>N/A</v>
        <stp/>
        <stp>VOLUME</stp>
        <stp>.NDXP250930C20180</stp>
        <tr r="R151" s="2"/>
      </tp>
      <tp t="s">
        <v>N/A</v>
        <stp/>
        <stp>VOLUME</stp>
        <stp>.NDXP250829C19880</stp>
        <tr r="P166" s="2"/>
      </tp>
      <tp t="e">
        <v>#N/A</v>
        <stp/>
        <stp>VOLUME</stp>
        <stp>.NDXP250606C19780</stp>
        <tr r="J171" s="2"/>
      </tp>
      <tp>
        <v>69</v>
        <stp/>
        <stp>VOLUME</stp>
        <stp>.NDXP250502C20380</stp>
        <tr r="BA140" s="1"/>
        <tr r="BA140" s="1"/>
      </tp>
      <tp t="s">
        <v>N/A</v>
        <stp/>
        <stp>VOLUME</stp>
        <stp>.NDXP250530C20180</stp>
        <tr r="I151" s="2"/>
      </tp>
      <tp t="s">
        <v>N/A</v>
        <stp/>
        <stp>VOLUME</stp>
        <stp>.NDXP250731C20080</stp>
        <tr r="N156" s="2"/>
      </tp>
      <tp t="e">
        <v>#N/A</v>
        <stp/>
        <stp>VOLUME</stp>
        <stp>.NDXP250505C19480</stp>
        <tr r="B186" s="2"/>
      </tp>
      <tp t="s">
        <v>N/A</v>
        <stp/>
        <stp>VOLUME</stp>
        <stp>.NDXP250506C19780</stp>
        <tr r="C171" s="2"/>
      </tp>
      <tp t="e">
        <v>#N/A</v>
        <stp/>
        <stp>VOLUME</stp>
        <stp>.NDXP250507C19680</stp>
        <tr r="D176" s="2"/>
      </tp>
      <tp t="e">
        <v>#N/A</v>
        <stp/>
        <stp>VOLUME</stp>
        <stp>.NDXP250508C19980</stp>
        <tr r="E161" s="2"/>
      </tp>
      <tp t="s">
        <v>N/A</v>
        <stp/>
        <stp>VOLUME</stp>
        <stp>.NDXP250509C19880</stp>
        <tr r="BC165" s="1"/>
      </tp>
      <tp t="s">
        <v>N/A</v>
        <stp/>
        <stp>VOLUME</stp>
        <stp>.NDXP250630C20180</stp>
        <tr r="L151" s="2"/>
      </tp>
      <tp t="e">
        <v>#N/A</v>
        <stp/>
        <stp>VOLUME</stp>
        <stp>.NDXP251031C20060</stp>
        <tr r="T157" s="2"/>
      </tp>
      <tp t="e">
        <v>#N/A</v>
        <stp/>
        <stp>VOLUME</stp>
        <stp>.NDXP251128C19960</stp>
        <tr r="V162" s="2"/>
      </tp>
      <tp t="s">
        <v>N/A</v>
        <stp/>
        <stp>VOLUME</stp>
        <stp>.NDXP251231C20060</stp>
        <tr r="X157" s="2"/>
      </tp>
      <tp t="s">
        <v>N/A</v>
        <stp/>
        <stp>VOLUME</stp>
        <stp>.NDXP250930C20160</stp>
        <tr r="R152" s="2"/>
      </tp>
      <tp t="s">
        <v>N/A</v>
        <stp/>
        <stp>VOLUME</stp>
        <stp>.NDXP250829C19860</stp>
        <tr r="P167" s="2"/>
      </tp>
      <tp t="e">
        <v>#N/A</v>
        <stp/>
        <stp>VOLUME</stp>
        <stp>.NDXP250606C19760</stp>
        <tr r="J172" s="2"/>
      </tp>
      <tp>
        <v>47</v>
        <stp/>
        <stp>VOLUME</stp>
        <stp>.NDXP250502C20360</stp>
        <tr r="BA141" s="1"/>
        <tr r="BA141" s="1"/>
      </tp>
      <tp t="s">
        <v>N/A</v>
        <stp/>
        <stp>VOLUME</stp>
        <stp>.NDXP250530C20160</stp>
        <tr r="I152" s="2"/>
      </tp>
      <tp t="s">
        <v>N/A</v>
        <stp/>
        <stp>VOLUME</stp>
        <stp>.NDXP250731C20060</stp>
        <tr r="N157" s="2"/>
      </tp>
      <tp t="e">
        <v>#N/A</v>
        <stp/>
        <stp>VOLUME</stp>
        <stp>.NDXP250505C19460</stp>
        <tr r="B187" s="2"/>
      </tp>
      <tp t="s">
        <v>N/A</v>
        <stp/>
        <stp>VOLUME</stp>
        <stp>.NDXP250506C19760</stp>
        <tr r="C172" s="2"/>
      </tp>
      <tp t="e">
        <v>#N/A</v>
        <stp/>
        <stp>VOLUME</stp>
        <stp>.NDXP250507C19660</stp>
        <tr r="D177" s="2"/>
      </tp>
      <tp t="e">
        <v>#N/A</v>
        <stp/>
        <stp>VOLUME</stp>
        <stp>.NDXP250508C19960</stp>
        <tr r="E162" s="2"/>
      </tp>
      <tp t="s">
        <v>N/A</v>
        <stp/>
        <stp>VOLUME</stp>
        <stp>.NDXP250509C19860</stp>
        <tr r="BC166" s="1"/>
      </tp>
      <tp t="s">
        <v>N/A</v>
        <stp/>
        <stp>VOLUME</stp>
        <stp>.NDXP250630C20160</stp>
        <tr r="L152" s="2"/>
      </tp>
      <tp t="e">
        <v>#N/A</v>
        <stp/>
        <stp>VOLUME</stp>
        <stp>.NDXP251031C20040</stp>
        <tr r="T158" s="2"/>
      </tp>
      <tp t="e">
        <v>#N/A</v>
        <stp/>
        <stp>VOLUME</stp>
        <stp>.NDXP251128C19940</stp>
        <tr r="V163" s="2"/>
      </tp>
      <tp t="s">
        <v>N/A</v>
        <stp/>
        <stp>VOLUME</stp>
        <stp>.NDXP251231C20040</stp>
        <tr r="X158" s="2"/>
      </tp>
      <tp t="s">
        <v>N/A</v>
        <stp/>
        <stp>VOLUME</stp>
        <stp>.NDXP250930C20140</stp>
        <tr r="R153" s="2"/>
      </tp>
      <tp t="s">
        <v>N/A</v>
        <stp/>
        <stp>VOLUME</stp>
        <stp>.NDXP250829C19840</stp>
        <tr r="P168" s="2"/>
      </tp>
      <tp t="e">
        <v>#N/A</v>
        <stp/>
        <stp>VOLUME</stp>
        <stp>.NDXP250606C19740</stp>
        <tr r="J173" s="2"/>
      </tp>
      <tp>
        <v>108</v>
        <stp/>
        <stp>VOLUME</stp>
        <stp>.NDXP250502C20340</stp>
        <tr r="BA142" s="1"/>
        <tr r="BA142" s="1"/>
      </tp>
      <tp>
        <v>4</v>
        <stp/>
        <stp>VOLUME</stp>
        <stp>.NDXP250505C20440</stp>
        <tr r="B138" s="2"/>
        <tr r="B138" s="2"/>
      </tp>
      <tp t="s">
        <v>N/A</v>
        <stp/>
        <stp>VOLUME</stp>
        <stp>.NDXP250530C20140</stp>
        <tr r="I153" s="2"/>
      </tp>
      <tp t="s">
        <v>N/A</v>
        <stp/>
        <stp>VOLUME</stp>
        <stp>.NDXP250731C20040</stp>
        <tr r="N158" s="2"/>
      </tp>
      <tp t="e">
        <v>#N/A</v>
        <stp/>
        <stp>VOLUME</stp>
        <stp>.NDXP250505C19440</stp>
        <tr r="B188" s="2"/>
      </tp>
      <tp t="s">
        <v>N/A</v>
        <stp/>
        <stp>VOLUME</stp>
        <stp>.NDXP250506C19740</stp>
        <tr r="C173" s="2"/>
      </tp>
      <tp t="e">
        <v>#N/A</v>
        <stp/>
        <stp>VOLUME</stp>
        <stp>.NDXP250507C19640</stp>
        <tr r="D178" s="2"/>
      </tp>
      <tp t="e">
        <v>#N/A</v>
        <stp/>
        <stp>VOLUME</stp>
        <stp>.NDXP250508C19940</stp>
        <tr r="E163" s="2"/>
      </tp>
      <tp t="s">
        <v>N/A</v>
        <stp/>
        <stp>VOLUME</stp>
        <stp>.NDXP250509C19840</stp>
        <tr r="BC167" s="1"/>
      </tp>
      <tp t="s">
        <v>N/A</v>
        <stp/>
        <stp>VOLUME</stp>
        <stp>.NDXP250630C20140</stp>
        <tr r="L153" s="2"/>
      </tp>
      <tp t="e">
        <v>#N/A</v>
        <stp/>
        <stp>VOLUME</stp>
        <stp>.NDXP251031C20020</stp>
        <tr r="T159" s="2"/>
      </tp>
      <tp t="e">
        <v>#N/A</v>
        <stp/>
        <stp>VOLUME</stp>
        <stp>.NDXP251128C19920</stp>
        <tr r="V164" s="2"/>
      </tp>
      <tp t="s">
        <v>N/A</v>
        <stp/>
        <stp>VOLUME</stp>
        <stp>.NDXP251231C20020</stp>
        <tr r="X159" s="2"/>
      </tp>
      <tp t="s">
        <v>N/A</v>
        <stp/>
        <stp>VOLUME</stp>
        <stp>.NDXP250930C20120</stp>
        <tr r="R154" s="2"/>
      </tp>
      <tp t="s">
        <v>N/A</v>
        <stp/>
        <stp>VOLUME</stp>
        <stp>.NDXP250829C19820</stp>
        <tr r="P169" s="2"/>
      </tp>
      <tp t="e">
        <v>#N/A</v>
        <stp/>
        <stp>VOLUME</stp>
        <stp>.NDXP250606C19720</stp>
        <tr r="J174" s="2"/>
      </tp>
      <tp>
        <v>153</v>
        <stp/>
        <stp>VOLUME</stp>
        <stp>.NDXP250502C20320</stp>
        <tr r="BA143" s="1"/>
        <tr r="BA143" s="1"/>
      </tp>
      <tp>
        <v>14</v>
        <stp/>
        <stp>VOLUME</stp>
        <stp>.NDXP250505C20420</stp>
        <tr r="B139" s="2"/>
        <tr r="B139" s="2"/>
      </tp>
      <tp t="s">
        <v>N/A</v>
        <stp/>
        <stp>VOLUME</stp>
        <stp>.NDXP250530C20120</stp>
        <tr r="I154" s="2"/>
      </tp>
      <tp t="s">
        <v>N/A</v>
        <stp/>
        <stp>VOLUME</stp>
        <stp>.NDXP250731C20020</stp>
        <tr r="N159" s="2"/>
      </tp>
      <tp t="e">
        <v>#N/A</v>
        <stp/>
        <stp>VOLUME</stp>
        <stp>.NDXP250505C19420</stp>
        <tr r="B189" s="2"/>
      </tp>
      <tp t="s">
        <v>N/A</v>
        <stp/>
        <stp>VOLUME</stp>
        <stp>.NDXP250506C19720</stp>
        <tr r="C174" s="2"/>
      </tp>
      <tp t="e">
        <v>#N/A</v>
        <stp/>
        <stp>VOLUME</stp>
        <stp>.NDXP250507C19620</stp>
        <tr r="D179" s="2"/>
      </tp>
      <tp t="e">
        <v>#N/A</v>
        <stp/>
        <stp>VOLUME</stp>
        <stp>.NDXP250508C19920</stp>
        <tr r="E164" s="2"/>
      </tp>
      <tp t="s">
        <v>N/A</v>
        <stp/>
        <stp>VOLUME</stp>
        <stp>.NDXP250509C19820</stp>
        <tr r="BC168" s="1"/>
      </tp>
      <tp t="s">
        <v>N/A</v>
        <stp/>
        <stp>VOLUME</stp>
        <stp>.NDXP250630C20120</stp>
        <tr r="L154" s="2"/>
      </tp>
      <tp t="e">
        <v>#N/A</v>
        <stp/>
        <stp>VOLUME</stp>
        <stp>.NDXP251031C20000</stp>
        <tr r="T160" s="2"/>
      </tp>
      <tp t="e">
        <v>#N/A</v>
        <stp/>
        <stp>VOLUME</stp>
        <stp>.NDXP251128C19900</stp>
        <tr r="V165" s="2"/>
      </tp>
      <tp t="s">
        <v>N/A</v>
        <stp/>
        <stp>VOLUME</stp>
        <stp>.NDXP251231C20000</stp>
        <tr r="X160" s="2"/>
      </tp>
      <tp>
        <v>2</v>
        <stp/>
        <stp>VOLUME</stp>
        <stp>.NDXP250930C20100</stp>
        <tr r="R155" s="2"/>
        <tr r="R155" s="2"/>
      </tp>
      <tp t="s">
        <v>N/A</v>
        <stp/>
        <stp>VOLUME</stp>
        <stp>.NDXP250829C19800</stp>
        <tr r="P170" s="2"/>
      </tp>
      <tp t="e">
        <v>#N/A</v>
        <stp/>
        <stp>VOLUME</stp>
        <stp>.NDXP250606C19700</stp>
        <tr r="J175" s="2"/>
      </tp>
      <tp>
        <v>1112</v>
        <stp/>
        <stp>VOLUME</stp>
        <stp>.NDXP250502C20300</stp>
        <tr r="BA144" s="1"/>
        <tr r="BA144" s="1"/>
      </tp>
      <tp>
        <v>119</v>
        <stp/>
        <stp>VOLUME</stp>
        <stp>.NDXP250505C20400</stp>
        <tr r="B140" s="2"/>
        <tr r="B140" s="2"/>
      </tp>
      <tp>
        <v>4</v>
        <stp/>
        <stp>VOLUME</stp>
        <stp>.NDXP250530C20100</stp>
        <tr r="I155" s="2"/>
        <tr r="I155" s="2"/>
      </tp>
      <tp t="s">
        <v>N/A</v>
        <stp/>
        <stp>VOLUME</stp>
        <stp>.NDXP250731C20000</stp>
        <tr r="N160" s="2"/>
      </tp>
      <tp t="e">
        <v>#N/A</v>
        <stp/>
        <stp>VOLUME</stp>
        <stp>.NDXP250505C19400</stp>
        <tr r="B190" s="2"/>
      </tp>
      <tp>
        <v>1</v>
        <stp/>
        <stp>VOLUME</stp>
        <stp>.NDXP250506C19700</stp>
        <tr r="C175" s="2"/>
        <tr r="C175" s="2"/>
      </tp>
      <tp t="e">
        <v>#N/A</v>
        <stp/>
        <stp>VOLUME</stp>
        <stp>.NDXP250507C19600</stp>
        <tr r="D180" s="2"/>
      </tp>
      <tp t="e">
        <v>#N/A</v>
        <stp/>
        <stp>VOLUME</stp>
        <stp>.NDXP250508C19900</stp>
        <tr r="E165" s="2"/>
      </tp>
      <tp>
        <v>42</v>
        <stp/>
        <stp>VOLUME</stp>
        <stp>.NDXP250509C19800</stp>
        <tr r="BC169" s="1"/>
        <tr r="BC169" s="1"/>
      </tp>
      <tp>
        <v>1</v>
        <stp/>
        <stp>VOLUME</stp>
        <stp>.NDXP250630C20100</stp>
        <tr r="L155" s="2"/>
        <tr r="L155" s="2"/>
      </tp>
      <tp t="s">
        <v>N/A</v>
        <stp/>
        <stp>VOLUME</stp>
        <stp>.NDXP250930P20180</stp>
        <tr r="R151" s="2"/>
      </tp>
      <tp t="s">
        <v>N/A</v>
        <stp/>
        <stp>VOLUME</stp>
        <stp>.NDXP250829P19880</stp>
        <tr r="P166" s="2"/>
      </tp>
      <tp t="e">
        <v>#N/A</v>
        <stp/>
        <stp>VOLUME</stp>
        <stp>.NDXP250606P19780</stp>
        <tr r="J171" s="2"/>
      </tp>
      <tp t="s">
        <v>N/A</v>
        <stp/>
        <stp>VOLUME</stp>
        <stp>.NDXP250502P20380</stp>
        <tr r="BB140" s="1"/>
      </tp>
      <tp t="s">
        <v>N/A</v>
        <stp/>
        <stp>VOLUME</stp>
        <stp>.NDXP250530P20180</stp>
        <tr r="I151" s="2"/>
      </tp>
      <tp t="s">
        <v>N/A</v>
        <stp/>
        <stp>VOLUME</stp>
        <stp>.NDXP250731P20080</stp>
        <tr r="N156" s="2"/>
      </tp>
      <tp t="e">
        <v>#N/A</v>
        <stp/>
        <stp>VOLUME</stp>
        <stp>.NDXP250505P19480</stp>
        <tr r="B186" s="2"/>
      </tp>
      <tp>
        <v>2</v>
        <stp/>
        <stp>VOLUME</stp>
        <stp>.NDXP250506P19780</stp>
        <tr r="C171" s="2"/>
        <tr r="C171" s="2"/>
      </tp>
      <tp t="e">
        <v>#N/A</v>
        <stp/>
        <stp>VOLUME</stp>
        <stp>.NDXP250507P19680</stp>
        <tr r="D176" s="2"/>
      </tp>
      <tp t="e">
        <v>#N/A</v>
        <stp/>
        <stp>VOLUME</stp>
        <stp>.NDXP250508P19980</stp>
        <tr r="E161" s="2"/>
      </tp>
      <tp t="s">
        <v>N/A</v>
        <stp/>
        <stp>VOLUME</stp>
        <stp>.NDXP250509P19880</stp>
        <tr r="BD165" s="1"/>
      </tp>
      <tp t="s">
        <v>N/A</v>
        <stp/>
        <stp>VOLUME</stp>
        <stp>.NDXP250630P20180</stp>
        <tr r="L151" s="2"/>
      </tp>
      <tp t="e">
        <v>#N/A</v>
        <stp/>
        <stp>VOLUME</stp>
        <stp>.NDXP251031P20080</stp>
        <tr r="T156" s="2"/>
      </tp>
      <tp t="e">
        <v>#N/A</v>
        <stp/>
        <stp>VOLUME</stp>
        <stp>.NDXP251128P19980</stp>
        <tr r="V161" s="2"/>
      </tp>
      <tp t="s">
        <v>N/A</v>
        <stp/>
        <stp>VOLUME</stp>
        <stp>.NDXP251231P20080</stp>
        <tr r="X156" s="2"/>
      </tp>
      <tp t="s">
        <v>N/A</v>
        <stp/>
        <stp>VOLUME</stp>
        <stp>.NDXP250930P20140</stp>
        <tr r="R153" s="2"/>
      </tp>
      <tp t="s">
        <v>N/A</v>
        <stp/>
        <stp>VOLUME</stp>
        <stp>.NDXP250829P19840</stp>
        <tr r="P168" s="2"/>
      </tp>
      <tp t="e">
        <v>#N/A</v>
        <stp/>
        <stp>VOLUME</stp>
        <stp>.NDXP250606P19740</stp>
        <tr r="J173" s="2"/>
      </tp>
      <tp>
        <v>6</v>
        <stp/>
        <stp>VOLUME</stp>
        <stp>.NDXP250502P20340</stp>
        <tr r="BB142" s="1"/>
        <tr r="BB142" s="1"/>
      </tp>
      <tp t="s">
        <v>N/A</v>
        <stp/>
        <stp>VOLUME</stp>
        <stp>.NDXP250505P20440</stp>
        <tr r="B138" s="2"/>
      </tp>
      <tp t="s">
        <v>N/A</v>
        <stp/>
        <stp>VOLUME</stp>
        <stp>.NDXP250530P20140</stp>
        <tr r="I153" s="2"/>
      </tp>
      <tp t="s">
        <v>N/A</v>
        <stp/>
        <stp>VOLUME</stp>
        <stp>.NDXP250731P20040</stp>
        <tr r="N158" s="2"/>
      </tp>
      <tp t="e">
        <v>#N/A</v>
        <stp/>
        <stp>VOLUME</stp>
        <stp>.NDXP250505P19440</stp>
        <tr r="B188" s="2"/>
      </tp>
      <tp>
        <v>3</v>
        <stp/>
        <stp>VOLUME</stp>
        <stp>.NDXP250506P19740</stp>
        <tr r="C173" s="2"/>
        <tr r="C173" s="2"/>
      </tp>
      <tp t="e">
        <v>#N/A</v>
        <stp/>
        <stp>VOLUME</stp>
        <stp>.NDXP250507P19640</stp>
        <tr r="D178" s="2"/>
      </tp>
      <tp t="e">
        <v>#N/A</v>
        <stp/>
        <stp>VOLUME</stp>
        <stp>.NDXP250508P19940</stp>
        <tr r="E163" s="2"/>
      </tp>
      <tp t="s">
        <v>N/A</v>
        <stp/>
        <stp>VOLUME</stp>
        <stp>.NDXP250509P19840</stp>
        <tr r="BD167" s="1"/>
      </tp>
      <tp t="s">
        <v>N/A</v>
        <stp/>
        <stp>VOLUME</stp>
        <stp>.NDXP250630P20140</stp>
        <tr r="L153" s="2"/>
      </tp>
      <tp t="e">
        <v>#N/A</v>
        <stp/>
        <stp>VOLUME</stp>
        <stp>.NDXP251031P20040</stp>
        <tr r="T158" s="2"/>
      </tp>
      <tp t="e">
        <v>#N/A</v>
        <stp/>
        <stp>VOLUME</stp>
        <stp>.NDXP251128P19940</stp>
        <tr r="V163" s="2"/>
      </tp>
      <tp t="s">
        <v>N/A</v>
        <stp/>
        <stp>VOLUME</stp>
        <stp>.NDXP251231P20040</stp>
        <tr r="X158" s="2"/>
      </tp>
      <tp t="s">
        <v>N/A</v>
        <stp/>
        <stp>VOLUME</stp>
        <stp>.NDXP250930P20160</stp>
        <tr r="R152" s="2"/>
      </tp>
      <tp t="s">
        <v>N/A</v>
        <stp/>
        <stp>VOLUME</stp>
        <stp>.NDXP250829P19860</stp>
        <tr r="P167" s="2"/>
      </tp>
      <tp t="e">
        <v>#N/A</v>
        <stp/>
        <stp>VOLUME</stp>
        <stp>.NDXP250606P19760</stp>
        <tr r="J172" s="2"/>
      </tp>
      <tp>
        <v>1</v>
        <stp/>
        <stp>VOLUME</stp>
        <stp>.NDXP250502P20360</stp>
        <tr r="BB141" s="1"/>
        <tr r="BB141" s="1"/>
      </tp>
      <tp t="s">
        <v>N/A</v>
        <stp/>
        <stp>VOLUME</stp>
        <stp>.NDXP250530P20160</stp>
        <tr r="I152" s="2"/>
      </tp>
      <tp t="s">
        <v>N/A</v>
        <stp/>
        <stp>VOLUME</stp>
        <stp>.NDXP250731P20060</stp>
        <tr r="N157" s="2"/>
      </tp>
      <tp t="e">
        <v>#N/A</v>
        <stp/>
        <stp>VOLUME</stp>
        <stp>.NDXP250505P19460</stp>
        <tr r="B187" s="2"/>
      </tp>
      <tp t="s">
        <v>N/A</v>
        <stp/>
        <stp>VOLUME</stp>
        <stp>.NDXP250506P19760</stp>
        <tr r="C172" s="2"/>
      </tp>
      <tp t="e">
        <v>#N/A</v>
        <stp/>
        <stp>VOLUME</stp>
        <stp>.NDXP250507P19660</stp>
        <tr r="D177" s="2"/>
      </tp>
      <tp t="e">
        <v>#N/A</v>
        <stp/>
        <stp>VOLUME</stp>
        <stp>.NDXP250508P19960</stp>
        <tr r="E162" s="2"/>
      </tp>
      <tp t="s">
        <v>N/A</v>
        <stp/>
        <stp>VOLUME</stp>
        <stp>.NDXP250509P19860</stp>
        <tr r="BD166" s="1"/>
      </tp>
      <tp t="s">
        <v>N/A</v>
        <stp/>
        <stp>VOLUME</stp>
        <stp>.NDXP250630P20160</stp>
        <tr r="L152" s="2"/>
      </tp>
      <tp t="e">
        <v>#N/A</v>
        <stp/>
        <stp>VOLUME</stp>
        <stp>.NDXP251031P20060</stp>
        <tr r="T157" s="2"/>
      </tp>
      <tp t="e">
        <v>#N/A</v>
        <stp/>
        <stp>VOLUME</stp>
        <stp>.NDXP251128P19960</stp>
        <tr r="V162" s="2"/>
      </tp>
      <tp t="s">
        <v>N/A</v>
        <stp/>
        <stp>VOLUME</stp>
        <stp>.NDXP251231P20060</stp>
        <tr r="X157" s="2"/>
      </tp>
      <tp t="s">
        <v>N/A</v>
        <stp/>
        <stp>VOLUME</stp>
        <stp>.NDXP250930P20100</stp>
        <tr r="R155" s="2"/>
      </tp>
      <tp t="s">
        <v>N/A</v>
        <stp/>
        <stp>VOLUME</stp>
        <stp>.NDXP250829P19800</stp>
        <tr r="P170" s="2"/>
      </tp>
      <tp t="e">
        <v>#N/A</v>
        <stp/>
        <stp>VOLUME</stp>
        <stp>.NDXP250606P19700</stp>
        <tr r="J175" s="2"/>
      </tp>
      <tp>
        <v>8</v>
        <stp/>
        <stp>VOLUME</stp>
        <stp>.NDXP250502P20300</stp>
        <tr r="BB144" s="1"/>
        <tr r="BB144" s="1"/>
      </tp>
      <tp>
        <v>3</v>
        <stp/>
        <stp>VOLUME</stp>
        <stp>.NDXP250505P20400</stp>
        <tr r="B140" s="2"/>
        <tr r="B140" s="2"/>
      </tp>
      <tp t="s">
        <v>N/A</v>
        <stp/>
        <stp>VOLUME</stp>
        <stp>.NDXP250530P20100</stp>
        <tr r="I155" s="2"/>
      </tp>
      <tp t="s">
        <v>N/A</v>
        <stp/>
        <stp>VOLUME</stp>
        <stp>.NDXP250731P20000</stp>
        <tr r="N160" s="2"/>
      </tp>
      <tp t="e">
        <v>#N/A</v>
        <stp/>
        <stp>VOLUME</stp>
        <stp>.NDXP250505P19400</stp>
        <tr r="B190" s="2"/>
      </tp>
      <tp>
        <v>12</v>
        <stp/>
        <stp>VOLUME</stp>
        <stp>.NDXP250506P19700</stp>
        <tr r="C175" s="2"/>
        <tr r="C175" s="2"/>
      </tp>
      <tp t="e">
        <v>#N/A</v>
        <stp/>
        <stp>VOLUME</stp>
        <stp>.NDXP250507P19600</stp>
        <tr r="D180" s="2"/>
      </tp>
      <tp t="e">
        <v>#N/A</v>
        <stp/>
        <stp>VOLUME</stp>
        <stp>.NDXP250508P19900</stp>
        <tr r="E165" s="2"/>
      </tp>
      <tp>
        <v>7</v>
        <stp/>
        <stp>VOLUME</stp>
        <stp>.NDXP250509P19800</stp>
        <tr r="BD169" s="1"/>
        <tr r="BD169" s="1"/>
      </tp>
      <tp>
        <v>1</v>
        <stp/>
        <stp>VOLUME</stp>
        <stp>.NDXP250630P20100</stp>
        <tr r="L155" s="2"/>
        <tr r="L155" s="2"/>
      </tp>
      <tp t="e">
        <v>#N/A</v>
        <stp/>
        <stp>VOLUME</stp>
        <stp>.NDXP251031P20000</stp>
        <tr r="T160" s="2"/>
      </tp>
      <tp t="e">
        <v>#N/A</v>
        <stp/>
        <stp>VOLUME</stp>
        <stp>.NDXP251128P19900</stp>
        <tr r="V165" s="2"/>
      </tp>
      <tp t="s">
        <v>N/A</v>
        <stp/>
        <stp>VOLUME</stp>
        <stp>.NDXP251231P20000</stp>
        <tr r="X160" s="2"/>
      </tp>
      <tp t="s">
        <v>N/A</v>
        <stp/>
        <stp>VOLUME</stp>
        <stp>.NDXP250930P20120</stp>
        <tr r="R154" s="2"/>
      </tp>
      <tp t="s">
        <v>N/A</v>
        <stp/>
        <stp>VOLUME</stp>
        <stp>.NDXP250829P19820</stp>
        <tr r="P169" s="2"/>
      </tp>
      <tp t="e">
        <v>#N/A</v>
        <stp/>
        <stp>VOLUME</stp>
        <stp>.NDXP250606P19720</stp>
        <tr r="J174" s="2"/>
      </tp>
      <tp t="s">
        <v>N/A</v>
        <stp/>
        <stp>VOLUME</stp>
        <stp>.NDXP250502P20320</stp>
        <tr r="BB143" s="1"/>
      </tp>
      <tp t="s">
        <v>N/A</v>
        <stp/>
        <stp>VOLUME</stp>
        <stp>.NDXP250505P20420</stp>
        <tr r="B139" s="2"/>
      </tp>
      <tp t="s">
        <v>N/A</v>
        <stp/>
        <stp>VOLUME</stp>
        <stp>.NDXP250530P20120</stp>
        <tr r="I154" s="2"/>
      </tp>
      <tp t="s">
        <v>N/A</v>
        <stp/>
        <stp>VOLUME</stp>
        <stp>.NDXP250731P20020</stp>
        <tr r="N159" s="2"/>
      </tp>
      <tp t="e">
        <v>#N/A</v>
        <stp/>
        <stp>VOLUME</stp>
        <stp>.NDXP250505P19420</stp>
        <tr r="B189" s="2"/>
      </tp>
      <tp t="s">
        <v>N/A</v>
        <stp/>
        <stp>VOLUME</stp>
        <stp>.NDXP250506P19720</stp>
        <tr r="C174" s="2"/>
      </tp>
      <tp t="e">
        <v>#N/A</v>
        <stp/>
        <stp>VOLUME</stp>
        <stp>.NDXP250507P19620</stp>
        <tr r="D179" s="2"/>
      </tp>
      <tp t="e">
        <v>#N/A</v>
        <stp/>
        <stp>VOLUME</stp>
        <stp>.NDXP250508P19920</stp>
        <tr r="E164" s="2"/>
      </tp>
      <tp t="s">
        <v>N/A</v>
        <stp/>
        <stp>VOLUME</stp>
        <stp>.NDXP250509P19820</stp>
        <tr r="BD168" s="1"/>
      </tp>
      <tp t="s">
        <v>N/A</v>
        <stp/>
        <stp>VOLUME</stp>
        <stp>.NDXP250630P20120</stp>
        <tr r="L154" s="2"/>
      </tp>
      <tp t="e">
        <v>#N/A</v>
        <stp/>
        <stp>VOLUME</stp>
        <stp>.NDXP251031P20020</stp>
        <tr r="T159" s="2"/>
      </tp>
      <tp t="e">
        <v>#N/A</v>
        <stp/>
        <stp>VOLUME</stp>
        <stp>.NDXP251128P19920</stp>
        <tr r="V164" s="2"/>
      </tp>
      <tp t="s">
        <v>N/A</v>
        <stp/>
        <stp>VOLUME</stp>
        <stp>.NDXP251231P20020</stp>
        <tr r="X159" s="2"/>
      </tp>
      <tp>
        <v>48</v>
        <stp/>
        <stp>OPEN_INT</stp>
        <stp>.NDXP250502C19900</stp>
        <tr r="AS164" s="1"/>
        <tr r="AS164" s="1"/>
      </tp>
      <tp>
        <v>4</v>
        <stp/>
        <stp>OPEN_INT</stp>
        <stp>.NDXP250509C20200</stp>
        <tr r="AU149" s="1"/>
        <tr r="AU149" s="1"/>
      </tp>
      <tp>
        <v>17</v>
        <stp/>
        <stp>OPEN_INT</stp>
        <stp>.NDXP250502C19920</stp>
        <tr r="AS163" s="1"/>
        <tr r="AS163" s="1"/>
      </tp>
      <tp t="s">
        <v>N/A</v>
        <stp/>
        <stp>OPEN_INT</stp>
        <stp>.NDXP250509C20220</stp>
        <tr r="AU148" s="1"/>
      </tp>
      <tp>
        <v>3</v>
        <stp/>
        <stp>OPEN_INT</stp>
        <stp>.NDXP250502C19940</stp>
        <tr r="AS162" s="1"/>
        <tr r="AS162" s="1"/>
      </tp>
      <tp t="s">
        <v>N/A</v>
        <stp/>
        <stp>OPEN_INT</stp>
        <stp>.NDXP250509C20240</stp>
        <tr r="AU147" s="1"/>
      </tp>
      <tp>
        <v>9</v>
        <stp/>
        <stp>OPEN_INT</stp>
        <stp>.NDXP250502C19960</stp>
        <tr r="AS161" s="1"/>
        <tr r="AS161" s="1"/>
      </tp>
      <tp t="s">
        <v>N/A</v>
        <stp/>
        <stp>OPEN_INT</stp>
        <stp>.NDXP250509C20260</stp>
        <tr r="AU146" s="1"/>
      </tp>
      <tp>
        <v>31</v>
        <stp/>
        <stp>OPEN_INT</stp>
        <stp>.NDXP250502C19980</stp>
        <tr r="AS160" s="1"/>
        <tr r="AS160" s="1"/>
      </tp>
      <tp t="s">
        <v>N/A</v>
        <stp/>
        <stp>OPEN_INT</stp>
        <stp>.NDXP250509C20280</stp>
        <tr r="AU145" s="1"/>
      </tp>
      <tp>
        <v>5</v>
        <stp/>
        <stp>OPEN_INT</stp>
        <stp>.NDXP250502P19920</stp>
        <tr r="AT163" s="1"/>
        <tr r="AT163" s="1"/>
      </tp>
      <tp t="s">
        <v>N/A</v>
        <stp/>
        <stp>OPEN_INT</stp>
        <stp>.NDXP250509P20220</stp>
        <tr r="AV148" s="1"/>
      </tp>
      <tp>
        <v>16</v>
        <stp/>
        <stp>OPEN_INT</stp>
        <stp>.NDXP250502P19900</stp>
        <tr r="AT164" s="1"/>
        <tr r="AT164" s="1"/>
      </tp>
      <tp>
        <v>1</v>
        <stp/>
        <stp>OPEN_INT</stp>
        <stp>.NDXP250509P20200</stp>
        <tr r="AV149" s="1"/>
        <tr r="AV149" s="1"/>
      </tp>
      <tp>
        <v>1</v>
        <stp/>
        <stp>OPEN_INT</stp>
        <stp>.NDXP250502P19960</stp>
        <tr r="AT161" s="1"/>
        <tr r="AT161" s="1"/>
      </tp>
      <tp t="s">
        <v>N/A</v>
        <stp/>
        <stp>OPEN_INT</stp>
        <stp>.NDXP250509P20260</stp>
        <tr r="AV146" s="1"/>
      </tp>
      <tp>
        <v>0</v>
        <stp/>
        <stp>OPEN_INT</stp>
        <stp>.NDXP250502P19940</stp>
        <tr r="AT162" s="1"/>
        <tr r="AT162" s="1"/>
      </tp>
      <tp t="s">
        <v>N/A</v>
        <stp/>
        <stp>OPEN_INT</stp>
        <stp>.NDXP250509P20240</stp>
        <tr r="AV147" s="1"/>
      </tp>
      <tp>
        <v>16</v>
        <stp/>
        <stp>OPEN_INT</stp>
        <stp>.NDXP250502P19980</stp>
        <tr r="AT160" s="1"/>
        <tr r="AT160" s="1"/>
      </tp>
      <tp t="s">
        <v>N/A</v>
        <stp/>
        <stp>OPEN_INT</stp>
        <stp>.NDXP250509P20280</stp>
        <tr r="AV145" s="1"/>
      </tp>
      <tp t="e">
        <v>#N/A</v>
        <stp/>
        <stp>DELTA</stp>
        <stp>.NDXP250502P20380</stp>
        <tr r="CE140" s="1"/>
        <tr r="CE140" s="1"/>
      </tp>
      <tp t="e">
        <v>#N/A</v>
        <stp/>
        <stp>DELTA</stp>
        <stp>.NDXP250509P19880</stp>
        <tr r="CG165" s="1"/>
      </tp>
      <tp t="e">
        <v>#N/A</v>
        <stp/>
        <stp>DELTA</stp>
        <stp>.NDXP250502P20320</stp>
        <tr r="CE143" s="1"/>
        <tr r="CE143" s="1"/>
      </tp>
      <tp t="e">
        <v>#N/A</v>
        <stp/>
        <stp>DELTA</stp>
        <stp>.NDXP250509P19820</stp>
        <tr r="CG168" s="1"/>
      </tp>
      <tp t="e">
        <v>#N/A</v>
        <stp/>
        <stp>DELTA</stp>
        <stp>.NDXP250502P20300</stp>
        <tr r="CE144" s="1"/>
        <tr r="CE144" s="1"/>
      </tp>
      <tp t="e">
        <v>#N/A</v>
        <stp/>
        <stp>DELTA</stp>
        <stp>.NDXP250509P19800</stp>
        <tr r="CG169" s="1"/>
        <tr r="CG169" s="1"/>
      </tp>
      <tp t="e">
        <v>#N/A</v>
        <stp/>
        <stp>DELTA</stp>
        <stp>.NDXP250502P20360</stp>
        <tr r="CE141" s="1"/>
        <tr r="CE141" s="1"/>
      </tp>
      <tp t="e">
        <v>#N/A</v>
        <stp/>
        <stp>DELTA</stp>
        <stp>.NDXP250509P19860</stp>
        <tr r="CG166" s="1"/>
      </tp>
      <tp t="e">
        <v>#N/A</v>
        <stp/>
        <stp>DELTA</stp>
        <stp>.NDXP250502P20340</stp>
        <tr r="CE142" s="1"/>
        <tr r="CE142" s="1"/>
      </tp>
      <tp t="e">
        <v>#N/A</v>
        <stp/>
        <stp>DELTA</stp>
        <stp>.NDXP250509P19840</stp>
        <tr r="CG167" s="1"/>
      </tp>
      <tp t="e">
        <v>#N/A</v>
        <stp/>
        <stp>DELTA</stp>
        <stp>.NDXP250502C20380</stp>
        <tr r="CD140" s="1"/>
        <tr r="CD140" s="1"/>
      </tp>
      <tp t="e">
        <v>#N/A</v>
        <stp/>
        <stp>DELTA</stp>
        <stp>.NDXP250509C19880</stp>
        <tr r="CF165" s="1"/>
      </tp>
      <tp t="e">
        <v>#N/A</v>
        <stp/>
        <stp>DELTA</stp>
        <stp>.NDXP250502C20300</stp>
        <tr r="CD144" s="1"/>
        <tr r="CD144" s="1"/>
      </tp>
      <tp t="e">
        <v>#N/A</v>
        <stp/>
        <stp>DELTA</stp>
        <stp>.NDXP250509C19800</stp>
        <tr r="CF169" s="1"/>
        <tr r="CF169" s="1"/>
      </tp>
      <tp t="e">
        <v>#N/A</v>
        <stp/>
        <stp>DELTA</stp>
        <stp>.NDXP250502C20320</stp>
        <tr r="CD143" s="1"/>
        <tr r="CD143" s="1"/>
      </tp>
      <tp t="e">
        <v>#N/A</v>
        <stp/>
        <stp>DELTA</stp>
        <stp>.NDXP250509C19820</stp>
        <tr r="CF168" s="1"/>
      </tp>
      <tp t="e">
        <v>#N/A</v>
        <stp/>
        <stp>DELTA</stp>
        <stp>.NDXP250502C20340</stp>
        <tr r="CD142" s="1"/>
        <tr r="CD142" s="1"/>
      </tp>
      <tp t="e">
        <v>#N/A</v>
        <stp/>
        <stp>DELTA</stp>
        <stp>.NDXP250509C19840</stp>
        <tr r="CF167" s="1"/>
      </tp>
      <tp t="e">
        <v>#N/A</v>
        <stp/>
        <stp>DELTA</stp>
        <stp>.NDXP250502C20360</stp>
        <tr r="CD141" s="1"/>
        <tr r="CD141" s="1"/>
      </tp>
      <tp t="e">
        <v>#N/A</v>
        <stp/>
        <stp>DELTA</stp>
        <stp>.NDXP250509C19860</stp>
        <tr r="CF166" s="1"/>
      </tp>
      <tp t="e">
        <v>#N/A</v>
        <stp/>
        <stp>VOLUME</stp>
        <stp>.NDXP251031C20380</stp>
        <tr r="T141" s="2"/>
      </tp>
      <tp t="s">
        <v>N/A</v>
        <stp/>
        <stp>VOLUME</stp>
        <stp>.NDXP251231C20380</stp>
        <tr r="X141" s="2"/>
      </tp>
      <tp t="s">
        <v>N/A</v>
        <stp/>
        <stp>VOLUME</stp>
        <stp>.NDXP250930C20280</stp>
        <tr r="R146" s="2"/>
      </tp>
      <tp t="e">
        <v>#N/A</v>
        <stp/>
        <stp>VOLUME</stp>
        <stp>.NDXP250606C19480</stp>
        <tr r="J186" s="2"/>
      </tp>
      <tp>
        <v>96</v>
        <stp/>
        <stp>VOLUME</stp>
        <stp>.NDXP250502C20080</stp>
        <tr r="BA155" s="1"/>
        <tr r="BA155" s="1"/>
      </tp>
      <tp t="s">
        <v>N/A</v>
        <stp/>
        <stp>VOLUME</stp>
        <stp>.NDXP250530C20280</stp>
        <tr r="I146" s="2"/>
      </tp>
      <tp t="s">
        <v>N/A</v>
        <stp/>
        <stp>VOLUME</stp>
        <stp>.NDXP250731C20380</stp>
        <tr r="N141" s="2"/>
      </tp>
      <tp t="s">
        <v>N/A</v>
        <stp/>
        <stp>VOLUME</stp>
        <stp>.NDXP250505C19780</stp>
        <tr r="B171" s="2"/>
      </tp>
      <tp t="e">
        <v>#N/A</v>
        <stp/>
        <stp>VOLUME</stp>
        <stp>.NDXP250506C19480</stp>
        <tr r="C186" s="2"/>
      </tp>
      <tp t="e">
        <v>#N/A</v>
        <stp/>
        <stp>VOLUME</stp>
        <stp>.NDXP250507C19580</stp>
        <tr r="D181" s="2"/>
      </tp>
      <tp t="s">
        <v>N/A</v>
        <stp/>
        <stp>VOLUME</stp>
        <stp>.NDXP250630C20280</stp>
        <tr r="L146" s="2"/>
      </tp>
      <tp t="e">
        <v>#N/A</v>
        <stp/>
        <stp>VOLUME</stp>
        <stp>.NDXP251031C20360</stp>
        <tr r="T142" s="2"/>
      </tp>
      <tp t="s">
        <v>N/A</v>
        <stp/>
        <stp>VOLUME</stp>
        <stp>.NDXP251231C20360</stp>
        <tr r="X142" s="2"/>
      </tp>
      <tp t="s">
        <v>N/A</v>
        <stp/>
        <stp>VOLUME</stp>
        <stp>.NDXP250930C20260</stp>
        <tr r="R147" s="2"/>
      </tp>
      <tp t="e">
        <v>#N/A</v>
        <stp/>
        <stp>VOLUME</stp>
        <stp>.NDXP250606C19460</stp>
        <tr r="J187" s="2"/>
      </tp>
      <tp>
        <v>117</v>
        <stp/>
        <stp>VOLUME</stp>
        <stp>.NDXP250502C20060</stp>
        <tr r="BA156" s="1"/>
        <tr r="BA156" s="1"/>
      </tp>
      <tp t="s">
        <v>N/A</v>
        <stp/>
        <stp>VOLUME</stp>
        <stp>.NDXP250530C20260</stp>
        <tr r="I147" s="2"/>
      </tp>
      <tp t="s">
        <v>N/A</v>
        <stp/>
        <stp>VOLUME</stp>
        <stp>.NDXP250731C20360</stp>
        <tr r="N142" s="2"/>
      </tp>
      <tp t="s">
        <v>N/A</v>
        <stp/>
        <stp>VOLUME</stp>
        <stp>.NDXP250505C19760</stp>
        <tr r="B172" s="2"/>
      </tp>
      <tp t="e">
        <v>#N/A</v>
        <stp/>
        <stp>VOLUME</stp>
        <stp>.NDXP250506C19460</stp>
        <tr r="C187" s="2"/>
      </tp>
      <tp t="e">
        <v>#N/A</v>
        <stp/>
        <stp>VOLUME</stp>
        <stp>.NDXP250507C19560</stp>
        <tr r="D182" s="2"/>
      </tp>
      <tp t="s">
        <v>N/A</v>
        <stp/>
        <stp>VOLUME</stp>
        <stp>.NDXP250630C20260</stp>
        <tr r="L147" s="2"/>
      </tp>
      <tp t="e">
        <v>#N/A</v>
        <stp/>
        <stp>VOLUME</stp>
        <stp>.NDXP251031C20340</stp>
        <tr r="T143" s="2"/>
      </tp>
      <tp t="s">
        <v>N/A</v>
        <stp/>
        <stp>VOLUME</stp>
        <stp>.NDXP251231C20340</stp>
        <tr r="X143" s="2"/>
      </tp>
      <tp t="s">
        <v>N/A</v>
        <stp/>
        <stp>VOLUME</stp>
        <stp>.NDXP250930C20240</stp>
        <tr r="R148" s="2"/>
      </tp>
      <tp t="e">
        <v>#N/A</v>
        <stp/>
        <stp>VOLUME</stp>
        <stp>.NDXP250606C19440</stp>
        <tr r="J188" s="2"/>
      </tp>
      <tp>
        <v>51</v>
        <stp/>
        <stp>VOLUME</stp>
        <stp>.NDXP250502C20040</stp>
        <tr r="BA157" s="1"/>
        <tr r="BA157" s="1"/>
      </tp>
      <tp t="s">
        <v>N/A</v>
        <stp/>
        <stp>VOLUME</stp>
        <stp>.NDXP250506C20440</stp>
        <tr r="C138" s="2"/>
      </tp>
      <tp t="s">
        <v>N/A</v>
        <stp/>
        <stp>VOLUME</stp>
        <stp>.NDXP250530C20240</stp>
        <tr r="I148" s="2"/>
      </tp>
      <tp t="s">
        <v>N/A</v>
        <stp/>
        <stp>VOLUME</stp>
        <stp>.NDXP250731C20340</stp>
        <tr r="N143" s="2"/>
      </tp>
      <tp t="s">
        <v>N/A</v>
        <stp/>
        <stp>VOLUME</stp>
        <stp>.NDXP250505C19740</stp>
        <tr r="B173" s="2"/>
      </tp>
      <tp t="e">
        <v>#N/A</v>
        <stp/>
        <stp>VOLUME</stp>
        <stp>.NDXP250506C19440</stp>
        <tr r="C188" s="2"/>
      </tp>
      <tp t="e">
        <v>#N/A</v>
        <stp/>
        <stp>VOLUME</stp>
        <stp>.NDXP250507C19540</stp>
        <tr r="D183" s="2"/>
      </tp>
      <tp t="e">
        <v>#N/A</v>
        <stp/>
        <stp>VOLUME</stp>
        <stp>.NDXP250606C20440</stp>
        <tr r="J138" s="2"/>
      </tp>
      <tp t="s">
        <v>N/A</v>
        <stp/>
        <stp>VOLUME</stp>
        <stp>.NDXP250630C20240</stp>
        <tr r="L148" s="2"/>
      </tp>
      <tp t="e">
        <v>#N/A</v>
        <stp/>
        <stp>VOLUME</stp>
        <stp>.NDXP251031C20320</stp>
        <tr r="T144" s="2"/>
      </tp>
      <tp t="s">
        <v>N/A</v>
        <stp/>
        <stp>VOLUME</stp>
        <stp>.NDXP251231C20320</stp>
        <tr r="X144" s="2"/>
      </tp>
      <tp t="s">
        <v>N/A</v>
        <stp/>
        <stp>VOLUME</stp>
        <stp>.NDXP250930C20220</stp>
        <tr r="R149" s="2"/>
      </tp>
      <tp t="e">
        <v>#N/A</v>
        <stp/>
        <stp>VOLUME</stp>
        <stp>.NDXP250606C19420</stp>
        <tr r="J189" s="2"/>
      </tp>
      <tp>
        <v>40</v>
        <stp/>
        <stp>VOLUME</stp>
        <stp>.NDXP250502C20020</stp>
        <tr r="BA158" s="1"/>
        <tr r="BA158" s="1"/>
      </tp>
      <tp t="s">
        <v>N/A</v>
        <stp/>
        <stp>VOLUME</stp>
        <stp>.NDXP250506C20420</stp>
        <tr r="C139" s="2"/>
      </tp>
      <tp t="s">
        <v>N/A</v>
        <stp/>
        <stp>VOLUME</stp>
        <stp>.NDXP250530C20220</stp>
        <tr r="I149" s="2"/>
      </tp>
      <tp t="s">
        <v>N/A</v>
        <stp/>
        <stp>VOLUME</stp>
        <stp>.NDXP250731C20320</stp>
        <tr r="N144" s="2"/>
      </tp>
      <tp t="s">
        <v>N/A</v>
        <stp/>
        <stp>VOLUME</stp>
        <stp>.NDXP250505C19720</stp>
        <tr r="B174" s="2"/>
      </tp>
      <tp t="e">
        <v>#N/A</v>
        <stp/>
        <stp>VOLUME</stp>
        <stp>.NDXP250506C19420</stp>
        <tr r="C189" s="2"/>
      </tp>
      <tp t="e">
        <v>#N/A</v>
        <stp/>
        <stp>VOLUME</stp>
        <stp>.NDXP250507C19520</stp>
        <tr r="D184" s="2"/>
      </tp>
      <tp t="e">
        <v>#N/A</v>
        <stp/>
        <stp>VOLUME</stp>
        <stp>.NDXP250606C20420</stp>
        <tr r="J139" s="2"/>
      </tp>
      <tp t="s">
        <v>N/A</v>
        <stp/>
        <stp>VOLUME</stp>
        <stp>.NDXP250630C20220</stp>
        <tr r="L149" s="2"/>
      </tp>
      <tp t="e">
        <v>#N/A</v>
        <stp/>
        <stp>VOLUME</stp>
        <stp>.NDXP251031C20300</stp>
        <tr r="T145" s="2"/>
      </tp>
      <tp t="s">
        <v>N/A</v>
        <stp/>
        <stp>VOLUME</stp>
        <stp>.NDXP251231C20300</stp>
        <tr r="X145" s="2"/>
      </tp>
      <tp>
        <v>2</v>
        <stp/>
        <stp>VOLUME</stp>
        <stp>.NDXP250930C20200</stp>
        <tr r="R150" s="2"/>
        <tr r="R150" s="2"/>
      </tp>
      <tp t="e">
        <v>#N/A</v>
        <stp/>
        <stp>VOLUME</stp>
        <stp>.NDXP250606C19400</stp>
        <tr r="J190" s="2"/>
      </tp>
      <tp>
        <v>222</v>
        <stp/>
        <stp>VOLUME</stp>
        <stp>.NDXP250502C20000</stp>
        <tr r="BA159" s="1"/>
        <tr r="BA159" s="1"/>
      </tp>
      <tp>
        <v>4</v>
        <stp/>
        <stp>VOLUME</stp>
        <stp>.NDXP250506C20400</stp>
        <tr r="C140" s="2"/>
        <tr r="C140" s="2"/>
      </tp>
      <tp>
        <v>7</v>
        <stp/>
        <stp>VOLUME</stp>
        <stp>.NDXP250530C20200</stp>
        <tr r="I150" s="2"/>
        <tr r="I150" s="2"/>
      </tp>
      <tp t="s">
        <v>N/A</v>
        <stp/>
        <stp>VOLUME</stp>
        <stp>.NDXP250731C20300</stp>
        <tr r="N145" s="2"/>
      </tp>
      <tp t="s">
        <v>N/A</v>
        <stp/>
        <stp>VOLUME</stp>
        <stp>.NDXP250505C19700</stp>
        <tr r="B175" s="2"/>
      </tp>
      <tp t="e">
        <v>#N/A</v>
        <stp/>
        <stp>VOLUME</stp>
        <stp>.NDXP250506C19400</stp>
        <tr r="C190" s="2"/>
      </tp>
      <tp t="e">
        <v>#N/A</v>
        <stp/>
        <stp>VOLUME</stp>
        <stp>.NDXP250507C19500</stp>
        <tr r="D185" s="2"/>
      </tp>
      <tp t="e">
        <v>#N/A</v>
        <stp/>
        <stp>VOLUME</stp>
        <stp>.NDXP250606C20400</stp>
        <tr r="J140" s="2"/>
      </tp>
      <tp t="s">
        <v>N/A</v>
        <stp/>
        <stp>VOLUME</stp>
        <stp>.NDXP250630C20200</stp>
        <tr r="L150" s="2"/>
      </tp>
      <tp t="s">
        <v>N/A</v>
        <stp/>
        <stp>VOLUME</stp>
        <stp>.NDXP250930P20280</stp>
        <tr r="R146" s="2"/>
      </tp>
      <tp t="e">
        <v>#N/A</v>
        <stp/>
        <stp>VOLUME</stp>
        <stp>.NDXP250606P19480</stp>
        <tr r="J186" s="2"/>
      </tp>
      <tp>
        <v>250</v>
        <stp/>
        <stp>VOLUME</stp>
        <stp>.NDXP250502P20080</stp>
        <tr r="BB155" s="1"/>
        <tr r="BB155" s="1"/>
      </tp>
      <tp t="s">
        <v>N/A</v>
        <stp/>
        <stp>VOLUME</stp>
        <stp>.NDXP250530P20280</stp>
        <tr r="I146" s="2"/>
      </tp>
      <tp t="s">
        <v>N/A</v>
        <stp/>
        <stp>VOLUME</stp>
        <stp>.NDXP250731P20380</stp>
        <tr r="N141" s="2"/>
      </tp>
      <tp>
        <v>1</v>
        <stp/>
        <stp>VOLUME</stp>
        <stp>.NDXP250505P19780</stp>
        <tr r="B171" s="2"/>
        <tr r="B171" s="2"/>
      </tp>
      <tp t="e">
        <v>#N/A</v>
        <stp/>
        <stp>VOLUME</stp>
        <stp>.NDXP250506P19480</stp>
        <tr r="C186" s="2"/>
      </tp>
      <tp t="e">
        <v>#N/A</v>
        <stp/>
        <stp>VOLUME</stp>
        <stp>.NDXP250507P19580</stp>
        <tr r="D181" s="2"/>
      </tp>
      <tp t="s">
        <v>N/A</v>
        <stp/>
        <stp>VOLUME</stp>
        <stp>.NDXP250630P20280</stp>
        <tr r="L146" s="2"/>
      </tp>
      <tp t="e">
        <v>#N/A</v>
        <stp/>
        <stp>VOLUME</stp>
        <stp>.NDXP251031P20380</stp>
        <tr r="T141" s="2"/>
      </tp>
      <tp t="s">
        <v>N/A</v>
        <stp/>
        <stp>VOLUME</stp>
        <stp>.NDXP251231P20380</stp>
        <tr r="X141" s="2"/>
      </tp>
      <tp t="s">
        <v>N/A</v>
        <stp/>
        <stp>VOLUME</stp>
        <stp>.NDXP250930P20240</stp>
        <tr r="R148" s="2"/>
      </tp>
      <tp t="e">
        <v>#N/A</v>
        <stp/>
        <stp>VOLUME</stp>
        <stp>.NDXP250606P19440</stp>
        <tr r="J188" s="2"/>
      </tp>
      <tp>
        <v>492</v>
        <stp/>
        <stp>VOLUME</stp>
        <stp>.NDXP250502P20040</stp>
        <tr r="BB157" s="1"/>
        <tr r="BB157" s="1"/>
      </tp>
      <tp t="s">
        <v>N/A</v>
        <stp/>
        <stp>VOLUME</stp>
        <stp>.NDXP250506P20440</stp>
        <tr r="C138" s="2"/>
      </tp>
      <tp t="s">
        <v>N/A</v>
        <stp/>
        <stp>VOLUME</stp>
        <stp>.NDXP250530P20240</stp>
        <tr r="I148" s="2"/>
      </tp>
      <tp t="s">
        <v>N/A</v>
        <stp/>
        <stp>VOLUME</stp>
        <stp>.NDXP250731P20340</stp>
        <tr r="N143" s="2"/>
      </tp>
      <tp>
        <v>10</v>
        <stp/>
        <stp>VOLUME</stp>
        <stp>.NDXP250505P19740</stp>
        <tr r="B173" s="2"/>
        <tr r="B173" s="2"/>
      </tp>
      <tp t="e">
        <v>#N/A</v>
        <stp/>
        <stp>VOLUME</stp>
        <stp>.NDXP250506P19440</stp>
        <tr r="C188" s="2"/>
      </tp>
      <tp t="e">
        <v>#N/A</v>
        <stp/>
        <stp>VOLUME</stp>
        <stp>.NDXP250507P19540</stp>
        <tr r="D183" s="2"/>
      </tp>
      <tp t="e">
        <v>#N/A</v>
        <stp/>
        <stp>VOLUME</stp>
        <stp>.NDXP250606P20440</stp>
        <tr r="J138" s="2"/>
      </tp>
      <tp t="s">
        <v>N/A</v>
        <stp/>
        <stp>VOLUME</stp>
        <stp>.NDXP250630P20240</stp>
        <tr r="L148" s="2"/>
      </tp>
      <tp t="e">
        <v>#N/A</v>
        <stp/>
        <stp>VOLUME</stp>
        <stp>.NDXP251031P20340</stp>
        <tr r="T143" s="2"/>
      </tp>
      <tp t="s">
        <v>N/A</v>
        <stp/>
        <stp>VOLUME</stp>
        <stp>.NDXP251231P20340</stp>
        <tr r="X143" s="2"/>
      </tp>
      <tp t="s">
        <v>N/A</v>
        <stp/>
        <stp>VOLUME</stp>
        <stp>.NDXP250930P20260</stp>
        <tr r="R147" s="2"/>
      </tp>
      <tp t="e">
        <v>#N/A</v>
        <stp/>
        <stp>VOLUME</stp>
        <stp>.NDXP250606P19460</stp>
        <tr r="J187" s="2"/>
      </tp>
      <tp>
        <v>287</v>
        <stp/>
        <stp>VOLUME</stp>
        <stp>.NDXP250502P20060</stp>
        <tr r="BB156" s="1"/>
        <tr r="BB156" s="1"/>
      </tp>
      <tp t="s">
        <v>N/A</v>
        <stp/>
        <stp>VOLUME</stp>
        <stp>.NDXP250530P20260</stp>
        <tr r="I147" s="2"/>
      </tp>
      <tp t="s">
        <v>N/A</v>
        <stp/>
        <stp>VOLUME</stp>
        <stp>.NDXP250731P20360</stp>
        <tr r="N142" s="2"/>
      </tp>
      <tp>
        <v>4</v>
        <stp/>
        <stp>VOLUME</stp>
        <stp>.NDXP250505P19760</stp>
        <tr r="B172" s="2"/>
        <tr r="B172" s="2"/>
      </tp>
      <tp t="e">
        <v>#N/A</v>
        <stp/>
        <stp>VOLUME</stp>
        <stp>.NDXP250506P19460</stp>
        <tr r="C187" s="2"/>
      </tp>
      <tp t="e">
        <v>#N/A</v>
        <stp/>
        <stp>VOLUME</stp>
        <stp>.NDXP250507P19560</stp>
        <tr r="D182" s="2"/>
      </tp>
      <tp t="s">
        <v>N/A</v>
        <stp/>
        <stp>VOLUME</stp>
        <stp>.NDXP250630P20260</stp>
        <tr r="L147" s="2"/>
      </tp>
      <tp t="e">
        <v>#N/A</v>
        <stp/>
        <stp>VOLUME</stp>
        <stp>.NDXP251031P20360</stp>
        <tr r="T142" s="2"/>
      </tp>
      <tp t="s">
        <v>N/A</v>
        <stp/>
        <stp>VOLUME</stp>
        <stp>.NDXP251231P20360</stp>
        <tr r="X142" s="2"/>
      </tp>
      <tp t="s">
        <v>N/A</v>
        <stp/>
        <stp>VOLUME</stp>
        <stp>.NDXP250930P20200</stp>
        <tr r="R150" s="2"/>
      </tp>
      <tp t="e">
        <v>#N/A</v>
        <stp/>
        <stp>VOLUME</stp>
        <stp>.NDXP250606P19400</stp>
        <tr r="J190" s="2"/>
      </tp>
      <tp>
        <v>1026</v>
        <stp/>
        <stp>VOLUME</stp>
        <stp>.NDXP250502P20000</stp>
        <tr r="BB159" s="1"/>
        <tr r="BB159" s="1"/>
      </tp>
      <tp t="s">
        <v>N/A</v>
        <stp/>
        <stp>VOLUME</stp>
        <stp>.NDXP250506P20400</stp>
        <tr r="C140" s="2"/>
      </tp>
      <tp t="s">
        <v>N/A</v>
        <stp/>
        <stp>VOLUME</stp>
        <stp>.NDXP250530P20200</stp>
        <tr r="I150" s="2"/>
      </tp>
      <tp t="s">
        <v>N/A</v>
        <stp/>
        <stp>VOLUME</stp>
        <stp>.NDXP250731P20300</stp>
        <tr r="N145" s="2"/>
      </tp>
      <tp>
        <v>17</v>
        <stp/>
        <stp>VOLUME</stp>
        <stp>.NDXP250505P19700</stp>
        <tr r="B175" s="2"/>
        <tr r="B175" s="2"/>
      </tp>
      <tp t="e">
        <v>#N/A</v>
        <stp/>
        <stp>VOLUME</stp>
        <stp>.NDXP250506P19400</stp>
        <tr r="C190" s="2"/>
      </tp>
      <tp t="e">
        <v>#N/A</v>
        <stp/>
        <stp>VOLUME</stp>
        <stp>.NDXP250507P19500</stp>
        <tr r="D185" s="2"/>
      </tp>
      <tp t="e">
        <v>#N/A</v>
        <stp/>
        <stp>VOLUME</stp>
        <stp>.NDXP250606P20400</stp>
        <tr r="J140" s="2"/>
      </tp>
      <tp t="s">
        <v>N/A</v>
        <stp/>
        <stp>VOLUME</stp>
        <stp>.NDXP250630P20200</stp>
        <tr r="L150" s="2"/>
      </tp>
      <tp t="e">
        <v>#N/A</v>
        <stp/>
        <stp>VOLUME</stp>
        <stp>.NDXP251031P20300</stp>
        <tr r="T145" s="2"/>
      </tp>
      <tp t="s">
        <v>N/A</v>
        <stp/>
        <stp>VOLUME</stp>
        <stp>.NDXP251231P20300</stp>
        <tr r="X145" s="2"/>
      </tp>
      <tp t="s">
        <v>N/A</v>
        <stp/>
        <stp>VOLUME</stp>
        <stp>.NDXP250930P20220</stp>
        <tr r="R149" s="2"/>
      </tp>
      <tp t="e">
        <v>#N/A</v>
        <stp/>
        <stp>VOLUME</stp>
        <stp>.NDXP250606P19420</stp>
        <tr r="J189" s="2"/>
      </tp>
      <tp>
        <v>128</v>
        <stp/>
        <stp>VOLUME</stp>
        <stp>.NDXP250502P20020</stp>
        <tr r="BB158" s="1"/>
        <tr r="BB158" s="1"/>
      </tp>
      <tp t="s">
        <v>N/A</v>
        <stp/>
        <stp>VOLUME</stp>
        <stp>.NDXP250506P20420</stp>
        <tr r="C139" s="2"/>
      </tp>
      <tp t="s">
        <v>N/A</v>
        <stp/>
        <stp>VOLUME</stp>
        <stp>.NDXP250530P20220</stp>
        <tr r="I149" s="2"/>
      </tp>
      <tp t="s">
        <v>N/A</v>
        <stp/>
        <stp>VOLUME</stp>
        <stp>.NDXP250731P20320</stp>
        <tr r="N144" s="2"/>
      </tp>
      <tp>
        <v>6</v>
        <stp/>
        <stp>VOLUME</stp>
        <stp>.NDXP250505P19720</stp>
        <tr r="B174" s="2"/>
        <tr r="B174" s="2"/>
      </tp>
      <tp t="e">
        <v>#N/A</v>
        <stp/>
        <stp>VOLUME</stp>
        <stp>.NDXP250506P19420</stp>
        <tr r="C189" s="2"/>
      </tp>
      <tp t="e">
        <v>#N/A</v>
        <stp/>
        <stp>VOLUME</stp>
        <stp>.NDXP250507P19520</stp>
        <tr r="D184" s="2"/>
      </tp>
      <tp t="e">
        <v>#N/A</v>
        <stp/>
        <stp>VOLUME</stp>
        <stp>.NDXP250606P20420</stp>
        <tr r="J139" s="2"/>
      </tp>
      <tp t="s">
        <v>N/A</v>
        <stp/>
        <stp>VOLUME</stp>
        <stp>.NDXP250630P20220</stp>
        <tr r="L149" s="2"/>
      </tp>
      <tp t="e">
        <v>#N/A</v>
        <stp/>
        <stp>VOLUME</stp>
        <stp>.NDXP251031P20320</stp>
        <tr r="T144" s="2"/>
      </tp>
      <tp t="s">
        <v>N/A</v>
        <stp/>
        <stp>VOLUME</stp>
        <stp>.NDXP251231P20320</stp>
        <tr r="X144" s="2"/>
      </tp>
      <tp>
        <v>101</v>
        <stp/>
        <stp>OPEN_INT</stp>
        <stp>.NDXP250502C19800</stp>
        <tr r="AS169" s="1"/>
        <tr r="AS169" s="1"/>
      </tp>
      <tp>
        <v>4</v>
        <stp/>
        <stp>OPEN_INT</stp>
        <stp>.NDXP250509C20300</stp>
        <tr r="AU144" s="1"/>
        <tr r="AU144" s="1"/>
      </tp>
      <tp>
        <v>9</v>
        <stp/>
        <stp>OPEN_INT</stp>
        <stp>.NDXP250502C19820</stp>
        <tr r="AS168" s="1"/>
        <tr r="AS168" s="1"/>
      </tp>
      <tp t="s">
        <v>N/A</v>
        <stp/>
        <stp>OPEN_INT</stp>
        <stp>.NDXP250509C20320</stp>
        <tr r="AU143" s="1"/>
      </tp>
      <tp>
        <v>4</v>
        <stp/>
        <stp>OPEN_INT</stp>
        <stp>.NDXP250502C19840</stp>
        <tr r="AS167" s="1"/>
        <tr r="AS167" s="1"/>
      </tp>
      <tp t="s">
        <v>N/A</v>
        <stp/>
        <stp>OPEN_INT</stp>
        <stp>.NDXP250509C20340</stp>
        <tr r="AU142" s="1"/>
      </tp>
      <tp>
        <v>4</v>
        <stp/>
        <stp>OPEN_INT</stp>
        <stp>.NDXP250502C19860</stp>
        <tr r="AS166" s="1"/>
        <tr r="AS166" s="1"/>
      </tp>
      <tp t="s">
        <v>N/A</v>
        <stp/>
        <stp>OPEN_INT</stp>
        <stp>.NDXP250509C20360</stp>
        <tr r="AU141" s="1"/>
      </tp>
      <tp>
        <v>6</v>
        <stp/>
        <stp>OPEN_INT</stp>
        <stp>.NDXP250502C19880</stp>
        <tr r="AS165" s="1"/>
        <tr r="AS165" s="1"/>
      </tp>
      <tp t="s">
        <v>N/A</v>
        <stp/>
        <stp>OPEN_INT</stp>
        <stp>.NDXP250509C20380</stp>
        <tr r="AU140" s="1"/>
      </tp>
      <tp>
        <v>3</v>
        <stp/>
        <stp>OPEN_INT</stp>
        <stp>.NDXP250502P19820</stp>
        <tr r="AT168" s="1"/>
        <tr r="AT168" s="1"/>
      </tp>
      <tp t="s">
        <v>N/A</v>
        <stp/>
        <stp>OPEN_INT</stp>
        <stp>.NDXP250509P20320</stp>
        <tr r="AV143" s="1"/>
      </tp>
      <tp>
        <v>25</v>
        <stp/>
        <stp>OPEN_INT</stp>
        <stp>.NDXP250502P19800</stp>
        <tr r="AT169" s="1"/>
        <tr r="AT169" s="1"/>
      </tp>
      <tp>
        <v>1</v>
        <stp/>
        <stp>OPEN_INT</stp>
        <stp>.NDXP250509P20300</stp>
        <tr r="AV144" s="1"/>
        <tr r="AV144" s="1"/>
      </tp>
      <tp>
        <v>2</v>
        <stp/>
        <stp>OPEN_INT</stp>
        <stp>.NDXP250502P19860</stp>
        <tr r="AT166" s="1"/>
        <tr r="AT166" s="1"/>
      </tp>
      <tp t="s">
        <v>N/A</v>
        <stp/>
        <stp>OPEN_INT</stp>
        <stp>.NDXP250509P20360</stp>
        <tr r="AV141" s="1"/>
      </tp>
      <tp>
        <v>8</v>
        <stp/>
        <stp>OPEN_INT</stp>
        <stp>.NDXP250502P19840</stp>
        <tr r="AT167" s="1"/>
        <tr r="AT167" s="1"/>
      </tp>
      <tp t="s">
        <v>N/A</v>
        <stp/>
        <stp>OPEN_INT</stp>
        <stp>.NDXP250509P20340</stp>
        <tr r="AV142" s="1"/>
      </tp>
      <tp>
        <v>9</v>
        <stp/>
        <stp>OPEN_INT</stp>
        <stp>.NDXP250502P19880</stp>
        <tr r="AT165" s="1"/>
        <tr r="AT165" s="1"/>
      </tp>
      <tp t="s">
        <v>N/A</v>
        <stp/>
        <stp>OPEN_INT</stp>
        <stp>.NDXP250509P20380</stp>
        <tr r="AV140" s="1"/>
      </tp>
      <tp t="e">
        <v>#N/A</v>
        <stp/>
        <stp>DELTA</stp>
        <stp>.NDXP250502P20280</stp>
        <tr r="CE145" s="1"/>
        <tr r="CE145" s="1"/>
      </tp>
      <tp t="e">
        <v>#N/A</v>
        <stp/>
        <stp>DELTA</stp>
        <stp>.NDXP250509P19980</stp>
        <tr r="CG160" s="1"/>
      </tp>
      <tp t="e">
        <v>#N/A</v>
        <stp/>
        <stp>DELTA</stp>
        <stp>.NDXP250502P20220</stp>
        <tr r="CE148" s="1"/>
        <tr r="CE148" s="1"/>
      </tp>
      <tp t="e">
        <v>#N/A</v>
        <stp/>
        <stp>DELTA</stp>
        <stp>.NDXP250509P19920</stp>
        <tr r="CG163" s="1"/>
      </tp>
      <tp t="e">
        <v>#N/A</v>
        <stp/>
        <stp>DELTA</stp>
        <stp>.NDXP250502P20200</stp>
        <tr r="CE149" s="1"/>
        <tr r="CE149" s="1"/>
      </tp>
      <tp t="e">
        <v>#N/A</v>
        <stp/>
        <stp>DELTA</stp>
        <stp>.NDXP250509P19900</stp>
        <tr r="CG164" s="1"/>
        <tr r="CG164" s="1"/>
      </tp>
      <tp t="e">
        <v>#N/A</v>
        <stp/>
        <stp>DELTA</stp>
        <stp>.NDXP250502P20260</stp>
        <tr r="CE146" s="1"/>
        <tr r="CE146" s="1"/>
      </tp>
      <tp t="e">
        <v>#N/A</v>
        <stp/>
        <stp>DELTA</stp>
        <stp>.NDXP250509P19960</stp>
        <tr r="CG161" s="1"/>
      </tp>
      <tp t="e">
        <v>#N/A</v>
        <stp/>
        <stp>DELTA</stp>
        <stp>.NDXP250502P20240</stp>
        <tr r="CE147" s="1"/>
        <tr r="CE147" s="1"/>
      </tp>
      <tp t="e">
        <v>#N/A</v>
        <stp/>
        <stp>DELTA</stp>
        <stp>.NDXP250509P19940</stp>
        <tr r="CG162" s="1"/>
      </tp>
      <tp t="e">
        <v>#N/A</v>
        <stp/>
        <stp>DELTA</stp>
        <stp>.NDXP250502C20280</stp>
        <tr r="CD145" s="1"/>
        <tr r="CD145" s="1"/>
      </tp>
      <tp t="e">
        <v>#N/A</v>
        <stp/>
        <stp>DELTA</stp>
        <stp>.NDXP250509C19980</stp>
        <tr r="CF160" s="1"/>
      </tp>
      <tp t="e">
        <v>#N/A</v>
        <stp/>
        <stp>DELTA</stp>
        <stp>.NDXP250502C20200</stp>
        <tr r="CD149" s="1"/>
        <tr r="CD149" s="1"/>
      </tp>
      <tp t="e">
        <v>#N/A</v>
        <stp/>
        <stp>DELTA</stp>
        <stp>.NDXP250509C19900</stp>
        <tr r="CF164" s="1"/>
        <tr r="CF164" s="1"/>
      </tp>
      <tp t="e">
        <v>#N/A</v>
        <stp/>
        <stp>DELTA</stp>
        <stp>.NDXP250502C20220</stp>
        <tr r="CD148" s="1"/>
        <tr r="CD148" s="1"/>
      </tp>
      <tp t="e">
        <v>#N/A</v>
        <stp/>
        <stp>DELTA</stp>
        <stp>.NDXP250509C19920</stp>
        <tr r="CF163" s="1"/>
      </tp>
      <tp t="e">
        <v>#N/A</v>
        <stp/>
        <stp>DELTA</stp>
        <stp>.NDXP250502C20240</stp>
        <tr r="CD147" s="1"/>
        <tr r="CD147" s="1"/>
      </tp>
      <tp t="e">
        <v>#N/A</v>
        <stp/>
        <stp>DELTA</stp>
        <stp>.NDXP250509C19940</stp>
        <tr r="CF162" s="1"/>
      </tp>
      <tp t="e">
        <v>#N/A</v>
        <stp/>
        <stp>DELTA</stp>
        <stp>.NDXP250502C20260</stp>
        <tr r="CD146" s="1"/>
        <tr r="CD146" s="1"/>
      </tp>
      <tp t="e">
        <v>#N/A</v>
        <stp/>
        <stp>DELTA</stp>
        <stp>.NDXP250509C19960</stp>
        <tr r="CF161" s="1"/>
      </tp>
      <tp t="e">
        <v>#N/A</v>
        <stp/>
        <stp>VOLUME</stp>
        <stp>.NDXP251031C20280</stp>
        <tr r="T146" s="2"/>
      </tp>
      <tp t="s">
        <v>N/A</v>
        <stp/>
        <stp>VOLUME</stp>
        <stp>.NDXP251231C20280</stp>
        <tr r="X146" s="2"/>
      </tp>
      <tp t="s">
        <v>N/A</v>
        <stp/>
        <stp>VOLUME</stp>
        <stp>.NDXP250930C20380</stp>
        <tr r="R141" s="2"/>
      </tp>
      <tp t="e">
        <v>#N/A</v>
        <stp/>
        <stp>VOLUME</stp>
        <stp>.NDXP250606C19580</stp>
        <tr r="J181" s="2"/>
      </tp>
      <tp>
        <v>340</v>
        <stp/>
        <stp>VOLUME</stp>
        <stp>.NDXP250502C20180</stp>
        <tr r="BA150" s="1"/>
        <tr r="BA150" s="1"/>
      </tp>
      <tp t="s">
        <v>N/A</v>
        <stp/>
        <stp>VOLUME</stp>
        <stp>.NDXP250530C20380</stp>
        <tr r="I141" s="2"/>
      </tp>
      <tp t="s">
        <v>N/A</v>
        <stp/>
        <stp>VOLUME</stp>
        <stp>.NDXP250731C20280</stp>
        <tr r="N146" s="2"/>
      </tp>
      <tp>
        <v>1</v>
        <stp/>
        <stp>VOLUME</stp>
        <stp>.NDXP250505C19680</stp>
        <tr r="B176" s="2"/>
        <tr r="B176" s="2"/>
      </tp>
      <tp t="e">
        <v>#N/A</v>
        <stp/>
        <stp>VOLUME</stp>
        <stp>.NDXP250506C19580</stp>
        <tr r="C181" s="2"/>
      </tp>
      <tp t="e">
        <v>#N/A</v>
        <stp/>
        <stp>VOLUME</stp>
        <stp>.NDXP250507C19480</stp>
        <tr r="D186" s="2"/>
      </tp>
      <tp t="s">
        <v>N/A</v>
        <stp/>
        <stp>VOLUME</stp>
        <stp>.NDXP250630C20380</stp>
        <tr r="L141" s="2"/>
      </tp>
      <tp t="e">
        <v>#N/A</v>
        <stp/>
        <stp>VOLUME</stp>
        <stp>.NDXP251031C20260</stp>
        <tr r="T147" s="2"/>
      </tp>
      <tp t="s">
        <v>N/A</v>
        <stp/>
        <stp>VOLUME</stp>
        <stp>.NDXP251231C20260</stp>
        <tr r="X147" s="2"/>
      </tp>
      <tp t="s">
        <v>N/A</v>
        <stp/>
        <stp>VOLUME</stp>
        <stp>.NDXP250930C20360</stp>
        <tr r="R142" s="2"/>
      </tp>
      <tp t="e">
        <v>#N/A</v>
        <stp/>
        <stp>VOLUME</stp>
        <stp>.NDXP250606C19560</stp>
        <tr r="J182" s="2"/>
      </tp>
      <tp>
        <v>712</v>
        <stp/>
        <stp>VOLUME</stp>
        <stp>.NDXP250502C20160</stp>
        <tr r="BA151" s="1"/>
        <tr r="BA151" s="1"/>
      </tp>
      <tp t="s">
        <v>N/A</v>
        <stp/>
        <stp>VOLUME</stp>
        <stp>.NDXP250530C20360</stp>
        <tr r="I142" s="2"/>
      </tp>
      <tp t="s">
        <v>N/A</v>
        <stp/>
        <stp>VOLUME</stp>
        <stp>.NDXP250731C20260</stp>
        <tr r="N147" s="2"/>
      </tp>
      <tp t="s">
        <v>N/A</v>
        <stp/>
        <stp>VOLUME</stp>
        <stp>.NDXP250505C19660</stp>
        <tr r="B177" s="2"/>
      </tp>
      <tp t="e">
        <v>#N/A</v>
        <stp/>
        <stp>VOLUME</stp>
        <stp>.NDXP250506C19560</stp>
        <tr r="C182" s="2"/>
      </tp>
      <tp t="e">
        <v>#N/A</v>
        <stp/>
        <stp>VOLUME</stp>
        <stp>.NDXP250507C19460</stp>
        <tr r="D187" s="2"/>
      </tp>
      <tp t="s">
        <v>N/A</v>
        <stp/>
        <stp>VOLUME</stp>
        <stp>.NDXP250630C20360</stp>
        <tr r="L142" s="2"/>
      </tp>
      <tp t="e">
        <v>#N/A</v>
        <stp/>
        <stp>VOLUME</stp>
        <stp>.NDXP251031C20240</stp>
        <tr r="T148" s="2"/>
      </tp>
      <tp t="s">
        <v>N/A</v>
        <stp/>
        <stp>VOLUME</stp>
        <stp>.NDXP251231C20240</stp>
        <tr r="X148" s="2"/>
      </tp>
      <tp t="s">
        <v>N/A</v>
        <stp/>
        <stp>VOLUME</stp>
        <stp>.NDXP250930C20340</stp>
        <tr r="R143" s="2"/>
      </tp>
      <tp t="e">
        <v>#N/A</v>
        <stp/>
        <stp>VOLUME</stp>
        <stp>.NDXP250606C19540</stp>
        <tr r="J183" s="2"/>
      </tp>
      <tp>
        <v>509</v>
        <stp/>
        <stp>VOLUME</stp>
        <stp>.NDXP250502C20140</stp>
        <tr r="BA152" s="1"/>
        <tr r="BA152" s="1"/>
      </tp>
      <tp t="e">
        <v>#N/A</v>
        <stp/>
        <stp>VOLUME</stp>
        <stp>.NDXP250507C20440</stp>
        <tr r="D138" s="2"/>
      </tp>
      <tp t="s">
        <v>N/A</v>
        <stp/>
        <stp>VOLUME</stp>
        <stp>.NDXP250530C20340</stp>
        <tr r="I143" s="2"/>
      </tp>
      <tp t="s">
        <v>N/A</v>
        <stp/>
        <stp>VOLUME</stp>
        <stp>.NDXP250731C20240</stp>
        <tr r="N148" s="2"/>
      </tp>
      <tp t="s">
        <v>N/A</v>
        <stp/>
        <stp>VOLUME</stp>
        <stp>.NDXP250505C19640</stp>
        <tr r="B178" s="2"/>
      </tp>
      <tp t="e">
        <v>#N/A</v>
        <stp/>
        <stp>VOLUME</stp>
        <stp>.NDXP250506C19540</stp>
        <tr r="C183" s="2"/>
      </tp>
      <tp t="e">
        <v>#N/A</v>
        <stp/>
        <stp>VOLUME</stp>
        <stp>.NDXP250507C19440</stp>
        <tr r="D188" s="2"/>
      </tp>
      <tp t="s">
        <v>N/A</v>
        <stp/>
        <stp>VOLUME</stp>
        <stp>.NDXP250630C20340</stp>
        <tr r="L143" s="2"/>
      </tp>
      <tp t="e">
        <v>#N/A</v>
        <stp/>
        <stp>VOLUME</stp>
        <stp>.NDXP251031C20220</stp>
        <tr r="T149" s="2"/>
      </tp>
      <tp t="s">
        <v>N/A</v>
        <stp/>
        <stp>VOLUME</stp>
        <stp>.NDXP251231C20220</stp>
        <tr r="X149" s="2"/>
      </tp>
      <tp t="s">
        <v>N/A</v>
        <stp/>
        <stp>VOLUME</stp>
        <stp>.NDXP250930C20320</stp>
        <tr r="R144" s="2"/>
      </tp>
      <tp t="e">
        <v>#N/A</v>
        <stp/>
        <stp>VOLUME</stp>
        <stp>.NDXP250606C19520</stp>
        <tr r="J184" s="2"/>
      </tp>
      <tp>
        <v>232</v>
        <stp/>
        <stp>VOLUME</stp>
        <stp>.NDXP250502C20120</stp>
        <tr r="BA153" s="1"/>
        <tr r="BA153" s="1"/>
      </tp>
      <tp t="e">
        <v>#N/A</v>
        <stp/>
        <stp>VOLUME</stp>
        <stp>.NDXP250507C20420</stp>
        <tr r="D139" s="2"/>
      </tp>
      <tp t="s">
        <v>N/A</v>
        <stp/>
        <stp>VOLUME</stp>
        <stp>.NDXP250530C20320</stp>
        <tr r="I144" s="2"/>
      </tp>
      <tp t="s">
        <v>N/A</v>
        <stp/>
        <stp>VOLUME</stp>
        <stp>.NDXP250731C20220</stp>
        <tr r="N149" s="2"/>
      </tp>
      <tp t="s">
        <v>N/A</v>
        <stp/>
        <stp>VOLUME</stp>
        <stp>.NDXP250505C19620</stp>
        <tr r="B179" s="2"/>
      </tp>
      <tp t="e">
        <v>#N/A</v>
        <stp/>
        <stp>VOLUME</stp>
        <stp>.NDXP250506C19520</stp>
        <tr r="C184" s="2"/>
      </tp>
      <tp t="e">
        <v>#N/A</v>
        <stp/>
        <stp>VOLUME</stp>
        <stp>.NDXP250507C19420</stp>
        <tr r="D189" s="2"/>
      </tp>
      <tp t="s">
        <v>N/A</v>
        <stp/>
        <stp>VOLUME</stp>
        <stp>.NDXP250630C20320</stp>
        <tr r="L144" s="2"/>
      </tp>
      <tp t="e">
        <v>#N/A</v>
        <stp/>
        <stp>VOLUME</stp>
        <stp>.NDXP251031C20200</stp>
        <tr r="T150" s="2"/>
      </tp>
      <tp t="s">
        <v>N/A</v>
        <stp/>
        <stp>VOLUME</stp>
        <stp>.NDXP251231C20200</stp>
        <tr r="X150" s="2"/>
      </tp>
      <tp>
        <v>1</v>
        <stp/>
        <stp>VOLUME</stp>
        <stp>.NDXP250930C20300</stp>
        <tr r="R145" s="2"/>
        <tr r="R145" s="2"/>
      </tp>
      <tp t="e">
        <v>#N/A</v>
        <stp/>
        <stp>VOLUME</stp>
        <stp>.NDXP250606C19500</stp>
        <tr r="J185" s="2"/>
      </tp>
      <tp>
        <v>483</v>
        <stp/>
        <stp>VOLUME</stp>
        <stp>.NDXP250502C20100</stp>
        <tr r="BA154" s="1"/>
        <tr r="BA154" s="1"/>
      </tp>
      <tp t="e">
        <v>#N/A</v>
        <stp/>
        <stp>VOLUME</stp>
        <stp>.NDXP250507C20400</stp>
        <tr r="D140" s="2"/>
      </tp>
      <tp>
        <v>13</v>
        <stp/>
        <stp>VOLUME</stp>
        <stp>.NDXP250530C20300</stp>
        <tr r="I145" s="2"/>
        <tr r="I145" s="2"/>
      </tp>
      <tp t="s">
        <v>N/A</v>
        <stp/>
        <stp>VOLUME</stp>
        <stp>.NDXP250731C20200</stp>
        <tr r="N150" s="2"/>
      </tp>
      <tp t="e">
        <v>#N/A</v>
        <stp/>
        <stp>VOLUME</stp>
        <stp>.NDXP250505C19600</stp>
        <tr r="B180" s="2"/>
      </tp>
      <tp t="e">
        <v>#N/A</v>
        <stp/>
        <stp>VOLUME</stp>
        <stp>.NDXP250506C19500</stp>
        <tr r="C185" s="2"/>
      </tp>
      <tp t="e">
        <v>#N/A</v>
        <stp/>
        <stp>VOLUME</stp>
        <stp>.NDXP250507C19400</stp>
        <tr r="D190" s="2"/>
      </tp>
      <tp t="s">
        <v>N/A</v>
        <stp/>
        <stp>VOLUME</stp>
        <stp>.NDXP250630C20300</stp>
        <tr r="L145" s="2"/>
      </tp>
      <tp t="s">
        <v>N/A</v>
        <stp/>
        <stp>VOLUME</stp>
        <stp>.NDXP250930P20380</stp>
        <tr r="R141" s="2"/>
      </tp>
      <tp t="e">
        <v>#N/A</v>
        <stp/>
        <stp>VOLUME</stp>
        <stp>.NDXP250606P19580</stp>
        <tr r="J181" s="2"/>
      </tp>
      <tp>
        <v>14</v>
        <stp/>
        <stp>VOLUME</stp>
        <stp>.NDXP250502P20180</stp>
        <tr r="BB150" s="1"/>
        <tr r="BB150" s="1"/>
      </tp>
      <tp t="s">
        <v>N/A</v>
        <stp/>
        <stp>VOLUME</stp>
        <stp>.NDXP250530P20380</stp>
        <tr r="I141" s="2"/>
      </tp>
      <tp t="s">
        <v>N/A</v>
        <stp/>
        <stp>VOLUME</stp>
        <stp>.NDXP250731P20280</stp>
        <tr r="N146" s="2"/>
      </tp>
      <tp>
        <v>1</v>
        <stp/>
        <stp>VOLUME</stp>
        <stp>.NDXP250505P19680</stp>
        <tr r="B176" s="2"/>
        <tr r="B176" s="2"/>
      </tp>
      <tp t="e">
        <v>#N/A</v>
        <stp/>
        <stp>VOLUME</stp>
        <stp>.NDXP250506P19580</stp>
        <tr r="C181" s="2"/>
      </tp>
      <tp t="e">
        <v>#N/A</v>
        <stp/>
        <stp>VOLUME</stp>
        <stp>.NDXP250507P19480</stp>
        <tr r="D186" s="2"/>
      </tp>
      <tp t="s">
        <v>N/A</v>
        <stp/>
        <stp>VOLUME</stp>
        <stp>.NDXP250630P20380</stp>
        <tr r="L141" s="2"/>
      </tp>
      <tp t="e">
        <v>#N/A</v>
        <stp/>
        <stp>VOLUME</stp>
        <stp>.NDXP251031P20280</stp>
        <tr r="T146" s="2"/>
      </tp>
      <tp t="s">
        <v>N/A</v>
        <stp/>
        <stp>VOLUME</stp>
        <stp>.NDXP251231P20280</stp>
        <tr r="X146" s="2"/>
      </tp>
      <tp t="s">
        <v>N/A</v>
        <stp/>
        <stp>VOLUME</stp>
        <stp>.NDXP250930P20340</stp>
        <tr r="R143" s="2"/>
      </tp>
      <tp t="e">
        <v>#N/A</v>
        <stp/>
        <stp>VOLUME</stp>
        <stp>.NDXP250606P19540</stp>
        <tr r="J183" s="2"/>
      </tp>
      <tp>
        <v>258</v>
        <stp/>
        <stp>VOLUME</stp>
        <stp>.NDXP250502P20140</stp>
        <tr r="BB152" s="1"/>
        <tr r="BB152" s="1"/>
      </tp>
      <tp t="e">
        <v>#N/A</v>
        <stp/>
        <stp>VOLUME</stp>
        <stp>.NDXP250507P20440</stp>
        <tr r="D138" s="2"/>
      </tp>
      <tp t="s">
        <v>N/A</v>
        <stp/>
        <stp>VOLUME</stp>
        <stp>.NDXP250530P20340</stp>
        <tr r="I143" s="2"/>
      </tp>
      <tp t="s">
        <v>N/A</v>
        <stp/>
        <stp>VOLUME</stp>
        <stp>.NDXP250731P20240</stp>
        <tr r="N148" s="2"/>
      </tp>
      <tp>
        <v>1</v>
        <stp/>
        <stp>VOLUME</stp>
        <stp>.NDXP250505P19640</stp>
        <tr r="B178" s="2"/>
        <tr r="B178" s="2"/>
      </tp>
      <tp t="e">
        <v>#N/A</v>
        <stp/>
        <stp>VOLUME</stp>
        <stp>.NDXP250506P19540</stp>
        <tr r="C183" s="2"/>
      </tp>
      <tp t="e">
        <v>#N/A</v>
        <stp/>
        <stp>VOLUME</stp>
        <stp>.NDXP250507P19440</stp>
        <tr r="D188" s="2"/>
      </tp>
      <tp t="s">
        <v>N/A</v>
        <stp/>
        <stp>VOLUME</stp>
        <stp>.NDXP250630P20340</stp>
        <tr r="L143" s="2"/>
      </tp>
      <tp t="e">
        <v>#N/A</v>
        <stp/>
        <stp>VOLUME</stp>
        <stp>.NDXP251031P20240</stp>
        <tr r="T148" s="2"/>
      </tp>
      <tp t="s">
        <v>N/A</v>
        <stp/>
        <stp>VOLUME</stp>
        <stp>.NDXP251231P20240</stp>
        <tr r="X148" s="2"/>
      </tp>
      <tp t="s">
        <v>N/A</v>
        <stp/>
        <stp>VOLUME</stp>
        <stp>.NDXP250930P20360</stp>
        <tr r="R142" s="2"/>
      </tp>
      <tp t="e">
        <v>#N/A</v>
        <stp/>
        <stp>VOLUME</stp>
        <stp>.NDXP250606P19560</stp>
        <tr r="J182" s="2"/>
      </tp>
      <tp>
        <v>87</v>
        <stp/>
        <stp>VOLUME</stp>
        <stp>.NDXP250502P20160</stp>
        <tr r="BB151" s="1"/>
        <tr r="BB151" s="1"/>
      </tp>
      <tp t="s">
        <v>N/A</v>
        <stp/>
        <stp>VOLUME</stp>
        <stp>.NDXP250530P20360</stp>
        <tr r="I142" s="2"/>
      </tp>
      <tp t="s">
        <v>N/A</v>
        <stp/>
        <stp>VOLUME</stp>
        <stp>.NDXP250731P20260</stp>
        <tr r="N147" s="2"/>
      </tp>
      <tp>
        <v>6</v>
        <stp/>
        <stp>VOLUME</stp>
        <stp>.NDXP250505P19660</stp>
        <tr r="B177" s="2"/>
        <tr r="B177" s="2"/>
      </tp>
      <tp t="e">
        <v>#N/A</v>
        <stp/>
        <stp>VOLUME</stp>
        <stp>.NDXP250506P19560</stp>
        <tr r="C182" s="2"/>
      </tp>
      <tp t="e">
        <v>#N/A</v>
        <stp/>
        <stp>VOLUME</stp>
        <stp>.NDXP250507P19460</stp>
        <tr r="D187" s="2"/>
      </tp>
      <tp t="s">
        <v>N/A</v>
        <stp/>
        <stp>VOLUME</stp>
        <stp>.NDXP250630P20360</stp>
        <tr r="L142" s="2"/>
      </tp>
      <tp t="e">
        <v>#N/A</v>
        <stp/>
        <stp>VOLUME</stp>
        <stp>.NDXP251031P20260</stp>
        <tr r="T147" s="2"/>
      </tp>
      <tp t="s">
        <v>N/A</v>
        <stp/>
        <stp>VOLUME</stp>
        <stp>.NDXP251231P20260</stp>
        <tr r="X147" s="2"/>
      </tp>
      <tp t="s">
        <v>N/A</v>
        <stp/>
        <stp>VOLUME</stp>
        <stp>.NDXP250930P20300</stp>
        <tr r="R145" s="2"/>
      </tp>
      <tp t="e">
        <v>#N/A</v>
        <stp/>
        <stp>VOLUME</stp>
        <stp>.NDXP250606P19500</stp>
        <tr r="J185" s="2"/>
      </tp>
      <tp>
        <v>486</v>
        <stp/>
        <stp>VOLUME</stp>
        <stp>.NDXP250502P20100</stp>
        <tr r="BB154" s="1"/>
        <tr r="BB154" s="1"/>
      </tp>
      <tp t="e">
        <v>#N/A</v>
        <stp/>
        <stp>VOLUME</stp>
        <stp>.NDXP250507P20400</stp>
        <tr r="D140" s="2"/>
      </tp>
      <tp t="s">
        <v>N/A</v>
        <stp/>
        <stp>VOLUME</stp>
        <stp>.NDXP250530P20300</stp>
        <tr r="I145" s="2"/>
      </tp>
      <tp t="s">
        <v>N/A</v>
        <stp/>
        <stp>VOLUME</stp>
        <stp>.NDXP250731P20200</stp>
        <tr r="N150" s="2"/>
      </tp>
      <tp t="e">
        <v>#N/A</v>
        <stp/>
        <stp>VOLUME</stp>
        <stp>.NDXP250505P19600</stp>
        <tr r="B180" s="2"/>
      </tp>
      <tp t="e">
        <v>#N/A</v>
        <stp/>
        <stp>VOLUME</stp>
        <stp>.NDXP250506P19500</stp>
        <tr r="C185" s="2"/>
      </tp>
      <tp t="e">
        <v>#N/A</v>
        <stp/>
        <stp>VOLUME</stp>
        <stp>.NDXP250507P19400</stp>
        <tr r="D190" s="2"/>
      </tp>
      <tp t="s">
        <v>N/A</v>
        <stp/>
        <stp>VOLUME</stp>
        <stp>.NDXP250630P20300</stp>
        <tr r="L145" s="2"/>
      </tp>
      <tp t="e">
        <v>#N/A</v>
        <stp/>
        <stp>VOLUME</stp>
        <stp>.NDXP251031P20200</stp>
        <tr r="T150" s="2"/>
      </tp>
      <tp t="s">
        <v>N/A</v>
        <stp/>
        <stp>VOLUME</stp>
        <stp>.NDXP251231P20200</stp>
        <tr r="X150" s="2"/>
      </tp>
      <tp t="s">
        <v>N/A</v>
        <stp/>
        <stp>VOLUME</stp>
        <stp>.NDXP250930P20320</stp>
        <tr r="R144" s="2"/>
      </tp>
      <tp t="e">
        <v>#N/A</v>
        <stp/>
        <stp>VOLUME</stp>
        <stp>.NDXP250606P19520</stp>
        <tr r="J184" s="2"/>
      </tp>
      <tp>
        <v>122</v>
        <stp/>
        <stp>VOLUME</stp>
        <stp>.NDXP250502P20120</stp>
        <tr r="BB153" s="1"/>
        <tr r="BB153" s="1"/>
      </tp>
      <tp t="e">
        <v>#N/A</v>
        <stp/>
        <stp>VOLUME</stp>
        <stp>.NDXP250507P20420</stp>
        <tr r="D139" s="2"/>
      </tp>
      <tp t="s">
        <v>N/A</v>
        <stp/>
        <stp>VOLUME</stp>
        <stp>.NDXP250530P20320</stp>
        <tr r="I144" s="2"/>
      </tp>
      <tp t="s">
        <v>N/A</v>
        <stp/>
        <stp>VOLUME</stp>
        <stp>.NDXP250731P20220</stp>
        <tr r="N149" s="2"/>
      </tp>
      <tp t="s">
        <v>N/A</v>
        <stp/>
        <stp>VOLUME</stp>
        <stp>.NDXP250505P19620</stp>
        <tr r="B179" s="2"/>
      </tp>
      <tp t="e">
        <v>#N/A</v>
        <stp/>
        <stp>VOLUME</stp>
        <stp>.NDXP250506P19520</stp>
        <tr r="C184" s="2"/>
      </tp>
      <tp t="e">
        <v>#N/A</v>
        <stp/>
        <stp>VOLUME</stp>
        <stp>.NDXP250507P19420</stp>
        <tr r="D189" s="2"/>
      </tp>
      <tp t="s">
        <v>N/A</v>
        <stp/>
        <stp>VOLUME</stp>
        <stp>.NDXP250630P20320</stp>
        <tr r="L144" s="2"/>
      </tp>
      <tp t="e">
        <v>#N/A</v>
        <stp/>
        <stp>VOLUME</stp>
        <stp>.NDXP251031P20220</stp>
        <tr r="T149" s="2"/>
      </tp>
      <tp t="s">
        <v>N/A</v>
        <stp/>
        <stp>VOLUME</stp>
        <stp>.NDXP251231P20220</stp>
        <tr r="X149" s="2"/>
      </tp>
      <tp t="s">
        <v>N/A</v>
        <stp/>
        <stp>VOLUME</stp>
        <stp>.NDX251219P20280</stp>
        <tr r="W146" s="2"/>
      </tp>
      <tp t="s">
        <v>N/A</v>
        <stp/>
        <stp>VOLUME</stp>
        <stp>.NDX250919P20280</stp>
        <tr r="Q146" s="2"/>
      </tp>
      <tp t="s">
        <v>N/A</v>
        <stp/>
        <stp>VOLUME</stp>
        <stp>.NDX250718P20380</stp>
        <tr r="M141" s="2"/>
      </tp>
      <tp t="e">
        <v>#N/A</v>
        <stp/>
        <stp>VOLUME</stp>
        <stp>.NDX250523P19880</stp>
        <tr r="H166" s="2"/>
      </tp>
      <tp t="e">
        <v>#N/A</v>
        <stp/>
        <stp>IMPL_VOL</stp>
        <stp>.NDXP250509C19660</stp>
        <tr r="EN176" s="1"/>
      </tp>
      <tp t="e">
        <v>#N/A</v>
        <stp/>
        <stp>IMPL_VOL</stp>
        <stp>.NDXP250509C19640</stp>
        <tr r="EN177" s="1"/>
      </tp>
      <tp t="e">
        <v>#N/A</v>
        <stp/>
        <stp>IMPL_VOL</stp>
        <stp>.NDXP250509C19620</stp>
        <tr r="EN178" s="1"/>
      </tp>
      <tp t="e">
        <v>#N/A</v>
        <stp/>
        <stp>IMPL_VOL</stp>
        <stp>.NDXP250509C19600</stp>
        <tr r="EN179" s="1"/>
      </tp>
      <tp t="s">
        <v>N/A</v>
        <stp/>
        <stp>VOLUME</stp>
        <stp>.NDX251219P20200</stp>
        <tr r="W150" s="2"/>
      </tp>
      <tp t="s">
        <v>N/A</v>
        <stp/>
        <stp>VOLUME</stp>
        <stp>.NDX250919P20200</stp>
        <tr r="Q150" s="2"/>
      </tp>
      <tp t="s">
        <v>N/A</v>
        <stp/>
        <stp>VOLUME</stp>
        <stp>.NDX250718P20300</stp>
        <tr r="M145" s="2"/>
      </tp>
      <tp t="e">
        <v>#N/A</v>
        <stp/>
        <stp>VOLUME</stp>
        <stp>.NDX250523P19800</stp>
        <tr r="H170" s="2"/>
      </tp>
      <tp t="s">
        <v>N/A</v>
        <stp/>
        <stp>VOLUME</stp>
        <stp>.NDX251219P20220</stp>
        <tr r="W149" s="2"/>
      </tp>
      <tp t="s">
        <v>N/A</v>
        <stp/>
        <stp>VOLUME</stp>
        <stp>.NDX250919P20220</stp>
        <tr r="Q149" s="2"/>
      </tp>
      <tp t="s">
        <v>N/A</v>
        <stp/>
        <stp>VOLUME</stp>
        <stp>.NDX250718P20320</stp>
        <tr r="M144" s="2"/>
      </tp>
      <tp t="e">
        <v>#N/A</v>
        <stp/>
        <stp>VOLUME</stp>
        <stp>.NDX250523P19820</stp>
        <tr r="H169" s="2"/>
      </tp>
      <tp t="s">
        <v>N/A</v>
        <stp/>
        <stp>VOLUME</stp>
        <stp>.NDX251219P20240</stp>
        <tr r="W148" s="2"/>
      </tp>
      <tp t="s">
        <v>N/A</v>
        <stp/>
        <stp>VOLUME</stp>
        <stp>.NDX250919P20240</stp>
        <tr r="Q148" s="2"/>
      </tp>
      <tp t="s">
        <v>N/A</v>
        <stp/>
        <stp>VOLUME</stp>
        <stp>.NDX250718P20340</stp>
        <tr r="M143" s="2"/>
      </tp>
      <tp t="e">
        <v>#N/A</v>
        <stp/>
        <stp>VOLUME</stp>
        <stp>.NDX250523P19840</stp>
        <tr r="H168" s="2"/>
      </tp>
      <tp t="s">
        <v>N/A</v>
        <stp/>
        <stp>VOLUME</stp>
        <stp>.NDX251219P20260</stp>
        <tr r="W147" s="2"/>
      </tp>
      <tp t="s">
        <v>N/A</v>
        <stp/>
        <stp>VOLUME</stp>
        <stp>.NDX250919P20260</stp>
        <tr r="Q147" s="2"/>
      </tp>
      <tp t="s">
        <v>N/A</v>
        <stp/>
        <stp>VOLUME</stp>
        <stp>.NDX250718P20360</stp>
        <tr r="M142" s="2"/>
      </tp>
      <tp t="e">
        <v>#N/A</v>
        <stp/>
        <stp>VOLUME</stp>
        <stp>.NDX250523P19860</stp>
        <tr r="H167" s="2"/>
      </tp>
      <tp t="e">
        <v>#N/A</v>
        <stp/>
        <stp>IMPL_VOL</stp>
        <stp>.NDXP250509C19680</stp>
        <tr r="EN175" s="1"/>
      </tp>
      <tp t="e">
        <v>#N/A</v>
        <stp/>
        <stp>IMPL_VOL</stp>
        <stp>.NDXP250509P19640</stp>
        <tr r="EO177" s="1"/>
      </tp>
      <tp t="s">
        <v>N/A</v>
        <stp/>
        <stp>VOLUME</stp>
        <stp>.NDX250919C20280</stp>
        <tr r="Q146" s="2"/>
      </tp>
      <tp t="s">
        <v>N/A</v>
        <stp/>
        <stp>VOLUME</stp>
        <stp>.NDX250718C20380</stp>
        <tr r="M141" s="2"/>
      </tp>
      <tp t="e">
        <v>#N/A</v>
        <stp/>
        <stp>VOLUME</stp>
        <stp>.NDX250523C19880</stp>
        <tr r="H166" s="2"/>
      </tp>
      <tp t="e">
        <v>#N/A</v>
        <stp/>
        <stp>IMPL_VOL</stp>
        <stp>.NDXP250509P19660</stp>
        <tr r="EO176" s="1"/>
      </tp>
      <tp t="s">
        <v>N/A</v>
        <stp/>
        <stp>VOLUME</stp>
        <stp>.NDX251219C20280</stp>
        <tr r="W146" s="2"/>
      </tp>
      <tp t="e">
        <v>#N/A</v>
        <stp/>
        <stp>IMPL_VOL</stp>
        <stp>.NDXP250509P19600</stp>
        <tr r="EO179" s="1"/>
      </tp>
      <tp t="e">
        <v>#N/A</v>
        <stp/>
        <stp>IMPL_VOL</stp>
        <stp>.NDXP250509P19620</stp>
        <tr r="EO178" s="1"/>
      </tp>
      <tp t="s">
        <v>N/A</v>
        <stp/>
        <stp>VOLUME</stp>
        <stp>.NDX250919C20220</stp>
        <tr r="Q149" s="2"/>
      </tp>
      <tp t="s">
        <v>N/A</v>
        <stp/>
        <stp>VOLUME</stp>
        <stp>.NDX250718C20320</stp>
        <tr r="M144" s="2"/>
      </tp>
      <tp t="e">
        <v>#N/A</v>
        <stp/>
        <stp>VOLUME</stp>
        <stp>.NDX250523C19820</stp>
        <tr r="H169" s="2"/>
      </tp>
      <tp t="s">
        <v>N/A</v>
        <stp/>
        <stp>VOLUME</stp>
        <stp>.NDX251219C20220</stp>
        <tr r="W149" s="2"/>
      </tp>
      <tp t="s">
        <v>N/A</v>
        <stp/>
        <stp>VOLUME</stp>
        <stp>.NDX250919C20200</stp>
        <tr r="Q150" s="2"/>
      </tp>
      <tp t="s">
        <v>N/A</v>
        <stp/>
        <stp>VOLUME</stp>
        <stp>.NDX250718C20300</stp>
        <tr r="M145" s="2"/>
      </tp>
      <tp t="e">
        <v>#N/A</v>
        <stp/>
        <stp>VOLUME</stp>
        <stp>.NDX250523C19800</stp>
        <tr r="H170" s="2"/>
      </tp>
      <tp t="s">
        <v>N/A</v>
        <stp/>
        <stp>VOLUME</stp>
        <stp>.NDX251219C20200</stp>
        <tr r="W150" s="2"/>
      </tp>
      <tp t="s">
        <v>N/A</v>
        <stp/>
        <stp>VOLUME</stp>
        <stp>.NDX250919C20260</stp>
        <tr r="Q147" s="2"/>
      </tp>
      <tp t="s">
        <v>N/A</v>
        <stp/>
        <stp>VOLUME</stp>
        <stp>.NDX250718C20360</stp>
        <tr r="M142" s="2"/>
      </tp>
      <tp t="e">
        <v>#N/A</v>
        <stp/>
        <stp>VOLUME</stp>
        <stp>.NDX250523C19860</stp>
        <tr r="H167" s="2"/>
      </tp>
      <tp t="e">
        <v>#N/A</v>
        <stp/>
        <stp>IMPL_VOL</stp>
        <stp>.NDXP250509P19680</stp>
        <tr r="EO175" s="1"/>
      </tp>
      <tp t="s">
        <v>N/A</v>
        <stp/>
        <stp>VOLUME</stp>
        <stp>.NDX251219C20260</stp>
        <tr r="W147" s="2"/>
      </tp>
      <tp t="s">
        <v>N/A</v>
        <stp/>
        <stp>VOLUME</stp>
        <stp>.NDX250919C20240</stp>
        <tr r="Q148" s="2"/>
      </tp>
      <tp t="s">
        <v>N/A</v>
        <stp/>
        <stp>VOLUME</stp>
        <stp>.NDX250718C20340</stp>
        <tr r="M143" s="2"/>
      </tp>
      <tp t="e">
        <v>#N/A</v>
        <stp/>
        <stp>VOLUME</stp>
        <stp>.NDX250523C19840</stp>
        <tr r="H168" s="2"/>
      </tp>
      <tp t="s">
        <v>N/A</v>
        <stp/>
        <stp>VOLUME</stp>
        <stp>.NDX251219C20240</stp>
        <tr r="W148" s="2"/>
      </tp>
      <tp t="s">
        <v>N/A</v>
        <stp/>
        <stp>VOLUME</stp>
        <stp>.NDX251219P20380</stp>
        <tr r="W141" s="2"/>
      </tp>
      <tp t="s">
        <v>N/A</v>
        <stp/>
        <stp>VOLUME</stp>
        <stp>.NDX250919P20380</stp>
        <tr r="Q141" s="2"/>
      </tp>
      <tp t="s">
        <v>N/A</v>
        <stp/>
        <stp>VOLUME</stp>
        <stp>.NDX250718P20280</stp>
        <tr r="M146" s="2"/>
      </tp>
      <tp t="e">
        <v>#N/A</v>
        <stp/>
        <stp>VOLUME</stp>
        <stp>.NDX250523P19980</stp>
        <tr r="H161" s="2"/>
      </tp>
      <tp t="e">
        <v>#N/A</v>
        <stp/>
        <stp>IMPL_VOL</stp>
        <stp>.NDXP250509C19760</stp>
        <tr r="EN171" s="1"/>
      </tp>
      <tp t="e">
        <v>#N/A</v>
        <stp/>
        <stp>IMPL_VOL</stp>
        <stp>.NDXP250509C19740</stp>
        <tr r="EN172" s="1"/>
      </tp>
      <tp t="e">
        <v>#N/A</v>
        <stp/>
        <stp>IMPL_VOL</stp>
        <stp>.NDXP250509C19720</stp>
        <tr r="EN173" s="1"/>
      </tp>
      <tp t="e">
        <v>#N/A</v>
        <stp/>
        <stp>IMPL_VOL</stp>
        <stp>.NDXP250509C19700</stp>
        <tr r="EN174" s="1"/>
      </tp>
      <tp t="s">
        <v>N/A</v>
        <stp/>
        <stp>VOLUME</stp>
        <stp>.NDX251219P20300</stp>
        <tr r="W145" s="2"/>
      </tp>
      <tp t="s">
        <v>N/A</v>
        <stp/>
        <stp>VOLUME</stp>
        <stp>.NDX250919P20300</stp>
        <tr r="Q145" s="2"/>
      </tp>
      <tp t="s">
        <v>N/A</v>
        <stp/>
        <stp>VOLUME</stp>
        <stp>.NDX250718P20200</stp>
        <tr r="M150" s="2"/>
      </tp>
      <tp t="e">
        <v>#N/A</v>
        <stp/>
        <stp>VOLUME</stp>
        <stp>.NDX250523P19900</stp>
        <tr r="H165" s="2"/>
      </tp>
      <tp t="s">
        <v>N/A</v>
        <stp/>
        <stp>VOLUME</stp>
        <stp>.NDX251219P20320</stp>
        <tr r="W144" s="2"/>
      </tp>
      <tp t="s">
        <v>N/A</v>
        <stp/>
        <stp>VOLUME</stp>
        <stp>.NDX250919P20320</stp>
        <tr r="Q144" s="2"/>
      </tp>
      <tp t="s">
        <v>N/A</v>
        <stp/>
        <stp>VOLUME</stp>
        <stp>.NDX250718P20220</stp>
        <tr r="M149" s="2"/>
      </tp>
      <tp t="e">
        <v>#N/A</v>
        <stp/>
        <stp>VOLUME</stp>
        <stp>.NDX250523P19920</stp>
        <tr r="H164" s="2"/>
      </tp>
      <tp t="s">
        <v>N/A</v>
        <stp/>
        <stp>VOLUME</stp>
        <stp>.NDX251219P20340</stp>
        <tr r="W143" s="2"/>
      </tp>
      <tp t="s">
        <v>N/A</v>
        <stp/>
        <stp>VOLUME</stp>
        <stp>.NDX250919P20340</stp>
        <tr r="Q143" s="2"/>
      </tp>
      <tp t="s">
        <v>N/A</v>
        <stp/>
        <stp>VOLUME</stp>
        <stp>.NDX250718P20240</stp>
        <tr r="M148" s="2"/>
      </tp>
      <tp t="e">
        <v>#N/A</v>
        <stp/>
        <stp>VOLUME</stp>
        <stp>.NDX250523P19940</stp>
        <tr r="H163" s="2"/>
      </tp>
      <tp t="s">
        <v>N/A</v>
        <stp/>
        <stp>VOLUME</stp>
        <stp>.NDX251219P20360</stp>
        <tr r="W142" s="2"/>
      </tp>
      <tp t="s">
        <v>N/A</v>
        <stp/>
        <stp>VOLUME</stp>
        <stp>.NDX250919P20360</stp>
        <tr r="Q142" s="2"/>
      </tp>
      <tp t="s">
        <v>N/A</v>
        <stp/>
        <stp>VOLUME</stp>
        <stp>.NDX250718P20260</stp>
        <tr r="M147" s="2"/>
      </tp>
      <tp t="e">
        <v>#N/A</v>
        <stp/>
        <stp>VOLUME</stp>
        <stp>.NDX250523P19960</stp>
        <tr r="H162" s="2"/>
      </tp>
      <tp t="e">
        <v>#N/A</v>
        <stp/>
        <stp>IMPL_VOL</stp>
        <stp>.NDXP250509C19780</stp>
        <tr r="EN170" s="1"/>
      </tp>
      <tp t="e">
        <v>#N/A</v>
        <stp/>
        <stp>IMPL_VOL</stp>
        <stp>.NDXP250509P19740</stp>
        <tr r="EO172" s="1"/>
      </tp>
      <tp t="s">
        <v>N/A</v>
        <stp/>
        <stp>VOLUME</stp>
        <stp>.NDX250919C20380</stp>
        <tr r="Q141" s="2"/>
      </tp>
      <tp t="s">
        <v>N/A</v>
        <stp/>
        <stp>VOLUME</stp>
        <stp>.NDX250718C20280</stp>
        <tr r="M146" s="2"/>
      </tp>
      <tp t="e">
        <v>#N/A</v>
        <stp/>
        <stp>VOLUME</stp>
        <stp>.NDX250523C19980</stp>
        <tr r="H161" s="2"/>
      </tp>
      <tp t="e">
        <v>#N/A</v>
        <stp/>
        <stp>IMPL_VOL</stp>
        <stp>.NDXP250509P19760</stp>
        <tr r="EO171" s="1"/>
      </tp>
      <tp t="s">
        <v>N/A</v>
        <stp/>
        <stp>VOLUME</stp>
        <stp>.NDX251219C20380</stp>
        <tr r="W141" s="2"/>
      </tp>
      <tp t="e">
        <v>#N/A</v>
        <stp/>
        <stp>IMPL_VOL</stp>
        <stp>.NDXP250509P19700</stp>
        <tr r="EO174" s="1"/>
      </tp>
      <tp t="e">
        <v>#N/A</v>
        <stp/>
        <stp>IMPL_VOL</stp>
        <stp>.NDXP250509P19720</stp>
        <tr r="EO173" s="1"/>
      </tp>
      <tp t="s">
        <v>N/A</v>
        <stp/>
        <stp>VOLUME</stp>
        <stp>.NDX250919C20320</stp>
        <tr r="Q144" s="2"/>
      </tp>
      <tp t="s">
        <v>N/A</v>
        <stp/>
        <stp>VOLUME</stp>
        <stp>.NDX250718C20220</stp>
        <tr r="M149" s="2"/>
      </tp>
      <tp t="e">
        <v>#N/A</v>
        <stp/>
        <stp>VOLUME</stp>
        <stp>.NDX250523C19920</stp>
        <tr r="H164" s="2"/>
      </tp>
      <tp t="s">
        <v>N/A</v>
        <stp/>
        <stp>VOLUME</stp>
        <stp>.NDX251219C20320</stp>
        <tr r="W144" s="2"/>
      </tp>
      <tp>
        <v>1</v>
        <stp/>
        <stp>VOLUME</stp>
        <stp>.NDX250919C20300</stp>
        <tr r="Q145" s="2"/>
        <tr r="Q145" s="2"/>
      </tp>
      <tp t="s">
        <v>N/A</v>
        <stp/>
        <stp>VOLUME</stp>
        <stp>.NDX250718C20200</stp>
        <tr r="M150" s="2"/>
      </tp>
      <tp t="e">
        <v>#N/A</v>
        <stp/>
        <stp>VOLUME</stp>
        <stp>.NDX250523C19900</stp>
        <tr r="H165" s="2"/>
      </tp>
      <tp t="s">
        <v>N/A</v>
        <stp/>
        <stp>VOLUME</stp>
        <stp>.NDX251219C20300</stp>
        <tr r="W145" s="2"/>
      </tp>
      <tp t="s">
        <v>N/A</v>
        <stp/>
        <stp>VOLUME</stp>
        <stp>.NDX250919C20360</stp>
        <tr r="Q142" s="2"/>
      </tp>
      <tp t="s">
        <v>N/A</v>
        <stp/>
        <stp>VOLUME</stp>
        <stp>.NDX250718C20260</stp>
        <tr r="M147" s="2"/>
      </tp>
      <tp t="e">
        <v>#N/A</v>
        <stp/>
        <stp>VOLUME</stp>
        <stp>.NDX250523C19960</stp>
        <tr r="H162" s="2"/>
      </tp>
      <tp t="e">
        <v>#N/A</v>
        <stp/>
        <stp>IMPL_VOL</stp>
        <stp>.NDXP250509P19780</stp>
        <tr r="EO170" s="1"/>
      </tp>
      <tp t="s">
        <v>N/A</v>
        <stp/>
        <stp>VOLUME</stp>
        <stp>.NDX251219C20360</stp>
        <tr r="W142" s="2"/>
      </tp>
      <tp t="s">
        <v>N/A</v>
        <stp/>
        <stp>VOLUME</stp>
        <stp>.NDX250919C20340</stp>
        <tr r="Q143" s="2"/>
      </tp>
      <tp t="s">
        <v>N/A</v>
        <stp/>
        <stp>VOLUME</stp>
        <stp>.NDX250718C20240</stp>
        <tr r="M148" s="2"/>
      </tp>
      <tp t="e">
        <v>#N/A</v>
        <stp/>
        <stp>VOLUME</stp>
        <stp>.NDX250523C19940</stp>
        <tr r="H163" s="2"/>
      </tp>
      <tp t="s">
        <v>N/A</v>
        <stp/>
        <stp>VOLUME</stp>
        <stp>.NDX251219C20340</stp>
        <tr r="W143" s="2"/>
      </tp>
      <tp t="s">
        <v>N/A</v>
        <stp/>
        <stp>VOLUME</stp>
        <stp>.NDX251121P19880</stp>
        <tr r="U166" s="2"/>
      </tp>
      <tp t="s">
        <v>N/A</v>
        <stp/>
        <stp>VOLUME</stp>
        <stp>.NDX251219P20080</stp>
        <tr r="W156" s="2"/>
      </tp>
      <tp t="s">
        <v>N/A</v>
        <stp/>
        <stp>VOLUME</stp>
        <stp>.NDX250919P20080</stp>
        <tr r="Q156" s="2"/>
      </tp>
      <tp t="s">
        <v>N/A</v>
        <stp/>
        <stp>VOLUME</stp>
        <stp>.NDX250718P20180</stp>
        <tr r="M151" s="2"/>
      </tp>
      <tp t="s">
        <v>N/A</v>
        <stp/>
        <stp>VOLUME</stp>
        <stp>.NDX250620P19980</stp>
        <tr r="K161" s="2"/>
      </tp>
      <tp t="e">
        <v>#N/A</v>
        <stp/>
        <stp>IMPL_VOL</stp>
        <stp>.NDXP250509C19460</stp>
        <tr r="EN186" s="1"/>
      </tp>
      <tp t="e">
        <v>#N/A</v>
        <stp/>
        <stp>IMPL_VOL</stp>
        <stp>.NDXP250509C20440</stp>
        <tr r="EN137" s="1"/>
      </tp>
      <tp t="e">
        <v>#N/A</v>
        <stp/>
        <stp>IMPL_VOL</stp>
        <stp>.NDXP250509C19440</stp>
        <tr r="EN187" s="1"/>
      </tp>
      <tp t="e">
        <v>#N/A</v>
        <stp/>
        <stp>IMPL_VOL</stp>
        <stp>.NDXP250509C20420</stp>
        <tr r="EN138" s="1"/>
      </tp>
      <tp t="e">
        <v>#N/A</v>
        <stp/>
        <stp>IMPL_VOL</stp>
        <stp>.NDXP250509C19420</stp>
        <tr r="EN188" s="1"/>
      </tp>
      <tp t="e">
        <v>#N/A</v>
        <stp/>
        <stp>IMPL_VOL</stp>
        <stp>.NDXP250509C20400</stp>
        <tr r="EN139" s="1"/>
      </tp>
      <tp t="e">
        <v>#N/A</v>
        <stp/>
        <stp>IMPL_VOL</stp>
        <stp>.NDXP250509C19400</stp>
        <tr r="EN189" s="1"/>
      </tp>
      <tp t="s">
        <v>N/A</v>
        <stp/>
        <stp>VOLUME</stp>
        <stp>.NDX251121P19800</stp>
        <tr r="U170" s="2"/>
      </tp>
      <tp>
        <v>281</v>
        <stp/>
        <stp>VOLUME</stp>
        <stp>.NDX251219P20000</stp>
        <tr r="W160" s="2"/>
        <tr r="W160" s="2"/>
      </tp>
      <tp>
        <v>7</v>
        <stp/>
        <stp>VOLUME</stp>
        <stp>.NDX250919P20000</stp>
        <tr r="Q160" s="2"/>
        <tr r="Q160" s="2"/>
      </tp>
      <tp>
        <v>11</v>
        <stp/>
        <stp>VOLUME</stp>
        <stp>.NDX250718P20100</stp>
        <tr r="M155" s="2"/>
        <tr r="M155" s="2"/>
      </tp>
      <tp>
        <v>12</v>
        <stp/>
        <stp>VOLUME</stp>
        <stp>.NDX250620P19900</stp>
        <tr r="K165" s="2"/>
        <tr r="K165" s="2"/>
      </tp>
      <tp t="s">
        <v>N/A</v>
        <stp/>
        <stp>VOLUME</stp>
        <stp>.NDX251121P19820</stp>
        <tr r="U169" s="2"/>
      </tp>
      <tp t="s">
        <v>N/A</v>
        <stp/>
        <stp>VOLUME</stp>
        <stp>.NDX251219P20020</stp>
        <tr r="W159" s="2"/>
      </tp>
      <tp t="s">
        <v>N/A</v>
        <stp/>
        <stp>VOLUME</stp>
        <stp>.NDX250919P20020</stp>
        <tr r="Q159" s="2"/>
      </tp>
      <tp t="s">
        <v>N/A</v>
        <stp/>
        <stp>VOLUME</stp>
        <stp>.NDX250718P20120</stp>
        <tr r="M154" s="2"/>
      </tp>
      <tp t="s">
        <v>N/A</v>
        <stp/>
        <stp>VOLUME</stp>
        <stp>.NDX250620P19920</stp>
        <tr r="K164" s="2"/>
      </tp>
      <tp t="s">
        <v>N/A</v>
        <stp/>
        <stp>VOLUME</stp>
        <stp>.NDX251121P19840</stp>
        <tr r="U168" s="2"/>
      </tp>
      <tp t="s">
        <v>N/A</v>
        <stp/>
        <stp>VOLUME</stp>
        <stp>.NDX251219P20040</stp>
        <tr r="W158" s="2"/>
      </tp>
      <tp t="s">
        <v>N/A</v>
        <stp/>
        <stp>VOLUME</stp>
        <stp>.NDX250919P20040</stp>
        <tr r="Q158" s="2"/>
      </tp>
      <tp t="s">
        <v>N/A</v>
        <stp/>
        <stp>VOLUME</stp>
        <stp>.NDX250718P20140</stp>
        <tr r="M153" s="2"/>
      </tp>
      <tp t="s">
        <v>N/A</v>
        <stp/>
        <stp>VOLUME</stp>
        <stp>.NDX250620P19940</stp>
        <tr r="K163" s="2"/>
      </tp>
      <tp t="s">
        <v>N/A</v>
        <stp/>
        <stp>VOLUME</stp>
        <stp>.NDX251121P19860</stp>
        <tr r="U167" s="2"/>
      </tp>
      <tp t="s">
        <v>N/A</v>
        <stp/>
        <stp>VOLUME</stp>
        <stp>.NDX251219P20060</stp>
        <tr r="W157" s="2"/>
      </tp>
      <tp t="s">
        <v>N/A</v>
        <stp/>
        <stp>VOLUME</stp>
        <stp>.NDX250919P20060</stp>
        <tr r="Q157" s="2"/>
      </tp>
      <tp t="s">
        <v>N/A</v>
        <stp/>
        <stp>VOLUME</stp>
        <stp>.NDX250718P20160</stp>
        <tr r="M152" s="2"/>
      </tp>
      <tp t="s">
        <v>N/A</v>
        <stp/>
        <stp>VOLUME</stp>
        <stp>.NDX250620P19960</stp>
        <tr r="K162" s="2"/>
      </tp>
      <tp t="e">
        <v>#N/A</v>
        <stp/>
        <stp>IMPL_VOL</stp>
        <stp>.NDXP250509C19480</stp>
        <tr r="EN185" s="1"/>
      </tp>
      <tp t="e">
        <v>#N/A</v>
        <stp/>
        <stp>IMPL_VOL</stp>
        <stp>.NDXP250509P20440</stp>
        <tr r="EO137" s="1"/>
      </tp>
      <tp t="e">
        <v>#N/A</v>
        <stp/>
        <stp>IMPL_VOL</stp>
        <stp>.NDXP250509P19440</stp>
        <tr r="EO187" s="1"/>
      </tp>
      <tp t="s">
        <v>N/A</v>
        <stp/>
        <stp>VOLUME</stp>
        <stp>.NDX250919C20080</stp>
        <tr r="Q156" s="2"/>
      </tp>
      <tp t="s">
        <v>N/A</v>
        <stp/>
        <stp>VOLUME</stp>
        <stp>.NDX250718C20180</stp>
        <tr r="M151" s="2"/>
      </tp>
      <tp t="s">
        <v>N/A</v>
        <stp/>
        <stp>VOLUME</stp>
        <stp>.NDX250620C19980</stp>
        <tr r="K161" s="2"/>
      </tp>
      <tp t="e">
        <v>#N/A</v>
        <stp/>
        <stp>IMPL_VOL</stp>
        <stp>.NDXP250509P19460</stp>
        <tr r="EO186" s="1"/>
      </tp>
      <tp t="s">
        <v>N/A</v>
        <stp/>
        <stp>VOLUME</stp>
        <stp>.NDX251121C19880</stp>
        <tr r="U166" s="2"/>
      </tp>
      <tp t="s">
        <v>N/A</v>
        <stp/>
        <stp>VOLUME</stp>
        <stp>.NDX251219C20080</stp>
        <tr r="W156" s="2"/>
      </tp>
      <tp t="e">
        <v>#N/A</v>
        <stp/>
        <stp>IMPL_VOL</stp>
        <stp>.NDXP250509P20400</stp>
        <tr r="EO139" s="1"/>
      </tp>
      <tp t="e">
        <v>#N/A</v>
        <stp/>
        <stp>IMPL_VOL</stp>
        <stp>.NDXP250509P19400</stp>
        <tr r="EO189" s="1"/>
      </tp>
      <tp t="e">
        <v>#N/A</v>
        <stp/>
        <stp>IMPL_VOL</stp>
        <stp>.NDXP250509P20420</stp>
        <tr r="EO138" s="1"/>
      </tp>
      <tp t="e">
        <v>#N/A</v>
        <stp/>
        <stp>IMPL_VOL</stp>
        <stp>.NDXP250509P19420</stp>
        <tr r="EO188" s="1"/>
      </tp>
      <tp t="s">
        <v>N/A</v>
        <stp/>
        <stp>VOLUME</stp>
        <stp>.NDX250919C20020</stp>
        <tr r="Q159" s="2"/>
      </tp>
      <tp t="s">
        <v>N/A</v>
        <stp/>
        <stp>VOLUME</stp>
        <stp>.NDX250718C20120</stp>
        <tr r="M154" s="2"/>
      </tp>
      <tp t="s">
        <v>N/A</v>
        <stp/>
        <stp>VOLUME</stp>
        <stp>.NDX250620C19920</stp>
        <tr r="K164" s="2"/>
      </tp>
      <tp t="s">
        <v>N/A</v>
        <stp/>
        <stp>VOLUME</stp>
        <stp>.NDX251121C19820</stp>
        <tr r="U169" s="2"/>
      </tp>
      <tp t="s">
        <v>N/A</v>
        <stp/>
        <stp>VOLUME</stp>
        <stp>.NDX251219C20020</stp>
        <tr r="W159" s="2"/>
      </tp>
      <tp>
        <v>610</v>
        <stp/>
        <stp>VOLUME</stp>
        <stp>.NDX250919C20000</stp>
        <tr r="Q160" s="2"/>
        <tr r="Q160" s="2"/>
      </tp>
      <tp>
        <v>8</v>
        <stp/>
        <stp>VOLUME</stp>
        <stp>.NDX250718C20100</stp>
        <tr r="M155" s="2"/>
        <tr r="M155" s="2"/>
      </tp>
      <tp>
        <v>1</v>
        <stp/>
        <stp>VOLUME</stp>
        <stp>.NDX250620C19900</stp>
        <tr r="K165" s="2"/>
        <tr r="K165" s="2"/>
      </tp>
      <tp t="s">
        <v>N/A</v>
        <stp/>
        <stp>VOLUME</stp>
        <stp>.NDX251121C19800</stp>
        <tr r="U170" s="2"/>
      </tp>
      <tp>
        <v>362</v>
        <stp/>
        <stp>VOLUME</stp>
        <stp>.NDX251219C20000</stp>
        <tr r="W160" s="2"/>
        <tr r="W160" s="2"/>
      </tp>
      <tp t="s">
        <v>N/A</v>
        <stp/>
        <stp>VOLUME</stp>
        <stp>.NDX250919C20060</stp>
        <tr r="Q157" s="2"/>
      </tp>
      <tp t="s">
        <v>N/A</v>
        <stp/>
        <stp>VOLUME</stp>
        <stp>.NDX250718C20160</stp>
        <tr r="M152" s="2"/>
      </tp>
      <tp t="s">
        <v>N/A</v>
        <stp/>
        <stp>VOLUME</stp>
        <stp>.NDX250620C19960</stp>
        <tr r="K162" s="2"/>
      </tp>
      <tp t="e">
        <v>#N/A</v>
        <stp/>
        <stp>IMPL_VOL</stp>
        <stp>.NDXP250509P19480</stp>
        <tr r="EO185" s="1"/>
      </tp>
      <tp t="s">
        <v>N/A</v>
        <stp/>
        <stp>VOLUME</stp>
        <stp>.NDX251121C19860</stp>
        <tr r="U167" s="2"/>
      </tp>
      <tp t="s">
        <v>N/A</v>
        <stp/>
        <stp>VOLUME</stp>
        <stp>.NDX251219C20060</stp>
        <tr r="W157" s="2"/>
      </tp>
      <tp t="s">
        <v>N/A</v>
        <stp/>
        <stp>VOLUME</stp>
        <stp>.NDX250919C20040</stp>
        <tr r="Q158" s="2"/>
      </tp>
      <tp t="s">
        <v>N/A</v>
        <stp/>
        <stp>VOLUME</stp>
        <stp>.NDX250718C20140</stp>
        <tr r="M153" s="2"/>
      </tp>
      <tp t="s">
        <v>N/A</v>
        <stp/>
        <stp>VOLUME</stp>
        <stp>.NDX250620C19940</stp>
        <tr r="K163" s="2"/>
      </tp>
      <tp t="s">
        <v>N/A</v>
        <stp/>
        <stp>VOLUME</stp>
        <stp>.NDX251121C19840</stp>
        <tr r="U168" s="2"/>
      </tp>
      <tp t="s">
        <v>N/A</v>
        <stp/>
        <stp>VOLUME</stp>
        <stp>.NDX251219C20040</stp>
        <tr r="W158" s="2"/>
      </tp>
      <tp t="s">
        <v>N/A</v>
        <stp/>
        <stp>VOLUME</stp>
        <stp>.NDX251121P19980</stp>
        <tr r="U161" s="2"/>
      </tp>
      <tp t="s">
        <v>N/A</v>
        <stp/>
        <stp>VOLUME</stp>
        <stp>.NDX251219P20180</stp>
        <tr r="W151" s="2"/>
      </tp>
      <tp t="s">
        <v>N/A</v>
        <stp/>
        <stp>VOLUME</stp>
        <stp>.NDX250919P20180</stp>
        <tr r="Q151" s="2"/>
      </tp>
      <tp t="s">
        <v>N/A</v>
        <stp/>
        <stp>VOLUME</stp>
        <stp>.NDX250718P20080</stp>
        <tr r="M156" s="2"/>
      </tp>
      <tp t="s">
        <v>N/A</v>
        <stp/>
        <stp>VOLUME</stp>
        <stp>.NDX250620P19880</stp>
        <tr r="K166" s="2"/>
      </tp>
      <tp t="e">
        <v>#N/A</v>
        <stp/>
        <stp>IMPL_VOL</stp>
        <stp>.NDXP250509C19560</stp>
        <tr r="EN181" s="1"/>
      </tp>
      <tp t="e">
        <v>#N/A</v>
        <stp/>
        <stp>IMPL_VOL</stp>
        <stp>.NDXP250509C19540</stp>
        <tr r="EN182" s="1"/>
      </tp>
      <tp t="e">
        <v>#N/A</v>
        <stp/>
        <stp>IMPL_VOL</stp>
        <stp>.NDXP250509C19520</stp>
        <tr r="EN183" s="1"/>
      </tp>
      <tp t="e">
        <v>#N/A</v>
        <stp/>
        <stp>IMPL_VOL</stp>
        <stp>.NDXP250509C19500</stp>
        <tr r="EN184" s="1"/>
      </tp>
      <tp t="s">
        <v>N/A</v>
        <stp/>
        <stp>VOLUME</stp>
        <stp>.NDX251121P19900</stp>
        <tr r="U165" s="2"/>
      </tp>
      <tp>
        <v>2</v>
        <stp/>
        <stp>VOLUME</stp>
        <stp>.NDX251219P20100</stp>
        <tr r="W155" s="2"/>
        <tr r="W155" s="2"/>
      </tp>
      <tp>
        <v>8</v>
        <stp/>
        <stp>VOLUME</stp>
        <stp>.NDX250919P20100</stp>
        <tr r="Q155" s="2"/>
        <tr r="Q155" s="2"/>
      </tp>
      <tp>
        <v>2</v>
        <stp/>
        <stp>VOLUME</stp>
        <stp>.NDX250718P20000</stp>
        <tr r="M160" s="2"/>
        <tr r="M160" s="2"/>
      </tp>
      <tp t="s">
        <v>N/A</v>
        <stp/>
        <stp>VOLUME</stp>
        <stp>.NDX250620P19800</stp>
        <tr r="K170" s="2"/>
      </tp>
      <tp t="s">
        <v>N/A</v>
        <stp/>
        <stp>VOLUME</stp>
        <stp>.NDX251121P19920</stp>
        <tr r="U164" s="2"/>
      </tp>
      <tp t="s">
        <v>N/A</v>
        <stp/>
        <stp>VOLUME</stp>
        <stp>.NDX251219P20120</stp>
        <tr r="W154" s="2"/>
      </tp>
      <tp t="s">
        <v>N/A</v>
        <stp/>
        <stp>VOLUME</stp>
        <stp>.NDX250919P20120</stp>
        <tr r="Q154" s="2"/>
      </tp>
      <tp t="s">
        <v>N/A</v>
        <stp/>
        <stp>VOLUME</stp>
        <stp>.NDX250718P20020</stp>
        <tr r="M159" s="2"/>
      </tp>
      <tp t="s">
        <v>N/A</v>
        <stp/>
        <stp>VOLUME</stp>
        <stp>.NDX250620P19820</stp>
        <tr r="K169" s="2"/>
      </tp>
      <tp t="s">
        <v>N/A</v>
        <stp/>
        <stp>VOLUME</stp>
        <stp>.NDX251121P19940</stp>
        <tr r="U163" s="2"/>
      </tp>
      <tp t="s">
        <v>N/A</v>
        <stp/>
        <stp>VOLUME</stp>
        <stp>.NDX251219P20140</stp>
        <tr r="W153" s="2"/>
      </tp>
      <tp t="s">
        <v>N/A</v>
        <stp/>
        <stp>VOLUME</stp>
        <stp>.NDX250919P20140</stp>
        <tr r="Q153" s="2"/>
      </tp>
      <tp t="s">
        <v>N/A</v>
        <stp/>
        <stp>VOLUME</stp>
        <stp>.NDX250718P20040</stp>
        <tr r="M158" s="2"/>
      </tp>
      <tp t="s">
        <v>N/A</v>
        <stp/>
        <stp>VOLUME</stp>
        <stp>.NDX250620P19840</stp>
        <tr r="K168" s="2"/>
      </tp>
      <tp t="s">
        <v>N/A</v>
        <stp/>
        <stp>VOLUME</stp>
        <stp>.NDX251121P19960</stp>
        <tr r="U162" s="2"/>
      </tp>
      <tp t="s">
        <v>N/A</v>
        <stp/>
        <stp>VOLUME</stp>
        <stp>.NDX251219P20160</stp>
        <tr r="W152" s="2"/>
      </tp>
      <tp t="s">
        <v>N/A</v>
        <stp/>
        <stp>VOLUME</stp>
        <stp>.NDX250919P20160</stp>
        <tr r="Q152" s="2"/>
      </tp>
      <tp t="s">
        <v>N/A</v>
        <stp/>
        <stp>VOLUME</stp>
        <stp>.NDX250718P20060</stp>
        <tr r="M157" s="2"/>
      </tp>
      <tp t="s">
        <v>N/A</v>
        <stp/>
        <stp>VOLUME</stp>
        <stp>.NDX250620P19860</stp>
        <tr r="K167" s="2"/>
      </tp>
      <tp t="e">
        <v>#N/A</v>
        <stp/>
        <stp>IMPL_VOL</stp>
        <stp>.NDXP250509C19580</stp>
        <tr r="EN180" s="1"/>
      </tp>
      <tp t="e">
        <v>#N/A</v>
        <stp/>
        <stp>IMPL_VOL</stp>
        <stp>.NDXP250509P19540</stp>
        <tr r="EO182" s="1"/>
      </tp>
      <tp t="s">
        <v>N/A</v>
        <stp/>
        <stp>VOLUME</stp>
        <stp>.NDX250919C20180</stp>
        <tr r="Q151" s="2"/>
      </tp>
      <tp t="s">
        <v>N/A</v>
        <stp/>
        <stp>VOLUME</stp>
        <stp>.NDX250718C20080</stp>
        <tr r="M156" s="2"/>
      </tp>
      <tp t="s">
        <v>N/A</v>
        <stp/>
        <stp>VOLUME</stp>
        <stp>.NDX250620C19880</stp>
        <tr r="K166" s="2"/>
      </tp>
      <tp t="e">
        <v>#N/A</v>
        <stp/>
        <stp>IMPL_VOL</stp>
        <stp>.NDXP250509P19560</stp>
        <tr r="EO181" s="1"/>
      </tp>
      <tp t="s">
        <v>N/A</v>
        <stp/>
        <stp>VOLUME</stp>
        <stp>.NDX251121C19980</stp>
        <tr r="U161" s="2"/>
      </tp>
      <tp t="s">
        <v>N/A</v>
        <stp/>
        <stp>VOLUME</stp>
        <stp>.NDX251219C20180</stp>
        <tr r="W151" s="2"/>
      </tp>
      <tp t="e">
        <v>#N/A</v>
        <stp/>
        <stp>IMPL_VOL</stp>
        <stp>.NDXP250509P19500</stp>
        <tr r="EO184" s="1"/>
      </tp>
      <tp t="e">
        <v>#N/A</v>
        <stp/>
        <stp>IMPL_VOL</stp>
        <stp>.NDXP250509P19520</stp>
        <tr r="EO183" s="1"/>
      </tp>
      <tp t="s">
        <v>N/A</v>
        <stp/>
        <stp>VOLUME</stp>
        <stp>.NDX250919C20120</stp>
        <tr r="Q154" s="2"/>
      </tp>
      <tp t="s">
        <v>N/A</v>
        <stp/>
        <stp>VOLUME</stp>
        <stp>.NDX250718C20020</stp>
        <tr r="M159" s="2"/>
      </tp>
      <tp t="s">
        <v>N/A</v>
        <stp/>
        <stp>VOLUME</stp>
        <stp>.NDX250620C19820</stp>
        <tr r="K169" s="2"/>
      </tp>
      <tp t="s">
        <v>N/A</v>
        <stp/>
        <stp>VOLUME</stp>
        <stp>.NDX251121C19920</stp>
        <tr r="U164" s="2"/>
      </tp>
      <tp t="s">
        <v>N/A</v>
        <stp/>
        <stp>VOLUME</stp>
        <stp>.NDX251219C20120</stp>
        <tr r="W154" s="2"/>
      </tp>
      <tp>
        <v>28</v>
        <stp/>
        <stp>VOLUME</stp>
        <stp>.NDX250919C20100</stp>
        <tr r="Q155" s="2"/>
        <tr r="Q155" s="2"/>
      </tp>
      <tp>
        <v>1</v>
        <stp/>
        <stp>VOLUME</stp>
        <stp>.NDX250718C20000</stp>
        <tr r="M160" s="2"/>
        <tr r="M160" s="2"/>
      </tp>
      <tp t="s">
        <v>N/A</v>
        <stp/>
        <stp>VOLUME</stp>
        <stp>.NDX250620C19800</stp>
        <tr r="K170" s="2"/>
      </tp>
      <tp t="s">
        <v>N/A</v>
        <stp/>
        <stp>VOLUME</stp>
        <stp>.NDX251121C19900</stp>
        <tr r="U165" s="2"/>
      </tp>
      <tp t="s">
        <v>N/A</v>
        <stp/>
        <stp>VOLUME</stp>
        <stp>.NDX251219C20100</stp>
        <tr r="W155" s="2"/>
      </tp>
      <tp t="s">
        <v>N/A</v>
        <stp/>
        <stp>VOLUME</stp>
        <stp>.NDX250919C20160</stp>
        <tr r="Q152" s="2"/>
      </tp>
      <tp t="s">
        <v>N/A</v>
        <stp/>
        <stp>VOLUME</stp>
        <stp>.NDX250718C20060</stp>
        <tr r="M157" s="2"/>
      </tp>
      <tp t="s">
        <v>N/A</v>
        <stp/>
        <stp>VOLUME</stp>
        <stp>.NDX250620C19860</stp>
        <tr r="K167" s="2"/>
      </tp>
      <tp t="e">
        <v>#N/A</v>
        <stp/>
        <stp>IMPL_VOL</stp>
        <stp>.NDXP250509P19580</stp>
        <tr r="EO180" s="1"/>
      </tp>
      <tp t="s">
        <v>N/A</v>
        <stp/>
        <stp>VOLUME</stp>
        <stp>.NDX251121C19960</stp>
        <tr r="U162" s="2"/>
      </tp>
      <tp t="s">
        <v>N/A</v>
        <stp/>
        <stp>VOLUME</stp>
        <stp>.NDX251219C20160</stp>
        <tr r="W152" s="2"/>
      </tp>
      <tp t="s">
        <v>N/A</v>
        <stp/>
        <stp>VOLUME</stp>
        <stp>.NDX250919C20140</stp>
        <tr r="Q153" s="2"/>
      </tp>
      <tp t="s">
        <v>N/A</v>
        <stp/>
        <stp>VOLUME</stp>
        <stp>.NDX250718C20040</stp>
        <tr r="M158" s="2"/>
      </tp>
      <tp t="s">
        <v>N/A</v>
        <stp/>
        <stp>VOLUME</stp>
        <stp>.NDX250620C19840</stp>
        <tr r="K168" s="2"/>
      </tp>
      <tp t="s">
        <v>N/A</v>
        <stp/>
        <stp>VOLUME</stp>
        <stp>.NDX251121C19940</stp>
        <tr r="U163" s="2"/>
      </tp>
      <tp t="s">
        <v>N/A</v>
        <stp/>
        <stp>VOLUME</stp>
        <stp>.NDX251219C20140</stp>
        <tr r="W153" s="2"/>
      </tp>
      <tp t="s">
        <v>N/A</v>
        <stp/>
        <stp>VOLUME</stp>
        <stp>.NDX251017P19880</stp>
        <tr r="S166" s="2"/>
      </tp>
      <tp t="s">
        <v>N/A</v>
        <stp/>
        <stp>VOLUME</stp>
        <stp>.NDX251219P19680</stp>
        <tr r="W176" s="2"/>
      </tp>
      <tp t="s">
        <v>N/A</v>
        <stp/>
        <stp>VOLUME</stp>
        <stp>.NDX250919P19680</stp>
        <tr r="Q176" s="2"/>
      </tp>
      <tp t="s">
        <v>N/A</v>
        <stp/>
        <stp>VOLUME</stp>
        <stp>.NDX250516P19980</stp>
        <tr r="BF160" s="1"/>
      </tp>
      <tp t="s">
        <v>N/A</v>
        <stp/>
        <stp>VOLUME</stp>
        <stp>.NDX250718P19780</stp>
        <tr r="M171" s="2"/>
      </tp>
      <tp t="e">
        <v>#N/A</v>
        <stp/>
        <stp>IMPL_VOL</stp>
        <stp>.NDXP250509C20260</stp>
        <tr r="EN146" s="1"/>
      </tp>
      <tp t="e">
        <v>#N/A</v>
        <stp/>
        <stp>IMPL_VOL</stp>
        <stp>.NDXP250502C19960</stp>
        <tr r="EL161" s="1"/>
      </tp>
      <tp t="e">
        <v>#N/A</v>
        <stp/>
        <stp>IMPL_VOL</stp>
        <stp>.NDXP250509C20240</stp>
        <tr r="EN147" s="1"/>
      </tp>
      <tp t="e">
        <v>#N/A</v>
        <stp/>
        <stp>IMPL_VOL</stp>
        <stp>.NDXP250502C19940</stp>
        <tr r="EL162" s="1"/>
      </tp>
      <tp t="e">
        <v>#N/A</v>
        <stp/>
        <stp>IMPL_VOL</stp>
        <stp>.NDXP250509C20220</stp>
        <tr r="EN148" s="1"/>
      </tp>
      <tp t="e">
        <v>#N/A</v>
        <stp/>
        <stp>IMPL_VOL</stp>
        <stp>.NDXP250502C19920</stp>
        <tr r="EL163" s="1"/>
      </tp>
      <tp t="e">
        <v>#N/A</v>
        <stp/>
        <stp>IMPL_VOL</stp>
        <stp>.NDXP250509C20200</stp>
        <tr r="EN149" s="1"/>
      </tp>
      <tp t="e">
        <v>#N/A</v>
        <stp/>
        <stp>IMPL_VOL</stp>
        <stp>.NDXP250502C19900</stp>
        <tr r="EL164" s="1"/>
      </tp>
      <tp t="s">
        <v>N/A</v>
        <stp/>
        <stp>VOLUME</stp>
        <stp>.NDX251017P19800</stp>
        <tr r="S170" s="2"/>
      </tp>
      <tp t="e">
        <v>#N/A</v>
        <stp/>
        <stp>VOLUME</stp>
        <stp>.NDX251219P19600</stp>
        <tr r="W180" s="2"/>
      </tp>
      <tp t="e">
        <v>#N/A</v>
        <stp/>
        <stp>VOLUME</stp>
        <stp>.NDX250919P19600</stp>
        <tr r="Q180" s="2"/>
      </tp>
      <tp>
        <v>4</v>
        <stp/>
        <stp>VOLUME</stp>
        <stp>.NDX250516P19900</stp>
        <tr r="BF164" s="1"/>
        <tr r="BF164" s="1"/>
      </tp>
      <tp t="s">
        <v>N/A</v>
        <stp/>
        <stp>VOLUME</stp>
        <stp>.NDX250718P19700</stp>
        <tr r="M175" s="2"/>
      </tp>
      <tp t="s">
        <v>N/A</v>
        <stp/>
        <stp>VOLUME</stp>
        <stp>.NDX251017P19820</stp>
        <tr r="S169" s="2"/>
      </tp>
      <tp t="s">
        <v>N/A</v>
        <stp/>
        <stp>VOLUME</stp>
        <stp>.NDX251219P19620</stp>
        <tr r="W179" s="2"/>
      </tp>
      <tp t="s">
        <v>N/A</v>
        <stp/>
        <stp>VOLUME</stp>
        <stp>.NDX250919P19620</stp>
        <tr r="Q179" s="2"/>
      </tp>
      <tp t="s">
        <v>N/A</v>
        <stp/>
        <stp>VOLUME</stp>
        <stp>.NDX250516P19920</stp>
        <tr r="BF163" s="1"/>
      </tp>
      <tp t="s">
        <v>N/A</v>
        <stp/>
        <stp>VOLUME</stp>
        <stp>.NDX250718P19720</stp>
        <tr r="M174" s="2"/>
      </tp>
      <tp t="s">
        <v>N/A</v>
        <stp/>
        <stp>VOLUME</stp>
        <stp>.NDX251017P19840</stp>
        <tr r="S168" s="2"/>
      </tp>
      <tp t="s">
        <v>N/A</v>
        <stp/>
        <stp>VOLUME</stp>
        <stp>.NDX251219P19640</stp>
        <tr r="W178" s="2"/>
      </tp>
      <tp t="s">
        <v>N/A</v>
        <stp/>
        <stp>VOLUME</stp>
        <stp>.NDX250919P19640</stp>
        <tr r="Q178" s="2"/>
      </tp>
      <tp t="s">
        <v>N/A</v>
        <stp/>
        <stp>VOLUME</stp>
        <stp>.NDX250516P19940</stp>
        <tr r="BF162" s="1"/>
      </tp>
      <tp t="s">
        <v>N/A</v>
        <stp/>
        <stp>VOLUME</stp>
        <stp>.NDX250718P19740</stp>
        <tr r="M173" s="2"/>
      </tp>
      <tp t="s">
        <v>N/A</v>
        <stp/>
        <stp>VOLUME</stp>
        <stp>.NDX251017P19860</stp>
        <tr r="S167" s="2"/>
      </tp>
      <tp t="s">
        <v>N/A</v>
        <stp/>
        <stp>VOLUME</stp>
        <stp>.NDX251219P19660</stp>
        <tr r="W177" s="2"/>
      </tp>
      <tp t="s">
        <v>N/A</v>
        <stp/>
        <stp>VOLUME</stp>
        <stp>.NDX250919P19660</stp>
        <tr r="Q177" s="2"/>
      </tp>
      <tp t="s">
        <v>N/A</v>
        <stp/>
        <stp>VOLUME</stp>
        <stp>.NDX250516P19960</stp>
        <tr r="BF161" s="1"/>
      </tp>
      <tp t="s">
        <v>N/A</v>
        <stp/>
        <stp>VOLUME</stp>
        <stp>.NDX250718P19760</stp>
        <tr r="M172" s="2"/>
      </tp>
      <tp t="e">
        <v>#N/A</v>
        <stp/>
        <stp>IMPL_VOL</stp>
        <stp>.NDXP250509C20280</stp>
        <tr r="EN145" s="1"/>
      </tp>
      <tp t="e">
        <v>#N/A</v>
        <stp/>
        <stp>IMPL_VOL</stp>
        <stp>.NDXP250502C19980</stp>
        <tr r="EL160" s="1"/>
      </tp>
      <tp t="e">
        <v>#N/A</v>
        <stp/>
        <stp>IMPL_VOL</stp>
        <stp>.NDXP250509P20240</stp>
        <tr r="EO147" s="1"/>
      </tp>
      <tp t="e">
        <v>#N/A</v>
        <stp/>
        <stp>IMPL_VOL</stp>
        <stp>.NDXP250502P19940</stp>
        <tr r="EM162" s="1"/>
      </tp>
      <tp t="s">
        <v>N/A</v>
        <stp/>
        <stp>VOLUME</stp>
        <stp>.NDX250919C19680</stp>
        <tr r="Q176" s="2"/>
      </tp>
      <tp t="s">
        <v>N/A</v>
        <stp/>
        <stp>VOLUME</stp>
        <stp>.NDX250516C19980</stp>
        <tr r="BE160" s="1"/>
      </tp>
      <tp t="s">
        <v>N/A</v>
        <stp/>
        <stp>VOLUME</stp>
        <stp>.NDX250718C19780</stp>
        <tr r="M171" s="2"/>
      </tp>
      <tp t="e">
        <v>#N/A</v>
        <stp/>
        <stp>IMPL_VOL</stp>
        <stp>.NDXP250509P20260</stp>
        <tr r="EO146" s="1"/>
      </tp>
      <tp t="e">
        <v>#N/A</v>
        <stp/>
        <stp>IMPL_VOL</stp>
        <stp>.NDXP250502P19960</stp>
        <tr r="EM161" s="1"/>
      </tp>
      <tp t="s">
        <v>N/A</v>
        <stp/>
        <stp>VOLUME</stp>
        <stp>.NDX251017C19880</stp>
        <tr r="S166" s="2"/>
      </tp>
      <tp t="s">
        <v>N/A</v>
        <stp/>
        <stp>VOLUME</stp>
        <stp>.NDX251219C19680</stp>
        <tr r="W176" s="2"/>
      </tp>
      <tp t="e">
        <v>#N/A</v>
        <stp/>
        <stp>IMPL_VOL</stp>
        <stp>.NDXP250509P20200</stp>
        <tr r="EO149" s="1"/>
      </tp>
      <tp t="e">
        <v>#N/A</v>
        <stp/>
        <stp>IMPL_VOL</stp>
        <stp>.NDXP250502P19900</stp>
        <tr r="EM164" s="1"/>
      </tp>
      <tp t="e">
        <v>#N/A</v>
        <stp/>
        <stp>IMPL_VOL</stp>
        <stp>.NDXP250509P20220</stp>
        <tr r="EO148" s="1"/>
      </tp>
      <tp t="e">
        <v>#N/A</v>
        <stp/>
        <stp>IMPL_VOL</stp>
        <stp>.NDXP250502P19920</stp>
        <tr r="EM163" s="1"/>
      </tp>
      <tp t="s">
        <v>N/A</v>
        <stp/>
        <stp>VOLUME</stp>
        <stp>.NDX250919C19620</stp>
        <tr r="Q179" s="2"/>
      </tp>
      <tp t="s">
        <v>N/A</v>
        <stp/>
        <stp>VOLUME</stp>
        <stp>.NDX250516C19920</stp>
        <tr r="BE163" s="1"/>
      </tp>
      <tp t="s">
        <v>N/A</v>
        <stp/>
        <stp>VOLUME</stp>
        <stp>.NDX250718C19720</stp>
        <tr r="M174" s="2"/>
      </tp>
      <tp t="s">
        <v>N/A</v>
        <stp/>
        <stp>VOLUME</stp>
        <stp>.NDX251017C19820</stp>
        <tr r="S169" s="2"/>
      </tp>
      <tp t="s">
        <v>N/A</v>
        <stp/>
        <stp>VOLUME</stp>
        <stp>.NDX251219C19620</stp>
        <tr r="W179" s="2"/>
      </tp>
      <tp t="e">
        <v>#N/A</v>
        <stp/>
        <stp>VOLUME</stp>
        <stp>.NDX250919C19600</stp>
        <tr r="Q180" s="2"/>
      </tp>
      <tp t="s">
        <v>N/A</v>
        <stp/>
        <stp>VOLUME</stp>
        <stp>.NDX250516C19900</stp>
        <tr r="BE164" s="1"/>
      </tp>
      <tp t="s">
        <v>N/A</v>
        <stp/>
        <stp>VOLUME</stp>
        <stp>.NDX250718C19700</stp>
        <tr r="M175" s="2"/>
      </tp>
      <tp t="s">
        <v>N/A</v>
        <stp/>
        <stp>VOLUME</stp>
        <stp>.NDX251017C19800</stp>
        <tr r="S170" s="2"/>
      </tp>
      <tp t="e">
        <v>#N/A</v>
        <stp/>
        <stp>VOLUME</stp>
        <stp>.NDX251219C19600</stp>
        <tr r="W180" s="2"/>
      </tp>
      <tp t="s">
        <v>N/A</v>
        <stp/>
        <stp>VOLUME</stp>
        <stp>.NDX250919C19660</stp>
        <tr r="Q177" s="2"/>
      </tp>
      <tp t="s">
        <v>N/A</v>
        <stp/>
        <stp>VOLUME</stp>
        <stp>.NDX250516C19960</stp>
        <tr r="BE161" s="1"/>
      </tp>
      <tp t="s">
        <v>N/A</v>
        <stp/>
        <stp>VOLUME</stp>
        <stp>.NDX250718C19760</stp>
        <tr r="M172" s="2"/>
      </tp>
      <tp t="e">
        <v>#N/A</v>
        <stp/>
        <stp>IMPL_VOL</stp>
        <stp>.NDXP250509P20280</stp>
        <tr r="EO145" s="1"/>
      </tp>
      <tp t="e">
        <v>#N/A</v>
        <stp/>
        <stp>IMPL_VOL</stp>
        <stp>.NDXP250502P19980</stp>
        <tr r="EM160" s="1"/>
      </tp>
      <tp t="s">
        <v>N/A</v>
        <stp/>
        <stp>VOLUME</stp>
        <stp>.NDX251017C19860</stp>
        <tr r="S167" s="2"/>
      </tp>
      <tp t="s">
        <v>N/A</v>
        <stp/>
        <stp>VOLUME</stp>
        <stp>.NDX251219C19660</stp>
        <tr r="W177" s="2"/>
      </tp>
      <tp t="s">
        <v>N/A</v>
        <stp/>
        <stp>VOLUME</stp>
        <stp>.NDX250919C19640</stp>
        <tr r="Q178" s="2"/>
      </tp>
      <tp t="s">
        <v>N/A</v>
        <stp/>
        <stp>VOLUME</stp>
        <stp>.NDX250516C19940</stp>
        <tr r="BE162" s="1"/>
      </tp>
      <tp t="s">
        <v>N/A</v>
        <stp/>
        <stp>VOLUME</stp>
        <stp>.NDX250718C19740</stp>
        <tr r="M173" s="2"/>
      </tp>
      <tp t="s">
        <v>N/A</v>
        <stp/>
        <stp>VOLUME</stp>
        <stp>.NDX251017C19840</stp>
        <tr r="S168" s="2"/>
      </tp>
      <tp t="s">
        <v>N/A</v>
        <stp/>
        <stp>VOLUME</stp>
        <stp>.NDX251219C19640</stp>
        <tr r="W178" s="2"/>
      </tp>
      <tp t="s">
        <v>N/A</v>
        <stp/>
        <stp>VOLUME</stp>
        <stp>.NDX251017P19980</stp>
        <tr r="S161" s="2"/>
      </tp>
      <tp t="s">
        <v>N/A</v>
        <stp/>
        <stp>VOLUME</stp>
        <stp>.NDX251219P19780</stp>
        <tr r="W171" s="2"/>
      </tp>
      <tp t="s">
        <v>N/A</v>
        <stp/>
        <stp>VOLUME</stp>
        <stp>.NDX250919P19780</stp>
        <tr r="Q171" s="2"/>
      </tp>
      <tp t="s">
        <v>N/A</v>
        <stp/>
        <stp>VOLUME</stp>
        <stp>.NDX250516P19880</stp>
        <tr r="BF165" s="1"/>
      </tp>
      <tp t="s">
        <v>N/A</v>
        <stp/>
        <stp>VOLUME</stp>
        <stp>.NDX250718P19680</stp>
        <tr r="M176" s="2"/>
      </tp>
      <tp t="e">
        <v>#N/A</v>
        <stp/>
        <stp>IMPL_VOL</stp>
        <stp>.NDXP250509C20360</stp>
        <tr r="EN141" s="1"/>
      </tp>
      <tp t="e">
        <v>#N/A</v>
        <stp/>
        <stp>IMPL_VOL</stp>
        <stp>.NDXP250502C19860</stp>
        <tr r="EL166" s="1"/>
      </tp>
      <tp t="e">
        <v>#N/A</v>
        <stp/>
        <stp>IMPL_VOL</stp>
        <stp>.NDXP250509C20340</stp>
        <tr r="EN142" s="1"/>
      </tp>
      <tp t="e">
        <v>#N/A</v>
        <stp/>
        <stp>IMPL_VOL</stp>
        <stp>.NDXP250502C19840</stp>
        <tr r="EL167" s="1"/>
      </tp>
      <tp t="e">
        <v>#N/A</v>
        <stp/>
        <stp>IMPL_VOL</stp>
        <stp>.NDXP250509C20320</stp>
        <tr r="EN143" s="1"/>
      </tp>
      <tp t="e">
        <v>#N/A</v>
        <stp/>
        <stp>IMPL_VOL</stp>
        <stp>.NDXP250502C19820</stp>
        <tr r="EL168" s="1"/>
      </tp>
      <tp t="e">
        <v>#N/A</v>
        <stp/>
        <stp>IMPL_VOL</stp>
        <stp>.NDXP250509C20300</stp>
        <tr r="EN144" s="1"/>
      </tp>
      <tp t="e">
        <v>#N/A</v>
        <stp/>
        <stp>IMPL_VOL</stp>
        <stp>.NDXP250502C19800</stp>
        <tr r="EL169" s="1"/>
      </tp>
      <tp t="s">
        <v>N/A</v>
        <stp/>
        <stp>VOLUME</stp>
        <stp>.NDX251017P19900</stp>
        <tr r="S165" s="2"/>
      </tp>
      <tp t="s">
        <v>N/A</v>
        <stp/>
        <stp>VOLUME</stp>
        <stp>.NDX251219P19700</stp>
        <tr r="W175" s="2"/>
      </tp>
      <tp t="s">
        <v>N/A</v>
        <stp/>
        <stp>VOLUME</stp>
        <stp>.NDX250919P19700</stp>
        <tr r="Q175" s="2"/>
      </tp>
      <tp>
        <v>7</v>
        <stp/>
        <stp>VOLUME</stp>
        <stp>.NDX250516P19800</stp>
        <tr r="BF169" s="1"/>
        <tr r="BF169" s="1"/>
      </tp>
      <tp t="e">
        <v>#N/A</v>
        <stp/>
        <stp>VOLUME</stp>
        <stp>.NDX250718P19600</stp>
        <tr r="M180" s="2"/>
      </tp>
      <tp t="s">
        <v>N/A</v>
        <stp/>
        <stp>VOLUME</stp>
        <stp>.NDX251017P19920</stp>
        <tr r="S164" s="2"/>
      </tp>
      <tp t="s">
        <v>N/A</v>
        <stp/>
        <stp>VOLUME</stp>
        <stp>.NDX251219P19720</stp>
        <tr r="W174" s="2"/>
      </tp>
      <tp t="s">
        <v>N/A</v>
        <stp/>
        <stp>VOLUME</stp>
        <stp>.NDX250919P19720</stp>
        <tr r="Q174" s="2"/>
      </tp>
      <tp t="s">
        <v>N/A</v>
        <stp/>
        <stp>VOLUME</stp>
        <stp>.NDX250516P19820</stp>
        <tr r="BF168" s="1"/>
      </tp>
      <tp t="s">
        <v>N/A</v>
        <stp/>
        <stp>VOLUME</stp>
        <stp>.NDX250718P19620</stp>
        <tr r="M179" s="2"/>
      </tp>
      <tp t="s">
        <v>N/A</v>
        <stp/>
        <stp>VOLUME</stp>
        <stp>.NDX251017P19940</stp>
        <tr r="S163" s="2"/>
      </tp>
      <tp t="s">
        <v>N/A</v>
        <stp/>
        <stp>VOLUME</stp>
        <stp>.NDX251219P19740</stp>
        <tr r="W173" s="2"/>
      </tp>
      <tp t="s">
        <v>N/A</v>
        <stp/>
        <stp>VOLUME</stp>
        <stp>.NDX250919P19740</stp>
        <tr r="Q173" s="2"/>
      </tp>
      <tp t="s">
        <v>N/A</v>
        <stp/>
        <stp>VOLUME</stp>
        <stp>.NDX250516P19840</stp>
        <tr r="BF167" s="1"/>
      </tp>
      <tp t="s">
        <v>N/A</v>
        <stp/>
        <stp>VOLUME</stp>
        <stp>.NDX250718P19640</stp>
        <tr r="M178" s="2"/>
      </tp>
      <tp t="s">
        <v>N/A</v>
        <stp/>
        <stp>VOLUME</stp>
        <stp>.NDX251017P19960</stp>
        <tr r="S162" s="2"/>
      </tp>
      <tp t="s">
        <v>N/A</v>
        <stp/>
        <stp>VOLUME</stp>
        <stp>.NDX251219P19760</stp>
        <tr r="W172" s="2"/>
      </tp>
      <tp t="s">
        <v>N/A</v>
        <stp/>
        <stp>VOLUME</stp>
        <stp>.NDX250919P19760</stp>
        <tr r="Q172" s="2"/>
      </tp>
      <tp t="s">
        <v>N/A</v>
        <stp/>
        <stp>VOLUME</stp>
        <stp>.NDX250516P19860</stp>
        <tr r="BF166" s="1"/>
      </tp>
      <tp t="s">
        <v>N/A</v>
        <stp/>
        <stp>VOLUME</stp>
        <stp>.NDX250718P19660</stp>
        <tr r="M177" s="2"/>
      </tp>
      <tp t="e">
        <v>#N/A</v>
        <stp/>
        <stp>IMPL_VOL</stp>
        <stp>.NDXP250509C20380</stp>
        <tr r="EN140" s="1"/>
      </tp>
      <tp t="e">
        <v>#N/A</v>
        <stp/>
        <stp>IMPL_VOL</stp>
        <stp>.NDXP250502C19880</stp>
        <tr r="EL165" s="1"/>
      </tp>
      <tp t="e">
        <v>#N/A</v>
        <stp/>
        <stp>IMPL_VOL</stp>
        <stp>.NDXP250509P20340</stp>
        <tr r="EO142" s="1"/>
      </tp>
      <tp t="e">
        <v>#N/A</v>
        <stp/>
        <stp>IMPL_VOL</stp>
        <stp>.NDXP250502P19840</stp>
        <tr r="EM167" s="1"/>
      </tp>
      <tp t="s">
        <v>N/A</v>
        <stp/>
        <stp>VOLUME</stp>
        <stp>.NDX250919C19780</stp>
        <tr r="Q171" s="2"/>
      </tp>
      <tp t="s">
        <v>N/A</v>
        <stp/>
        <stp>VOLUME</stp>
        <stp>.NDX250516C19880</stp>
        <tr r="BE165" s="1"/>
      </tp>
      <tp t="s">
        <v>N/A</v>
        <stp/>
        <stp>VOLUME</stp>
        <stp>.NDX250718C19680</stp>
        <tr r="M176" s="2"/>
      </tp>
      <tp t="e">
        <v>#N/A</v>
        <stp/>
        <stp>IMPL_VOL</stp>
        <stp>.NDXP250509P20360</stp>
        <tr r="EO141" s="1"/>
      </tp>
      <tp t="e">
        <v>#N/A</v>
        <stp/>
        <stp>IMPL_VOL</stp>
        <stp>.NDXP250502P19860</stp>
        <tr r="EM166" s="1"/>
      </tp>
      <tp t="s">
        <v>N/A</v>
        <stp/>
        <stp>VOLUME</stp>
        <stp>.NDX251017C19980</stp>
        <tr r="S161" s="2"/>
      </tp>
      <tp t="s">
        <v>N/A</v>
        <stp/>
        <stp>VOLUME</stp>
        <stp>.NDX251219C19780</stp>
        <tr r="W171" s="2"/>
      </tp>
      <tp t="e">
        <v>#N/A</v>
        <stp/>
        <stp>IMPL_VOL</stp>
        <stp>.NDXP250509P20300</stp>
        <tr r="EO144" s="1"/>
      </tp>
      <tp t="e">
        <v>#N/A</v>
        <stp/>
        <stp>IMPL_VOL</stp>
        <stp>.NDXP250502P19800</stp>
        <tr r="EM169" s="1"/>
      </tp>
      <tp t="e">
        <v>#N/A</v>
        <stp/>
        <stp>IMPL_VOL</stp>
        <stp>.NDXP250509P20320</stp>
        <tr r="EO143" s="1"/>
      </tp>
      <tp t="e">
        <v>#N/A</v>
        <stp/>
        <stp>IMPL_VOL</stp>
        <stp>.NDXP250502P19820</stp>
        <tr r="EM168" s="1"/>
      </tp>
      <tp t="s">
        <v>N/A</v>
        <stp/>
        <stp>VOLUME</stp>
        <stp>.NDX250919C19720</stp>
        <tr r="Q174" s="2"/>
      </tp>
      <tp t="s">
        <v>N/A</v>
        <stp/>
        <stp>VOLUME</stp>
        <stp>.NDX250516C19820</stp>
        <tr r="BE168" s="1"/>
      </tp>
      <tp t="s">
        <v>N/A</v>
        <stp/>
        <stp>VOLUME</stp>
        <stp>.NDX250718C19620</stp>
        <tr r="M179" s="2"/>
      </tp>
      <tp t="s">
        <v>N/A</v>
        <stp/>
        <stp>VOLUME</stp>
        <stp>.NDX251017C19920</stp>
        <tr r="S164" s="2"/>
      </tp>
      <tp t="s">
        <v>N/A</v>
        <stp/>
        <stp>VOLUME</stp>
        <stp>.NDX251219C19720</stp>
        <tr r="W174" s="2"/>
      </tp>
      <tp t="s">
        <v>N/A</v>
        <stp/>
        <stp>VOLUME</stp>
        <stp>.NDX250919C19700</stp>
        <tr r="Q175" s="2"/>
      </tp>
      <tp>
        <v>3</v>
        <stp/>
        <stp>VOLUME</stp>
        <stp>.NDX250516C19800</stp>
        <tr r="BE169" s="1"/>
        <tr r="BE169" s="1"/>
      </tp>
      <tp t="e">
        <v>#N/A</v>
        <stp/>
        <stp>VOLUME</stp>
        <stp>.NDX250718C19600</stp>
        <tr r="M180" s="2"/>
      </tp>
      <tp t="s">
        <v>N/A</v>
        <stp/>
        <stp>VOLUME</stp>
        <stp>.NDX251017C19900</stp>
        <tr r="S165" s="2"/>
      </tp>
      <tp t="s">
        <v>N/A</v>
        <stp/>
        <stp>VOLUME</stp>
        <stp>.NDX251219C19700</stp>
        <tr r="W175" s="2"/>
      </tp>
      <tp t="s">
        <v>N/A</v>
        <stp/>
        <stp>VOLUME</stp>
        <stp>.NDX250919C19760</stp>
        <tr r="Q172" s="2"/>
      </tp>
      <tp t="s">
        <v>N/A</v>
        <stp/>
        <stp>VOLUME</stp>
        <stp>.NDX250516C19860</stp>
        <tr r="BE166" s="1"/>
      </tp>
      <tp t="s">
        <v>N/A</v>
        <stp/>
        <stp>VOLUME</stp>
        <stp>.NDX250718C19660</stp>
        <tr r="M177" s="2"/>
      </tp>
      <tp t="e">
        <v>#N/A</v>
        <stp/>
        <stp>IMPL_VOL</stp>
        <stp>.NDXP250509P20380</stp>
        <tr r="EO140" s="1"/>
      </tp>
      <tp t="e">
        <v>#N/A</v>
        <stp/>
        <stp>IMPL_VOL</stp>
        <stp>.NDXP250502P19880</stp>
        <tr r="EM165" s="1"/>
      </tp>
      <tp t="s">
        <v>N/A</v>
        <stp/>
        <stp>VOLUME</stp>
        <stp>.NDX251017C19960</stp>
        <tr r="S162" s="2"/>
      </tp>
      <tp t="s">
        <v>N/A</v>
        <stp/>
        <stp>VOLUME</stp>
        <stp>.NDX251219C19760</stp>
        <tr r="W172" s="2"/>
      </tp>
      <tp t="s">
        <v>N/A</v>
        <stp/>
        <stp>VOLUME</stp>
        <stp>.NDX250919C19740</stp>
        <tr r="Q173" s="2"/>
      </tp>
      <tp t="s">
        <v>N/A</v>
        <stp/>
        <stp>VOLUME</stp>
        <stp>.NDX250516C19840</stp>
        <tr r="BE167" s="1"/>
      </tp>
      <tp t="s">
        <v>N/A</v>
        <stp/>
        <stp>VOLUME</stp>
        <stp>.NDX250718C19640</stp>
        <tr r="M178" s="2"/>
      </tp>
      <tp t="s">
        <v>N/A</v>
        <stp/>
        <stp>VOLUME</stp>
        <stp>.NDX251017C19940</stp>
        <tr r="S163" s="2"/>
      </tp>
      <tp t="s">
        <v>N/A</v>
        <stp/>
        <stp>VOLUME</stp>
        <stp>.NDX251219C19740</stp>
        <tr r="W173" s="2"/>
      </tp>
      <tp t="e">
        <v>#N/A</v>
        <stp/>
        <stp>VOLUME</stp>
        <stp>.NDX251219P19480</stp>
        <tr r="W186" s="2"/>
      </tp>
      <tp t="s">
        <v>N/A</v>
        <stp/>
        <stp>VOLUME</stp>
        <stp>.NDX250815P19880</stp>
        <tr r="O166" s="2"/>
      </tp>
      <tp t="e">
        <v>#N/A</v>
        <stp/>
        <stp>VOLUME</stp>
        <stp>.NDX250919P19480</stp>
        <tr r="Q186" s="2"/>
      </tp>
      <tp t="e">
        <v>#N/A</v>
        <stp/>
        <stp>VOLUME</stp>
        <stp>.NDX250718P19580</stp>
        <tr r="M181" s="2"/>
      </tp>
      <tp t="e">
        <v>#N/A</v>
        <stp/>
        <stp>IMPL_VOL</stp>
        <stp>.NDXP250509C20060</stp>
        <tr r="EN156" s="1"/>
      </tp>
      <tp t="e">
        <v>#N/A</v>
        <stp/>
        <stp>IMPL_VOL</stp>
        <stp>.NDXP250509C20040</stp>
        <tr r="EN157" s="1"/>
      </tp>
      <tp t="e">
        <v>#N/A</v>
        <stp/>
        <stp>IMPL_VOL</stp>
        <stp>.NDXP250509C20020</stp>
        <tr r="EN158" s="1"/>
      </tp>
      <tp t="e">
        <v>#N/A</v>
        <stp/>
        <stp>IMPL_VOL</stp>
        <stp>.NDXP250509C20000</stp>
        <tr r="EN159" s="1"/>
      </tp>
      <tp t="s">
        <v>N/A</v>
        <stp/>
        <stp>VOLUME</stp>
        <stp>.NDX251219P20400</stp>
        <tr r="W140" s="2"/>
      </tp>
      <tp t="e">
        <v>#N/A</v>
        <stp/>
        <stp>VOLUME</stp>
        <stp>.NDX251219P19400</stp>
        <tr r="W190" s="2"/>
      </tp>
      <tp t="s">
        <v>N/A</v>
        <stp/>
        <stp>VOLUME</stp>
        <stp>.NDX250815P19800</stp>
        <tr r="O170" s="2"/>
      </tp>
      <tp t="e">
        <v>#N/A</v>
        <stp/>
        <stp>VOLUME</stp>
        <stp>.NDX250919P19400</stp>
        <tr r="Q190" s="2"/>
      </tp>
      <tp>
        <v>4</v>
        <stp/>
        <stp>VOLUME</stp>
        <stp>.NDX250919P20400</stp>
        <tr r="Q140" s="2"/>
        <tr r="Q140" s="2"/>
      </tp>
      <tp t="e">
        <v>#N/A</v>
        <stp/>
        <stp>VOLUME</stp>
        <stp>.NDX250718P19500</stp>
        <tr r="M185" s="2"/>
      </tp>
      <tp t="s">
        <v>N/A</v>
        <stp/>
        <stp>VOLUME</stp>
        <stp>.NDX251219P20420</stp>
        <tr r="W139" s="2"/>
      </tp>
      <tp t="e">
        <v>#N/A</v>
        <stp/>
        <stp>VOLUME</stp>
        <stp>.NDX251219P19420</stp>
        <tr r="W189" s="2"/>
      </tp>
      <tp t="s">
        <v>N/A</v>
        <stp/>
        <stp>VOLUME</stp>
        <stp>.NDX250815P19820</stp>
        <tr r="O169" s="2"/>
      </tp>
      <tp t="e">
        <v>#N/A</v>
        <stp/>
        <stp>VOLUME</stp>
        <stp>.NDX250919P19420</stp>
        <tr r="Q189" s="2"/>
      </tp>
      <tp t="s">
        <v>N/A</v>
        <stp/>
        <stp>VOLUME</stp>
        <stp>.NDX250919P20420</stp>
        <tr r="Q139" s="2"/>
      </tp>
      <tp t="e">
        <v>#N/A</v>
        <stp/>
        <stp>VOLUME</stp>
        <stp>.NDX250718P19520</stp>
        <tr r="M184" s="2"/>
      </tp>
      <tp t="s">
        <v>N/A</v>
        <stp/>
        <stp>VOLUME</stp>
        <stp>.NDX251219P20440</stp>
        <tr r="W138" s="2"/>
      </tp>
      <tp t="e">
        <v>#N/A</v>
        <stp/>
        <stp>VOLUME</stp>
        <stp>.NDX251219P19440</stp>
        <tr r="W188" s="2"/>
      </tp>
      <tp t="s">
        <v>N/A</v>
        <stp/>
        <stp>VOLUME</stp>
        <stp>.NDX250815P19840</stp>
        <tr r="O168" s="2"/>
      </tp>
      <tp t="e">
        <v>#N/A</v>
        <stp/>
        <stp>VOLUME</stp>
        <stp>.NDX250919P19440</stp>
        <tr r="Q188" s="2"/>
      </tp>
      <tp t="s">
        <v>N/A</v>
        <stp/>
        <stp>VOLUME</stp>
        <stp>.NDX250919P20440</stp>
        <tr r="Q138" s="2"/>
      </tp>
      <tp t="e">
        <v>#N/A</v>
        <stp/>
        <stp>VOLUME</stp>
        <stp>.NDX250718P19540</stp>
        <tr r="M183" s="2"/>
      </tp>
      <tp t="e">
        <v>#N/A</v>
        <stp/>
        <stp>VOLUME</stp>
        <stp>.NDX251219P19460</stp>
        <tr r="W187" s="2"/>
      </tp>
      <tp t="s">
        <v>N/A</v>
        <stp/>
        <stp>VOLUME</stp>
        <stp>.NDX250815P19860</stp>
        <tr r="O167" s="2"/>
      </tp>
      <tp t="e">
        <v>#N/A</v>
        <stp/>
        <stp>VOLUME</stp>
        <stp>.NDX250919P19460</stp>
        <tr r="Q187" s="2"/>
      </tp>
      <tp t="e">
        <v>#N/A</v>
        <stp/>
        <stp>VOLUME</stp>
        <stp>.NDX250718P19560</stp>
        <tr r="M182" s="2"/>
      </tp>
      <tp t="e">
        <v>#N/A</v>
        <stp/>
        <stp>IMPL_VOL</stp>
        <stp>.NDXP250509C20080</stp>
        <tr r="EN155" s="1"/>
      </tp>
      <tp t="e">
        <v>#N/A</v>
        <stp/>
        <stp>IMPL_VOL</stp>
        <stp>.NDXP250509P20040</stp>
        <tr r="EO157" s="1"/>
      </tp>
      <tp t="s">
        <v>N/A</v>
        <stp/>
        <stp>VOLUME</stp>
        <stp>.NDX250815C19880</stp>
        <tr r="O166" s="2"/>
      </tp>
      <tp t="e">
        <v>#N/A</v>
        <stp/>
        <stp>VOLUME</stp>
        <stp>.NDX250919C19480</stp>
        <tr r="Q186" s="2"/>
      </tp>
      <tp t="e">
        <v>#N/A</v>
        <stp/>
        <stp>VOLUME</stp>
        <stp>.NDX250718C19580</stp>
        <tr r="M181" s="2"/>
      </tp>
      <tp t="e">
        <v>#N/A</v>
        <stp/>
        <stp>IMPL_VOL</stp>
        <stp>.NDXP250509P20060</stp>
        <tr r="EO156" s="1"/>
      </tp>
      <tp t="e">
        <v>#N/A</v>
        <stp/>
        <stp>VOLUME</stp>
        <stp>.NDX251219C19480</stp>
        <tr r="W186" s="2"/>
      </tp>
      <tp t="e">
        <v>#N/A</v>
        <stp/>
        <stp>IMPL_VOL</stp>
        <stp>.NDXP250509P20000</stp>
        <tr r="EO159" s="1"/>
      </tp>
      <tp t="e">
        <v>#N/A</v>
        <stp/>
        <stp>IMPL_VOL</stp>
        <stp>.NDXP250509P20020</stp>
        <tr r="EO158" s="1"/>
      </tp>
      <tp t="s">
        <v>N/A</v>
        <stp/>
        <stp>VOLUME</stp>
        <stp>.NDX250815C19820</stp>
        <tr r="O169" s="2"/>
      </tp>
      <tp t="e">
        <v>#N/A</v>
        <stp/>
        <stp>VOLUME</stp>
        <stp>.NDX250919C19420</stp>
        <tr r="Q189" s="2"/>
      </tp>
      <tp t="s">
        <v>N/A</v>
        <stp/>
        <stp>VOLUME</stp>
        <stp>.NDX250919C20420</stp>
        <tr r="Q139" s="2"/>
      </tp>
      <tp t="e">
        <v>#N/A</v>
        <stp/>
        <stp>VOLUME</stp>
        <stp>.NDX250718C19520</stp>
        <tr r="M184" s="2"/>
      </tp>
      <tp t="s">
        <v>N/A</v>
        <stp/>
        <stp>VOLUME</stp>
        <stp>.NDX251219C20420</stp>
        <tr r="W139" s="2"/>
      </tp>
      <tp t="e">
        <v>#N/A</v>
        <stp/>
        <stp>VOLUME</stp>
        <stp>.NDX251219C19420</stp>
        <tr r="W189" s="2"/>
      </tp>
      <tp t="s">
        <v>N/A</v>
        <stp/>
        <stp>VOLUME</stp>
        <stp>.NDX250815C19800</stp>
        <tr r="O170" s="2"/>
      </tp>
      <tp t="e">
        <v>#N/A</v>
        <stp/>
        <stp>VOLUME</stp>
        <stp>.NDX250919C19400</stp>
        <tr r="Q190" s="2"/>
      </tp>
      <tp t="s">
        <v>N/A</v>
        <stp/>
        <stp>VOLUME</stp>
        <stp>.NDX250919C20400</stp>
        <tr r="Q140" s="2"/>
      </tp>
      <tp t="e">
        <v>#N/A</v>
        <stp/>
        <stp>VOLUME</stp>
        <stp>.NDX250718C19500</stp>
        <tr r="M185" s="2"/>
      </tp>
      <tp t="s">
        <v>N/A</v>
        <stp/>
        <stp>VOLUME</stp>
        <stp>.NDX251219C20400</stp>
        <tr r="W140" s="2"/>
      </tp>
      <tp t="e">
        <v>#N/A</v>
        <stp/>
        <stp>VOLUME</stp>
        <stp>.NDX251219C19400</stp>
        <tr r="W190" s="2"/>
      </tp>
      <tp t="s">
        <v>N/A</v>
        <stp/>
        <stp>VOLUME</stp>
        <stp>.NDX250815C19860</stp>
        <tr r="O167" s="2"/>
      </tp>
      <tp t="e">
        <v>#N/A</v>
        <stp/>
        <stp>VOLUME</stp>
        <stp>.NDX250919C19460</stp>
        <tr r="Q187" s="2"/>
      </tp>
      <tp t="e">
        <v>#N/A</v>
        <stp/>
        <stp>VOLUME</stp>
        <stp>.NDX250718C19560</stp>
        <tr r="M182" s="2"/>
      </tp>
      <tp t="e">
        <v>#N/A</v>
        <stp/>
        <stp>IMPL_VOL</stp>
        <stp>.NDXP250509P20080</stp>
        <tr r="EO155" s="1"/>
      </tp>
      <tp t="e">
        <v>#N/A</v>
        <stp/>
        <stp>VOLUME</stp>
        <stp>.NDX251219C19460</stp>
        <tr r="W187" s="2"/>
      </tp>
      <tp t="s">
        <v>N/A</v>
        <stp/>
        <stp>VOLUME</stp>
        <stp>.NDX250815C19840</stp>
        <tr r="O168" s="2"/>
      </tp>
      <tp t="e">
        <v>#N/A</v>
        <stp/>
        <stp>VOLUME</stp>
        <stp>.NDX250919C19440</stp>
        <tr r="Q188" s="2"/>
      </tp>
      <tp t="s">
        <v>N/A</v>
        <stp/>
        <stp>VOLUME</stp>
        <stp>.NDX250919C20440</stp>
        <tr r="Q138" s="2"/>
      </tp>
      <tp t="e">
        <v>#N/A</v>
        <stp/>
        <stp>VOLUME</stp>
        <stp>.NDX250718C19540</stp>
        <tr r="M183" s="2"/>
      </tp>
      <tp t="s">
        <v>N/A</v>
        <stp/>
        <stp>VOLUME</stp>
        <stp>.NDX251219C20440</stp>
        <tr r="W138" s="2"/>
      </tp>
      <tp t="e">
        <v>#N/A</v>
        <stp/>
        <stp>VOLUME</stp>
        <stp>.NDX251219C19440</stp>
        <tr r="W188" s="2"/>
      </tp>
      <tp t="e">
        <v>#N/A</v>
        <stp/>
        <stp>MARK</stp>
        <stp>/NQ:XCME</stp>
        <tr r="F136" s="1"/>
        <tr r="F44" s="1"/>
      </tp>
      <tp t="e">
        <v>#N/A</v>
        <stp/>
        <stp>VOLUME</stp>
        <stp>.NDX251219P19580</stp>
        <tr r="W181" s="2"/>
      </tp>
      <tp t="s">
        <v>N/A</v>
        <stp/>
        <stp>VOLUME</stp>
        <stp>.NDX250815P19980</stp>
        <tr r="O161" s="2"/>
      </tp>
      <tp t="e">
        <v>#N/A</v>
        <stp/>
        <stp>VOLUME</stp>
        <stp>.NDX250919P19580</stp>
        <tr r="Q181" s="2"/>
      </tp>
      <tp t="e">
        <v>#N/A</v>
        <stp/>
        <stp>VOLUME</stp>
        <stp>.NDX250718P19480</stp>
        <tr r="M186" s="2"/>
      </tp>
      <tp t="e">
        <v>#N/A</v>
        <stp/>
        <stp>IMPL_VOL</stp>
        <stp>.NDXP250509C20160</stp>
        <tr r="EN151" s="1"/>
      </tp>
      <tp t="e">
        <v>#N/A</v>
        <stp/>
        <stp>IMPL_VOL</stp>
        <stp>.NDXP250509C20140</stp>
        <tr r="EN152" s="1"/>
      </tp>
      <tp t="e">
        <v>#N/A</v>
        <stp/>
        <stp>IMPL_VOL</stp>
        <stp>.NDXP250509C20120</stp>
        <tr r="EN153" s="1"/>
      </tp>
      <tp t="e">
        <v>#N/A</v>
        <stp/>
        <stp>IMPL_VOL</stp>
        <stp>.NDXP250509C20100</stp>
        <tr r="EN154" s="1"/>
      </tp>
      <tp t="e">
        <v>#N/A</v>
        <stp/>
        <stp>VOLUME</stp>
        <stp>.NDX251219P19500</stp>
        <tr r="W185" s="2"/>
      </tp>
      <tp t="s">
        <v>N/A</v>
        <stp/>
        <stp>VOLUME</stp>
        <stp>.NDX250815P19900</stp>
        <tr r="O165" s="2"/>
      </tp>
      <tp t="e">
        <v>#N/A</v>
        <stp/>
        <stp>VOLUME</stp>
        <stp>.NDX250919P19500</stp>
        <tr r="Q185" s="2"/>
      </tp>
      <tp t="s">
        <v>N/A</v>
        <stp/>
        <stp>VOLUME</stp>
        <stp>.NDX250718P20400</stp>
        <tr r="M140" s="2"/>
      </tp>
      <tp t="e">
        <v>#N/A</v>
        <stp/>
        <stp>VOLUME</stp>
        <stp>.NDX250718P19400</stp>
        <tr r="M190" s="2"/>
      </tp>
      <tp t="e">
        <v>#N/A</v>
        <stp/>
        <stp>VOLUME</stp>
        <stp>.NDX251219P19520</stp>
        <tr r="W184" s="2"/>
      </tp>
      <tp t="s">
        <v>N/A</v>
        <stp/>
        <stp>VOLUME</stp>
        <stp>.NDX250815P19920</stp>
        <tr r="O164" s="2"/>
      </tp>
      <tp t="e">
        <v>#N/A</v>
        <stp/>
        <stp>VOLUME</stp>
        <stp>.NDX250919P19520</stp>
        <tr r="Q184" s="2"/>
      </tp>
      <tp t="s">
        <v>N/A</v>
        <stp/>
        <stp>VOLUME</stp>
        <stp>.NDX250718P20420</stp>
        <tr r="M139" s="2"/>
      </tp>
      <tp t="e">
        <v>#N/A</v>
        <stp/>
        <stp>VOLUME</stp>
        <stp>.NDX250718P19420</stp>
        <tr r="M189" s="2"/>
      </tp>
      <tp t="e">
        <v>#N/A</v>
        <stp/>
        <stp>VOLUME</stp>
        <stp>.NDX251219P19540</stp>
        <tr r="W183" s="2"/>
      </tp>
      <tp t="s">
        <v>N/A</v>
        <stp/>
        <stp>VOLUME</stp>
        <stp>.NDX250815P19940</stp>
        <tr r="O163" s="2"/>
      </tp>
      <tp t="e">
        <v>#N/A</v>
        <stp/>
        <stp>VOLUME</stp>
        <stp>.NDX250919P19540</stp>
        <tr r="Q183" s="2"/>
      </tp>
      <tp t="s">
        <v>N/A</v>
        <stp/>
        <stp>VOLUME</stp>
        <stp>.NDX250718P20440</stp>
        <tr r="M138" s="2"/>
      </tp>
      <tp t="e">
        <v>#N/A</v>
        <stp/>
        <stp>VOLUME</stp>
        <stp>.NDX250718P19440</stp>
        <tr r="M188" s="2"/>
      </tp>
      <tp t="e">
        <v>#N/A</v>
        <stp/>
        <stp>VOLUME</stp>
        <stp>.NDX251219P19560</stp>
        <tr r="W182" s="2"/>
      </tp>
      <tp t="s">
        <v>N/A</v>
        <stp/>
        <stp>VOLUME</stp>
        <stp>.NDX250815P19960</stp>
        <tr r="O162" s="2"/>
      </tp>
      <tp t="e">
        <v>#N/A</v>
        <stp/>
        <stp>VOLUME</stp>
        <stp>.NDX250919P19560</stp>
        <tr r="Q182" s="2"/>
      </tp>
      <tp t="e">
        <v>#N/A</v>
        <stp/>
        <stp>VOLUME</stp>
        <stp>.NDX250718P19460</stp>
        <tr r="M187" s="2"/>
      </tp>
      <tp t="e">
        <v>#N/A</v>
        <stp/>
        <stp>IMPL_VOL</stp>
        <stp>.NDXP250509C20180</stp>
        <tr r="EN150" s="1"/>
      </tp>
      <tp t="e">
        <v>#N/A</v>
        <stp/>
        <stp>IMPL_VOL</stp>
        <stp>.NDXP250509P20140</stp>
        <tr r="EO152" s="1"/>
      </tp>
      <tp t="s">
        <v>N/A</v>
        <stp/>
        <stp>VOLUME</stp>
        <stp>.NDX250815C19980</stp>
        <tr r="O161" s="2"/>
      </tp>
      <tp t="e">
        <v>#N/A</v>
        <stp/>
        <stp>VOLUME</stp>
        <stp>.NDX250919C19580</stp>
        <tr r="Q181" s="2"/>
      </tp>
      <tp t="e">
        <v>#N/A</v>
        <stp/>
        <stp>VOLUME</stp>
        <stp>.NDX250718C19480</stp>
        <tr r="M186" s="2"/>
      </tp>
      <tp t="e">
        <v>#N/A</v>
        <stp/>
        <stp>IMPL_VOL</stp>
        <stp>.NDXP250509P20160</stp>
        <tr r="EO151" s="1"/>
      </tp>
      <tp t="e">
        <v>#N/A</v>
        <stp/>
        <stp>VOLUME</stp>
        <stp>.NDX251219C19580</stp>
        <tr r="W181" s="2"/>
      </tp>
      <tp t="e">
        <v>#N/A</v>
        <stp/>
        <stp>IMPL_VOL</stp>
        <stp>.NDXP250509P20100</stp>
        <tr r="EO154" s="1"/>
      </tp>
      <tp t="e">
        <v>#N/A</v>
        <stp/>
        <stp>IMPL_VOL</stp>
        <stp>.NDXP250509P20120</stp>
        <tr r="EO153" s="1"/>
      </tp>
      <tp t="s">
        <v>N/A</v>
        <stp/>
        <stp>VOLUME</stp>
        <stp>.NDX250815C19920</stp>
        <tr r="O164" s="2"/>
      </tp>
      <tp t="e">
        <v>#N/A</v>
        <stp/>
        <stp>VOLUME</stp>
        <stp>.NDX250919C19520</stp>
        <tr r="Q184" s="2"/>
      </tp>
      <tp t="s">
        <v>N/A</v>
        <stp/>
        <stp>VOLUME</stp>
        <stp>.NDX250718C20420</stp>
        <tr r="M139" s="2"/>
      </tp>
      <tp t="e">
        <v>#N/A</v>
        <stp/>
        <stp>VOLUME</stp>
        <stp>.NDX250718C19420</stp>
        <tr r="M189" s="2"/>
      </tp>
      <tp t="e">
        <v>#N/A</v>
        <stp/>
        <stp>VOLUME</stp>
        <stp>.NDX251219C19520</stp>
        <tr r="W184" s="2"/>
      </tp>
      <tp t="s">
        <v>N/A</v>
        <stp/>
        <stp>VOLUME</stp>
        <stp>.NDX250815C19900</stp>
        <tr r="O165" s="2"/>
      </tp>
      <tp t="e">
        <v>#N/A</v>
        <stp/>
        <stp>VOLUME</stp>
        <stp>.NDX250919C19500</stp>
        <tr r="Q185" s="2"/>
      </tp>
      <tp>
        <v>1</v>
        <stp/>
        <stp>VOLUME</stp>
        <stp>.NDX250718C20400</stp>
        <tr r="M140" s="2"/>
        <tr r="M140" s="2"/>
      </tp>
      <tp t="e">
        <v>#N/A</v>
        <stp/>
        <stp>VOLUME</stp>
        <stp>.NDX250718C19400</stp>
        <tr r="M190" s="2"/>
      </tp>
      <tp t="e">
        <v>#N/A</v>
        <stp/>
        <stp>VOLUME</stp>
        <stp>.NDX251219C19500</stp>
        <tr r="W185" s="2"/>
      </tp>
      <tp t="s">
        <v>N/A</v>
        <stp/>
        <stp>VOLUME</stp>
        <stp>.NDX250815C19960</stp>
        <tr r="O162" s="2"/>
      </tp>
      <tp t="e">
        <v>#N/A</v>
        <stp/>
        <stp>VOLUME</stp>
        <stp>.NDX250919C19560</stp>
        <tr r="Q182" s="2"/>
      </tp>
      <tp t="e">
        <v>#N/A</v>
        <stp/>
        <stp>VOLUME</stp>
        <stp>.NDX250718C19460</stp>
        <tr r="M187" s="2"/>
      </tp>
      <tp t="e">
        <v>#N/A</v>
        <stp/>
        <stp>IMPL_VOL</stp>
        <stp>.NDXP250509P20180</stp>
        <tr r="EO150" s="1"/>
      </tp>
      <tp t="e">
        <v>#N/A</v>
        <stp/>
        <stp>VOLUME</stp>
        <stp>.NDX251219C19560</stp>
        <tr r="W182" s="2"/>
      </tp>
      <tp t="s">
        <v>N/A</v>
        <stp/>
        <stp>VOLUME</stp>
        <stp>.NDX250815C19940</stp>
        <tr r="O163" s="2"/>
      </tp>
      <tp t="e">
        <v>#N/A</v>
        <stp/>
        <stp>VOLUME</stp>
        <stp>.NDX250919C19540</stp>
        <tr r="Q183" s="2"/>
      </tp>
      <tp t="s">
        <v>N/A</v>
        <stp/>
        <stp>VOLUME</stp>
        <stp>.NDX250718C20440</stp>
        <tr r="M138" s="2"/>
      </tp>
      <tp t="e">
        <v>#N/A</v>
        <stp/>
        <stp>VOLUME</stp>
        <stp>.NDX250718C19440</stp>
        <tr r="M188" s="2"/>
      </tp>
      <tp t="e">
        <v>#N/A</v>
        <stp/>
        <stp>VOLUME</stp>
        <stp>.NDX251219C19540</stp>
        <tr r="W183" s="2"/>
      </tp>
      <tp t="e">
        <v>#N/A</v>
        <stp/>
        <stp>VOLUME</stp>
        <stp>.NDX251017P19480</stp>
        <tr r="S186" s="2"/>
      </tp>
      <tp t="s">
        <v>N/A</v>
        <stp/>
        <stp>VOLUME</stp>
        <stp>.NDX251121P20280</stp>
        <tr r="U146" s="2"/>
      </tp>
      <tp t="s">
        <v>N/A</v>
        <stp/>
        <stp>VOLUME</stp>
        <stp>.NDX250815P19680</stp>
        <tr r="O176" s="2"/>
      </tp>
      <tp t="e">
        <v>#N/A</v>
        <stp/>
        <stp>VOLUME</stp>
        <stp>.NDX250516P19580</stp>
        <tr r="BF180" s="1"/>
      </tp>
      <tp t="s">
        <v>N/A</v>
        <stp/>
        <stp>VOLUME</stp>
        <stp>.NDX250620P20380</stp>
        <tr r="K141" s="2"/>
      </tp>
      <tp t="e">
        <v>#N/A</v>
        <stp/>
        <stp>VOLUME</stp>
        <stp>.NDX250523P20080</stp>
        <tr r="H156" s="2"/>
      </tp>
      <tp t="e">
        <v>#N/A</v>
        <stp/>
        <stp>IMPL_VOL</stp>
        <stp>.NDXP250502C19560</stp>
        <tr r="EL181" s="1"/>
      </tp>
      <tp t="e">
        <v>#N/A</v>
        <stp/>
        <stp>IMPL_VOL</stp>
        <stp>.NDXP250502C19540</stp>
        <tr r="EL182" s="1"/>
      </tp>
      <tp t="e">
        <v>#N/A</v>
        <stp/>
        <stp>IMPL_VOL</stp>
        <stp>.NDXP250502C19520</stp>
        <tr r="EL183" s="1"/>
      </tp>
      <tp t="e">
        <v>#N/A</v>
        <stp/>
        <stp>IMPL_VOL</stp>
        <stp>.NDXP250502C19500</stp>
        <tr r="EL184" s="1"/>
      </tp>
      <tp t="e">
        <v>#N/A</v>
        <stp/>
        <stp>VOLUME</stp>
        <stp>.NDX251017P19400</stp>
        <tr r="S190" s="2"/>
      </tp>
      <tp t="s">
        <v>N/A</v>
        <stp/>
        <stp>VOLUME</stp>
        <stp>.NDX251121P20200</stp>
        <tr r="U150" s="2"/>
      </tp>
      <tp t="s">
        <v>N/A</v>
        <stp/>
        <stp>VOLUME</stp>
        <stp>.NDX251017P20400</stp>
        <tr r="S140" s="2"/>
      </tp>
      <tp t="e">
        <v>#N/A</v>
        <stp/>
        <stp>VOLUME</stp>
        <stp>.NDX250815P19600</stp>
        <tr r="O180" s="2"/>
      </tp>
      <tp t="e">
        <v>#N/A</v>
        <stp/>
        <stp>VOLUME</stp>
        <stp>.NDX250516P19500</stp>
        <tr r="BF184" s="1"/>
        <tr r="BF184" s="1"/>
      </tp>
      <tp t="s">
        <v>N/A</v>
        <stp/>
        <stp>VOLUME</stp>
        <stp>.NDX250620P20300</stp>
        <tr r="K145" s="2"/>
      </tp>
      <tp t="e">
        <v>#N/A</v>
        <stp/>
        <stp>VOLUME</stp>
        <stp>.NDX250523P20000</stp>
        <tr r="H160" s="2"/>
      </tp>
      <tp t="e">
        <v>#N/A</v>
        <stp/>
        <stp>VOLUME</stp>
        <stp>.NDX251017P19420</stp>
        <tr r="S189" s="2"/>
      </tp>
      <tp t="s">
        <v>N/A</v>
        <stp/>
        <stp>VOLUME</stp>
        <stp>.NDX251121P20220</stp>
        <tr r="U149" s="2"/>
      </tp>
      <tp t="s">
        <v>N/A</v>
        <stp/>
        <stp>VOLUME</stp>
        <stp>.NDX251017P20420</stp>
        <tr r="S139" s="2"/>
      </tp>
      <tp t="s">
        <v>N/A</v>
        <stp/>
        <stp>VOLUME</stp>
        <stp>.NDX250815P19620</stp>
        <tr r="O179" s="2"/>
      </tp>
      <tp t="e">
        <v>#N/A</v>
        <stp/>
        <stp>VOLUME</stp>
        <stp>.NDX250516P19520</stp>
        <tr r="BF183" s="1"/>
      </tp>
      <tp t="s">
        <v>N/A</v>
        <stp/>
        <stp>VOLUME</stp>
        <stp>.NDX250620P20320</stp>
        <tr r="K144" s="2"/>
      </tp>
      <tp t="e">
        <v>#N/A</v>
        <stp/>
        <stp>VOLUME</stp>
        <stp>.NDX250523P20020</stp>
        <tr r="H159" s="2"/>
      </tp>
      <tp t="e">
        <v>#N/A</v>
        <stp/>
        <stp>VOLUME</stp>
        <stp>.NDX251017P19440</stp>
        <tr r="S188" s="2"/>
      </tp>
      <tp t="s">
        <v>N/A</v>
        <stp/>
        <stp>VOLUME</stp>
        <stp>.NDX251121P20240</stp>
        <tr r="U148" s="2"/>
      </tp>
      <tp t="s">
        <v>N/A</v>
        <stp/>
        <stp>VOLUME</stp>
        <stp>.NDX251017P20440</stp>
        <tr r="S138" s="2"/>
      </tp>
      <tp t="s">
        <v>N/A</v>
        <stp/>
        <stp>VOLUME</stp>
        <stp>.NDX250815P19640</stp>
        <tr r="O178" s="2"/>
      </tp>
      <tp t="e">
        <v>#N/A</v>
        <stp/>
        <stp>VOLUME</stp>
        <stp>.NDX250516P19540</stp>
        <tr r="BF182" s="1"/>
      </tp>
      <tp t="s">
        <v>N/A</v>
        <stp/>
        <stp>VOLUME</stp>
        <stp>.NDX250620P20340</stp>
        <tr r="K143" s="2"/>
      </tp>
      <tp t="e">
        <v>#N/A</v>
        <stp/>
        <stp>VOLUME</stp>
        <stp>.NDX250523P20040</stp>
        <tr r="H158" s="2"/>
      </tp>
      <tp t="e">
        <v>#N/A</v>
        <stp/>
        <stp>VOLUME</stp>
        <stp>.NDX251017P19460</stp>
        <tr r="S187" s="2"/>
      </tp>
      <tp t="s">
        <v>N/A</v>
        <stp/>
        <stp>VOLUME</stp>
        <stp>.NDX251121P20260</stp>
        <tr r="U147" s="2"/>
      </tp>
      <tp t="s">
        <v>N/A</v>
        <stp/>
        <stp>VOLUME</stp>
        <stp>.NDX250815P19660</stp>
        <tr r="O177" s="2"/>
      </tp>
      <tp t="e">
        <v>#N/A</v>
        <stp/>
        <stp>VOLUME</stp>
        <stp>.NDX250516P19560</stp>
        <tr r="BF181" s="1"/>
      </tp>
      <tp t="s">
        <v>N/A</v>
        <stp/>
        <stp>VOLUME</stp>
        <stp>.NDX250620P20360</stp>
        <tr r="K142" s="2"/>
      </tp>
      <tp t="e">
        <v>#N/A</v>
        <stp/>
        <stp>VOLUME</stp>
        <stp>.NDX250523P20060</stp>
        <tr r="H157" s="2"/>
      </tp>
      <tp t="e">
        <v>#N/A</v>
        <stp/>
        <stp>IMPL_VOL</stp>
        <stp>.NDXP250502C19580</stp>
        <tr r="EL180" s="1"/>
      </tp>
      <tp t="e">
        <v>#N/A</v>
        <stp/>
        <stp>IMPL_VOL</stp>
        <stp>.NDXP250502P19540</stp>
        <tr r="EM182" s="1"/>
      </tp>
      <tp t="s">
        <v>N/A</v>
        <stp/>
        <stp>VOLUME</stp>
        <stp>.NDX250815C19680</stp>
        <tr r="O176" s="2"/>
      </tp>
      <tp t="e">
        <v>#N/A</v>
        <stp/>
        <stp>VOLUME</stp>
        <stp>.NDX250516C19580</stp>
        <tr r="BE180" s="1"/>
      </tp>
      <tp t="s">
        <v>N/A</v>
        <stp/>
        <stp>VOLUME</stp>
        <stp>.NDX250620C20380</stp>
        <tr r="K141" s="2"/>
      </tp>
      <tp t="e">
        <v>#N/A</v>
        <stp/>
        <stp>VOLUME</stp>
        <stp>.NDX250523C20080</stp>
        <tr r="H156" s="2"/>
      </tp>
      <tp t="e">
        <v>#N/A</v>
        <stp/>
        <stp>IMPL_VOL</stp>
        <stp>.NDXP250502P19560</stp>
        <tr r="EM181" s="1"/>
      </tp>
      <tp t="e">
        <v>#N/A</v>
        <stp/>
        <stp>VOLUME</stp>
        <stp>.NDX251017C19480</stp>
        <tr r="S186" s="2"/>
      </tp>
      <tp t="s">
        <v>N/A</v>
        <stp/>
        <stp>VOLUME</stp>
        <stp>.NDX251121C20280</stp>
        <tr r="U146" s="2"/>
      </tp>
      <tp t="e">
        <v>#N/A</v>
        <stp/>
        <stp>IMPL_VOL</stp>
        <stp>.NDXP250502P19500</stp>
        <tr r="EM184" s="1"/>
      </tp>
      <tp t="e">
        <v>#N/A</v>
        <stp/>
        <stp>IMPL_VOL</stp>
        <stp>.NDXP250502P19520</stp>
        <tr r="EM183" s="1"/>
      </tp>
      <tp t="s">
        <v>N/A</v>
        <stp/>
        <stp>VOLUME</stp>
        <stp>.NDX250815C19620</stp>
        <tr r="O179" s="2"/>
      </tp>
      <tp t="e">
        <v>#N/A</v>
        <stp/>
        <stp>VOLUME</stp>
        <stp>.NDX250516C19520</stp>
        <tr r="BE183" s="1"/>
      </tp>
      <tp t="s">
        <v>N/A</v>
        <stp/>
        <stp>VOLUME</stp>
        <stp>.NDX250620C20320</stp>
        <tr r="K144" s="2"/>
      </tp>
      <tp t="e">
        <v>#N/A</v>
        <stp/>
        <stp>VOLUME</stp>
        <stp>.NDX250523C20020</stp>
        <tr r="H159" s="2"/>
      </tp>
      <tp t="e">
        <v>#N/A</v>
        <stp/>
        <stp>VOLUME</stp>
        <stp>.NDX251017C19420</stp>
        <tr r="S189" s="2"/>
      </tp>
      <tp t="s">
        <v>N/A</v>
        <stp/>
        <stp>VOLUME</stp>
        <stp>.NDX251121C20220</stp>
        <tr r="U149" s="2"/>
      </tp>
      <tp t="s">
        <v>N/A</v>
        <stp/>
        <stp>VOLUME</stp>
        <stp>.NDX251017C20420</stp>
        <tr r="S139" s="2"/>
      </tp>
      <tp t="e">
        <v>#N/A</v>
        <stp/>
        <stp>VOLUME</stp>
        <stp>.NDX250815C19600</stp>
        <tr r="O180" s="2"/>
      </tp>
      <tp t="e">
        <v>#N/A</v>
        <stp/>
        <stp>VOLUME</stp>
        <stp>.NDX250516C19500</stp>
        <tr r="BE184" s="1"/>
      </tp>
      <tp t="s">
        <v>N/A</v>
        <stp/>
        <stp>VOLUME</stp>
        <stp>.NDX250620C20300</stp>
        <tr r="K145" s="2"/>
      </tp>
      <tp t="e">
        <v>#N/A</v>
        <stp/>
        <stp>VOLUME</stp>
        <stp>.NDX250523C20000</stp>
        <tr r="H160" s="2"/>
      </tp>
      <tp t="e">
        <v>#N/A</v>
        <stp/>
        <stp>VOLUME</stp>
        <stp>.NDX251017C19400</stp>
        <tr r="S190" s="2"/>
      </tp>
      <tp t="s">
        <v>N/A</v>
        <stp/>
        <stp>VOLUME</stp>
        <stp>.NDX251121C20200</stp>
        <tr r="U150" s="2"/>
      </tp>
      <tp>
        <v>1</v>
        <stp/>
        <stp>VOLUME</stp>
        <stp>.NDX251017C20400</stp>
        <tr r="S140" s="2"/>
        <tr r="S140" s="2"/>
      </tp>
      <tp t="s">
        <v>N/A</v>
        <stp/>
        <stp>VOLUME</stp>
        <stp>.NDX250815C19660</stp>
        <tr r="O177" s="2"/>
      </tp>
      <tp t="e">
        <v>#N/A</v>
        <stp/>
        <stp>VOLUME</stp>
        <stp>.NDX250516C19560</stp>
        <tr r="BE181" s="1"/>
      </tp>
      <tp t="s">
        <v>N/A</v>
        <stp/>
        <stp>VOLUME</stp>
        <stp>.NDX250620C20360</stp>
        <tr r="K142" s="2"/>
      </tp>
      <tp t="e">
        <v>#N/A</v>
        <stp/>
        <stp>VOLUME</stp>
        <stp>.NDX250523C20060</stp>
        <tr r="H157" s="2"/>
      </tp>
      <tp t="e">
        <v>#N/A</v>
        <stp/>
        <stp>IMPL_VOL</stp>
        <stp>.NDXP250502P19580</stp>
        <tr r="EM180" s="1"/>
      </tp>
      <tp t="e">
        <v>#N/A</v>
        <stp/>
        <stp>VOLUME</stp>
        <stp>.NDX251017C19460</stp>
        <tr r="S187" s="2"/>
      </tp>
      <tp t="s">
        <v>N/A</v>
        <stp/>
        <stp>VOLUME</stp>
        <stp>.NDX251121C20260</stp>
        <tr r="U147" s="2"/>
      </tp>
      <tp t="s">
        <v>N/A</v>
        <stp/>
        <stp>VOLUME</stp>
        <stp>.NDX250815C19640</stp>
        <tr r="O178" s="2"/>
      </tp>
      <tp t="e">
        <v>#N/A</v>
        <stp/>
        <stp>VOLUME</stp>
        <stp>.NDX250516C19540</stp>
        <tr r="BE182" s="1"/>
      </tp>
      <tp t="s">
        <v>N/A</v>
        <stp/>
        <stp>VOLUME</stp>
        <stp>.NDX250620C20340</stp>
        <tr r="K143" s="2"/>
      </tp>
      <tp t="e">
        <v>#N/A</v>
        <stp/>
        <stp>VOLUME</stp>
        <stp>.NDX250523C20040</stp>
        <tr r="H158" s="2"/>
      </tp>
      <tp t="e">
        <v>#N/A</v>
        <stp/>
        <stp>VOLUME</stp>
        <stp>.NDX251017C19440</stp>
        <tr r="S188" s="2"/>
      </tp>
      <tp t="s">
        <v>N/A</v>
        <stp/>
        <stp>VOLUME</stp>
        <stp>.NDX251121C20240</stp>
        <tr r="U148" s="2"/>
      </tp>
      <tp t="s">
        <v>N/A</v>
        <stp/>
        <stp>VOLUME</stp>
        <stp>.NDX251017C20440</stp>
        <tr r="S138" s="2"/>
      </tp>
      <tp t="e">
        <v>#N/A</v>
        <stp/>
        <stp>VOLUME</stp>
        <stp>.NDX251017P19580</stp>
        <tr r="S181" s="2"/>
      </tp>
      <tp t="s">
        <v>N/A</v>
        <stp/>
        <stp>VOLUME</stp>
        <stp>.NDX251121P20380</stp>
        <tr r="U141" s="2"/>
      </tp>
      <tp t="s">
        <v>N/A</v>
        <stp/>
        <stp>VOLUME</stp>
        <stp>.NDX250815P19780</stp>
        <tr r="O171" s="2"/>
      </tp>
      <tp t="e">
        <v>#N/A</v>
        <stp/>
        <stp>VOLUME</stp>
        <stp>.NDX250516P19480</stp>
        <tr r="BF185" s="1"/>
      </tp>
      <tp t="s">
        <v>N/A</v>
        <stp/>
        <stp>VOLUME</stp>
        <stp>.NDX250620P20280</stp>
        <tr r="K146" s="2"/>
      </tp>
      <tp t="e">
        <v>#N/A</v>
        <stp/>
        <stp>VOLUME</stp>
        <stp>.NDX250523P20180</stp>
        <tr r="H151" s="2"/>
      </tp>
      <tp t="e">
        <v>#N/A</v>
        <stp/>
        <stp>IMPL_VOL</stp>
        <stp>.NDXP250502C19460</stp>
        <tr r="EL186" s="1"/>
      </tp>
      <tp t="e">
        <v>#N/A</v>
        <stp/>
        <stp>IMPL_VOL</stp>
        <stp>.NDXP250502C20440</stp>
        <tr r="EL137" s="1"/>
      </tp>
      <tp t="e">
        <v>#N/A</v>
        <stp/>
        <stp>IMPL_VOL</stp>
        <stp>.NDXP250502C19440</stp>
        <tr r="EL187" s="1"/>
      </tp>
      <tp t="e">
        <v>#N/A</v>
        <stp/>
        <stp>IMPL_VOL</stp>
        <stp>.NDXP250502C20420</stp>
        <tr r="EL138" s="1"/>
      </tp>
      <tp t="e">
        <v>#N/A</v>
        <stp/>
        <stp>IMPL_VOL</stp>
        <stp>.NDXP250502C19420</stp>
        <tr r="EL188" s="1"/>
      </tp>
      <tp t="e">
        <v>#N/A</v>
        <stp/>
        <stp>IMPL_VOL</stp>
        <stp>.NDXP250502C20400</stp>
        <tr r="EL139" s="1"/>
      </tp>
      <tp t="e">
        <v>#N/A</v>
        <stp/>
        <stp>IMPL_VOL</stp>
        <stp>.NDXP250502C19400</stp>
        <tr r="EL189" s="1"/>
      </tp>
      <tp t="e">
        <v>#N/A</v>
        <stp/>
        <stp>VOLUME</stp>
        <stp>.NDX251017P19500</stp>
        <tr r="S185" s="2"/>
      </tp>
      <tp t="s">
        <v>N/A</v>
        <stp/>
        <stp>VOLUME</stp>
        <stp>.NDX251121P20300</stp>
        <tr r="U145" s="2"/>
      </tp>
      <tp t="s">
        <v>N/A</v>
        <stp/>
        <stp>VOLUME</stp>
        <stp>.NDX250815P19700</stp>
        <tr r="O175" s="2"/>
      </tp>
      <tp t="e">
        <v>#N/A</v>
        <stp/>
        <stp>VOLUME</stp>
        <stp>.NDX250516P19400</stp>
        <tr r="BF189" s="1"/>
        <tr r="BF189" s="1"/>
      </tp>
      <tp>
        <v>26</v>
        <stp/>
        <stp>VOLUME</stp>
        <stp>.NDX250620P20200</stp>
        <tr r="K150" s="2"/>
        <tr r="K150" s="2"/>
      </tp>
      <tp>
        <v>2</v>
        <stp/>
        <stp>VOLUME</stp>
        <stp>.NDX250516P20400</stp>
        <tr r="BF139" s="1"/>
        <tr r="BF139" s="1"/>
      </tp>
      <tp t="e">
        <v>#N/A</v>
        <stp/>
        <stp>VOLUME</stp>
        <stp>.NDX250523P20100</stp>
        <tr r="H155" s="2"/>
      </tp>
      <tp t="e">
        <v>#N/A</v>
        <stp/>
        <stp>VOLUME</stp>
        <stp>.NDX251017P19520</stp>
        <tr r="S184" s="2"/>
      </tp>
      <tp t="s">
        <v>N/A</v>
        <stp/>
        <stp>VOLUME</stp>
        <stp>.NDX251121P20320</stp>
        <tr r="U144" s="2"/>
      </tp>
      <tp t="s">
        <v>N/A</v>
        <stp/>
        <stp>VOLUME</stp>
        <stp>.NDX250815P19720</stp>
        <tr r="O174" s="2"/>
      </tp>
      <tp t="e">
        <v>#N/A</v>
        <stp/>
        <stp>VOLUME</stp>
        <stp>.NDX250516P19420</stp>
        <tr r="BF188" s="1"/>
      </tp>
      <tp t="s">
        <v>N/A</v>
        <stp/>
        <stp>VOLUME</stp>
        <stp>.NDX250620P20220</stp>
        <tr r="K149" s="2"/>
      </tp>
      <tp t="s">
        <v>N/A</v>
        <stp/>
        <stp>VOLUME</stp>
        <stp>.NDX250516P20420</stp>
        <tr r="BF138" s="1"/>
      </tp>
      <tp t="e">
        <v>#N/A</v>
        <stp/>
        <stp>VOLUME</stp>
        <stp>.NDX250523P20120</stp>
        <tr r="H154" s="2"/>
      </tp>
      <tp t="e">
        <v>#N/A</v>
        <stp/>
        <stp>VOLUME</stp>
        <stp>.NDX251017P19540</stp>
        <tr r="S183" s="2"/>
      </tp>
      <tp t="s">
        <v>N/A</v>
        <stp/>
        <stp>VOLUME</stp>
        <stp>.NDX251121P20340</stp>
        <tr r="U143" s="2"/>
      </tp>
      <tp t="s">
        <v>N/A</v>
        <stp/>
        <stp>VOLUME</stp>
        <stp>.NDX250815P19740</stp>
        <tr r="O173" s="2"/>
      </tp>
      <tp t="e">
        <v>#N/A</v>
        <stp/>
        <stp>VOLUME</stp>
        <stp>.NDX250516P19440</stp>
        <tr r="BF187" s="1"/>
      </tp>
      <tp t="s">
        <v>N/A</v>
        <stp/>
        <stp>VOLUME</stp>
        <stp>.NDX250620P20240</stp>
        <tr r="K148" s="2"/>
      </tp>
      <tp t="s">
        <v>N/A</v>
        <stp/>
        <stp>VOLUME</stp>
        <stp>.NDX250516P20440</stp>
        <tr r="BF137" s="1"/>
      </tp>
      <tp t="e">
        <v>#N/A</v>
        <stp/>
        <stp>VOLUME</stp>
        <stp>.NDX250523P20140</stp>
        <tr r="H153" s="2"/>
      </tp>
      <tp t="e">
        <v>#N/A</v>
        <stp/>
        <stp>VOLUME</stp>
        <stp>.NDX251017P19560</stp>
        <tr r="S182" s="2"/>
      </tp>
      <tp t="s">
        <v>N/A</v>
        <stp/>
        <stp>VOLUME</stp>
        <stp>.NDX251121P20360</stp>
        <tr r="U142" s="2"/>
      </tp>
      <tp t="s">
        <v>N/A</v>
        <stp/>
        <stp>VOLUME</stp>
        <stp>.NDX250815P19760</stp>
        <tr r="O172" s="2"/>
      </tp>
      <tp t="e">
        <v>#N/A</v>
        <stp/>
        <stp>VOLUME</stp>
        <stp>.NDX250516P19460</stp>
        <tr r="BF186" s="1"/>
      </tp>
      <tp t="s">
        <v>N/A</v>
        <stp/>
        <stp>VOLUME</stp>
        <stp>.NDX250620P20260</stp>
        <tr r="K147" s="2"/>
      </tp>
      <tp t="e">
        <v>#N/A</v>
        <stp/>
        <stp>VOLUME</stp>
        <stp>.NDX250523P20160</stp>
        <tr r="H152" s="2"/>
      </tp>
      <tp t="e">
        <v>#N/A</v>
        <stp/>
        <stp>IMPL_VOL</stp>
        <stp>.NDXP250502C19480</stp>
        <tr r="EL185" s="1"/>
      </tp>
      <tp t="e">
        <v>#N/A</v>
        <stp/>
        <stp>IMPL_VOL</stp>
        <stp>.NDXP250502P20440</stp>
        <tr r="EM137" s="1"/>
      </tp>
      <tp t="e">
        <v>#N/A</v>
        <stp/>
        <stp>IMPL_VOL</stp>
        <stp>.NDXP250502P19440</stp>
        <tr r="EM187" s="1"/>
      </tp>
      <tp t="s">
        <v>N/A</v>
        <stp/>
        <stp>VOLUME</stp>
        <stp>.NDX250815C19780</stp>
        <tr r="O171" s="2"/>
      </tp>
      <tp t="e">
        <v>#N/A</v>
        <stp/>
        <stp>VOLUME</stp>
        <stp>.NDX250516C19480</stp>
        <tr r="BE185" s="1"/>
      </tp>
      <tp t="s">
        <v>N/A</v>
        <stp/>
        <stp>VOLUME</stp>
        <stp>.NDX250620C20280</stp>
        <tr r="K146" s="2"/>
      </tp>
      <tp t="e">
        <v>#N/A</v>
        <stp/>
        <stp>VOLUME</stp>
        <stp>.NDX250523C20180</stp>
        <tr r="H151" s="2"/>
      </tp>
      <tp t="e">
        <v>#N/A</v>
        <stp/>
        <stp>IMPL_VOL</stp>
        <stp>.NDXP250502P19460</stp>
        <tr r="EM186" s="1"/>
      </tp>
      <tp t="e">
        <v>#N/A</v>
        <stp/>
        <stp>VOLUME</stp>
        <stp>.NDX251017C19580</stp>
        <tr r="S181" s="2"/>
      </tp>
      <tp t="s">
        <v>N/A</v>
        <stp/>
        <stp>VOLUME</stp>
        <stp>.NDX251121C20380</stp>
        <tr r="U141" s="2"/>
      </tp>
      <tp t="e">
        <v>#N/A</v>
        <stp/>
        <stp>IMPL_VOL</stp>
        <stp>.NDXP250502P20400</stp>
        <tr r="EM139" s="1"/>
      </tp>
      <tp t="e">
        <v>#N/A</v>
        <stp/>
        <stp>IMPL_VOL</stp>
        <stp>.NDXP250502P19400</stp>
        <tr r="EM189" s="1"/>
      </tp>
      <tp t="e">
        <v>#N/A</v>
        <stp/>
        <stp>IMPL_VOL</stp>
        <stp>.NDXP250502P20420</stp>
        <tr r="EM138" s="1"/>
      </tp>
      <tp t="e">
        <v>#N/A</v>
        <stp/>
        <stp>IMPL_VOL</stp>
        <stp>.NDXP250502P19420</stp>
        <tr r="EM188" s="1"/>
      </tp>
      <tp t="s">
        <v>N/A</v>
        <stp/>
        <stp>VOLUME</stp>
        <stp>.NDX250815C19720</stp>
        <tr r="O174" s="2"/>
      </tp>
      <tp t="e">
        <v>#N/A</v>
        <stp/>
        <stp>VOLUME</stp>
        <stp>.NDX250516C19420</stp>
        <tr r="BE188" s="1"/>
      </tp>
      <tp t="s">
        <v>N/A</v>
        <stp/>
        <stp>VOLUME</stp>
        <stp>.NDX250620C20220</stp>
        <tr r="K149" s="2"/>
      </tp>
      <tp t="s">
        <v>N/A</v>
        <stp/>
        <stp>VOLUME</stp>
        <stp>.NDX250516C20420</stp>
        <tr r="BE138" s="1"/>
      </tp>
      <tp t="e">
        <v>#N/A</v>
        <stp/>
        <stp>VOLUME</stp>
        <stp>.NDX250523C20120</stp>
        <tr r="H154" s="2"/>
      </tp>
      <tp t="e">
        <v>#N/A</v>
        <stp/>
        <stp>VOLUME</stp>
        <stp>.NDX251017C19520</stp>
        <tr r="S184" s="2"/>
      </tp>
      <tp t="s">
        <v>N/A</v>
        <stp/>
        <stp>VOLUME</stp>
        <stp>.NDX251121C20320</stp>
        <tr r="U144" s="2"/>
      </tp>
      <tp t="s">
        <v>N/A</v>
        <stp/>
        <stp>VOLUME</stp>
        <stp>.NDX250815C19700</stp>
        <tr r="O175" s="2"/>
      </tp>
      <tp t="e">
        <v>#N/A</v>
        <stp/>
        <stp>VOLUME</stp>
        <stp>.NDX250516C19400</stp>
        <tr r="BE189" s="1"/>
        <tr r="BE189" s="1"/>
      </tp>
      <tp>
        <v>23</v>
        <stp/>
        <stp>VOLUME</stp>
        <stp>.NDX250620C20200</stp>
        <tr r="K150" s="2"/>
        <tr r="K150" s="2"/>
      </tp>
      <tp>
        <v>2</v>
        <stp/>
        <stp>VOLUME</stp>
        <stp>.NDX250516C20400</stp>
        <tr r="BE139" s="1"/>
        <tr r="BE139" s="1"/>
      </tp>
      <tp t="e">
        <v>#N/A</v>
        <stp/>
        <stp>VOLUME</stp>
        <stp>.NDX250523C20100</stp>
        <tr r="H155" s="2"/>
      </tp>
      <tp t="e">
        <v>#N/A</v>
        <stp/>
        <stp>VOLUME</stp>
        <stp>.NDX251017C19500</stp>
        <tr r="S185" s="2"/>
      </tp>
      <tp t="s">
        <v>N/A</v>
        <stp/>
        <stp>VOLUME</stp>
        <stp>.NDX251121C20300</stp>
        <tr r="U145" s="2"/>
      </tp>
      <tp t="s">
        <v>N/A</v>
        <stp/>
        <stp>VOLUME</stp>
        <stp>.NDX250815C19760</stp>
        <tr r="O172" s="2"/>
      </tp>
      <tp t="e">
        <v>#N/A</v>
        <stp/>
        <stp>VOLUME</stp>
        <stp>.NDX250516C19460</stp>
        <tr r="BE186" s="1"/>
      </tp>
      <tp t="s">
        <v>N/A</v>
        <stp/>
        <stp>VOLUME</stp>
        <stp>.NDX250620C20260</stp>
        <tr r="K147" s="2"/>
      </tp>
      <tp t="e">
        <v>#N/A</v>
        <stp/>
        <stp>VOLUME</stp>
        <stp>.NDX250523C20160</stp>
        <tr r="H152" s="2"/>
      </tp>
      <tp t="e">
        <v>#N/A</v>
        <stp/>
        <stp>IMPL_VOL</stp>
        <stp>.NDXP250502P19480</stp>
        <tr r="EM185" s="1"/>
      </tp>
      <tp t="e">
        <v>#N/A</v>
        <stp/>
        <stp>VOLUME</stp>
        <stp>.NDX251017C19560</stp>
        <tr r="S182" s="2"/>
      </tp>
      <tp t="s">
        <v>N/A</v>
        <stp/>
        <stp>VOLUME</stp>
        <stp>.NDX251121C20360</stp>
        <tr r="U142" s="2"/>
      </tp>
      <tp t="s">
        <v>N/A</v>
        <stp/>
        <stp>VOLUME</stp>
        <stp>.NDX250815C19740</stp>
        <tr r="O173" s="2"/>
      </tp>
      <tp t="e">
        <v>#N/A</v>
        <stp/>
        <stp>VOLUME</stp>
        <stp>.NDX250516C19440</stp>
        <tr r="BE187" s="1"/>
      </tp>
      <tp t="s">
        <v>N/A</v>
        <stp/>
        <stp>VOLUME</stp>
        <stp>.NDX250620C20240</stp>
        <tr r="K148" s="2"/>
      </tp>
      <tp t="s">
        <v>N/A</v>
        <stp/>
        <stp>VOLUME</stp>
        <stp>.NDX250516C20440</stp>
        <tr r="BE137" s="1"/>
      </tp>
      <tp t="e">
        <v>#N/A</v>
        <stp/>
        <stp>VOLUME</stp>
        <stp>.NDX250523C20140</stp>
        <tr r="H153" s="2"/>
      </tp>
      <tp t="e">
        <v>#N/A</v>
        <stp/>
        <stp>VOLUME</stp>
        <stp>.NDX251017C19540</stp>
        <tr r="S183" s="2"/>
      </tp>
      <tp t="s">
        <v>N/A</v>
        <stp/>
        <stp>VOLUME</stp>
        <stp>.NDX251121C20340</stp>
        <tr r="U143" s="2"/>
      </tp>
      <tp t="s">
        <v>N/A</v>
        <stp/>
        <stp>VOLUME</stp>
        <stp>.NDX251017P19680</stp>
        <tr r="S176" s="2"/>
      </tp>
      <tp t="s">
        <v>N/A</v>
        <stp/>
        <stp>VOLUME</stp>
        <stp>.NDX251219P19880</stp>
        <tr r="W166" s="2"/>
      </tp>
      <tp t="s">
        <v>N/A</v>
        <stp/>
        <stp>VOLUME</stp>
        <stp>.NDX251121P20080</stp>
        <tr r="U156" s="2"/>
      </tp>
      <tp t="e">
        <v>#N/A</v>
        <stp/>
        <stp>VOLUME</stp>
        <stp>.NDX250815P19480</stp>
        <tr r="O186" s="2"/>
      </tp>
      <tp t="s">
        <v>N/A</v>
        <stp/>
        <stp>VOLUME</stp>
        <stp>.NDX250919P19880</stp>
        <tr r="Q166" s="2"/>
      </tp>
      <tp t="s">
        <v>N/A</v>
        <stp/>
        <stp>VOLUME</stp>
        <stp>.NDX250516P19780</stp>
        <tr r="BF170" s="1"/>
      </tp>
      <tp t="s">
        <v>N/A</v>
        <stp/>
        <stp>VOLUME</stp>
        <stp>.NDX250620P20180</stp>
        <tr r="K151" s="2"/>
      </tp>
      <tp t="e">
        <v>#N/A</v>
        <stp/>
        <stp>VOLUME</stp>
        <stp>.NDX250523P20280</stp>
        <tr r="H146" s="2"/>
      </tp>
      <tp t="s">
        <v>N/A</v>
        <stp/>
        <stp>VOLUME</stp>
        <stp>.NDX250718P19980</stp>
        <tr r="M161" s="2"/>
      </tp>
      <tp t="e">
        <v>#N/A</v>
        <stp/>
        <stp>IMPL_VOL</stp>
        <stp>.NDXP250502C19760</stp>
        <tr r="EL171" s="1"/>
      </tp>
      <tp t="e">
        <v>#N/A</v>
        <stp/>
        <stp>IMPL_VOL</stp>
        <stp>.NDXP250502C19740</stp>
        <tr r="EL172" s="1"/>
      </tp>
      <tp t="e">
        <v>#N/A</v>
        <stp/>
        <stp>IMPL_VOL</stp>
        <stp>.NDXP250502C19720</stp>
        <tr r="EL173" s="1"/>
      </tp>
      <tp t="e">
        <v>#N/A</v>
        <stp/>
        <stp>IMPL_VOL</stp>
        <stp>.NDXP250502C19700</stp>
        <tr r="EL174" s="1"/>
      </tp>
      <tp t="e">
        <v>#N/A</v>
        <stp/>
        <stp>VOLUME</stp>
        <stp>.NDX251017P19600</stp>
        <tr r="S180" s="2"/>
      </tp>
      <tp t="s">
        <v>N/A</v>
        <stp/>
        <stp>VOLUME</stp>
        <stp>.NDX251219P19800</stp>
        <tr r="W170" s="2"/>
      </tp>
      <tp t="s">
        <v>N/A</v>
        <stp/>
        <stp>VOLUME</stp>
        <stp>.NDX251121P20000</stp>
        <tr r="U160" s="2"/>
      </tp>
      <tp t="e">
        <v>#N/A</v>
        <stp/>
        <stp>VOLUME</stp>
        <stp>.NDX250815P19400</stp>
        <tr r="O190" s="2"/>
      </tp>
      <tp t="s">
        <v>N/A</v>
        <stp/>
        <stp>VOLUME</stp>
        <stp>.NDX250919P19800</stp>
        <tr r="Q170" s="2"/>
      </tp>
      <tp t="s">
        <v>N/A</v>
        <stp/>
        <stp>VOLUME</stp>
        <stp>.NDX250815P20400</stp>
        <tr r="O140" s="2"/>
      </tp>
      <tp>
        <v>3</v>
        <stp/>
        <stp>VOLUME</stp>
        <stp>.NDX250516P19700</stp>
        <tr r="BF174" s="1"/>
        <tr r="BF174" s="1"/>
      </tp>
      <tp>
        <v>1</v>
        <stp/>
        <stp>VOLUME</stp>
        <stp>.NDX250620P20100</stp>
        <tr r="K155" s="2"/>
        <tr r="K155" s="2"/>
      </tp>
      <tp t="e">
        <v>#N/A</v>
        <stp/>
        <stp>VOLUME</stp>
        <stp>.NDX250523P20200</stp>
        <tr r="H150" s="2"/>
      </tp>
      <tp t="s">
        <v>N/A</v>
        <stp/>
        <stp>VOLUME</stp>
        <stp>.NDX250718P19900</stp>
        <tr r="M165" s="2"/>
      </tp>
      <tp t="s">
        <v>N/A</v>
        <stp/>
        <stp>VOLUME</stp>
        <stp>.NDX251017P19620</stp>
        <tr r="S179" s="2"/>
      </tp>
      <tp t="s">
        <v>N/A</v>
        <stp/>
        <stp>VOLUME</stp>
        <stp>.NDX251219P19820</stp>
        <tr r="W169" s="2"/>
      </tp>
      <tp t="s">
        <v>N/A</v>
        <stp/>
        <stp>VOLUME</stp>
        <stp>.NDX251121P20020</stp>
        <tr r="U159" s="2"/>
      </tp>
      <tp t="e">
        <v>#N/A</v>
        <stp/>
        <stp>VOLUME</stp>
        <stp>.NDX250815P19420</stp>
        <tr r="O189" s="2"/>
      </tp>
      <tp t="s">
        <v>N/A</v>
        <stp/>
        <stp>VOLUME</stp>
        <stp>.NDX250919P19820</stp>
        <tr r="Q169" s="2"/>
      </tp>
      <tp t="s">
        <v>N/A</v>
        <stp/>
        <stp>VOLUME</stp>
        <stp>.NDX250815P20420</stp>
        <tr r="O139" s="2"/>
      </tp>
      <tp t="s">
        <v>N/A</v>
        <stp/>
        <stp>VOLUME</stp>
        <stp>.NDX250516P19720</stp>
        <tr r="BF173" s="1"/>
      </tp>
      <tp t="s">
        <v>N/A</v>
        <stp/>
        <stp>VOLUME</stp>
        <stp>.NDX250620P20120</stp>
        <tr r="K154" s="2"/>
      </tp>
      <tp t="e">
        <v>#N/A</v>
        <stp/>
        <stp>VOLUME</stp>
        <stp>.NDX250523P20220</stp>
        <tr r="H149" s="2"/>
      </tp>
      <tp t="s">
        <v>N/A</v>
        <stp/>
        <stp>VOLUME</stp>
        <stp>.NDX250718P19920</stp>
        <tr r="M164" s="2"/>
      </tp>
      <tp t="s">
        <v>N/A</v>
        <stp/>
        <stp>VOLUME</stp>
        <stp>.NDX251017P19640</stp>
        <tr r="S178" s="2"/>
      </tp>
      <tp t="s">
        <v>N/A</v>
        <stp/>
        <stp>VOLUME</stp>
        <stp>.NDX251219P19840</stp>
        <tr r="W168" s="2"/>
      </tp>
      <tp t="s">
        <v>N/A</v>
        <stp/>
        <stp>VOLUME</stp>
        <stp>.NDX251121P20040</stp>
        <tr r="U158" s="2"/>
      </tp>
      <tp t="e">
        <v>#N/A</v>
        <stp/>
        <stp>VOLUME</stp>
        <stp>.NDX250815P19440</stp>
        <tr r="O188" s="2"/>
      </tp>
      <tp t="s">
        <v>N/A</v>
        <stp/>
        <stp>VOLUME</stp>
        <stp>.NDX250919P19840</stp>
        <tr r="Q168" s="2"/>
      </tp>
      <tp t="s">
        <v>N/A</v>
        <stp/>
        <stp>VOLUME</stp>
        <stp>.NDX250815P20440</stp>
        <tr r="O138" s="2"/>
      </tp>
      <tp t="s">
        <v>N/A</v>
        <stp/>
        <stp>VOLUME</stp>
        <stp>.NDX250516P19740</stp>
        <tr r="BF172" s="1"/>
      </tp>
      <tp t="s">
        <v>N/A</v>
        <stp/>
        <stp>VOLUME</stp>
        <stp>.NDX250620P20140</stp>
        <tr r="K153" s="2"/>
      </tp>
      <tp t="e">
        <v>#N/A</v>
        <stp/>
        <stp>VOLUME</stp>
        <stp>.NDX250523P20240</stp>
        <tr r="H148" s="2"/>
      </tp>
      <tp t="s">
        <v>N/A</v>
        <stp/>
        <stp>VOLUME</stp>
        <stp>.NDX250718P19940</stp>
        <tr r="M163" s="2"/>
      </tp>
      <tp t="s">
        <v>N/A</v>
        <stp/>
        <stp>VOLUME</stp>
        <stp>.NDX251017P19660</stp>
        <tr r="S177" s="2"/>
      </tp>
      <tp t="s">
        <v>N/A</v>
        <stp/>
        <stp>VOLUME</stp>
        <stp>.NDX251219P19860</stp>
        <tr r="W167" s="2"/>
      </tp>
      <tp t="s">
        <v>N/A</v>
        <stp/>
        <stp>VOLUME</stp>
        <stp>.NDX251121P20060</stp>
        <tr r="U157" s="2"/>
      </tp>
      <tp t="e">
        <v>#N/A</v>
        <stp/>
        <stp>VOLUME</stp>
        <stp>.NDX250815P19460</stp>
        <tr r="O187" s="2"/>
      </tp>
      <tp t="s">
        <v>N/A</v>
        <stp/>
        <stp>VOLUME</stp>
        <stp>.NDX250919P19860</stp>
        <tr r="Q167" s="2"/>
      </tp>
      <tp t="s">
        <v>N/A</v>
        <stp/>
        <stp>VOLUME</stp>
        <stp>.NDX250516P19760</stp>
        <tr r="BF171" s="1"/>
      </tp>
      <tp t="s">
        <v>N/A</v>
        <stp/>
        <stp>VOLUME</stp>
        <stp>.NDX250620P20160</stp>
        <tr r="K152" s="2"/>
      </tp>
      <tp t="e">
        <v>#N/A</v>
        <stp/>
        <stp>VOLUME</stp>
        <stp>.NDX250523P20260</stp>
        <tr r="H147" s="2"/>
      </tp>
      <tp t="s">
        <v>N/A</v>
        <stp/>
        <stp>VOLUME</stp>
        <stp>.NDX250718P19960</stp>
        <tr r="M162" s="2"/>
      </tp>
      <tp t="e">
        <v>#N/A</v>
        <stp/>
        <stp>IMPL_VOL</stp>
        <stp>.NDXP250502C19780</stp>
        <tr r="EL170" s="1"/>
      </tp>
      <tp t="e">
        <v>#N/A</v>
        <stp/>
        <stp>IMPL_VOL</stp>
        <stp>.NDXP250502P19740</stp>
        <tr r="EM172" s="1"/>
      </tp>
      <tp t="e">
        <v>#N/A</v>
        <stp/>
        <stp>VOLUME</stp>
        <stp>.NDX250815C19480</stp>
        <tr r="O186" s="2"/>
      </tp>
      <tp t="s">
        <v>N/A</v>
        <stp/>
        <stp>VOLUME</stp>
        <stp>.NDX250919C19880</stp>
        <tr r="Q166" s="2"/>
      </tp>
      <tp t="s">
        <v>N/A</v>
        <stp/>
        <stp>VOLUME</stp>
        <stp>.NDX250516C19780</stp>
        <tr r="BE170" s="1"/>
      </tp>
      <tp t="s">
        <v>N/A</v>
        <stp/>
        <stp>VOLUME</stp>
        <stp>.NDX250620C20180</stp>
        <tr r="K151" s="2"/>
      </tp>
      <tp t="e">
        <v>#N/A</v>
        <stp/>
        <stp>VOLUME</stp>
        <stp>.NDX250523C20280</stp>
        <tr r="H146" s="2"/>
      </tp>
      <tp t="s">
        <v>N/A</v>
        <stp/>
        <stp>VOLUME</stp>
        <stp>.NDX250718C19980</stp>
        <tr r="M161" s="2"/>
      </tp>
      <tp t="e">
        <v>#N/A</v>
        <stp/>
        <stp>IMPL_VOL</stp>
        <stp>.NDXP250502P19760</stp>
        <tr r="EM171" s="1"/>
      </tp>
      <tp t="s">
        <v>N/A</v>
        <stp/>
        <stp>VOLUME</stp>
        <stp>.NDX251017C19680</stp>
        <tr r="S176" s="2"/>
      </tp>
      <tp t="s">
        <v>N/A</v>
        <stp/>
        <stp>VOLUME</stp>
        <stp>.NDX251219C19880</stp>
        <tr r="W166" s="2"/>
      </tp>
      <tp t="s">
        <v>N/A</v>
        <stp/>
        <stp>VOLUME</stp>
        <stp>.NDX251121C20080</stp>
        <tr r="U156" s="2"/>
      </tp>
      <tp t="e">
        <v>#N/A</v>
        <stp/>
        <stp>IMPL_VOL</stp>
        <stp>.NDXP250502P19700</stp>
        <tr r="EM174" s="1"/>
      </tp>
      <tp t="e">
        <v>#N/A</v>
        <stp/>
        <stp>IMPL_VOL</stp>
        <stp>.NDXP250502P19720</stp>
        <tr r="EM173" s="1"/>
      </tp>
      <tp t="e">
        <v>#N/A</v>
        <stp/>
        <stp>VOLUME</stp>
        <stp>.NDX250815C19420</stp>
        <tr r="O189" s="2"/>
      </tp>
      <tp t="s">
        <v>N/A</v>
        <stp/>
        <stp>VOLUME</stp>
        <stp>.NDX250919C19820</stp>
        <tr r="Q169" s="2"/>
      </tp>
      <tp t="s">
        <v>N/A</v>
        <stp/>
        <stp>VOLUME</stp>
        <stp>.NDX250815C20420</stp>
        <tr r="O139" s="2"/>
      </tp>
      <tp t="s">
        <v>N/A</v>
        <stp/>
        <stp>VOLUME</stp>
        <stp>.NDX250516C19720</stp>
        <tr r="BE173" s="1"/>
      </tp>
      <tp t="s">
        <v>N/A</v>
        <stp/>
        <stp>VOLUME</stp>
        <stp>.NDX250620C20120</stp>
        <tr r="K154" s="2"/>
      </tp>
      <tp t="e">
        <v>#N/A</v>
        <stp/>
        <stp>VOLUME</stp>
        <stp>.NDX250523C20220</stp>
        <tr r="H149" s="2"/>
      </tp>
      <tp t="s">
        <v>N/A</v>
        <stp/>
        <stp>VOLUME</stp>
        <stp>.NDX250718C19920</stp>
        <tr r="M164" s="2"/>
      </tp>
      <tp t="s">
        <v>N/A</v>
        <stp/>
        <stp>VOLUME</stp>
        <stp>.NDX251017C19620</stp>
        <tr r="S179" s="2"/>
      </tp>
      <tp t="s">
        <v>N/A</v>
        <stp/>
        <stp>VOLUME</stp>
        <stp>.NDX251219C19820</stp>
        <tr r="W169" s="2"/>
      </tp>
      <tp t="s">
        <v>N/A</v>
        <stp/>
        <stp>VOLUME</stp>
        <stp>.NDX251121C20020</stp>
        <tr r="U159" s="2"/>
      </tp>
      <tp t="e">
        <v>#N/A</v>
        <stp/>
        <stp>VOLUME</stp>
        <stp>.NDX250815C19400</stp>
        <tr r="O190" s="2"/>
      </tp>
      <tp t="s">
        <v>N/A</v>
        <stp/>
        <stp>VOLUME</stp>
        <stp>.NDX250919C19800</stp>
        <tr r="Q170" s="2"/>
      </tp>
      <tp>
        <v>1</v>
        <stp/>
        <stp>VOLUME</stp>
        <stp>.NDX250815C20400</stp>
        <tr r="O140" s="2"/>
        <tr r="O140" s="2"/>
      </tp>
      <tp>
        <v>2</v>
        <stp/>
        <stp>VOLUME</stp>
        <stp>.NDX250516C19700</stp>
        <tr r="BE174" s="1"/>
        <tr r="BE174" s="1"/>
      </tp>
      <tp>
        <v>6</v>
        <stp/>
        <stp>VOLUME</stp>
        <stp>.NDX250620C20100</stp>
        <tr r="K155" s="2"/>
        <tr r="K155" s="2"/>
      </tp>
      <tp t="e">
        <v>#N/A</v>
        <stp/>
        <stp>VOLUME</stp>
        <stp>.NDX250523C20200</stp>
        <tr r="H150" s="2"/>
      </tp>
      <tp t="s">
        <v>N/A</v>
        <stp/>
        <stp>VOLUME</stp>
        <stp>.NDX250718C19900</stp>
        <tr r="M165" s="2"/>
      </tp>
      <tp t="e">
        <v>#N/A</v>
        <stp/>
        <stp>VOLUME</stp>
        <stp>.NDX251017C19600</stp>
        <tr r="S180" s="2"/>
      </tp>
      <tp t="s">
        <v>N/A</v>
        <stp/>
        <stp>VOLUME</stp>
        <stp>.NDX251219C19800</stp>
        <tr r="W170" s="2"/>
      </tp>
      <tp t="s">
        <v>N/A</v>
        <stp/>
        <stp>VOLUME</stp>
        <stp>.NDX251121C20000</stp>
        <tr r="U160" s="2"/>
      </tp>
      <tp t="e">
        <v>#N/A</v>
        <stp/>
        <stp>VOLUME</stp>
        <stp>.NDX250815C19460</stp>
        <tr r="O187" s="2"/>
      </tp>
      <tp t="s">
        <v>N/A</v>
        <stp/>
        <stp>VOLUME</stp>
        <stp>.NDX250919C19860</stp>
        <tr r="Q167" s="2"/>
      </tp>
      <tp t="s">
        <v>N/A</v>
        <stp/>
        <stp>VOLUME</stp>
        <stp>.NDX250516C19760</stp>
        <tr r="BE171" s="1"/>
      </tp>
      <tp t="s">
        <v>N/A</v>
        <stp/>
        <stp>VOLUME</stp>
        <stp>.NDX250620C20160</stp>
        <tr r="K152" s="2"/>
      </tp>
      <tp t="e">
        <v>#N/A</v>
        <stp/>
        <stp>VOLUME</stp>
        <stp>.NDX250523C20260</stp>
        <tr r="H147" s="2"/>
      </tp>
      <tp t="s">
        <v>N/A</v>
        <stp/>
        <stp>VOLUME</stp>
        <stp>.NDX250718C19960</stp>
        <tr r="M162" s="2"/>
      </tp>
      <tp t="e">
        <v>#N/A</v>
        <stp/>
        <stp>IMPL_VOL</stp>
        <stp>.NDXP250502P19780</stp>
        <tr r="EM170" s="1"/>
      </tp>
      <tp t="s">
        <v>N/A</v>
        <stp/>
        <stp>VOLUME</stp>
        <stp>.NDX251017C19660</stp>
        <tr r="S177" s="2"/>
      </tp>
      <tp t="s">
        <v>N/A</v>
        <stp/>
        <stp>VOLUME</stp>
        <stp>.NDX251219C19860</stp>
        <tr r="W167" s="2"/>
      </tp>
      <tp t="s">
        <v>N/A</v>
        <stp/>
        <stp>VOLUME</stp>
        <stp>.NDX251121C20060</stp>
        <tr r="U157" s="2"/>
      </tp>
      <tp t="e">
        <v>#N/A</v>
        <stp/>
        <stp>VOLUME</stp>
        <stp>.NDX250815C19440</stp>
        <tr r="O188" s="2"/>
      </tp>
      <tp t="s">
        <v>N/A</v>
        <stp/>
        <stp>VOLUME</stp>
        <stp>.NDX250919C19840</stp>
        <tr r="Q168" s="2"/>
      </tp>
      <tp t="s">
        <v>N/A</v>
        <stp/>
        <stp>VOLUME</stp>
        <stp>.NDX250815C20440</stp>
        <tr r="O138" s="2"/>
      </tp>
      <tp t="s">
        <v>N/A</v>
        <stp/>
        <stp>VOLUME</stp>
        <stp>.NDX250516C19740</stp>
        <tr r="BE172" s="1"/>
      </tp>
      <tp t="s">
        <v>N/A</v>
        <stp/>
        <stp>VOLUME</stp>
        <stp>.NDX250620C20140</stp>
        <tr r="K153" s="2"/>
      </tp>
      <tp t="e">
        <v>#N/A</v>
        <stp/>
        <stp>VOLUME</stp>
        <stp>.NDX250523C20240</stp>
        <tr r="H148" s="2"/>
      </tp>
      <tp t="s">
        <v>N/A</v>
        <stp/>
        <stp>VOLUME</stp>
        <stp>.NDX250718C19940</stp>
        <tr r="M163" s="2"/>
      </tp>
      <tp t="s">
        <v>N/A</v>
        <stp/>
        <stp>VOLUME</stp>
        <stp>.NDX251017C19640</stp>
        <tr r="S178" s="2"/>
      </tp>
      <tp t="s">
        <v>N/A</v>
        <stp/>
        <stp>VOLUME</stp>
        <stp>.NDX251219C19840</stp>
        <tr r="W168" s="2"/>
      </tp>
      <tp t="s">
        <v>N/A</v>
        <stp/>
        <stp>VOLUME</stp>
        <stp>.NDX251121C20040</stp>
        <tr r="U158" s="2"/>
      </tp>
      <tp t="s">
        <v>N/A</v>
        <stp/>
        <stp>VOLUME</stp>
        <stp>.NDX251017P19780</stp>
        <tr r="S171" s="2"/>
      </tp>
      <tp t="s">
        <v>N/A</v>
        <stp/>
        <stp>VOLUME</stp>
        <stp>.NDX251219P19980</stp>
        <tr r="W161" s="2"/>
      </tp>
      <tp t="s">
        <v>N/A</v>
        <stp/>
        <stp>VOLUME</stp>
        <stp>.NDX251121P20180</stp>
        <tr r="U151" s="2"/>
      </tp>
      <tp t="e">
        <v>#N/A</v>
        <stp/>
        <stp>VOLUME</stp>
        <stp>.NDX250815P19580</stp>
        <tr r="O181" s="2"/>
      </tp>
      <tp t="s">
        <v>N/A</v>
        <stp/>
        <stp>VOLUME</stp>
        <stp>.NDX250919P19980</stp>
        <tr r="Q161" s="2"/>
      </tp>
      <tp t="s">
        <v>N/A</v>
        <stp/>
        <stp>VOLUME</stp>
        <stp>.NDX250516P19680</stp>
        <tr r="BF175" s="1"/>
      </tp>
      <tp t="s">
        <v>N/A</v>
        <stp/>
        <stp>VOLUME</stp>
        <stp>.NDX250620P20080</stp>
        <tr r="K156" s="2"/>
      </tp>
      <tp t="e">
        <v>#N/A</v>
        <stp/>
        <stp>VOLUME</stp>
        <stp>.NDX250523P20380</stp>
        <tr r="H141" s="2"/>
      </tp>
      <tp t="s">
        <v>N/A</v>
        <stp/>
        <stp>VOLUME</stp>
        <stp>.NDX250718P19880</stp>
        <tr r="M166" s="2"/>
      </tp>
      <tp t="e">
        <v>#N/A</v>
        <stp/>
        <stp>IMPL_VOL</stp>
        <stp>.NDXP250502C19660</stp>
        <tr r="EL176" s="1"/>
      </tp>
      <tp t="e">
        <v>#N/A</v>
        <stp/>
        <stp>IMPL_VOL</stp>
        <stp>.NDXP250502C19640</stp>
        <tr r="EL177" s="1"/>
      </tp>
      <tp t="e">
        <v>#N/A</v>
        <stp/>
        <stp>IMPL_VOL</stp>
        <stp>.NDXP250502C19620</stp>
        <tr r="EL178" s="1"/>
      </tp>
      <tp t="e">
        <v>#N/A</v>
        <stp/>
        <stp>IMPL_VOL</stp>
        <stp>.NDXP250502C19600</stp>
        <tr r="EL179" s="1"/>
      </tp>
      <tp t="s">
        <v>N/A</v>
        <stp/>
        <stp>VOLUME</stp>
        <stp>.NDX251017P19700</stp>
        <tr r="S175" s="2"/>
      </tp>
      <tp t="s">
        <v>N/A</v>
        <stp/>
        <stp>VOLUME</stp>
        <stp>.NDX251219P19900</stp>
        <tr r="W165" s="2"/>
      </tp>
      <tp t="s">
        <v>N/A</v>
        <stp/>
        <stp>VOLUME</stp>
        <stp>.NDX251121P20100</stp>
        <tr r="U155" s="2"/>
      </tp>
      <tp t="e">
        <v>#N/A</v>
        <stp/>
        <stp>VOLUME</stp>
        <stp>.NDX250815P19500</stp>
        <tr r="O185" s="2"/>
      </tp>
      <tp>
        <v>4</v>
        <stp/>
        <stp>VOLUME</stp>
        <stp>.NDX250919P19900</stp>
        <tr r="Q165" s="2"/>
        <tr r="Q165" s="2"/>
      </tp>
      <tp t="e">
        <v>#N/A</v>
        <stp/>
        <stp>VOLUME</stp>
        <stp>.NDX250516P19600</stp>
        <tr r="BF179" s="1"/>
        <tr r="BF179" s="1"/>
      </tp>
      <tp>
        <v>128</v>
        <stp/>
        <stp>VOLUME</stp>
        <stp>.NDX250620P20000</stp>
        <tr r="K160" s="2"/>
        <tr r="K160" s="2"/>
      </tp>
      <tp t="e">
        <v>#N/A</v>
        <stp/>
        <stp>VOLUME</stp>
        <stp>.NDX250523P20300</stp>
        <tr r="H145" s="2"/>
      </tp>
      <tp>
        <v>5</v>
        <stp/>
        <stp>VOLUME</stp>
        <stp>.NDX250718P19800</stp>
        <tr r="M170" s="2"/>
        <tr r="M170" s="2"/>
      </tp>
      <tp t="s">
        <v>N/A</v>
        <stp/>
        <stp>VOLUME</stp>
        <stp>.NDX251017P19720</stp>
        <tr r="S174" s="2"/>
      </tp>
      <tp t="s">
        <v>N/A</v>
        <stp/>
        <stp>VOLUME</stp>
        <stp>.NDX251219P19920</stp>
        <tr r="W164" s="2"/>
      </tp>
      <tp t="s">
        <v>N/A</v>
        <stp/>
        <stp>VOLUME</stp>
        <stp>.NDX251121P20120</stp>
        <tr r="U154" s="2"/>
      </tp>
      <tp t="e">
        <v>#N/A</v>
        <stp/>
        <stp>VOLUME</stp>
        <stp>.NDX250815P19520</stp>
        <tr r="O184" s="2"/>
      </tp>
      <tp t="s">
        <v>N/A</v>
        <stp/>
        <stp>VOLUME</stp>
        <stp>.NDX250919P19920</stp>
        <tr r="Q164" s="2"/>
      </tp>
      <tp t="s">
        <v>N/A</v>
        <stp/>
        <stp>VOLUME</stp>
        <stp>.NDX250516P19620</stp>
        <tr r="BF178" s="1"/>
      </tp>
      <tp t="s">
        <v>N/A</v>
        <stp/>
        <stp>VOLUME</stp>
        <stp>.NDX250620P20020</stp>
        <tr r="K159" s="2"/>
      </tp>
      <tp t="e">
        <v>#N/A</v>
        <stp/>
        <stp>VOLUME</stp>
        <stp>.NDX250523P20320</stp>
        <tr r="H144" s="2"/>
      </tp>
      <tp t="s">
        <v>N/A</v>
        <stp/>
        <stp>VOLUME</stp>
        <stp>.NDX250718P19820</stp>
        <tr r="M169" s="2"/>
      </tp>
      <tp t="s">
        <v>N/A</v>
        <stp/>
        <stp>VOLUME</stp>
        <stp>.NDX251017P19740</stp>
        <tr r="S173" s="2"/>
      </tp>
      <tp t="s">
        <v>N/A</v>
        <stp/>
        <stp>VOLUME</stp>
        <stp>.NDX251219P19940</stp>
        <tr r="W163" s="2"/>
      </tp>
      <tp t="s">
        <v>N/A</v>
        <stp/>
        <stp>VOLUME</stp>
        <stp>.NDX251121P20140</stp>
        <tr r="U153" s="2"/>
      </tp>
      <tp t="e">
        <v>#N/A</v>
        <stp/>
        <stp>VOLUME</stp>
        <stp>.NDX250815P19540</stp>
        <tr r="O183" s="2"/>
      </tp>
      <tp t="s">
        <v>N/A</v>
        <stp/>
        <stp>VOLUME</stp>
        <stp>.NDX250919P19940</stp>
        <tr r="Q163" s="2"/>
      </tp>
      <tp t="s">
        <v>N/A</v>
        <stp/>
        <stp>VOLUME</stp>
        <stp>.NDX250516P19640</stp>
        <tr r="BF177" s="1"/>
      </tp>
      <tp t="s">
        <v>N/A</v>
        <stp/>
        <stp>VOLUME</stp>
        <stp>.NDX250620P20040</stp>
        <tr r="K158" s="2"/>
      </tp>
      <tp t="e">
        <v>#N/A</v>
        <stp/>
        <stp>VOLUME</stp>
        <stp>.NDX250523P20340</stp>
        <tr r="H143" s="2"/>
      </tp>
      <tp t="s">
        <v>N/A</v>
        <stp/>
        <stp>VOLUME</stp>
        <stp>.NDX250718P19840</stp>
        <tr r="M168" s="2"/>
      </tp>
      <tp t="s">
        <v>N/A</v>
        <stp/>
        <stp>VOLUME</stp>
        <stp>.NDX251017P19760</stp>
        <tr r="S172" s="2"/>
      </tp>
      <tp t="s">
        <v>N/A</v>
        <stp/>
        <stp>VOLUME</stp>
        <stp>.NDX251219P19960</stp>
        <tr r="W162" s="2"/>
      </tp>
      <tp t="s">
        <v>N/A</v>
        <stp/>
        <stp>VOLUME</stp>
        <stp>.NDX251121P20160</stp>
        <tr r="U152" s="2"/>
      </tp>
      <tp t="e">
        <v>#N/A</v>
        <stp/>
        <stp>VOLUME</stp>
        <stp>.NDX250815P19560</stp>
        <tr r="O182" s="2"/>
      </tp>
      <tp t="s">
        <v>N/A</v>
        <stp/>
        <stp>VOLUME</stp>
        <stp>.NDX250919P19960</stp>
        <tr r="Q162" s="2"/>
      </tp>
      <tp t="s">
        <v>N/A</v>
        <stp/>
        <stp>VOLUME</stp>
        <stp>.NDX250516P19660</stp>
        <tr r="BF176" s="1"/>
      </tp>
      <tp t="s">
        <v>N/A</v>
        <stp/>
        <stp>VOLUME</stp>
        <stp>.NDX250620P20060</stp>
        <tr r="K157" s="2"/>
      </tp>
      <tp t="e">
        <v>#N/A</v>
        <stp/>
        <stp>VOLUME</stp>
        <stp>.NDX250523P20360</stp>
        <tr r="H142" s="2"/>
      </tp>
      <tp t="s">
        <v>N/A</v>
        <stp/>
        <stp>VOLUME</stp>
        <stp>.NDX250718P19860</stp>
        <tr r="M167" s="2"/>
      </tp>
      <tp t="e">
        <v>#N/A</v>
        <stp/>
        <stp>IMPL_VOL</stp>
        <stp>.NDXP250502C19680</stp>
        <tr r="EL175" s="1"/>
      </tp>
      <tp t="e">
        <v>#N/A</v>
        <stp/>
        <stp>IMPL_VOL</stp>
        <stp>.NDXP250502P19640</stp>
        <tr r="EM177" s="1"/>
      </tp>
      <tp t="e">
        <v>#N/A</v>
        <stp/>
        <stp>VOLUME</stp>
        <stp>.NDX250815C19580</stp>
        <tr r="O181" s="2"/>
      </tp>
      <tp t="s">
        <v>N/A</v>
        <stp/>
        <stp>VOLUME</stp>
        <stp>.NDX250919C19980</stp>
        <tr r="Q161" s="2"/>
      </tp>
      <tp t="s">
        <v>N/A</v>
        <stp/>
        <stp>VOLUME</stp>
        <stp>.NDX250516C19680</stp>
        <tr r="BE175" s="1"/>
      </tp>
      <tp t="s">
        <v>N/A</v>
        <stp/>
        <stp>VOLUME</stp>
        <stp>.NDX250620C20080</stp>
        <tr r="K156" s="2"/>
      </tp>
      <tp t="e">
        <v>#N/A</v>
        <stp/>
        <stp>VOLUME</stp>
        <stp>.NDX250523C20380</stp>
        <tr r="H141" s="2"/>
      </tp>
      <tp t="s">
        <v>N/A</v>
        <stp/>
        <stp>VOLUME</stp>
        <stp>.NDX250718C19880</stp>
        <tr r="M166" s="2"/>
      </tp>
      <tp t="e">
        <v>#N/A</v>
        <stp/>
        <stp>IMPL_VOL</stp>
        <stp>.NDXP250502P19660</stp>
        <tr r="EM176" s="1"/>
      </tp>
      <tp t="s">
        <v>N/A</v>
        <stp/>
        <stp>VOLUME</stp>
        <stp>.NDX251017C19780</stp>
        <tr r="S171" s="2"/>
      </tp>
      <tp t="s">
        <v>N/A</v>
        <stp/>
        <stp>VOLUME</stp>
        <stp>.NDX251219C19980</stp>
        <tr r="W161" s="2"/>
      </tp>
      <tp t="s">
        <v>N/A</v>
        <stp/>
        <stp>VOLUME</stp>
        <stp>.NDX251121C20180</stp>
        <tr r="U151" s="2"/>
      </tp>
      <tp t="e">
        <v>#N/A</v>
        <stp/>
        <stp>IMPL_VOL</stp>
        <stp>.NDXP250502P19600</stp>
        <tr r="EM179" s="1"/>
      </tp>
      <tp t="e">
        <v>#N/A</v>
        <stp/>
        <stp>IMPL_VOL</stp>
        <stp>.NDXP250502P19620</stp>
        <tr r="EM178" s="1"/>
      </tp>
      <tp t="e">
        <v>#N/A</v>
        <stp/>
        <stp>VOLUME</stp>
        <stp>.NDX250815C19520</stp>
        <tr r="O184" s="2"/>
      </tp>
      <tp t="s">
        <v>N/A</v>
        <stp/>
        <stp>VOLUME</stp>
        <stp>.NDX250919C19920</stp>
        <tr r="Q164" s="2"/>
      </tp>
      <tp t="s">
        <v>N/A</v>
        <stp/>
        <stp>VOLUME</stp>
        <stp>.NDX250516C19620</stp>
        <tr r="BE178" s="1"/>
      </tp>
      <tp t="s">
        <v>N/A</v>
        <stp/>
        <stp>VOLUME</stp>
        <stp>.NDX250620C20020</stp>
        <tr r="K159" s="2"/>
      </tp>
      <tp t="e">
        <v>#N/A</v>
        <stp/>
        <stp>VOLUME</stp>
        <stp>.NDX250523C20320</stp>
        <tr r="H144" s="2"/>
      </tp>
      <tp t="s">
        <v>N/A</v>
        <stp/>
        <stp>VOLUME</stp>
        <stp>.NDX250718C19820</stp>
        <tr r="M169" s="2"/>
      </tp>
      <tp t="s">
        <v>N/A</v>
        <stp/>
        <stp>VOLUME</stp>
        <stp>.NDX251017C19720</stp>
        <tr r="S174" s="2"/>
      </tp>
      <tp t="s">
        <v>N/A</v>
        <stp/>
        <stp>VOLUME</stp>
        <stp>.NDX251219C19920</stp>
        <tr r="W164" s="2"/>
      </tp>
      <tp t="s">
        <v>N/A</v>
        <stp/>
        <stp>VOLUME</stp>
        <stp>.NDX251121C20120</stp>
        <tr r="U154" s="2"/>
      </tp>
      <tp t="e">
        <v>#N/A</v>
        <stp/>
        <stp>VOLUME</stp>
        <stp>.NDX250815C19500</stp>
        <tr r="O185" s="2"/>
      </tp>
      <tp>
        <v>1</v>
        <stp/>
        <stp>VOLUME</stp>
        <stp>.NDX250919C19900</stp>
        <tr r="Q165" s="2"/>
        <tr r="Q165" s="2"/>
      </tp>
      <tp t="e">
        <v>#N/A</v>
        <stp/>
        <stp>VOLUME</stp>
        <stp>.NDX250516C19600</stp>
        <tr r="BE179" s="1"/>
      </tp>
      <tp>
        <v>152</v>
        <stp/>
        <stp>VOLUME</stp>
        <stp>.NDX250620C20000</stp>
        <tr r="K160" s="2"/>
        <tr r="K160" s="2"/>
      </tp>
      <tp t="e">
        <v>#N/A</v>
        <stp/>
        <stp>VOLUME</stp>
        <stp>.NDX250523C20300</stp>
        <tr r="H145" s="2"/>
      </tp>
      <tp t="s">
        <v>N/A</v>
        <stp/>
        <stp>VOLUME</stp>
        <stp>.NDX250718C19800</stp>
        <tr r="M170" s="2"/>
      </tp>
      <tp t="s">
        <v>N/A</v>
        <stp/>
        <stp>VOLUME</stp>
        <stp>.NDX251017C19700</stp>
        <tr r="S175" s="2"/>
      </tp>
      <tp t="s">
        <v>N/A</v>
        <stp/>
        <stp>VOLUME</stp>
        <stp>.NDX251219C19900</stp>
        <tr r="W165" s="2"/>
      </tp>
      <tp t="s">
        <v>N/A</v>
        <stp/>
        <stp>VOLUME</stp>
        <stp>.NDX251121C20100</stp>
        <tr r="U155" s="2"/>
      </tp>
      <tp t="e">
        <v>#N/A</v>
        <stp/>
        <stp>VOLUME</stp>
        <stp>.NDX250815C19560</stp>
        <tr r="O182" s="2"/>
      </tp>
      <tp t="s">
        <v>N/A</v>
        <stp/>
        <stp>VOLUME</stp>
        <stp>.NDX250919C19960</stp>
        <tr r="Q162" s="2"/>
      </tp>
      <tp t="s">
        <v>N/A</v>
        <stp/>
        <stp>VOLUME</stp>
        <stp>.NDX250516C19660</stp>
        <tr r="BE176" s="1"/>
      </tp>
      <tp t="s">
        <v>N/A</v>
        <stp/>
        <stp>VOLUME</stp>
        <stp>.NDX250620C20060</stp>
        <tr r="K157" s="2"/>
      </tp>
      <tp t="e">
        <v>#N/A</v>
        <stp/>
        <stp>VOLUME</stp>
        <stp>.NDX250523C20360</stp>
        <tr r="H142" s="2"/>
      </tp>
      <tp t="s">
        <v>N/A</v>
        <stp/>
        <stp>VOLUME</stp>
        <stp>.NDX250718C19860</stp>
        <tr r="M167" s="2"/>
      </tp>
      <tp t="e">
        <v>#N/A</v>
        <stp/>
        <stp>IMPL_VOL</stp>
        <stp>.NDXP250502P19680</stp>
        <tr r="EM175" s="1"/>
      </tp>
      <tp t="s">
        <v>N/A</v>
        <stp/>
        <stp>VOLUME</stp>
        <stp>.NDX251017C19760</stp>
        <tr r="S172" s="2"/>
      </tp>
      <tp t="s">
        <v>N/A</v>
        <stp/>
        <stp>VOLUME</stp>
        <stp>.NDX251219C19960</stp>
        <tr r="W162" s="2"/>
      </tp>
      <tp t="s">
        <v>N/A</v>
        <stp/>
        <stp>VOLUME</stp>
        <stp>.NDX251121C20160</stp>
        <tr r="U152" s="2"/>
      </tp>
      <tp t="e">
        <v>#N/A</v>
        <stp/>
        <stp>VOLUME</stp>
        <stp>.NDX250815C19540</stp>
        <tr r="O183" s="2"/>
      </tp>
      <tp t="s">
        <v>N/A</v>
        <stp/>
        <stp>VOLUME</stp>
        <stp>.NDX250919C19940</stp>
        <tr r="Q163" s="2"/>
      </tp>
      <tp t="s">
        <v>N/A</v>
        <stp/>
        <stp>VOLUME</stp>
        <stp>.NDX250516C19640</stp>
        <tr r="BE177" s="1"/>
      </tp>
      <tp t="s">
        <v>N/A</v>
        <stp/>
        <stp>VOLUME</stp>
        <stp>.NDX250620C20040</stp>
        <tr r="K158" s="2"/>
      </tp>
      <tp t="e">
        <v>#N/A</v>
        <stp/>
        <stp>VOLUME</stp>
        <stp>.NDX250523C20340</stp>
        <tr r="H143" s="2"/>
      </tp>
      <tp t="s">
        <v>N/A</v>
        <stp/>
        <stp>VOLUME</stp>
        <stp>.NDX250718C19840</stp>
        <tr r="M168" s="2"/>
      </tp>
      <tp t="s">
        <v>N/A</v>
        <stp/>
        <stp>VOLUME</stp>
        <stp>.NDX251017C19740</stp>
        <tr r="S173" s="2"/>
      </tp>
      <tp t="s">
        <v>N/A</v>
        <stp/>
        <stp>VOLUME</stp>
        <stp>.NDX251219C19940</stp>
        <tr r="W163" s="2"/>
      </tp>
      <tp t="s">
        <v>N/A</v>
        <stp/>
        <stp>VOLUME</stp>
        <stp>.NDX251121C20140</stp>
        <tr r="U153" s="2"/>
      </tp>
      <tp t="e">
        <v>#N/A</v>
        <stp/>
        <stp>MARK</stp>
        <stp/>
        <tr r="G44" s="1"/>
      </tp>
      <tp t="s">
        <v>N/A</v>
        <stp/>
        <stp>VOLUME</stp>
        <stp>.NDX251121P19680</stp>
        <tr r="U176" s="2"/>
      </tp>
      <tp t="s">
        <v>N/A</v>
        <stp/>
        <stp>VOLUME</stp>
        <stp>.NDX251017P20080</stp>
        <tr r="S156" s="2"/>
      </tp>
      <tp t="s">
        <v>N/A</v>
        <stp/>
        <stp>VOLUME</stp>
        <stp>.NDX250815P20280</stp>
        <tr r="O146" s="2"/>
      </tp>
      <tp t="e">
        <v>#N/A</v>
        <stp/>
        <stp>VOLUME</stp>
        <stp>.NDX250523P19480</stp>
        <tr r="H186" s="2"/>
      </tp>
      <tp t="s">
        <v>N/A</v>
        <stp/>
        <stp>VOLUME</stp>
        <stp>.NDX250620P19780</stp>
        <tr r="K171" s="2"/>
      </tp>
      <tp t="s">
        <v>N/A</v>
        <stp/>
        <stp>VOLUME</stp>
        <stp>.NDX250516P20180</stp>
        <tr r="BF150" s="1"/>
      </tp>
      <tp t="e">
        <v>#N/A</v>
        <stp/>
        <stp>IMPL_VOL</stp>
        <stp>.NDXP250502C20160</stp>
        <tr r="EL151" s="1"/>
      </tp>
      <tp t="e">
        <v>#N/A</v>
        <stp/>
        <stp>IMPL_VOL</stp>
        <stp>.NDXP250502C20140</stp>
        <tr r="EL152" s="1"/>
      </tp>
      <tp t="e">
        <v>#N/A</v>
        <stp/>
        <stp>IMPL_VOL</stp>
        <stp>.NDXP250502C20120</stp>
        <tr r="EL153" s="1"/>
      </tp>
      <tp t="e">
        <v>#N/A</v>
        <stp/>
        <stp>IMPL_VOL</stp>
        <stp>.NDXP250502C20100</stp>
        <tr r="EL154" s="1"/>
      </tp>
      <tp t="e">
        <v>#N/A</v>
        <stp/>
        <stp>VOLUME</stp>
        <stp>.NDX251121P19600</stp>
        <tr r="U180" s="2"/>
      </tp>
      <tp t="s">
        <v>N/A</v>
        <stp/>
        <stp>VOLUME</stp>
        <stp>.NDX251017P20000</stp>
        <tr r="S160" s="2"/>
      </tp>
      <tp t="s">
        <v>N/A</v>
        <stp/>
        <stp>VOLUME</stp>
        <stp>.NDX250815P20200</stp>
        <tr r="O150" s="2"/>
      </tp>
      <tp t="e">
        <v>#N/A</v>
        <stp/>
        <stp>VOLUME</stp>
        <stp>.NDX250523P19400</stp>
        <tr r="H190" s="2"/>
      </tp>
      <tp>
        <v>75</v>
        <stp/>
        <stp>VOLUME</stp>
        <stp>.NDX250620P19700</stp>
        <tr r="K175" s="2"/>
        <tr r="K175" s="2"/>
      </tp>
      <tp>
        <v>7</v>
        <stp/>
        <stp>VOLUME</stp>
        <stp>.NDX250516P20100</stp>
        <tr r="BF154" s="1"/>
        <tr r="BF154" s="1"/>
      </tp>
      <tp t="e">
        <v>#N/A</v>
        <stp/>
        <stp>VOLUME</stp>
        <stp>.NDX250523P20400</stp>
        <tr r="H140" s="2"/>
      </tp>
      <tp t="s">
        <v>N/A</v>
        <stp/>
        <stp>VOLUME</stp>
        <stp>.NDX251121P19620</stp>
        <tr r="U179" s="2"/>
      </tp>
      <tp t="s">
        <v>N/A</v>
        <stp/>
        <stp>VOLUME</stp>
        <stp>.NDX251017P20020</stp>
        <tr r="S159" s="2"/>
      </tp>
      <tp t="s">
        <v>N/A</v>
        <stp/>
        <stp>VOLUME</stp>
        <stp>.NDX250815P20220</stp>
        <tr r="O149" s="2"/>
      </tp>
      <tp t="e">
        <v>#N/A</v>
        <stp/>
        <stp>VOLUME</stp>
        <stp>.NDX250523P19420</stp>
        <tr r="H189" s="2"/>
      </tp>
      <tp t="s">
        <v>N/A</v>
        <stp/>
        <stp>VOLUME</stp>
        <stp>.NDX250620P19720</stp>
        <tr r="K174" s="2"/>
      </tp>
      <tp t="s">
        <v>N/A</v>
        <stp/>
        <stp>VOLUME</stp>
        <stp>.NDX250516P20120</stp>
        <tr r="BF153" s="1"/>
      </tp>
      <tp t="e">
        <v>#N/A</v>
        <stp/>
        <stp>VOLUME</stp>
        <stp>.NDX250523P20420</stp>
        <tr r="H139" s="2"/>
      </tp>
      <tp t="s">
        <v>N/A</v>
        <stp/>
        <stp>VOLUME</stp>
        <stp>.NDX251121P19640</stp>
        <tr r="U178" s="2"/>
      </tp>
      <tp t="s">
        <v>N/A</v>
        <stp/>
        <stp>VOLUME</stp>
        <stp>.NDX251017P20040</stp>
        <tr r="S158" s="2"/>
      </tp>
      <tp t="s">
        <v>N/A</v>
        <stp/>
        <stp>VOLUME</stp>
        <stp>.NDX250815P20240</stp>
        <tr r="O148" s="2"/>
      </tp>
      <tp t="e">
        <v>#N/A</v>
        <stp/>
        <stp>VOLUME</stp>
        <stp>.NDX250523P19440</stp>
        <tr r="H188" s="2"/>
      </tp>
      <tp t="s">
        <v>N/A</v>
        <stp/>
        <stp>VOLUME</stp>
        <stp>.NDX250620P19740</stp>
        <tr r="K173" s="2"/>
      </tp>
      <tp t="s">
        <v>N/A</v>
        <stp/>
        <stp>VOLUME</stp>
        <stp>.NDX250516P20140</stp>
        <tr r="BF152" s="1"/>
      </tp>
      <tp t="e">
        <v>#N/A</v>
        <stp/>
        <stp>VOLUME</stp>
        <stp>.NDX250523P20440</stp>
        <tr r="H138" s="2"/>
      </tp>
      <tp t="s">
        <v>N/A</v>
        <stp/>
        <stp>VOLUME</stp>
        <stp>.NDX251121P19660</stp>
        <tr r="U177" s="2"/>
      </tp>
      <tp t="s">
        <v>N/A</v>
        <stp/>
        <stp>VOLUME</stp>
        <stp>.NDX251017P20060</stp>
        <tr r="S157" s="2"/>
      </tp>
      <tp t="s">
        <v>N/A</v>
        <stp/>
        <stp>VOLUME</stp>
        <stp>.NDX250815P20260</stp>
        <tr r="O147" s="2"/>
      </tp>
      <tp t="e">
        <v>#N/A</v>
        <stp/>
        <stp>VOLUME</stp>
        <stp>.NDX250523P19460</stp>
        <tr r="H187" s="2"/>
      </tp>
      <tp t="s">
        <v>N/A</v>
        <stp/>
        <stp>VOLUME</stp>
        <stp>.NDX250620P19760</stp>
        <tr r="K172" s="2"/>
      </tp>
      <tp t="s">
        <v>N/A</v>
        <stp/>
        <stp>VOLUME</stp>
        <stp>.NDX250516P20160</stp>
        <tr r="BF151" s="1"/>
      </tp>
      <tp t="e">
        <v>#N/A</v>
        <stp/>
        <stp>IMPL_VOL</stp>
        <stp>.NDXP250502C20180</stp>
        <tr r="EL150" s="1"/>
      </tp>
      <tp t="e">
        <v>#N/A</v>
        <stp/>
        <stp>IMPL_VOL</stp>
        <stp>.NDXP250502P20140</stp>
        <tr r="EM152" s="1"/>
      </tp>
      <tp t="s">
        <v>N/A</v>
        <stp/>
        <stp>VOLUME</stp>
        <stp>.NDX250815C20280</stp>
        <tr r="O146" s="2"/>
      </tp>
      <tp t="e">
        <v>#N/A</v>
        <stp/>
        <stp>VOLUME</stp>
        <stp>.NDX250523C19480</stp>
        <tr r="H186" s="2"/>
      </tp>
      <tp t="s">
        <v>N/A</v>
        <stp/>
        <stp>VOLUME</stp>
        <stp>.NDX250620C19780</stp>
        <tr r="K171" s="2"/>
      </tp>
      <tp t="s">
        <v>N/A</v>
        <stp/>
        <stp>VOLUME</stp>
        <stp>.NDX250516C20180</stp>
        <tr r="BE150" s="1"/>
      </tp>
      <tp t="e">
        <v>#N/A</v>
        <stp/>
        <stp>IMPL_VOL</stp>
        <stp>.NDXP250502P20160</stp>
        <tr r="EM151" s="1"/>
      </tp>
      <tp t="s">
        <v>N/A</v>
        <stp/>
        <stp>VOLUME</stp>
        <stp>.NDX251121C19680</stp>
        <tr r="U176" s="2"/>
      </tp>
      <tp t="s">
        <v>N/A</v>
        <stp/>
        <stp>VOLUME</stp>
        <stp>.NDX251017C20080</stp>
        <tr r="S156" s="2"/>
      </tp>
      <tp t="e">
        <v>#N/A</v>
        <stp/>
        <stp>IMPL_VOL</stp>
        <stp>.NDXP250502P20100</stp>
        <tr r="EM154" s="1"/>
      </tp>
      <tp t="e">
        <v>#N/A</v>
        <stp/>
        <stp>IMPL_VOL</stp>
        <stp>.NDXP250502P20120</stp>
        <tr r="EM153" s="1"/>
      </tp>
      <tp t="s">
        <v>N/A</v>
        <stp/>
        <stp>VOLUME</stp>
        <stp>.NDX250815C20220</stp>
        <tr r="O149" s="2"/>
      </tp>
      <tp t="e">
        <v>#N/A</v>
        <stp/>
        <stp>VOLUME</stp>
        <stp>.NDX250523C19420</stp>
        <tr r="H189" s="2"/>
      </tp>
      <tp t="s">
        <v>N/A</v>
        <stp/>
        <stp>VOLUME</stp>
        <stp>.NDX250620C19720</stp>
        <tr r="K174" s="2"/>
      </tp>
      <tp t="s">
        <v>N/A</v>
        <stp/>
        <stp>VOLUME</stp>
        <stp>.NDX250516C20120</stp>
        <tr r="BE153" s="1"/>
      </tp>
      <tp t="e">
        <v>#N/A</v>
        <stp/>
        <stp>VOLUME</stp>
        <stp>.NDX250523C20420</stp>
        <tr r="H139" s="2"/>
      </tp>
      <tp t="s">
        <v>N/A</v>
        <stp/>
        <stp>VOLUME</stp>
        <stp>.NDX251121C19620</stp>
        <tr r="U179" s="2"/>
      </tp>
      <tp t="s">
        <v>N/A</v>
        <stp/>
        <stp>VOLUME</stp>
        <stp>.NDX251017C20020</stp>
        <tr r="S159" s="2"/>
      </tp>
      <tp>
        <v>2</v>
        <stp/>
        <stp>VOLUME</stp>
        <stp>.NDX250815C20200</stp>
        <tr r="O150" s="2"/>
        <tr r="O150" s="2"/>
      </tp>
      <tp t="e">
        <v>#N/A</v>
        <stp/>
        <stp>VOLUME</stp>
        <stp>.NDX250523C19400</stp>
        <tr r="H190" s="2"/>
      </tp>
      <tp t="s">
        <v>N/A</v>
        <stp/>
        <stp>VOLUME</stp>
        <stp>.NDX250620C19700</stp>
        <tr r="K175" s="2"/>
      </tp>
      <tp>
        <v>11</v>
        <stp/>
        <stp>VOLUME</stp>
        <stp>.NDX250516C20100</stp>
        <tr r="BE154" s="1"/>
        <tr r="BE154" s="1"/>
      </tp>
      <tp t="e">
        <v>#N/A</v>
        <stp/>
        <stp>VOLUME</stp>
        <stp>.NDX250523C20400</stp>
        <tr r="H140" s="2"/>
      </tp>
      <tp t="e">
        <v>#N/A</v>
        <stp/>
        <stp>VOLUME</stp>
        <stp>.NDX251121C19600</stp>
        <tr r="U180" s="2"/>
      </tp>
      <tp>
        <v>2</v>
        <stp/>
        <stp>VOLUME</stp>
        <stp>.NDX251017C20000</stp>
        <tr r="S160" s="2"/>
        <tr r="S160" s="2"/>
      </tp>
      <tp t="s">
        <v>N/A</v>
        <stp/>
        <stp>VOLUME</stp>
        <stp>.NDX250815C20260</stp>
        <tr r="O147" s="2"/>
      </tp>
      <tp t="e">
        <v>#N/A</v>
        <stp/>
        <stp>VOLUME</stp>
        <stp>.NDX250523C19460</stp>
        <tr r="H187" s="2"/>
      </tp>
      <tp t="s">
        <v>N/A</v>
        <stp/>
        <stp>VOLUME</stp>
        <stp>.NDX250620C19760</stp>
        <tr r="K172" s="2"/>
      </tp>
      <tp t="s">
        <v>N/A</v>
        <stp/>
        <stp>VOLUME</stp>
        <stp>.NDX250516C20160</stp>
        <tr r="BE151" s="1"/>
      </tp>
      <tp t="e">
        <v>#N/A</v>
        <stp/>
        <stp>IMPL_VOL</stp>
        <stp>.NDXP250502P20180</stp>
        <tr r="EM150" s="1"/>
      </tp>
      <tp t="s">
        <v>N/A</v>
        <stp/>
        <stp>VOLUME</stp>
        <stp>.NDX251121C19660</stp>
        <tr r="U177" s="2"/>
      </tp>
      <tp t="s">
        <v>N/A</v>
        <stp/>
        <stp>VOLUME</stp>
        <stp>.NDX251017C20060</stp>
        <tr r="S157" s="2"/>
      </tp>
      <tp t="s">
        <v>N/A</v>
        <stp/>
        <stp>VOLUME</stp>
        <stp>.NDX250815C20240</stp>
        <tr r="O148" s="2"/>
      </tp>
      <tp t="e">
        <v>#N/A</v>
        <stp/>
        <stp>VOLUME</stp>
        <stp>.NDX250523C19440</stp>
        <tr r="H188" s="2"/>
      </tp>
      <tp t="s">
        <v>N/A</v>
        <stp/>
        <stp>VOLUME</stp>
        <stp>.NDX250620C19740</stp>
        <tr r="K173" s="2"/>
      </tp>
      <tp t="s">
        <v>N/A</v>
        <stp/>
        <stp>VOLUME</stp>
        <stp>.NDX250516C20140</stp>
        <tr r="BE152" s="1"/>
      </tp>
      <tp t="e">
        <v>#N/A</v>
        <stp/>
        <stp>VOLUME</stp>
        <stp>.NDX250523C20440</stp>
        <tr r="H138" s="2"/>
      </tp>
      <tp t="s">
        <v>N/A</v>
        <stp/>
        <stp>VOLUME</stp>
        <stp>.NDX251121C19640</stp>
        <tr r="U178" s="2"/>
      </tp>
      <tp t="s">
        <v>N/A</v>
        <stp/>
        <stp>VOLUME</stp>
        <stp>.NDX251017C20040</stp>
        <tr r="S158" s="2"/>
      </tp>
      <tp t="s">
        <v>N/A</v>
        <stp/>
        <stp>VOLUME</stp>
        <stp>.NDX251121P19780</stp>
        <tr r="U171" s="2"/>
      </tp>
      <tp t="s">
        <v>N/A</v>
        <stp/>
        <stp>VOLUME</stp>
        <stp>.NDX251017P20180</stp>
        <tr r="S151" s="2"/>
      </tp>
      <tp t="s">
        <v>N/A</v>
        <stp/>
        <stp>VOLUME</stp>
        <stp>.NDX250815P20380</stp>
        <tr r="O141" s="2"/>
      </tp>
      <tp t="e">
        <v>#N/A</v>
        <stp/>
        <stp>VOLUME</stp>
        <stp>.NDX250523P19580</stp>
        <tr r="H181" s="2"/>
      </tp>
      <tp t="s">
        <v>N/A</v>
        <stp/>
        <stp>VOLUME</stp>
        <stp>.NDX250620P19680</stp>
        <tr r="K176" s="2"/>
      </tp>
      <tp t="s">
        <v>N/A</v>
        <stp/>
        <stp>VOLUME</stp>
        <stp>.NDX250516P20080</stp>
        <tr r="BF155" s="1"/>
      </tp>
      <tp t="e">
        <v>#N/A</v>
        <stp/>
        <stp>IMPL_VOL</stp>
        <stp>.NDXP250502C20060</stp>
        <tr r="EL156" s="1"/>
      </tp>
      <tp t="e">
        <v>#N/A</v>
        <stp/>
        <stp>IMPL_VOL</stp>
        <stp>.NDXP250502C20040</stp>
        <tr r="EL157" s="1"/>
      </tp>
      <tp t="e">
        <v>#N/A</v>
        <stp/>
        <stp>IMPL_VOL</stp>
        <stp>.NDXP250502C20020</stp>
        <tr r="EL158" s="1"/>
      </tp>
      <tp t="e">
        <v>#N/A</v>
        <stp/>
        <stp>IMPL_VOL</stp>
        <stp>.NDXP250502C20000</stp>
        <tr r="EL159" s="1"/>
      </tp>
      <tp t="s">
        <v>N/A</v>
        <stp/>
        <stp>VOLUME</stp>
        <stp>.NDX251121P19700</stp>
        <tr r="U175" s="2"/>
      </tp>
      <tp t="s">
        <v>N/A</v>
        <stp/>
        <stp>VOLUME</stp>
        <stp>.NDX251017P20100</stp>
        <tr r="S155" s="2"/>
      </tp>
      <tp t="s">
        <v>N/A</v>
        <stp/>
        <stp>VOLUME</stp>
        <stp>.NDX250815P20300</stp>
        <tr r="O145" s="2"/>
      </tp>
      <tp t="e">
        <v>#N/A</v>
        <stp/>
        <stp>VOLUME</stp>
        <stp>.NDX250523P19500</stp>
        <tr r="H185" s="2"/>
      </tp>
      <tp t="e">
        <v>#N/A</v>
        <stp/>
        <stp>VOLUME</stp>
        <stp>.NDX250620P19600</stp>
        <tr r="K180" s="2"/>
      </tp>
      <tp>
        <v>3</v>
        <stp/>
        <stp>VOLUME</stp>
        <stp>.NDX250516P20000</stp>
        <tr r="BF159" s="1"/>
        <tr r="BF159" s="1"/>
      </tp>
      <tp t="s">
        <v>N/A</v>
        <stp/>
        <stp>VOLUME</stp>
        <stp>.NDX251121P19720</stp>
        <tr r="U174" s="2"/>
      </tp>
      <tp t="s">
        <v>N/A</v>
        <stp/>
        <stp>VOLUME</stp>
        <stp>.NDX251017P20120</stp>
        <tr r="S154" s="2"/>
      </tp>
      <tp t="s">
        <v>N/A</v>
        <stp/>
        <stp>VOLUME</stp>
        <stp>.NDX250815P20320</stp>
        <tr r="O144" s="2"/>
      </tp>
      <tp t="e">
        <v>#N/A</v>
        <stp/>
        <stp>VOLUME</stp>
        <stp>.NDX250523P19520</stp>
        <tr r="H184" s="2"/>
      </tp>
      <tp t="s">
        <v>N/A</v>
        <stp/>
        <stp>VOLUME</stp>
        <stp>.NDX250620P19620</stp>
        <tr r="K179" s="2"/>
      </tp>
      <tp t="s">
        <v>N/A</v>
        <stp/>
        <stp>VOLUME</stp>
        <stp>.NDX250516P20020</stp>
        <tr r="BF158" s="1"/>
      </tp>
      <tp t="s">
        <v>N/A</v>
        <stp/>
        <stp>VOLUME</stp>
        <stp>.NDX251121P19740</stp>
        <tr r="U173" s="2"/>
      </tp>
      <tp t="s">
        <v>N/A</v>
        <stp/>
        <stp>VOLUME</stp>
        <stp>.NDX251017P20140</stp>
        <tr r="S153" s="2"/>
      </tp>
      <tp t="s">
        <v>N/A</v>
        <stp/>
        <stp>VOLUME</stp>
        <stp>.NDX250815P20340</stp>
        <tr r="O143" s="2"/>
      </tp>
      <tp t="e">
        <v>#N/A</v>
        <stp/>
        <stp>VOLUME</stp>
        <stp>.NDX250523P19540</stp>
        <tr r="H183" s="2"/>
      </tp>
      <tp t="s">
        <v>N/A</v>
        <stp/>
        <stp>VOLUME</stp>
        <stp>.NDX250620P19640</stp>
        <tr r="K178" s="2"/>
      </tp>
      <tp t="s">
        <v>N/A</v>
        <stp/>
        <stp>VOLUME</stp>
        <stp>.NDX250516P20040</stp>
        <tr r="BF157" s="1"/>
      </tp>
      <tp t="s">
        <v>N/A</v>
        <stp/>
        <stp>VOLUME</stp>
        <stp>.NDX251121P19760</stp>
        <tr r="U172" s="2"/>
      </tp>
      <tp t="s">
        <v>N/A</v>
        <stp/>
        <stp>VOLUME</stp>
        <stp>.NDX251017P20160</stp>
        <tr r="S152" s="2"/>
      </tp>
      <tp t="s">
        <v>N/A</v>
        <stp/>
        <stp>VOLUME</stp>
        <stp>.NDX250815P20360</stp>
        <tr r="O142" s="2"/>
      </tp>
      <tp t="e">
        <v>#N/A</v>
        <stp/>
        <stp>VOLUME</stp>
        <stp>.NDX250523P19560</stp>
        <tr r="H182" s="2"/>
      </tp>
      <tp t="s">
        <v>N/A</v>
        <stp/>
        <stp>VOLUME</stp>
        <stp>.NDX250620P19660</stp>
        <tr r="K177" s="2"/>
      </tp>
      <tp t="s">
        <v>N/A</v>
        <stp/>
        <stp>VOLUME</stp>
        <stp>.NDX250516P20060</stp>
        <tr r="BF156" s="1"/>
      </tp>
      <tp t="e">
        <v>#N/A</v>
        <stp/>
        <stp>IMPL_VOL</stp>
        <stp>.NDXP250502C20080</stp>
        <tr r="EL155" s="1"/>
      </tp>
      <tp t="e">
        <v>#N/A</v>
        <stp/>
        <stp>IMPL_VOL</stp>
        <stp>.NDXP250502P20040</stp>
        <tr r="EM157" s="1"/>
      </tp>
      <tp t="s">
        <v>N/A</v>
        <stp/>
        <stp>VOLUME</stp>
        <stp>.NDX250815C20380</stp>
        <tr r="O141" s="2"/>
      </tp>
      <tp t="e">
        <v>#N/A</v>
        <stp/>
        <stp>VOLUME</stp>
        <stp>.NDX250523C19580</stp>
        <tr r="H181" s="2"/>
      </tp>
      <tp t="s">
        <v>N/A</v>
        <stp/>
        <stp>VOLUME</stp>
        <stp>.NDX250620C19680</stp>
        <tr r="K176" s="2"/>
      </tp>
      <tp t="s">
        <v>N/A</v>
        <stp/>
        <stp>VOLUME</stp>
        <stp>.NDX250516C20080</stp>
        <tr r="BE155" s="1"/>
      </tp>
      <tp t="e">
        <v>#N/A</v>
        <stp/>
        <stp>IMPL_VOL</stp>
        <stp>.NDXP250502P20060</stp>
        <tr r="EM156" s="1"/>
      </tp>
      <tp t="s">
        <v>N/A</v>
        <stp/>
        <stp>VOLUME</stp>
        <stp>.NDX251121C19780</stp>
        <tr r="U171" s="2"/>
      </tp>
      <tp t="s">
        <v>N/A</v>
        <stp/>
        <stp>VOLUME</stp>
        <stp>.NDX251017C20180</stp>
        <tr r="S151" s="2"/>
      </tp>
      <tp t="e">
        <v>#N/A</v>
        <stp/>
        <stp>IMPL_VOL</stp>
        <stp>.NDXP250502P20000</stp>
        <tr r="EM159" s="1"/>
      </tp>
      <tp t="e">
        <v>#N/A</v>
        <stp/>
        <stp>IMPL_VOL</stp>
        <stp>.NDXP250502P20020</stp>
        <tr r="EM158" s="1"/>
      </tp>
      <tp t="s">
        <v>N/A</v>
        <stp/>
        <stp>VOLUME</stp>
        <stp>.NDX250815C20320</stp>
        <tr r="O144" s="2"/>
      </tp>
      <tp t="e">
        <v>#N/A</v>
        <stp/>
        <stp>VOLUME</stp>
        <stp>.NDX250523C19520</stp>
        <tr r="H184" s="2"/>
      </tp>
      <tp t="s">
        <v>N/A</v>
        <stp/>
        <stp>VOLUME</stp>
        <stp>.NDX250620C19620</stp>
        <tr r="K179" s="2"/>
      </tp>
      <tp t="s">
        <v>N/A</v>
        <stp/>
        <stp>VOLUME</stp>
        <stp>.NDX250516C20020</stp>
        <tr r="BE158" s="1"/>
      </tp>
      <tp t="s">
        <v>N/A</v>
        <stp/>
        <stp>VOLUME</stp>
        <stp>.NDX251121C19720</stp>
        <tr r="U174" s="2"/>
      </tp>
      <tp t="s">
        <v>N/A</v>
        <stp/>
        <stp>VOLUME</stp>
        <stp>.NDX251017C20120</stp>
        <tr r="S154" s="2"/>
      </tp>
      <tp t="s">
        <v>N/A</v>
        <stp/>
        <stp>VOLUME</stp>
        <stp>.NDX250815C20300</stp>
        <tr r="O145" s="2"/>
      </tp>
      <tp t="e">
        <v>#N/A</v>
        <stp/>
        <stp>VOLUME</stp>
        <stp>.NDX250523C19500</stp>
        <tr r="H185" s="2"/>
      </tp>
      <tp t="e">
        <v>#N/A</v>
        <stp/>
        <stp>VOLUME</stp>
        <stp>.NDX250620C19600</stp>
        <tr r="K180" s="2"/>
      </tp>
      <tp>
        <v>3</v>
        <stp/>
        <stp>VOLUME</stp>
        <stp>.NDX250516C20000</stp>
        <tr r="BE159" s="1"/>
        <tr r="BE159" s="1"/>
      </tp>
      <tp t="s">
        <v>N/A</v>
        <stp/>
        <stp>VOLUME</stp>
        <stp>.NDX251121C19700</stp>
        <tr r="U175" s="2"/>
      </tp>
      <tp t="s">
        <v>N/A</v>
        <stp/>
        <stp>VOLUME</stp>
        <stp>.NDX251017C20100</stp>
        <tr r="S155" s="2"/>
      </tp>
      <tp t="s">
        <v>N/A</v>
        <stp/>
        <stp>VOLUME</stp>
        <stp>.NDX250815C20360</stp>
        <tr r="O142" s="2"/>
      </tp>
      <tp t="e">
        <v>#N/A</v>
        <stp/>
        <stp>VOLUME</stp>
        <stp>.NDX250523C19560</stp>
        <tr r="H182" s="2"/>
      </tp>
      <tp t="s">
        <v>N/A</v>
        <stp/>
        <stp>VOLUME</stp>
        <stp>.NDX250620C19660</stp>
        <tr r="K177" s="2"/>
      </tp>
      <tp t="s">
        <v>N/A</v>
        <stp/>
        <stp>VOLUME</stp>
        <stp>.NDX250516C20060</stp>
        <tr r="BE156" s="1"/>
      </tp>
      <tp t="e">
        <v>#N/A</v>
        <stp/>
        <stp>IMPL_VOL</stp>
        <stp>.NDXP250502P20080</stp>
        <tr r="EM155" s="1"/>
      </tp>
      <tp t="s">
        <v>N/A</v>
        <stp/>
        <stp>VOLUME</stp>
        <stp>.NDX251121C19760</stp>
        <tr r="U172" s="2"/>
      </tp>
      <tp t="s">
        <v>N/A</v>
        <stp/>
        <stp>VOLUME</stp>
        <stp>.NDX251017C20160</stp>
        <tr r="S152" s="2"/>
      </tp>
      <tp t="s">
        <v>N/A</v>
        <stp/>
        <stp>VOLUME</stp>
        <stp>.NDX250815C20340</stp>
        <tr r="O143" s="2"/>
      </tp>
      <tp t="e">
        <v>#N/A</v>
        <stp/>
        <stp>VOLUME</stp>
        <stp>.NDX250523C19540</stp>
        <tr r="H183" s="2"/>
      </tp>
      <tp t="s">
        <v>N/A</v>
        <stp/>
        <stp>VOLUME</stp>
        <stp>.NDX250620C19640</stp>
        <tr r="K178" s="2"/>
      </tp>
      <tp t="s">
        <v>N/A</v>
        <stp/>
        <stp>VOLUME</stp>
        <stp>.NDX250516C20040</stp>
        <tr r="BE157" s="1"/>
      </tp>
      <tp t="s">
        <v>N/A</v>
        <stp/>
        <stp>VOLUME</stp>
        <stp>.NDX251121C19740</stp>
        <tr r="U173" s="2"/>
      </tp>
      <tp t="s">
        <v>N/A</v>
        <stp/>
        <stp>VOLUME</stp>
        <stp>.NDX251017C20140</stp>
        <tr r="S153" s="2"/>
      </tp>
      <tp t="e">
        <v>#N/A</v>
        <stp/>
        <stp>MARK</stp>
        <stp>/ES:XCME</stp>
        <tr r="F3" s="1"/>
        <tr r="F84" s="1"/>
      </tp>
      <tp t="e">
        <v>#N/A</v>
        <stp/>
        <stp>VOLUME</stp>
        <stp>.NDX251121P19480</stp>
        <tr r="U186" s="2"/>
      </tp>
      <tp t="s">
        <v>N/A</v>
        <stp/>
        <stp>VOLUME</stp>
        <stp>.NDX251017P20280</stp>
        <tr r="S146" s="2"/>
      </tp>
      <tp t="s">
        <v>N/A</v>
        <stp/>
        <stp>VOLUME</stp>
        <stp>.NDX250815P20080</stp>
        <tr r="O156" s="2"/>
      </tp>
      <tp t="e">
        <v>#N/A</v>
        <stp/>
        <stp>VOLUME</stp>
        <stp>.NDX250523P19680</stp>
        <tr r="H176" s="2"/>
      </tp>
      <tp t="e">
        <v>#N/A</v>
        <stp/>
        <stp>VOLUME</stp>
        <stp>.NDX250620P19580</stp>
        <tr r="K181" s="2"/>
      </tp>
      <tp t="s">
        <v>N/A</v>
        <stp/>
        <stp>VOLUME</stp>
        <stp>.NDX250516P20380</stp>
        <tr r="BF140" s="1"/>
      </tp>
      <tp t="e">
        <v>#N/A</v>
        <stp/>
        <stp>IMPL_VOL</stp>
        <stp>.NDXP250502C20360</stp>
        <tr r="EL141" s="1"/>
      </tp>
      <tp t="e">
        <v>#N/A</v>
        <stp/>
        <stp>IMPL_VOL</stp>
        <stp>.NDXP250509C19860</stp>
        <tr r="EN166" s="1"/>
      </tp>
      <tp t="e">
        <v>#N/A</v>
        <stp/>
        <stp>IMPL_VOL</stp>
        <stp>.NDXP250502C20340</stp>
        <tr r="EL142" s="1"/>
      </tp>
      <tp t="e">
        <v>#N/A</v>
        <stp/>
        <stp>IMPL_VOL</stp>
        <stp>.NDXP250509C19840</stp>
        <tr r="EN167" s="1"/>
      </tp>
      <tp t="e">
        <v>#N/A</v>
        <stp/>
        <stp>IMPL_VOL</stp>
        <stp>.NDXP250502C20320</stp>
        <tr r="EL143" s="1"/>
      </tp>
      <tp t="e">
        <v>#N/A</v>
        <stp/>
        <stp>IMPL_VOL</stp>
        <stp>.NDXP250509C19820</stp>
        <tr r="EN168" s="1"/>
      </tp>
      <tp t="e">
        <v>#N/A</v>
        <stp/>
        <stp>IMPL_VOL</stp>
        <stp>.NDXP250502C20300</stp>
        <tr r="EL144" s="1"/>
      </tp>
      <tp t="e">
        <v>#N/A</v>
        <stp/>
        <stp>IMPL_VOL</stp>
        <stp>.NDXP250509C19800</stp>
        <tr r="EN169" s="1"/>
      </tp>
      <tp t="e">
        <v>#N/A</v>
        <stp/>
        <stp>VOLUME</stp>
        <stp>.NDX251121P19400</stp>
        <tr r="U190" s="2"/>
      </tp>
      <tp t="s">
        <v>N/A</v>
        <stp/>
        <stp>VOLUME</stp>
        <stp>.NDX251121P20400</stp>
        <tr r="U140" s="2"/>
      </tp>
      <tp t="s">
        <v>N/A</v>
        <stp/>
        <stp>VOLUME</stp>
        <stp>.NDX251017P20200</stp>
        <tr r="S150" s="2"/>
      </tp>
      <tp>
        <v>7</v>
        <stp/>
        <stp>VOLUME</stp>
        <stp>.NDX250815P20000</stp>
        <tr r="O160" s="2"/>
        <tr r="O160" s="2"/>
      </tp>
      <tp t="e">
        <v>#N/A</v>
        <stp/>
        <stp>VOLUME</stp>
        <stp>.NDX250523P19600</stp>
        <tr r="H180" s="2"/>
      </tp>
      <tp t="e">
        <v>#N/A</v>
        <stp/>
        <stp>VOLUME</stp>
        <stp>.NDX250620P19500</stp>
        <tr r="K185" s="2"/>
      </tp>
      <tp>
        <v>3</v>
        <stp/>
        <stp>VOLUME</stp>
        <stp>.NDX250516P20300</stp>
        <tr r="BF144" s="1"/>
        <tr r="BF144" s="1"/>
      </tp>
      <tp t="e">
        <v>#N/A</v>
        <stp/>
        <stp>VOLUME</stp>
        <stp>.NDX251121P19420</stp>
        <tr r="U189" s="2"/>
      </tp>
      <tp t="s">
        <v>N/A</v>
        <stp/>
        <stp>VOLUME</stp>
        <stp>.NDX251121P20420</stp>
        <tr r="U139" s="2"/>
      </tp>
      <tp t="s">
        <v>N/A</v>
        <stp/>
        <stp>VOLUME</stp>
        <stp>.NDX251017P20220</stp>
        <tr r="S149" s="2"/>
      </tp>
      <tp t="s">
        <v>N/A</v>
        <stp/>
        <stp>VOLUME</stp>
        <stp>.NDX250815P20020</stp>
        <tr r="O159" s="2"/>
      </tp>
      <tp t="e">
        <v>#N/A</v>
        <stp/>
        <stp>VOLUME</stp>
        <stp>.NDX250523P19620</stp>
        <tr r="H179" s="2"/>
      </tp>
      <tp t="e">
        <v>#N/A</v>
        <stp/>
        <stp>VOLUME</stp>
        <stp>.NDX250620P19520</stp>
        <tr r="K184" s="2"/>
      </tp>
      <tp t="s">
        <v>N/A</v>
        <stp/>
        <stp>VOLUME</stp>
        <stp>.NDX250516P20320</stp>
        <tr r="BF143" s="1"/>
      </tp>
      <tp t="e">
        <v>#N/A</v>
        <stp/>
        <stp>VOLUME</stp>
        <stp>.NDX251121P19440</stp>
        <tr r="U188" s="2"/>
      </tp>
      <tp t="s">
        <v>N/A</v>
        <stp/>
        <stp>VOLUME</stp>
        <stp>.NDX251121P20440</stp>
        <tr r="U138" s="2"/>
      </tp>
      <tp t="s">
        <v>N/A</v>
        <stp/>
        <stp>VOLUME</stp>
        <stp>.NDX251017P20240</stp>
        <tr r="S148" s="2"/>
      </tp>
      <tp t="s">
        <v>N/A</v>
        <stp/>
        <stp>VOLUME</stp>
        <stp>.NDX250815P20040</stp>
        <tr r="O158" s="2"/>
      </tp>
      <tp t="e">
        <v>#N/A</v>
        <stp/>
        <stp>VOLUME</stp>
        <stp>.NDX250523P19640</stp>
        <tr r="H178" s="2"/>
      </tp>
      <tp t="e">
        <v>#N/A</v>
        <stp/>
        <stp>VOLUME</stp>
        <stp>.NDX250620P19540</stp>
        <tr r="K183" s="2"/>
      </tp>
      <tp t="s">
        <v>N/A</v>
        <stp/>
        <stp>VOLUME</stp>
        <stp>.NDX250516P20340</stp>
        <tr r="BF142" s="1"/>
      </tp>
      <tp t="e">
        <v>#N/A</v>
        <stp/>
        <stp>VOLUME</stp>
        <stp>.NDX251121P19460</stp>
        <tr r="U187" s="2"/>
      </tp>
      <tp t="s">
        <v>N/A</v>
        <stp/>
        <stp>VOLUME</stp>
        <stp>.NDX251017P20260</stp>
        <tr r="S147" s="2"/>
      </tp>
      <tp t="s">
        <v>N/A</v>
        <stp/>
        <stp>VOLUME</stp>
        <stp>.NDX250815P20060</stp>
        <tr r="O157" s="2"/>
      </tp>
      <tp t="e">
        <v>#N/A</v>
        <stp/>
        <stp>VOLUME</stp>
        <stp>.NDX250523P19660</stp>
        <tr r="H177" s="2"/>
      </tp>
      <tp t="e">
        <v>#N/A</v>
        <stp/>
        <stp>VOLUME</stp>
        <stp>.NDX250620P19560</stp>
        <tr r="K182" s="2"/>
      </tp>
      <tp t="s">
        <v>N/A</v>
        <stp/>
        <stp>VOLUME</stp>
        <stp>.NDX250516P20360</stp>
        <tr r="BF141" s="1"/>
      </tp>
      <tp t="e">
        <v>#N/A</v>
        <stp/>
        <stp>IMPL_VOL</stp>
        <stp>.NDXP250502C20380</stp>
        <tr r="EL140" s="1"/>
      </tp>
      <tp t="e">
        <v>#N/A</v>
        <stp/>
        <stp>IMPL_VOL</stp>
        <stp>.NDXP250509C19880</stp>
        <tr r="EN165" s="1"/>
      </tp>
      <tp t="e">
        <v>#N/A</v>
        <stp/>
        <stp>IMPL_VOL</stp>
        <stp>.NDXP250502P20340</stp>
        <tr r="EM142" s="1"/>
      </tp>
      <tp t="e">
        <v>#N/A</v>
        <stp/>
        <stp>IMPL_VOL</stp>
        <stp>.NDXP250509P19840</stp>
        <tr r="EO167" s="1"/>
      </tp>
      <tp t="s">
        <v>N/A</v>
        <stp/>
        <stp>VOLUME</stp>
        <stp>.NDX250815C20080</stp>
        <tr r="O156" s="2"/>
      </tp>
      <tp t="e">
        <v>#N/A</v>
        <stp/>
        <stp>VOLUME</stp>
        <stp>.NDX250523C19680</stp>
        <tr r="H176" s="2"/>
      </tp>
      <tp t="e">
        <v>#N/A</v>
        <stp/>
        <stp>VOLUME</stp>
        <stp>.NDX250620C19580</stp>
        <tr r="K181" s="2"/>
      </tp>
      <tp t="s">
        <v>N/A</v>
        <stp/>
        <stp>VOLUME</stp>
        <stp>.NDX250516C20380</stp>
        <tr r="BE140" s="1"/>
      </tp>
      <tp t="e">
        <v>#N/A</v>
        <stp/>
        <stp>IMPL_VOL</stp>
        <stp>.NDXP250502P20360</stp>
        <tr r="EM141" s="1"/>
      </tp>
      <tp t="e">
        <v>#N/A</v>
        <stp/>
        <stp>IMPL_VOL</stp>
        <stp>.NDXP250509P19860</stp>
        <tr r="EO166" s="1"/>
      </tp>
      <tp t="e">
        <v>#N/A</v>
        <stp/>
        <stp>VOLUME</stp>
        <stp>.NDX251121C19480</stp>
        <tr r="U186" s="2"/>
      </tp>
      <tp t="s">
        <v>N/A</v>
        <stp/>
        <stp>VOLUME</stp>
        <stp>.NDX251017C20280</stp>
        <tr r="S146" s="2"/>
      </tp>
      <tp t="e">
        <v>#N/A</v>
        <stp/>
        <stp>IMPL_VOL</stp>
        <stp>.NDXP250502P20300</stp>
        <tr r="EM144" s="1"/>
      </tp>
      <tp t="e">
        <v>#N/A</v>
        <stp/>
        <stp>IMPL_VOL</stp>
        <stp>.NDXP250509P19800</stp>
        <tr r="EO169" s="1"/>
      </tp>
      <tp t="e">
        <v>#N/A</v>
        <stp/>
        <stp>IMPL_VOL</stp>
        <stp>.NDXP250502P20320</stp>
        <tr r="EM143" s="1"/>
      </tp>
      <tp t="e">
        <v>#N/A</v>
        <stp/>
        <stp>IMPL_VOL</stp>
        <stp>.NDXP250509P19820</stp>
        <tr r="EO168" s="1"/>
      </tp>
      <tp t="s">
        <v>N/A</v>
        <stp/>
        <stp>VOLUME</stp>
        <stp>.NDX250815C20020</stp>
        <tr r="O159" s="2"/>
      </tp>
      <tp t="e">
        <v>#N/A</v>
        <stp/>
        <stp>VOLUME</stp>
        <stp>.NDX250523C19620</stp>
        <tr r="H179" s="2"/>
      </tp>
      <tp t="e">
        <v>#N/A</v>
        <stp/>
        <stp>VOLUME</stp>
        <stp>.NDX250620C19520</stp>
        <tr r="K184" s="2"/>
      </tp>
      <tp t="s">
        <v>N/A</v>
        <stp/>
        <stp>VOLUME</stp>
        <stp>.NDX250516C20320</stp>
        <tr r="BE143" s="1"/>
      </tp>
      <tp t="e">
        <v>#N/A</v>
        <stp/>
        <stp>VOLUME</stp>
        <stp>.NDX251121C19420</stp>
        <tr r="U189" s="2"/>
      </tp>
      <tp t="s">
        <v>N/A</v>
        <stp/>
        <stp>VOLUME</stp>
        <stp>.NDX251121C20420</stp>
        <tr r="U139" s="2"/>
      </tp>
      <tp t="s">
        <v>N/A</v>
        <stp/>
        <stp>VOLUME</stp>
        <stp>.NDX251017C20220</stp>
        <tr r="S149" s="2"/>
      </tp>
      <tp>
        <v>9</v>
        <stp/>
        <stp>VOLUME</stp>
        <stp>.NDX250815C20000</stp>
        <tr r="O160" s="2"/>
        <tr r="O160" s="2"/>
      </tp>
      <tp t="e">
        <v>#N/A</v>
        <stp/>
        <stp>VOLUME</stp>
        <stp>.NDX250523C19600</stp>
        <tr r="H180" s="2"/>
      </tp>
      <tp t="e">
        <v>#N/A</v>
        <stp/>
        <stp>VOLUME</stp>
        <stp>.NDX250620C19500</stp>
        <tr r="K185" s="2"/>
      </tp>
      <tp>
        <v>3</v>
        <stp/>
        <stp>VOLUME</stp>
        <stp>.NDX250516C20300</stp>
        <tr r="BE144" s="1"/>
        <tr r="BE144" s="1"/>
      </tp>
      <tp t="e">
        <v>#N/A</v>
        <stp/>
        <stp>VOLUME</stp>
        <stp>.NDX251121C19400</stp>
        <tr r="U190" s="2"/>
      </tp>
      <tp>
        <v>2</v>
        <stp/>
        <stp>VOLUME</stp>
        <stp>.NDX251121C20400</stp>
        <tr r="U140" s="2"/>
        <tr r="U140" s="2"/>
      </tp>
      <tp>
        <v>4</v>
        <stp/>
        <stp>VOLUME</stp>
        <stp>.NDX251017C20200</stp>
        <tr r="S150" s="2"/>
        <tr r="S150" s="2"/>
      </tp>
      <tp t="s">
        <v>N/A</v>
        <stp/>
        <stp>VOLUME</stp>
        <stp>.NDX250815C20060</stp>
        <tr r="O157" s="2"/>
      </tp>
      <tp t="e">
        <v>#N/A</v>
        <stp/>
        <stp>VOLUME</stp>
        <stp>.NDX250523C19660</stp>
        <tr r="H177" s="2"/>
      </tp>
      <tp t="e">
        <v>#N/A</v>
        <stp/>
        <stp>VOLUME</stp>
        <stp>.NDX250620C19560</stp>
        <tr r="K182" s="2"/>
      </tp>
      <tp t="s">
        <v>N/A</v>
        <stp/>
        <stp>VOLUME</stp>
        <stp>.NDX250516C20360</stp>
        <tr r="BE141" s="1"/>
      </tp>
      <tp t="e">
        <v>#N/A</v>
        <stp/>
        <stp>IMPL_VOL</stp>
        <stp>.NDXP250502P20380</stp>
        <tr r="EM140" s="1"/>
      </tp>
      <tp t="e">
        <v>#N/A</v>
        <stp/>
        <stp>IMPL_VOL</stp>
        <stp>.NDXP250509P19880</stp>
        <tr r="EO165" s="1"/>
      </tp>
      <tp t="e">
        <v>#N/A</v>
        <stp/>
        <stp>VOLUME</stp>
        <stp>.NDX251121C19460</stp>
        <tr r="U187" s="2"/>
      </tp>
      <tp t="s">
        <v>N/A</v>
        <stp/>
        <stp>VOLUME</stp>
        <stp>.NDX251017C20260</stp>
        <tr r="S147" s="2"/>
      </tp>
      <tp t="s">
        <v>N/A</v>
        <stp/>
        <stp>VOLUME</stp>
        <stp>.NDX250815C20040</stp>
        <tr r="O158" s="2"/>
      </tp>
      <tp t="e">
        <v>#N/A</v>
        <stp/>
        <stp>VOLUME</stp>
        <stp>.NDX250523C19640</stp>
        <tr r="H178" s="2"/>
      </tp>
      <tp t="e">
        <v>#N/A</v>
        <stp/>
        <stp>VOLUME</stp>
        <stp>.NDX250620C19540</stp>
        <tr r="K183" s="2"/>
      </tp>
      <tp t="s">
        <v>N/A</v>
        <stp/>
        <stp>VOLUME</stp>
        <stp>.NDX250516C20340</stp>
        <tr r="BE142" s="1"/>
      </tp>
      <tp t="e">
        <v>#N/A</v>
        <stp/>
        <stp>VOLUME</stp>
        <stp>.NDX251121C19440</stp>
        <tr r="U188" s="2"/>
      </tp>
      <tp t="s">
        <v>N/A</v>
        <stp/>
        <stp>VOLUME</stp>
        <stp>.NDX251121C20440</stp>
        <tr r="U138" s="2"/>
      </tp>
      <tp t="s">
        <v>N/A</v>
        <stp/>
        <stp>VOLUME</stp>
        <stp>.NDX251017C20240</stp>
        <tr r="S148" s="2"/>
      </tp>
      <tp t="e">
        <v>#N/A</v>
        <stp/>
        <stp>VOLUME</stp>
        <stp>.NDX251121P19580</stp>
        <tr r="U181" s="2"/>
      </tp>
      <tp t="s">
        <v>N/A</v>
        <stp/>
        <stp>VOLUME</stp>
        <stp>.NDX251017P20380</stp>
        <tr r="S141" s="2"/>
      </tp>
      <tp t="s">
        <v>N/A</v>
        <stp/>
        <stp>VOLUME</stp>
        <stp>.NDX250815P20180</stp>
        <tr r="O151" s="2"/>
      </tp>
      <tp t="e">
        <v>#N/A</v>
        <stp/>
        <stp>VOLUME</stp>
        <stp>.NDX250523P19780</stp>
        <tr r="H171" s="2"/>
      </tp>
      <tp t="e">
        <v>#N/A</v>
        <stp/>
        <stp>VOLUME</stp>
        <stp>.NDX250620P19480</stp>
        <tr r="K186" s="2"/>
      </tp>
      <tp t="s">
        <v>N/A</v>
        <stp/>
        <stp>VOLUME</stp>
        <stp>.NDX250516P20280</stp>
        <tr r="BF145" s="1"/>
      </tp>
      <tp t="e">
        <v>#N/A</v>
        <stp/>
        <stp>IMPL_VOL</stp>
        <stp>.NDXP250502C20260</stp>
        <tr r="EL146" s="1"/>
      </tp>
      <tp t="e">
        <v>#N/A</v>
        <stp/>
        <stp>IMPL_VOL</stp>
        <stp>.NDXP250509C19960</stp>
        <tr r="EN161" s="1"/>
      </tp>
      <tp t="e">
        <v>#N/A</v>
        <stp/>
        <stp>IMPL_VOL</stp>
        <stp>.NDXP250502C20240</stp>
        <tr r="EL147" s="1"/>
      </tp>
      <tp t="e">
        <v>#N/A</v>
        <stp/>
        <stp>IMPL_VOL</stp>
        <stp>.NDXP250509C19940</stp>
        <tr r="EN162" s="1"/>
      </tp>
      <tp t="e">
        <v>#N/A</v>
        <stp/>
        <stp>IMPL_VOL</stp>
        <stp>.NDXP250502C20220</stp>
        <tr r="EL148" s="1"/>
      </tp>
      <tp t="e">
        <v>#N/A</v>
        <stp/>
        <stp>IMPL_VOL</stp>
        <stp>.NDXP250509C19920</stp>
        <tr r="EN163" s="1"/>
      </tp>
      <tp t="e">
        <v>#N/A</v>
        <stp/>
        <stp>IMPL_VOL</stp>
        <stp>.NDXP250502C20200</stp>
        <tr r="EL149" s="1"/>
      </tp>
      <tp t="e">
        <v>#N/A</v>
        <stp/>
        <stp>IMPL_VOL</stp>
        <stp>.NDXP250509C19900</stp>
        <tr r="EN164" s="1"/>
      </tp>
      <tp t="e">
        <v>#N/A</v>
        <stp/>
        <stp>VOLUME</stp>
        <stp>.NDX251121P19500</stp>
        <tr r="U185" s="2"/>
      </tp>
      <tp t="s">
        <v>N/A</v>
        <stp/>
        <stp>VOLUME</stp>
        <stp>.NDX251017P20300</stp>
        <tr r="S145" s="2"/>
      </tp>
      <tp t="s">
        <v>N/A</v>
        <stp/>
        <stp>VOLUME</stp>
        <stp>.NDX250815P20100</stp>
        <tr r="O155" s="2"/>
      </tp>
      <tp t="e">
        <v>#N/A</v>
        <stp/>
        <stp>VOLUME</stp>
        <stp>.NDX250523P19700</stp>
        <tr r="H175" s="2"/>
      </tp>
      <tp t="s">
        <v>N/A</v>
        <stp/>
        <stp>VOLUME</stp>
        <stp>.NDX250620P20400</stp>
        <tr r="K140" s="2"/>
      </tp>
      <tp t="e">
        <v>#N/A</v>
        <stp/>
        <stp>VOLUME</stp>
        <stp>.NDX250620P19400</stp>
        <tr r="K190" s="2"/>
      </tp>
      <tp>
        <v>2</v>
        <stp/>
        <stp>VOLUME</stp>
        <stp>.NDX250516P20200</stp>
        <tr r="BF149" s="1"/>
        <tr r="BF149" s="1"/>
      </tp>
      <tp t="e">
        <v>#N/A</v>
        <stp/>
        <stp>VOLUME</stp>
        <stp>.NDX251121P19520</stp>
        <tr r="U184" s="2"/>
      </tp>
      <tp t="s">
        <v>N/A</v>
        <stp/>
        <stp>VOLUME</stp>
        <stp>.NDX251017P20320</stp>
        <tr r="S144" s="2"/>
      </tp>
      <tp t="s">
        <v>N/A</v>
        <stp/>
        <stp>VOLUME</stp>
        <stp>.NDX250815P20120</stp>
        <tr r="O154" s="2"/>
      </tp>
      <tp t="e">
        <v>#N/A</v>
        <stp/>
        <stp>VOLUME</stp>
        <stp>.NDX250523P19720</stp>
        <tr r="H174" s="2"/>
      </tp>
      <tp t="s">
        <v>N/A</v>
        <stp/>
        <stp>VOLUME</stp>
        <stp>.NDX250620P20420</stp>
        <tr r="K139" s="2"/>
      </tp>
      <tp t="e">
        <v>#N/A</v>
        <stp/>
        <stp>VOLUME</stp>
        <stp>.NDX250620P19420</stp>
        <tr r="K189" s="2"/>
      </tp>
      <tp t="s">
        <v>N/A</v>
        <stp/>
        <stp>VOLUME</stp>
        <stp>.NDX250516P20220</stp>
        <tr r="BF148" s="1"/>
      </tp>
      <tp t="e">
        <v>#N/A</v>
        <stp/>
        <stp>VOLUME</stp>
        <stp>.NDX251121P19540</stp>
        <tr r="U183" s="2"/>
      </tp>
      <tp t="s">
        <v>N/A</v>
        <stp/>
        <stp>VOLUME</stp>
        <stp>.NDX251017P20340</stp>
        <tr r="S143" s="2"/>
      </tp>
      <tp t="s">
        <v>N/A</v>
        <stp/>
        <stp>VOLUME</stp>
        <stp>.NDX250815P20140</stp>
        <tr r="O153" s="2"/>
      </tp>
      <tp t="e">
        <v>#N/A</v>
        <stp/>
        <stp>VOLUME</stp>
        <stp>.NDX250523P19740</stp>
        <tr r="H173" s="2"/>
      </tp>
      <tp t="s">
        <v>N/A</v>
        <stp/>
        <stp>VOLUME</stp>
        <stp>.NDX250620P20440</stp>
        <tr r="K138" s="2"/>
      </tp>
      <tp t="e">
        <v>#N/A</v>
        <stp/>
        <stp>VOLUME</stp>
        <stp>.NDX250620P19440</stp>
        <tr r="K188" s="2"/>
      </tp>
      <tp t="s">
        <v>N/A</v>
        <stp/>
        <stp>VOLUME</stp>
        <stp>.NDX250516P20240</stp>
        <tr r="BF147" s="1"/>
      </tp>
      <tp t="e">
        <v>#N/A</v>
        <stp/>
        <stp>VOLUME</stp>
        <stp>.NDX251121P19560</stp>
        <tr r="U182" s="2"/>
      </tp>
      <tp t="s">
        <v>N/A</v>
        <stp/>
        <stp>VOLUME</stp>
        <stp>.NDX251017P20360</stp>
        <tr r="S142" s="2"/>
      </tp>
      <tp t="s">
        <v>N/A</v>
        <stp/>
        <stp>VOLUME</stp>
        <stp>.NDX250815P20160</stp>
        <tr r="O152" s="2"/>
      </tp>
      <tp t="e">
        <v>#N/A</v>
        <stp/>
        <stp>VOLUME</stp>
        <stp>.NDX250523P19760</stp>
        <tr r="H172" s="2"/>
      </tp>
      <tp t="e">
        <v>#N/A</v>
        <stp/>
        <stp>VOLUME</stp>
        <stp>.NDX250620P19460</stp>
        <tr r="K187" s="2"/>
      </tp>
      <tp t="s">
        <v>N/A</v>
        <stp/>
        <stp>VOLUME</stp>
        <stp>.NDX250516P20260</stp>
        <tr r="BF146" s="1"/>
      </tp>
      <tp t="e">
        <v>#N/A</v>
        <stp/>
        <stp>IMPL_VOL</stp>
        <stp>.NDXP250502C20280</stp>
        <tr r="EL145" s="1"/>
      </tp>
      <tp t="e">
        <v>#N/A</v>
        <stp/>
        <stp>IMPL_VOL</stp>
        <stp>.NDXP250509C19980</stp>
        <tr r="EN160" s="1"/>
      </tp>
      <tp t="e">
        <v>#N/A</v>
        <stp/>
        <stp>IMPL_VOL</stp>
        <stp>.NDXP250502P20240</stp>
        <tr r="EM147" s="1"/>
      </tp>
      <tp t="e">
        <v>#N/A</v>
        <stp/>
        <stp>IMPL_VOL</stp>
        <stp>.NDXP250509P19940</stp>
        <tr r="EO162" s="1"/>
      </tp>
      <tp t="s">
        <v>N/A</v>
        <stp/>
        <stp>VOLUME</stp>
        <stp>.NDX250815C20180</stp>
        <tr r="O151" s="2"/>
      </tp>
      <tp t="e">
        <v>#N/A</v>
        <stp/>
        <stp>VOLUME</stp>
        <stp>.NDX250523C19780</stp>
        <tr r="H171" s="2"/>
      </tp>
      <tp t="e">
        <v>#N/A</v>
        <stp/>
        <stp>VOLUME</stp>
        <stp>.NDX250620C19480</stp>
        <tr r="K186" s="2"/>
      </tp>
      <tp t="s">
        <v>N/A</v>
        <stp/>
        <stp>VOLUME</stp>
        <stp>.NDX250516C20280</stp>
        <tr r="BE145" s="1"/>
      </tp>
      <tp t="e">
        <v>#N/A</v>
        <stp/>
        <stp>IMPL_VOL</stp>
        <stp>.NDXP250502P20260</stp>
        <tr r="EM146" s="1"/>
      </tp>
      <tp t="e">
        <v>#N/A</v>
        <stp/>
        <stp>IMPL_VOL</stp>
        <stp>.NDXP250509P19960</stp>
        <tr r="EO161" s="1"/>
      </tp>
      <tp t="e">
        <v>#N/A</v>
        <stp/>
        <stp>VOLUME</stp>
        <stp>.NDX251121C19580</stp>
        <tr r="U181" s="2"/>
      </tp>
      <tp t="s">
        <v>N/A</v>
        <stp/>
        <stp>VOLUME</stp>
        <stp>.NDX251017C20380</stp>
        <tr r="S141" s="2"/>
      </tp>
      <tp t="e">
        <v>#N/A</v>
        <stp/>
        <stp>IMPL_VOL</stp>
        <stp>.NDXP250502P20200</stp>
        <tr r="EM149" s="1"/>
      </tp>
      <tp t="e">
        <v>#N/A</v>
        <stp/>
        <stp>IMPL_VOL</stp>
        <stp>.NDXP250509P19900</stp>
        <tr r="EO164" s="1"/>
      </tp>
      <tp t="e">
        <v>#N/A</v>
        <stp/>
        <stp>IMPL_VOL</stp>
        <stp>.NDXP250502P20220</stp>
        <tr r="EM148" s="1"/>
      </tp>
      <tp t="e">
        <v>#N/A</v>
        <stp/>
        <stp>IMPL_VOL</stp>
        <stp>.NDXP250509P19920</stp>
        <tr r="EO163" s="1"/>
      </tp>
      <tp t="s">
        <v>N/A</v>
        <stp/>
        <stp>VOLUME</stp>
        <stp>.NDX250815C20120</stp>
        <tr r="O154" s="2"/>
      </tp>
      <tp t="e">
        <v>#N/A</v>
        <stp/>
        <stp>VOLUME</stp>
        <stp>.NDX250523C19720</stp>
        <tr r="H174" s="2"/>
      </tp>
      <tp t="s">
        <v>N/A</v>
        <stp/>
        <stp>VOLUME</stp>
        <stp>.NDX250620C20420</stp>
        <tr r="K139" s="2"/>
      </tp>
      <tp t="e">
        <v>#N/A</v>
        <stp/>
        <stp>VOLUME</stp>
        <stp>.NDX250620C19420</stp>
        <tr r="K189" s="2"/>
      </tp>
      <tp t="s">
        <v>N/A</v>
        <stp/>
        <stp>VOLUME</stp>
        <stp>.NDX250516C20220</stp>
        <tr r="BE148" s="1"/>
      </tp>
      <tp t="e">
        <v>#N/A</v>
        <stp/>
        <stp>VOLUME</stp>
        <stp>.NDX251121C19520</stp>
        <tr r="U184" s="2"/>
      </tp>
      <tp t="s">
        <v>N/A</v>
        <stp/>
        <stp>VOLUME</stp>
        <stp>.NDX251017C20320</stp>
        <tr r="S144" s="2"/>
      </tp>
      <tp t="s">
        <v>N/A</v>
        <stp/>
        <stp>VOLUME</stp>
        <stp>.NDX250815C20100</stp>
        <tr r="O155" s="2"/>
      </tp>
      <tp t="e">
        <v>#N/A</v>
        <stp/>
        <stp>VOLUME</stp>
        <stp>.NDX250523C19700</stp>
        <tr r="H175" s="2"/>
      </tp>
      <tp t="s">
        <v>N/A</v>
        <stp/>
        <stp>VOLUME</stp>
        <stp>.NDX250620C20400</stp>
        <tr r="K140" s="2"/>
      </tp>
      <tp t="e">
        <v>#N/A</v>
        <stp/>
        <stp>VOLUME</stp>
        <stp>.NDX250620C19400</stp>
        <tr r="K190" s="2"/>
      </tp>
      <tp>
        <v>2</v>
        <stp/>
        <stp>VOLUME</stp>
        <stp>.NDX250516C20200</stp>
        <tr r="BE149" s="1"/>
        <tr r="BE149" s="1"/>
      </tp>
      <tp t="e">
        <v>#N/A</v>
        <stp/>
        <stp>VOLUME</stp>
        <stp>.NDX251121C19500</stp>
        <tr r="U185" s="2"/>
      </tp>
      <tp t="s">
        <v>N/A</v>
        <stp/>
        <stp>VOLUME</stp>
        <stp>.NDX251017C20300</stp>
        <tr r="S145" s="2"/>
      </tp>
      <tp t="s">
        <v>N/A</v>
        <stp/>
        <stp>VOLUME</stp>
        <stp>.NDX250815C20160</stp>
        <tr r="O152" s="2"/>
      </tp>
      <tp t="e">
        <v>#N/A</v>
        <stp/>
        <stp>VOLUME</stp>
        <stp>.NDX250523C19760</stp>
        <tr r="H172" s="2"/>
      </tp>
      <tp t="e">
        <v>#N/A</v>
        <stp/>
        <stp>VOLUME</stp>
        <stp>.NDX250620C19460</stp>
        <tr r="K187" s="2"/>
      </tp>
      <tp t="s">
        <v>N/A</v>
        <stp/>
        <stp>VOLUME</stp>
        <stp>.NDX250516C20260</stp>
        <tr r="BE146" s="1"/>
      </tp>
      <tp t="e">
        <v>#N/A</v>
        <stp/>
        <stp>IMPL_VOL</stp>
        <stp>.NDXP250502P20280</stp>
        <tr r="EM145" s="1"/>
      </tp>
      <tp t="e">
        <v>#N/A</v>
        <stp/>
        <stp>IMPL_VOL</stp>
        <stp>.NDXP250509P19980</stp>
        <tr r="EO160" s="1"/>
      </tp>
      <tp t="e">
        <v>#N/A</v>
        <stp/>
        <stp>VOLUME</stp>
        <stp>.NDX251121C19560</stp>
        <tr r="U182" s="2"/>
      </tp>
      <tp t="s">
        <v>N/A</v>
        <stp/>
        <stp>VOLUME</stp>
        <stp>.NDX251017C20360</stp>
        <tr r="S142" s="2"/>
      </tp>
      <tp t="s">
        <v>N/A</v>
        <stp/>
        <stp>VOLUME</stp>
        <stp>.NDX250815C20140</stp>
        <tr r="O153" s="2"/>
      </tp>
      <tp t="e">
        <v>#N/A</v>
        <stp/>
        <stp>VOLUME</stp>
        <stp>.NDX250523C19740</stp>
        <tr r="H173" s="2"/>
      </tp>
      <tp t="s">
        <v>N/A</v>
        <stp/>
        <stp>VOLUME</stp>
        <stp>.NDX250620C20440</stp>
        <tr r="K138" s="2"/>
      </tp>
      <tp t="e">
        <v>#N/A</v>
        <stp/>
        <stp>VOLUME</stp>
        <stp>.NDX250620C19440</stp>
        <tr r="K188" s="2"/>
      </tp>
      <tp t="s">
        <v>N/A</v>
        <stp/>
        <stp>VOLUME</stp>
        <stp>.NDX250516C20240</stp>
        <tr r="BE147" s="1"/>
      </tp>
      <tp t="e">
        <v>#N/A</v>
        <stp/>
        <stp>VOLUME</stp>
        <stp>.NDX251121C19540</stp>
        <tr r="U183" s="2"/>
      </tp>
      <tp t="s">
        <v>N/A</v>
        <stp/>
        <stp>VOLUME</stp>
        <stp>.NDX251017C20340</stp>
        <tr r="S14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3856233.2551855622</c:v>
                </c:pt>
                <c:pt idx="1">
                  <c:v>4979899.5272908024</c:v>
                </c:pt>
                <c:pt idx="2">
                  <c:v>21483954.180152085</c:v>
                </c:pt>
                <c:pt idx="3">
                  <c:v>4665463.0744719682</c:v>
                </c:pt>
                <c:pt idx="4">
                  <c:v>10785341.597757701</c:v>
                </c:pt>
                <c:pt idx="5">
                  <c:v>6497238.6168084415</c:v>
                </c:pt>
                <c:pt idx="6">
                  <c:v>7872070.2395944484</c:v>
                </c:pt>
                <c:pt idx="7">
                  <c:v>55649955.457988411</c:v>
                </c:pt>
                <c:pt idx="8">
                  <c:v>12008292.827372836</c:v>
                </c:pt>
                <c:pt idx="9">
                  <c:v>13221922.875788646</c:v>
                </c:pt>
                <c:pt idx="10">
                  <c:v>19000299.147556733</c:v>
                </c:pt>
                <c:pt idx="11">
                  <c:v>10087031.827074159</c:v>
                </c:pt>
                <c:pt idx="12">
                  <c:v>70679998.080606699</c:v>
                </c:pt>
                <c:pt idx="13">
                  <c:v>6112101.1021412043</c:v>
                </c:pt>
                <c:pt idx="14">
                  <c:v>19167303.454880401</c:v>
                </c:pt>
                <c:pt idx="15">
                  <c:v>18956085.547536008</c:v>
                </c:pt>
                <c:pt idx="16">
                  <c:v>4425542.0878284313</c:v>
                </c:pt>
                <c:pt idx="17">
                  <c:v>33331922.684784204</c:v>
                </c:pt>
                <c:pt idx="18">
                  <c:v>4670530.934007559</c:v>
                </c:pt>
                <c:pt idx="19">
                  <c:v>3213372.8269251906</c:v>
                </c:pt>
                <c:pt idx="20">
                  <c:v>10876303.834310256</c:v>
                </c:pt>
                <c:pt idx="21">
                  <c:v>1952527.6330478778</c:v>
                </c:pt>
                <c:pt idx="22">
                  <c:v>31514741.559463043</c:v>
                </c:pt>
                <c:pt idx="23">
                  <c:v>1410619.310554157</c:v>
                </c:pt>
                <c:pt idx="24">
                  <c:v>3233906.5159990955</c:v>
                </c:pt>
                <c:pt idx="25">
                  <c:v>10339.855333318003</c:v>
                </c:pt>
                <c:pt idx="26">
                  <c:v>4222725.2878919598</c:v>
                </c:pt>
                <c:pt idx="27">
                  <c:v>48899298.100789152</c:v>
                </c:pt>
                <c:pt idx="28">
                  <c:v>-240701.75760604627</c:v>
                </c:pt>
                <c:pt idx="29">
                  <c:v>1948560.4012055793</c:v>
                </c:pt>
                <c:pt idx="30">
                  <c:v>-2358829.4533326747</c:v>
                </c:pt>
                <c:pt idx="31">
                  <c:v>2309266.056608873</c:v>
                </c:pt>
                <c:pt idx="32">
                  <c:v>-19639547.131342001</c:v>
                </c:pt>
                <c:pt idx="33">
                  <c:v>-688439.96321344282</c:v>
                </c:pt>
                <c:pt idx="34">
                  <c:v>-1645810.76577876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21803989.601278272</c:v>
                </c:pt>
                <c:pt idx="1">
                  <c:v>23310130.913951125</c:v>
                </c:pt>
                <c:pt idx="2">
                  <c:v>187699083.32199943</c:v>
                </c:pt>
                <c:pt idx="3">
                  <c:v>18455503.691430427</c:v>
                </c:pt>
                <c:pt idx="4">
                  <c:v>14354365.605431814</c:v>
                </c:pt>
                <c:pt idx="5">
                  <c:v>27351533.880981456</c:v>
                </c:pt>
                <c:pt idx="6">
                  <c:v>22482270.684104208</c:v>
                </c:pt>
                <c:pt idx="7">
                  <c:v>477997366.59203714</c:v>
                </c:pt>
                <c:pt idx="8">
                  <c:v>16577901.050838072</c:v>
                </c:pt>
                <c:pt idx="9">
                  <c:v>21146782.983929336</c:v>
                </c:pt>
                <c:pt idx="10">
                  <c:v>16493699.917576471</c:v>
                </c:pt>
                <c:pt idx="11">
                  <c:v>13666266.641565755</c:v>
                </c:pt>
                <c:pt idx="12">
                  <c:v>86130057.493408442</c:v>
                </c:pt>
                <c:pt idx="13">
                  <c:v>4005504.0041823797</c:v>
                </c:pt>
                <c:pt idx="14">
                  <c:v>28323936.056141935</c:v>
                </c:pt>
                <c:pt idx="15">
                  <c:v>8785429.7070340272</c:v>
                </c:pt>
                <c:pt idx="16">
                  <c:v>20685334.619144097</c:v>
                </c:pt>
                <c:pt idx="17">
                  <c:v>77131601.095125556</c:v>
                </c:pt>
                <c:pt idx="18">
                  <c:v>12150579.057952784</c:v>
                </c:pt>
                <c:pt idx="19">
                  <c:v>17647809.763308756</c:v>
                </c:pt>
                <c:pt idx="20">
                  <c:v>17397972.827900488</c:v>
                </c:pt>
                <c:pt idx="21">
                  <c:v>17138771.234404001</c:v>
                </c:pt>
                <c:pt idx="22">
                  <c:v>-31059874.590214416</c:v>
                </c:pt>
                <c:pt idx="23">
                  <c:v>12806634.475866623</c:v>
                </c:pt>
                <c:pt idx="24">
                  <c:v>47741503.072531939</c:v>
                </c:pt>
                <c:pt idx="25">
                  <c:v>-40421721.30851347</c:v>
                </c:pt>
                <c:pt idx="26">
                  <c:v>1182545.8682180317</c:v>
                </c:pt>
                <c:pt idx="27">
                  <c:v>-139510963.65440658</c:v>
                </c:pt>
                <c:pt idx="28">
                  <c:v>1714220.6375261676</c:v>
                </c:pt>
                <c:pt idx="29">
                  <c:v>5456801.8329407424</c:v>
                </c:pt>
                <c:pt idx="30">
                  <c:v>-1111296.070382366</c:v>
                </c:pt>
                <c:pt idx="31">
                  <c:v>23553041.627166983</c:v>
                </c:pt>
                <c:pt idx="32">
                  <c:v>-116550082.50041384</c:v>
                </c:pt>
                <c:pt idx="33">
                  <c:v>5518733.6784745958</c:v>
                </c:pt>
                <c:pt idx="34">
                  <c:v>7428127.454318542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5996544"/>
        <c:axId val="325998080"/>
      </c:barChart>
      <c:catAx>
        <c:axId val="325996544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325998080"/>
        <c:crosses val="autoZero"/>
        <c:auto val="1"/>
        <c:lblAlgn val="ctr"/>
        <c:lblOffset val="100"/>
        <c:noMultiLvlLbl val="0"/>
      </c:catAx>
      <c:valAx>
        <c:axId val="32599808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5996544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1995267.1059887346</c:v>
                </c:pt>
                <c:pt idx="1">
                  <c:v>720314.50349713687</c:v>
                </c:pt>
                <c:pt idx="2">
                  <c:v>36395929.337109365</c:v>
                </c:pt>
                <c:pt idx="3">
                  <c:v>2936258.3764372491</c:v>
                </c:pt>
                <c:pt idx="4">
                  <c:v>2548649.870484435</c:v>
                </c:pt>
                <c:pt idx="5">
                  <c:v>3648550.9224885409</c:v>
                </c:pt>
                <c:pt idx="6">
                  <c:v>1720813.0037380275</c:v>
                </c:pt>
                <c:pt idx="7">
                  <c:v>15937644.66114567</c:v>
                </c:pt>
                <c:pt idx="8">
                  <c:v>4864585.3033431256</c:v>
                </c:pt>
                <c:pt idx="9">
                  <c:v>955138.42881831259</c:v>
                </c:pt>
                <c:pt idx="10">
                  <c:v>1887153.9551737886</c:v>
                </c:pt>
                <c:pt idx="11">
                  <c:v>803240.38150564511</c:v>
                </c:pt>
                <c:pt idx="12">
                  <c:v>23126306.511620544</c:v>
                </c:pt>
                <c:pt idx="13">
                  <c:v>-627882.19326411083</c:v>
                </c:pt>
                <c:pt idx="14">
                  <c:v>1501923.8957846705</c:v>
                </c:pt>
                <c:pt idx="15">
                  <c:v>1674518.7755147261</c:v>
                </c:pt>
                <c:pt idx="16">
                  <c:v>-357174.72139081731</c:v>
                </c:pt>
                <c:pt idx="17">
                  <c:v>61328787.688566491</c:v>
                </c:pt>
                <c:pt idx="18">
                  <c:v>-1436221.2387311757</c:v>
                </c:pt>
                <c:pt idx="19">
                  <c:v>-48286.45939064119</c:v>
                </c:pt>
                <c:pt idx="20">
                  <c:v>-5927482.0126855858</c:v>
                </c:pt>
                <c:pt idx="21">
                  <c:v>6893572.6321025584</c:v>
                </c:pt>
                <c:pt idx="22">
                  <c:v>12539703.312647533</c:v>
                </c:pt>
                <c:pt idx="23">
                  <c:v>38946.920888015069</c:v>
                </c:pt>
                <c:pt idx="24">
                  <c:v>1295006.1568596861</c:v>
                </c:pt>
                <c:pt idx="25">
                  <c:v>1960821.5704686332</c:v>
                </c:pt>
                <c:pt idx="26">
                  <c:v>1322241.5673993167</c:v>
                </c:pt>
                <c:pt idx="27">
                  <c:v>11333067.360570807</c:v>
                </c:pt>
                <c:pt idx="28">
                  <c:v>545904.2186867292</c:v>
                </c:pt>
                <c:pt idx="29">
                  <c:v>5287957.3295685416</c:v>
                </c:pt>
                <c:pt idx="30">
                  <c:v>4006576.6479889397</c:v>
                </c:pt>
                <c:pt idx="31">
                  <c:v>1611472.4285284856</c:v>
                </c:pt>
                <c:pt idx="32">
                  <c:v>-14979119.22599842</c:v>
                </c:pt>
                <c:pt idx="33">
                  <c:v>-309397.58812987246</c:v>
                </c:pt>
                <c:pt idx="34">
                  <c:v>-43105.836693433113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12770925.888452454</c:v>
                </c:pt>
                <c:pt idx="1">
                  <c:v>9882483.6213869397</c:v>
                </c:pt>
                <c:pt idx="2">
                  <c:v>260582745.99456805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174114360.93038094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288004160.41339433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81928692.933775842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48393850.591552854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47042773.827006489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40978950.762893915</c:v>
                </c:pt>
                <c:pt idx="33">
                  <c:v>451317.73966573412</c:v>
                </c:pt>
                <c:pt idx="34">
                  <c:v>1465152.9599511609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6020480"/>
        <c:axId val="326038656"/>
      </c:barChart>
      <c:catAx>
        <c:axId val="326020480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326038656"/>
        <c:crosses val="autoZero"/>
        <c:auto val="1"/>
        <c:lblAlgn val="ctr"/>
        <c:lblOffset val="100"/>
        <c:noMultiLvlLbl val="0"/>
      </c:catAx>
      <c:valAx>
        <c:axId val="32603865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6020480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8480376.3267808538</c:v>
                </c:pt>
                <c:pt idx="3">
                  <c:v>1040969.771307015</c:v>
                </c:pt>
                <c:pt idx="4">
                  <c:v>1894424.5623022979</c:v>
                </c:pt>
                <c:pt idx="5">
                  <c:v>1408571.272610724</c:v>
                </c:pt>
                <c:pt idx="6">
                  <c:v>905441.83820203936</c:v>
                </c:pt>
                <c:pt idx="7">
                  <c:v>17388489.344791472</c:v>
                </c:pt>
                <c:pt idx="8">
                  <c:v>1536759.1350152283</c:v>
                </c:pt>
                <c:pt idx="9">
                  <c:v>1949441.9431071293</c:v>
                </c:pt>
                <c:pt idx="10">
                  <c:v>1207183.0231103702</c:v>
                </c:pt>
                <c:pt idx="11">
                  <c:v>4239833.8379042586</c:v>
                </c:pt>
                <c:pt idx="12">
                  <c:v>12942258.794879064</c:v>
                </c:pt>
                <c:pt idx="13">
                  <c:v>2000287.1827235722</c:v>
                </c:pt>
                <c:pt idx="14">
                  <c:v>1202782.988401369</c:v>
                </c:pt>
                <c:pt idx="15">
                  <c:v>0</c:v>
                </c:pt>
                <c:pt idx="16">
                  <c:v>7682028.0626865029</c:v>
                </c:pt>
                <c:pt idx="17">
                  <c:v>19374925.297221657</c:v>
                </c:pt>
                <c:pt idx="18">
                  <c:v>3493969.6822035732</c:v>
                </c:pt>
                <c:pt idx="19">
                  <c:v>15741344.575624967</c:v>
                </c:pt>
                <c:pt idx="20">
                  <c:v>1474279.6207504771</c:v>
                </c:pt>
                <c:pt idx="21">
                  <c:v>3605026.7845949642</c:v>
                </c:pt>
                <c:pt idx="22">
                  <c:v>9638117.2849582918</c:v>
                </c:pt>
                <c:pt idx="23">
                  <c:v>10705697.569044292</c:v>
                </c:pt>
                <c:pt idx="24">
                  <c:v>8592644.319465138</c:v>
                </c:pt>
                <c:pt idx="25">
                  <c:v>8119475.3778036842</c:v>
                </c:pt>
                <c:pt idx="26">
                  <c:v>1526930.5205886352</c:v>
                </c:pt>
                <c:pt idx="27">
                  <c:v>9935543.3484288454</c:v>
                </c:pt>
                <c:pt idx="28">
                  <c:v>3204093.9057652177</c:v>
                </c:pt>
                <c:pt idx="29">
                  <c:v>2937825.1935358914</c:v>
                </c:pt>
                <c:pt idx="30">
                  <c:v>632446.75228427118</c:v>
                </c:pt>
                <c:pt idx="31">
                  <c:v>1070500.769695821</c:v>
                </c:pt>
                <c:pt idx="32">
                  <c:v>3662205.3272007122</c:v>
                </c:pt>
                <c:pt idx="33">
                  <c:v>1632974.8649616626</c:v>
                </c:pt>
                <c:pt idx="34">
                  <c:v>571783.63828546705</c:v>
                </c:pt>
                <c:pt idx="35">
                  <c:v>1201049.0608279472</c:v>
                </c:pt>
                <c:pt idx="36">
                  <c:v>1206622.6287601595</c:v>
                </c:pt>
                <c:pt idx="37">
                  <c:v>4804003.2831088621</c:v>
                </c:pt>
                <c:pt idx="38">
                  <c:v>643308.68176186818</c:v>
                </c:pt>
                <c:pt idx="39">
                  <c:v>2319775.4789292584</c:v>
                </c:pt>
                <c:pt idx="40">
                  <c:v>327290.89100673108</c:v>
                </c:pt>
                <c:pt idx="41">
                  <c:v>857949.29142620089</c:v>
                </c:pt>
                <c:pt idx="42">
                  <c:v>2405506.4681273159</c:v>
                </c:pt>
                <c:pt idx="43">
                  <c:v>653858.22758290695</c:v>
                </c:pt>
                <c:pt idx="44">
                  <c:v>2564665.8084955681</c:v>
                </c:pt>
                <c:pt idx="45">
                  <c:v>272235.64168808999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22950.365722178241</c:v>
                </c:pt>
                <c:pt idx="1">
                  <c:v>-43738.176306094771</c:v>
                </c:pt>
                <c:pt idx="2">
                  <c:v>78482.336171993928</c:v>
                </c:pt>
                <c:pt idx="3">
                  <c:v>19078.545699321934</c:v>
                </c:pt>
                <c:pt idx="4">
                  <c:v>27713.383571651699</c:v>
                </c:pt>
                <c:pt idx="5">
                  <c:v>127874.63892121166</c:v>
                </c:pt>
                <c:pt idx="6">
                  <c:v>-177156.02115783514</c:v>
                </c:pt>
                <c:pt idx="7">
                  <c:v>6266451.8516360838</c:v>
                </c:pt>
                <c:pt idx="8">
                  <c:v>67311.854705879494</c:v>
                </c:pt>
                <c:pt idx="9">
                  <c:v>-65981.853477623576</c:v>
                </c:pt>
                <c:pt idx="10">
                  <c:v>5064.2286985190149</c:v>
                </c:pt>
                <c:pt idx="11">
                  <c:v>-19530.633989373804</c:v>
                </c:pt>
                <c:pt idx="12">
                  <c:v>1537697.2550253952</c:v>
                </c:pt>
                <c:pt idx="13">
                  <c:v>58689.901329989429</c:v>
                </c:pt>
                <c:pt idx="14">
                  <c:v>116375.00492894795</c:v>
                </c:pt>
                <c:pt idx="15">
                  <c:v>217691.19788427625</c:v>
                </c:pt>
                <c:pt idx="16">
                  <c:v>311975.48894543352</c:v>
                </c:pt>
                <c:pt idx="17">
                  <c:v>-1232169.8202959991</c:v>
                </c:pt>
                <c:pt idx="18">
                  <c:v>175375.61719623648</c:v>
                </c:pt>
                <c:pt idx="19">
                  <c:v>84618.513765440424</c:v>
                </c:pt>
                <c:pt idx="20">
                  <c:v>4829.163201174917</c:v>
                </c:pt>
                <c:pt idx="21">
                  <c:v>93257.373793645762</c:v>
                </c:pt>
                <c:pt idx="22">
                  <c:v>146331.02492145239</c:v>
                </c:pt>
                <c:pt idx="23">
                  <c:v>-43903.415778738796</c:v>
                </c:pt>
                <c:pt idx="24">
                  <c:v>41117.634087757033</c:v>
                </c:pt>
                <c:pt idx="25">
                  <c:v>101939.81408009829</c:v>
                </c:pt>
                <c:pt idx="26">
                  <c:v>443603.60483328288</c:v>
                </c:pt>
                <c:pt idx="27">
                  <c:v>307096.58127065899</c:v>
                </c:pt>
                <c:pt idx="28">
                  <c:v>19229.873300608277</c:v>
                </c:pt>
                <c:pt idx="29">
                  <c:v>2167.4828822794952</c:v>
                </c:pt>
                <c:pt idx="30">
                  <c:v>-264959.4814367987</c:v>
                </c:pt>
                <c:pt idx="31">
                  <c:v>14607.625069640009</c:v>
                </c:pt>
                <c:pt idx="32">
                  <c:v>143342.03816396953</c:v>
                </c:pt>
                <c:pt idx="33">
                  <c:v>109268.68703152015</c:v>
                </c:pt>
                <c:pt idx="34">
                  <c:v>-251967.28518897636</c:v>
                </c:pt>
                <c:pt idx="35">
                  <c:v>-50456.233259405737</c:v>
                </c:pt>
                <c:pt idx="36">
                  <c:v>82136.973781584078</c:v>
                </c:pt>
                <c:pt idx="37">
                  <c:v>-240587.650762807</c:v>
                </c:pt>
                <c:pt idx="38">
                  <c:v>25669.387989591007</c:v>
                </c:pt>
                <c:pt idx="39">
                  <c:v>-460108.87467791321</c:v>
                </c:pt>
                <c:pt idx="40">
                  <c:v>-53000.245262576485</c:v>
                </c:pt>
                <c:pt idx="41">
                  <c:v>36189.29650341961</c:v>
                </c:pt>
                <c:pt idx="42">
                  <c:v>-131056.71285518742</c:v>
                </c:pt>
                <c:pt idx="43">
                  <c:v>-136017.72338784445</c:v>
                </c:pt>
                <c:pt idx="44">
                  <c:v>-26666.176816063435</c:v>
                </c:pt>
                <c:pt idx="45">
                  <c:v>-2053.0594350154497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6915200"/>
        <c:axId val="326916736"/>
      </c:barChart>
      <c:catAx>
        <c:axId val="326915200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326916736"/>
        <c:crosses val="autoZero"/>
        <c:auto val="1"/>
        <c:lblAlgn val="ctr"/>
        <c:lblOffset val="100"/>
        <c:noMultiLvlLbl val="0"/>
      </c:catAx>
      <c:valAx>
        <c:axId val="32691673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6915200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249933.42026424647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55801.721920188604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56021.47800374643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164534.70477688039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336226.67866162403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135525.9369376346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170865.4399987486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44166.087973289614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105468.84611098892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73779.454154979758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-9054.0053408345993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-408643.33329512668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360684.38991485356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728579.87679474521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787435.22181304032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716607.51981288614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-80897.332318710862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6770.4006032833713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-183358.42488450184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140978.6165199402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-193420.90660584613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-167588.11201537825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6955392"/>
        <c:axId val="326956928"/>
      </c:barChart>
      <c:catAx>
        <c:axId val="326955392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326956928"/>
        <c:crosses val="autoZero"/>
        <c:auto val="1"/>
        <c:lblAlgn val="ctr"/>
        <c:lblOffset val="100"/>
        <c:noMultiLvlLbl val="0"/>
      </c:catAx>
      <c:valAx>
        <c:axId val="326956928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6955392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874</c:v>
                </c:pt>
                <c:pt idx="1">
                  <c:v>1862</c:v>
                </c:pt>
                <c:pt idx="2">
                  <c:v>8313</c:v>
                </c:pt>
                <c:pt idx="3">
                  <c:v>3106</c:v>
                </c:pt>
                <c:pt idx="4">
                  <c:v>5195</c:v>
                </c:pt>
                <c:pt idx="5">
                  <c:v>9467</c:v>
                </c:pt>
                <c:pt idx="6">
                  <c:v>13047</c:v>
                </c:pt>
                <c:pt idx="7">
                  <c:v>49977</c:v>
                </c:pt>
                <c:pt idx="8">
                  <c:v>26951</c:v>
                </c:pt>
                <c:pt idx="9">
                  <c:v>40302</c:v>
                </c:pt>
                <c:pt idx="10">
                  <c:v>78093</c:v>
                </c:pt>
                <c:pt idx="11">
                  <c:v>120709</c:v>
                </c:pt>
                <c:pt idx="12">
                  <c:v>288497</c:v>
                </c:pt>
                <c:pt idx="13">
                  <c:v>207200</c:v>
                </c:pt>
                <c:pt idx="14">
                  <c:v>245921</c:v>
                </c:pt>
                <c:pt idx="15">
                  <c:v>153713</c:v>
                </c:pt>
                <c:pt idx="16">
                  <c:v>18557</c:v>
                </c:pt>
                <c:pt idx="17">
                  <c:v>-103951</c:v>
                </c:pt>
                <c:pt idx="18">
                  <c:v>-196753</c:v>
                </c:pt>
                <c:pt idx="19">
                  <c:v>-180081</c:v>
                </c:pt>
                <c:pt idx="20">
                  <c:v>-127341</c:v>
                </c:pt>
                <c:pt idx="21">
                  <c:v>-94522</c:v>
                </c:pt>
                <c:pt idx="22">
                  <c:v>-216503</c:v>
                </c:pt>
                <c:pt idx="23">
                  <c:v>-57302</c:v>
                </c:pt>
                <c:pt idx="24">
                  <c:v>-64925</c:v>
                </c:pt>
                <c:pt idx="25">
                  <c:v>-46800</c:v>
                </c:pt>
                <c:pt idx="26">
                  <c:v>-23374</c:v>
                </c:pt>
                <c:pt idx="27">
                  <c:v>-65319</c:v>
                </c:pt>
                <c:pt idx="28">
                  <c:v>-22662</c:v>
                </c:pt>
                <c:pt idx="29">
                  <c:v>-30501</c:v>
                </c:pt>
                <c:pt idx="30">
                  <c:v>-17062</c:v>
                </c:pt>
                <c:pt idx="31">
                  <c:v>-21714</c:v>
                </c:pt>
                <c:pt idx="32">
                  <c:v>-37456</c:v>
                </c:pt>
                <c:pt idx="33">
                  <c:v>-11765</c:v>
                </c:pt>
                <c:pt idx="34">
                  <c:v>-8275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1279</c:v>
                </c:pt>
                <c:pt idx="1">
                  <c:v>1196</c:v>
                </c:pt>
                <c:pt idx="2">
                  <c:v>9264</c:v>
                </c:pt>
                <c:pt idx="3">
                  <c:v>2799</c:v>
                </c:pt>
                <c:pt idx="4">
                  <c:v>2570</c:v>
                </c:pt>
                <c:pt idx="5">
                  <c:v>1235</c:v>
                </c:pt>
                <c:pt idx="6">
                  <c:v>960</c:v>
                </c:pt>
                <c:pt idx="7">
                  <c:v>13227</c:v>
                </c:pt>
                <c:pt idx="8">
                  <c:v>2737</c:v>
                </c:pt>
                <c:pt idx="9">
                  <c:v>2029</c:v>
                </c:pt>
                <c:pt idx="10">
                  <c:v>2510</c:v>
                </c:pt>
                <c:pt idx="11">
                  <c:v>2054</c:v>
                </c:pt>
                <c:pt idx="12">
                  <c:v>17583</c:v>
                </c:pt>
                <c:pt idx="13">
                  <c:v>2185</c:v>
                </c:pt>
                <c:pt idx="14">
                  <c:v>1997</c:v>
                </c:pt>
                <c:pt idx="15">
                  <c:v>342</c:v>
                </c:pt>
                <c:pt idx="16">
                  <c:v>-668</c:v>
                </c:pt>
                <c:pt idx="17">
                  <c:v>-622</c:v>
                </c:pt>
                <c:pt idx="18">
                  <c:v>-3294</c:v>
                </c:pt>
                <c:pt idx="19">
                  <c:v>-1671</c:v>
                </c:pt>
                <c:pt idx="20">
                  <c:v>-5757</c:v>
                </c:pt>
                <c:pt idx="21">
                  <c:v>-2134</c:v>
                </c:pt>
                <c:pt idx="22">
                  <c:v>-35463</c:v>
                </c:pt>
                <c:pt idx="23">
                  <c:v>-1648</c:v>
                </c:pt>
                <c:pt idx="24">
                  <c:v>-883</c:v>
                </c:pt>
                <c:pt idx="25">
                  <c:v>-3768</c:v>
                </c:pt>
                <c:pt idx="26">
                  <c:v>-1533</c:v>
                </c:pt>
                <c:pt idx="27">
                  <c:v>-18602</c:v>
                </c:pt>
                <c:pt idx="28">
                  <c:v>-2518</c:v>
                </c:pt>
                <c:pt idx="29">
                  <c:v>-1021</c:v>
                </c:pt>
                <c:pt idx="30">
                  <c:v>-4018</c:v>
                </c:pt>
                <c:pt idx="31">
                  <c:v>-2443</c:v>
                </c:pt>
                <c:pt idx="32">
                  <c:v>-30140</c:v>
                </c:pt>
                <c:pt idx="33">
                  <c:v>-4004</c:v>
                </c:pt>
                <c:pt idx="34">
                  <c:v>-1860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716</c:v>
                </c:pt>
                <c:pt idx="1">
                  <c:v>665</c:v>
                </c:pt>
                <c:pt idx="2">
                  <c:v>15582</c:v>
                </c:pt>
                <c:pt idx="3">
                  <c:v>779</c:v>
                </c:pt>
                <c:pt idx="4">
                  <c:v>644</c:v>
                </c:pt>
                <c:pt idx="5">
                  <c:v>1262</c:v>
                </c:pt>
                <c:pt idx="6">
                  <c:v>1652</c:v>
                </c:pt>
                <c:pt idx="7">
                  <c:v>14442</c:v>
                </c:pt>
                <c:pt idx="8">
                  <c:v>1770</c:v>
                </c:pt>
                <c:pt idx="9">
                  <c:v>1704</c:v>
                </c:pt>
                <c:pt idx="10">
                  <c:v>1980</c:v>
                </c:pt>
                <c:pt idx="11">
                  <c:v>648</c:v>
                </c:pt>
                <c:pt idx="12">
                  <c:v>5617</c:v>
                </c:pt>
                <c:pt idx="13">
                  <c:v>495</c:v>
                </c:pt>
                <c:pt idx="14">
                  <c:v>1807</c:v>
                </c:pt>
                <c:pt idx="15">
                  <c:v>141</c:v>
                </c:pt>
                <c:pt idx="16">
                  <c:v>179</c:v>
                </c:pt>
                <c:pt idx="17">
                  <c:v>3019</c:v>
                </c:pt>
                <c:pt idx="18">
                  <c:v>60</c:v>
                </c:pt>
                <c:pt idx="19">
                  <c:v>296</c:v>
                </c:pt>
                <c:pt idx="20">
                  <c:v>374</c:v>
                </c:pt>
                <c:pt idx="21">
                  <c:v>561</c:v>
                </c:pt>
                <c:pt idx="22">
                  <c:v>-23380</c:v>
                </c:pt>
                <c:pt idx="23">
                  <c:v>-887</c:v>
                </c:pt>
                <c:pt idx="24">
                  <c:v>-630</c:v>
                </c:pt>
                <c:pt idx="25">
                  <c:v>-344</c:v>
                </c:pt>
                <c:pt idx="26">
                  <c:v>-659</c:v>
                </c:pt>
                <c:pt idx="27">
                  <c:v>-19085</c:v>
                </c:pt>
                <c:pt idx="28">
                  <c:v>-749</c:v>
                </c:pt>
                <c:pt idx="29">
                  <c:v>157</c:v>
                </c:pt>
                <c:pt idx="30">
                  <c:v>-2354</c:v>
                </c:pt>
                <c:pt idx="31">
                  <c:v>-1352</c:v>
                </c:pt>
                <c:pt idx="32">
                  <c:v>-25228</c:v>
                </c:pt>
                <c:pt idx="33">
                  <c:v>-577</c:v>
                </c:pt>
                <c:pt idx="34">
                  <c:v>-732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7071616"/>
        <c:axId val="327073152"/>
      </c:barChart>
      <c:catAx>
        <c:axId val="32707161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7073152"/>
        <c:crosses val="autoZero"/>
        <c:auto val="1"/>
        <c:lblAlgn val="ctr"/>
        <c:lblOffset val="100"/>
        <c:noMultiLvlLbl val="0"/>
      </c:catAx>
      <c:valAx>
        <c:axId val="32707315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7071616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1345</c:v>
                </c:pt>
                <c:pt idx="1">
                  <c:v>4858</c:v>
                </c:pt>
                <c:pt idx="2">
                  <c:v>6756</c:v>
                </c:pt>
                <c:pt idx="3">
                  <c:v>4035</c:v>
                </c:pt>
                <c:pt idx="4">
                  <c:v>4308</c:v>
                </c:pt>
                <c:pt idx="5">
                  <c:v>4604</c:v>
                </c:pt>
                <c:pt idx="6">
                  <c:v>7645</c:v>
                </c:pt>
                <c:pt idx="7">
                  <c:v>25638</c:v>
                </c:pt>
                <c:pt idx="8">
                  <c:v>19807</c:v>
                </c:pt>
                <c:pt idx="9">
                  <c:v>25517</c:v>
                </c:pt>
                <c:pt idx="10">
                  <c:v>74814</c:v>
                </c:pt>
                <c:pt idx="11">
                  <c:v>196916</c:v>
                </c:pt>
                <c:pt idx="12">
                  <c:v>175062</c:v>
                </c:pt>
                <c:pt idx="13">
                  <c:v>6212</c:v>
                </c:pt>
                <c:pt idx="14">
                  <c:v>-50384</c:v>
                </c:pt>
                <c:pt idx="15">
                  <c:v>-25767</c:v>
                </c:pt>
                <c:pt idx="16">
                  <c:v>-54988</c:v>
                </c:pt>
                <c:pt idx="17">
                  <c:v>-69394</c:v>
                </c:pt>
                <c:pt idx="18">
                  <c:v>-42374</c:v>
                </c:pt>
                <c:pt idx="19">
                  <c:v>-32783</c:v>
                </c:pt>
                <c:pt idx="20">
                  <c:v>-27175</c:v>
                </c:pt>
                <c:pt idx="21">
                  <c:v>-19486</c:v>
                </c:pt>
                <c:pt idx="22">
                  <c:v>-49321</c:v>
                </c:pt>
                <c:pt idx="23">
                  <c:v>-12733</c:v>
                </c:pt>
                <c:pt idx="24">
                  <c:v>-12123</c:v>
                </c:pt>
                <c:pt idx="25">
                  <c:v>-7131</c:v>
                </c:pt>
                <c:pt idx="26">
                  <c:v>-11893</c:v>
                </c:pt>
                <c:pt idx="27">
                  <c:v>-9949</c:v>
                </c:pt>
                <c:pt idx="28">
                  <c:v>-5870</c:v>
                </c:pt>
                <c:pt idx="29">
                  <c:v>-4908</c:v>
                </c:pt>
                <c:pt idx="30">
                  <c:v>-3539</c:v>
                </c:pt>
                <c:pt idx="31">
                  <c:v>-3545</c:v>
                </c:pt>
                <c:pt idx="32">
                  <c:v>-6528</c:v>
                </c:pt>
                <c:pt idx="33">
                  <c:v>-2103</c:v>
                </c:pt>
                <c:pt idx="34">
                  <c:v>-1177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300</c:v>
                </c:pt>
                <c:pt idx="1">
                  <c:v>1281</c:v>
                </c:pt>
                <c:pt idx="2">
                  <c:v>9093</c:v>
                </c:pt>
                <c:pt idx="3">
                  <c:v>1067</c:v>
                </c:pt>
                <c:pt idx="4">
                  <c:v>647</c:v>
                </c:pt>
                <c:pt idx="5">
                  <c:v>548</c:v>
                </c:pt>
                <c:pt idx="6">
                  <c:v>236</c:v>
                </c:pt>
                <c:pt idx="7">
                  <c:v>2568</c:v>
                </c:pt>
                <c:pt idx="8">
                  <c:v>857</c:v>
                </c:pt>
                <c:pt idx="9">
                  <c:v>672</c:v>
                </c:pt>
                <c:pt idx="10">
                  <c:v>864</c:v>
                </c:pt>
                <c:pt idx="11">
                  <c:v>555</c:v>
                </c:pt>
                <c:pt idx="12">
                  <c:v>2937</c:v>
                </c:pt>
                <c:pt idx="13">
                  <c:v>-2103</c:v>
                </c:pt>
                <c:pt idx="14">
                  <c:v>-2893</c:v>
                </c:pt>
                <c:pt idx="15">
                  <c:v>-135</c:v>
                </c:pt>
                <c:pt idx="16">
                  <c:v>254</c:v>
                </c:pt>
                <c:pt idx="17">
                  <c:v>-15217</c:v>
                </c:pt>
                <c:pt idx="18">
                  <c:v>-448</c:v>
                </c:pt>
                <c:pt idx="19">
                  <c:v>-221</c:v>
                </c:pt>
                <c:pt idx="20">
                  <c:v>-716</c:v>
                </c:pt>
                <c:pt idx="21">
                  <c:v>-278</c:v>
                </c:pt>
                <c:pt idx="22">
                  <c:v>-9530</c:v>
                </c:pt>
                <c:pt idx="23">
                  <c:v>-1404</c:v>
                </c:pt>
                <c:pt idx="24">
                  <c:v>-292</c:v>
                </c:pt>
                <c:pt idx="25">
                  <c:v>5</c:v>
                </c:pt>
                <c:pt idx="26">
                  <c:v>-232</c:v>
                </c:pt>
                <c:pt idx="27">
                  <c:v>-8957</c:v>
                </c:pt>
                <c:pt idx="28">
                  <c:v>-519</c:v>
                </c:pt>
                <c:pt idx="29">
                  <c:v>-656</c:v>
                </c:pt>
                <c:pt idx="30">
                  <c:v>790</c:v>
                </c:pt>
                <c:pt idx="31">
                  <c:v>-266</c:v>
                </c:pt>
                <c:pt idx="32">
                  <c:v>-6347</c:v>
                </c:pt>
                <c:pt idx="33">
                  <c:v>-675</c:v>
                </c:pt>
                <c:pt idx="34">
                  <c:v>-301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567</c:v>
                </c:pt>
                <c:pt idx="1">
                  <c:v>561</c:v>
                </c:pt>
                <c:pt idx="2">
                  <c:v>14911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6366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9558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-3618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-14236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-1772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-5804</c:v>
                </c:pt>
                <c:pt idx="33">
                  <c:v>-429</c:v>
                </c:pt>
                <c:pt idx="34">
                  <c:v>-408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7121536"/>
        <c:axId val="327131520"/>
      </c:barChart>
      <c:catAx>
        <c:axId val="32712153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7131520"/>
        <c:crosses val="autoZero"/>
        <c:auto val="1"/>
        <c:lblAlgn val="ctr"/>
        <c:lblOffset val="100"/>
        <c:noMultiLvlLbl val="0"/>
      </c:catAx>
      <c:valAx>
        <c:axId val="32713152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7121536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1218</c:v>
                </c:pt>
                <c:pt idx="1">
                  <c:v>2707</c:v>
                </c:pt>
                <c:pt idx="2">
                  <c:v>4695</c:v>
                </c:pt>
                <c:pt idx="3">
                  <c:v>8030</c:v>
                </c:pt>
                <c:pt idx="4">
                  <c:v>8476</c:v>
                </c:pt>
                <c:pt idx="5">
                  <c:v>3884</c:v>
                </c:pt>
                <c:pt idx="6">
                  <c:v>5736</c:v>
                </c:pt>
                <c:pt idx="7">
                  <c:v>15209</c:v>
                </c:pt>
                <c:pt idx="8">
                  <c:v>7160</c:v>
                </c:pt>
                <c:pt idx="9">
                  <c:v>6340</c:v>
                </c:pt>
                <c:pt idx="10">
                  <c:v>10492</c:v>
                </c:pt>
                <c:pt idx="11">
                  <c:v>14238</c:v>
                </c:pt>
                <c:pt idx="12">
                  <c:v>33907</c:v>
                </c:pt>
                <c:pt idx="13">
                  <c:v>25558</c:v>
                </c:pt>
                <c:pt idx="14">
                  <c:v>40225</c:v>
                </c:pt>
                <c:pt idx="15">
                  <c:v>56958</c:v>
                </c:pt>
                <c:pt idx="16">
                  <c:v>79996</c:v>
                </c:pt>
                <c:pt idx="17">
                  <c:v>131689</c:v>
                </c:pt>
                <c:pt idx="18">
                  <c:v>29268</c:v>
                </c:pt>
                <c:pt idx="19">
                  <c:v>-31909</c:v>
                </c:pt>
                <c:pt idx="20">
                  <c:v>-53613</c:v>
                </c:pt>
                <c:pt idx="21">
                  <c:v>-30361</c:v>
                </c:pt>
                <c:pt idx="22">
                  <c:v>-36731</c:v>
                </c:pt>
                <c:pt idx="23">
                  <c:v>-28081</c:v>
                </c:pt>
                <c:pt idx="24">
                  <c:v>-24753</c:v>
                </c:pt>
                <c:pt idx="25">
                  <c:v>-19237</c:v>
                </c:pt>
                <c:pt idx="26">
                  <c:v>-14848</c:v>
                </c:pt>
                <c:pt idx="27">
                  <c:v>-30882</c:v>
                </c:pt>
                <c:pt idx="28">
                  <c:v>-14151</c:v>
                </c:pt>
                <c:pt idx="29">
                  <c:v>-11156</c:v>
                </c:pt>
                <c:pt idx="30">
                  <c:v>-9907</c:v>
                </c:pt>
                <c:pt idx="31">
                  <c:v>-9895</c:v>
                </c:pt>
                <c:pt idx="32">
                  <c:v>-17401</c:v>
                </c:pt>
                <c:pt idx="33">
                  <c:v>-7898</c:v>
                </c:pt>
                <c:pt idx="34">
                  <c:v>-5199</c:v>
                </c:pt>
                <c:pt idx="35">
                  <c:v>-3397</c:v>
                </c:pt>
                <c:pt idx="36">
                  <c:v>-10554</c:v>
                </c:pt>
                <c:pt idx="37">
                  <c:v>-14792</c:v>
                </c:pt>
                <c:pt idx="38">
                  <c:v>-3171</c:v>
                </c:pt>
                <c:pt idx="39">
                  <c:v>-3051</c:v>
                </c:pt>
                <c:pt idx="40">
                  <c:v>-2761</c:v>
                </c:pt>
                <c:pt idx="41">
                  <c:v>-2074</c:v>
                </c:pt>
                <c:pt idx="42">
                  <c:v>-3347</c:v>
                </c:pt>
                <c:pt idx="43">
                  <c:v>-2123</c:v>
                </c:pt>
                <c:pt idx="44">
                  <c:v>-4550</c:v>
                </c:pt>
                <c:pt idx="45">
                  <c:v>-3115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301</c:v>
                </c:pt>
                <c:pt idx="1">
                  <c:v>201</c:v>
                </c:pt>
                <c:pt idx="2">
                  <c:v>8087</c:v>
                </c:pt>
                <c:pt idx="3">
                  <c:v>390</c:v>
                </c:pt>
                <c:pt idx="4">
                  <c:v>331</c:v>
                </c:pt>
                <c:pt idx="5">
                  <c:v>341</c:v>
                </c:pt>
                <c:pt idx="6">
                  <c:v>447</c:v>
                </c:pt>
                <c:pt idx="7">
                  <c:v>4066</c:v>
                </c:pt>
                <c:pt idx="8">
                  <c:v>722</c:v>
                </c:pt>
                <c:pt idx="9">
                  <c:v>954</c:v>
                </c:pt>
                <c:pt idx="10">
                  <c:v>1097</c:v>
                </c:pt>
                <c:pt idx="11">
                  <c:v>1566</c:v>
                </c:pt>
                <c:pt idx="12">
                  <c:v>2561</c:v>
                </c:pt>
                <c:pt idx="13">
                  <c:v>1045</c:v>
                </c:pt>
                <c:pt idx="14">
                  <c:v>416</c:v>
                </c:pt>
                <c:pt idx="15">
                  <c:v>0</c:v>
                </c:pt>
                <c:pt idx="16">
                  <c:v>581</c:v>
                </c:pt>
                <c:pt idx="17">
                  <c:v>1122</c:v>
                </c:pt>
                <c:pt idx="18">
                  <c:v>742</c:v>
                </c:pt>
                <c:pt idx="19">
                  <c:v>73</c:v>
                </c:pt>
                <c:pt idx="20">
                  <c:v>-5</c:v>
                </c:pt>
                <c:pt idx="21">
                  <c:v>-122</c:v>
                </c:pt>
                <c:pt idx="22">
                  <c:v>111</c:v>
                </c:pt>
                <c:pt idx="23">
                  <c:v>1110</c:v>
                </c:pt>
                <c:pt idx="24">
                  <c:v>-261</c:v>
                </c:pt>
                <c:pt idx="25">
                  <c:v>-225</c:v>
                </c:pt>
                <c:pt idx="26">
                  <c:v>-146</c:v>
                </c:pt>
                <c:pt idx="27">
                  <c:v>-1287</c:v>
                </c:pt>
                <c:pt idx="28">
                  <c:v>-440</c:v>
                </c:pt>
                <c:pt idx="29">
                  <c:v>-542</c:v>
                </c:pt>
                <c:pt idx="30">
                  <c:v>-397</c:v>
                </c:pt>
                <c:pt idx="31">
                  <c:v>-196</c:v>
                </c:pt>
                <c:pt idx="32">
                  <c:v>-1787</c:v>
                </c:pt>
                <c:pt idx="33">
                  <c:v>-806</c:v>
                </c:pt>
                <c:pt idx="34">
                  <c:v>-165</c:v>
                </c:pt>
                <c:pt idx="35">
                  <c:v>-244</c:v>
                </c:pt>
                <c:pt idx="36">
                  <c:v>-113</c:v>
                </c:pt>
                <c:pt idx="37">
                  <c:v>-3613</c:v>
                </c:pt>
                <c:pt idx="38">
                  <c:v>-371</c:v>
                </c:pt>
                <c:pt idx="39">
                  <c:v>-190</c:v>
                </c:pt>
                <c:pt idx="40">
                  <c:v>-174</c:v>
                </c:pt>
                <c:pt idx="41">
                  <c:v>-205</c:v>
                </c:pt>
                <c:pt idx="42">
                  <c:v>-3088</c:v>
                </c:pt>
                <c:pt idx="43">
                  <c:v>-240</c:v>
                </c:pt>
                <c:pt idx="44">
                  <c:v>-190</c:v>
                </c:pt>
                <c:pt idx="45">
                  <c:v>-194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185</c:v>
                </c:pt>
                <c:pt idx="1">
                  <c:v>830</c:v>
                </c:pt>
                <c:pt idx="2">
                  <c:v>1030</c:v>
                </c:pt>
                <c:pt idx="3">
                  <c:v>193</c:v>
                </c:pt>
                <c:pt idx="4">
                  <c:v>113</c:v>
                </c:pt>
                <c:pt idx="5">
                  <c:v>214</c:v>
                </c:pt>
                <c:pt idx="6">
                  <c:v>89</c:v>
                </c:pt>
                <c:pt idx="7">
                  <c:v>999</c:v>
                </c:pt>
                <c:pt idx="8">
                  <c:v>533</c:v>
                </c:pt>
                <c:pt idx="9">
                  <c:v>63</c:v>
                </c:pt>
                <c:pt idx="10">
                  <c:v>213</c:v>
                </c:pt>
                <c:pt idx="11">
                  <c:v>152</c:v>
                </c:pt>
                <c:pt idx="12">
                  <c:v>580</c:v>
                </c:pt>
                <c:pt idx="13">
                  <c:v>181</c:v>
                </c:pt>
                <c:pt idx="14">
                  <c:v>153</c:v>
                </c:pt>
                <c:pt idx="15">
                  <c:v>135</c:v>
                </c:pt>
                <c:pt idx="16">
                  <c:v>-180</c:v>
                </c:pt>
                <c:pt idx="17">
                  <c:v>601</c:v>
                </c:pt>
                <c:pt idx="18">
                  <c:v>-32</c:v>
                </c:pt>
                <c:pt idx="19">
                  <c:v>-922</c:v>
                </c:pt>
                <c:pt idx="20">
                  <c:v>7</c:v>
                </c:pt>
                <c:pt idx="21">
                  <c:v>-33</c:v>
                </c:pt>
                <c:pt idx="22">
                  <c:v>-370</c:v>
                </c:pt>
                <c:pt idx="23">
                  <c:v>-224</c:v>
                </c:pt>
                <c:pt idx="24">
                  <c:v>-1813</c:v>
                </c:pt>
                <c:pt idx="25">
                  <c:v>-81</c:v>
                </c:pt>
                <c:pt idx="26">
                  <c:v>4</c:v>
                </c:pt>
                <c:pt idx="27">
                  <c:v>-44</c:v>
                </c:pt>
                <c:pt idx="28">
                  <c:v>-212</c:v>
                </c:pt>
                <c:pt idx="29">
                  <c:v>-81</c:v>
                </c:pt>
                <c:pt idx="30">
                  <c:v>-939</c:v>
                </c:pt>
                <c:pt idx="31">
                  <c:v>-76</c:v>
                </c:pt>
                <c:pt idx="32">
                  <c:v>-183</c:v>
                </c:pt>
                <c:pt idx="33">
                  <c:v>-46</c:v>
                </c:pt>
                <c:pt idx="34">
                  <c:v>-257</c:v>
                </c:pt>
                <c:pt idx="35">
                  <c:v>-67</c:v>
                </c:pt>
                <c:pt idx="36">
                  <c:v>-7</c:v>
                </c:pt>
                <c:pt idx="37">
                  <c:v>-1529</c:v>
                </c:pt>
                <c:pt idx="38">
                  <c:v>-28</c:v>
                </c:pt>
                <c:pt idx="39">
                  <c:v>-526</c:v>
                </c:pt>
                <c:pt idx="40">
                  <c:v>-126</c:v>
                </c:pt>
                <c:pt idx="41">
                  <c:v>-116</c:v>
                </c:pt>
                <c:pt idx="42">
                  <c:v>-424</c:v>
                </c:pt>
                <c:pt idx="43">
                  <c:v>-73</c:v>
                </c:pt>
                <c:pt idx="44">
                  <c:v>-19</c:v>
                </c:pt>
                <c:pt idx="45">
                  <c:v>-94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7172096"/>
        <c:axId val="327173632"/>
      </c:barChart>
      <c:catAx>
        <c:axId val="32717209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7173632"/>
        <c:crosses val="autoZero"/>
        <c:auto val="1"/>
        <c:lblAlgn val="ctr"/>
        <c:lblOffset val="100"/>
        <c:noMultiLvlLbl val="0"/>
      </c:catAx>
      <c:valAx>
        <c:axId val="32717363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717209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545</c:v>
                </c:pt>
                <c:pt idx="3">
                  <c:v>69</c:v>
                </c:pt>
                <c:pt idx="4">
                  <c:v>46</c:v>
                </c:pt>
                <c:pt idx="5">
                  <c:v>102</c:v>
                </c:pt>
                <c:pt idx="6">
                  <c:v>153</c:v>
                </c:pt>
                <c:pt idx="7">
                  <c:v>1104</c:v>
                </c:pt>
                <c:pt idx="8">
                  <c:v>192</c:v>
                </c:pt>
                <c:pt idx="9">
                  <c:v>204</c:v>
                </c:pt>
                <c:pt idx="10">
                  <c:v>236</c:v>
                </c:pt>
                <c:pt idx="11">
                  <c:v>345</c:v>
                </c:pt>
                <c:pt idx="12">
                  <c:v>1902</c:v>
                </c:pt>
                <c:pt idx="13">
                  <c:v>326</c:v>
                </c:pt>
                <c:pt idx="14">
                  <c:v>625</c:v>
                </c:pt>
                <c:pt idx="15">
                  <c:v>251</c:v>
                </c:pt>
                <c:pt idx="16">
                  <c:v>110</c:v>
                </c:pt>
                <c:pt idx="17">
                  <c:v>-3</c:v>
                </c:pt>
                <c:pt idx="18">
                  <c:v>-154</c:v>
                </c:pt>
                <c:pt idx="19">
                  <c:v>-170</c:v>
                </c:pt>
                <c:pt idx="20">
                  <c:v>-441</c:v>
                </c:pt>
                <c:pt idx="21">
                  <c:v>-88</c:v>
                </c:pt>
                <c:pt idx="22">
                  <c:v>-804</c:v>
                </c:pt>
                <c:pt idx="23">
                  <c:v>-74</c:v>
                </c:pt>
                <c:pt idx="24">
                  <c:v>-65</c:v>
                </c:pt>
                <c:pt idx="25">
                  <c:v>-105</c:v>
                </c:pt>
                <c:pt idx="26">
                  <c:v>-100</c:v>
                </c:pt>
                <c:pt idx="27">
                  <c:v>-404</c:v>
                </c:pt>
                <c:pt idx="28">
                  <c:v>-166</c:v>
                </c:pt>
                <c:pt idx="29">
                  <c:v>-60</c:v>
                </c:pt>
                <c:pt idx="30">
                  <c:v>-259</c:v>
                </c:pt>
                <c:pt idx="31">
                  <c:v>-40</c:v>
                </c:pt>
                <c:pt idx="32">
                  <c:v>-659</c:v>
                </c:pt>
                <c:pt idx="33">
                  <c:v>-91</c:v>
                </c:pt>
                <c:pt idx="34">
                  <c:v>-47</c:v>
                </c:pt>
                <c:pt idx="35">
                  <c:v>-56</c:v>
                </c:pt>
                <c:pt idx="36">
                  <c:v>-49</c:v>
                </c:pt>
                <c:pt idx="37">
                  <c:v>-295</c:v>
                </c:pt>
                <c:pt idx="38">
                  <c:v>-95</c:v>
                </c:pt>
                <c:pt idx="39">
                  <c:v>-46</c:v>
                </c:pt>
                <c:pt idx="40">
                  <c:v>-85</c:v>
                </c:pt>
                <c:pt idx="41">
                  <c:v>-65</c:v>
                </c:pt>
                <c:pt idx="42">
                  <c:v>-136</c:v>
                </c:pt>
                <c:pt idx="43">
                  <c:v>-20</c:v>
                </c:pt>
                <c:pt idx="44">
                  <c:v>-79</c:v>
                </c:pt>
                <c:pt idx="45">
                  <c:v>-25</c:v>
                </c:pt>
                <c:pt idx="46">
                  <c:v>-57</c:v>
                </c:pt>
                <c:pt idx="47">
                  <c:v>-254</c:v>
                </c:pt>
                <c:pt idx="48">
                  <c:v>-4</c:v>
                </c:pt>
                <c:pt idx="49">
                  <c:v>-19</c:v>
                </c:pt>
                <c:pt idx="50">
                  <c:v>-4</c:v>
                </c:pt>
                <c:pt idx="51">
                  <c:v>-31</c:v>
                </c:pt>
                <c:pt idx="52">
                  <c:v>-555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-12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-18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-27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-34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-9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7203840"/>
        <c:axId val="327205632"/>
      </c:barChart>
      <c:catAx>
        <c:axId val="32720384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7205632"/>
        <c:crosses val="autoZero"/>
        <c:auto val="1"/>
        <c:lblAlgn val="ctr"/>
        <c:lblOffset val="100"/>
        <c:noMultiLvlLbl val="0"/>
      </c:catAx>
      <c:valAx>
        <c:axId val="32720563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720384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-1235</c:v>
                </c:pt>
                <c:pt idx="3">
                  <c:v>0</c:v>
                </c:pt>
                <c:pt idx="4">
                  <c:v>-190</c:v>
                </c:pt>
                <c:pt idx="5">
                  <c:v>0</c:v>
                </c:pt>
                <c:pt idx="6">
                  <c:v>0</c:v>
                </c:pt>
                <c:pt idx="7">
                  <c:v>7025</c:v>
                </c:pt>
                <c:pt idx="8">
                  <c:v>5820</c:v>
                </c:pt>
                <c:pt idx="9">
                  <c:v>3732</c:v>
                </c:pt>
                <c:pt idx="10">
                  <c:v>1347</c:v>
                </c:pt>
                <c:pt idx="11">
                  <c:v>5341</c:v>
                </c:pt>
                <c:pt idx="12">
                  <c:v>-35010.999999999993</c:v>
                </c:pt>
                <c:pt idx="13">
                  <c:v>-43458</c:v>
                </c:pt>
                <c:pt idx="14">
                  <c:v>-112</c:v>
                </c:pt>
                <c:pt idx="15">
                  <c:v>207444</c:v>
                </c:pt>
                <c:pt idx="16">
                  <c:v>497426.99999999994</c:v>
                </c:pt>
                <c:pt idx="17">
                  <c:v>1391635</c:v>
                </c:pt>
                <c:pt idx="18">
                  <c:v>487899</c:v>
                </c:pt>
                <c:pt idx="19">
                  <c:v>605372</c:v>
                </c:pt>
                <c:pt idx="20">
                  <c:v>669506</c:v>
                </c:pt>
                <c:pt idx="21">
                  <c:v>495531.00000000006</c:v>
                </c:pt>
                <c:pt idx="22">
                  <c:v>1176413</c:v>
                </c:pt>
                <c:pt idx="23">
                  <c:v>714794</c:v>
                </c:pt>
                <c:pt idx="24">
                  <c:v>587500</c:v>
                </c:pt>
                <c:pt idx="25">
                  <c:v>232700</c:v>
                </c:pt>
                <c:pt idx="26">
                  <c:v>342639</c:v>
                </c:pt>
                <c:pt idx="27">
                  <c:v>576000</c:v>
                </c:pt>
                <c:pt idx="28">
                  <c:v>235700</c:v>
                </c:pt>
                <c:pt idx="29">
                  <c:v>217300</c:v>
                </c:pt>
                <c:pt idx="30">
                  <c:v>375200</c:v>
                </c:pt>
                <c:pt idx="31">
                  <c:v>529100</c:v>
                </c:pt>
                <c:pt idx="32">
                  <c:v>823500</c:v>
                </c:pt>
                <c:pt idx="33">
                  <c:v>249700</c:v>
                </c:pt>
                <c:pt idx="34">
                  <c:v>196100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8276</c:v>
                </c:pt>
                <c:pt idx="1">
                  <c:v>11326.000000000002</c:v>
                </c:pt>
                <c:pt idx="2">
                  <c:v>42092</c:v>
                </c:pt>
                <c:pt idx="3">
                  <c:v>12531.999999999998</c:v>
                </c:pt>
                <c:pt idx="4">
                  <c:v>28760.999999999993</c:v>
                </c:pt>
                <c:pt idx="5">
                  <c:v>19964.000000000004</c:v>
                </c:pt>
                <c:pt idx="6">
                  <c:v>26364</c:v>
                </c:pt>
                <c:pt idx="7">
                  <c:v>215544.99999999997</c:v>
                </c:pt>
                <c:pt idx="8">
                  <c:v>49972</c:v>
                </c:pt>
                <c:pt idx="9">
                  <c:v>58702</c:v>
                </c:pt>
                <c:pt idx="10">
                  <c:v>91370</c:v>
                </c:pt>
                <c:pt idx="11">
                  <c:v>52280.000000000007</c:v>
                </c:pt>
                <c:pt idx="12">
                  <c:v>390511</c:v>
                </c:pt>
                <c:pt idx="13">
                  <c:v>36302</c:v>
                </c:pt>
                <c:pt idx="14">
                  <c:v>125028.99999999999</c:v>
                </c:pt>
                <c:pt idx="15">
                  <c:v>130964</c:v>
                </c:pt>
                <c:pt idx="16">
                  <c:v>35966</c:v>
                </c:pt>
                <c:pt idx="17">
                  <c:v>279261.99999999994</c:v>
                </c:pt>
                <c:pt idx="18">
                  <c:v>47725</c:v>
                </c:pt>
                <c:pt idx="19">
                  <c:v>38682</c:v>
                </c:pt>
                <c:pt idx="20">
                  <c:v>118548</c:v>
                </c:pt>
                <c:pt idx="21">
                  <c:v>58110.000000000007</c:v>
                </c:pt>
                <c:pt idx="22">
                  <c:v>518588.00000000012</c:v>
                </c:pt>
                <c:pt idx="23">
                  <c:v>36680</c:v>
                </c:pt>
                <c:pt idx="24">
                  <c:v>60544</c:v>
                </c:pt>
                <c:pt idx="25">
                  <c:v>62858</c:v>
                </c:pt>
                <c:pt idx="26">
                  <c:v>80750</c:v>
                </c:pt>
                <c:pt idx="27">
                  <c:v>837093</c:v>
                </c:pt>
                <c:pt idx="28">
                  <c:v>39612.000000000007</c:v>
                </c:pt>
                <c:pt idx="29">
                  <c:v>60480</c:v>
                </c:pt>
                <c:pt idx="30">
                  <c:v>24487</c:v>
                </c:pt>
                <c:pt idx="31">
                  <c:v>94980</c:v>
                </c:pt>
                <c:pt idx="32">
                  <c:v>390823.99999999988</c:v>
                </c:pt>
                <c:pt idx="33">
                  <c:v>48505</c:v>
                </c:pt>
                <c:pt idx="34">
                  <c:v>68746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86778</c:v>
                </c:pt>
                <c:pt idx="1">
                  <c:v>94356</c:v>
                </c:pt>
                <c:pt idx="2">
                  <c:v>717858</c:v>
                </c:pt>
                <c:pt idx="3">
                  <c:v>80452</c:v>
                </c:pt>
                <c:pt idx="4">
                  <c:v>53800</c:v>
                </c:pt>
                <c:pt idx="5">
                  <c:v>126788</c:v>
                </c:pt>
                <c:pt idx="6">
                  <c:v>99552.000000000015</c:v>
                </c:pt>
                <c:pt idx="7">
                  <c:v>2310452</c:v>
                </c:pt>
                <c:pt idx="8">
                  <c:v>78784</c:v>
                </c:pt>
                <c:pt idx="9">
                  <c:v>105020</c:v>
                </c:pt>
                <c:pt idx="10">
                  <c:v>84871.999999999985</c:v>
                </c:pt>
                <c:pt idx="11">
                  <c:v>73216</c:v>
                </c:pt>
                <c:pt idx="12">
                  <c:v>394127.99999999988</c:v>
                </c:pt>
                <c:pt idx="13">
                  <c:v>18219.999999999971</c:v>
                </c:pt>
                <c:pt idx="14">
                  <c:v>193900</c:v>
                </c:pt>
                <c:pt idx="15">
                  <c:v>73120</c:v>
                </c:pt>
                <c:pt idx="16">
                  <c:v>171976.00000000003</c:v>
                </c:pt>
                <c:pt idx="17">
                  <c:v>730284.00000000023</c:v>
                </c:pt>
                <c:pt idx="18">
                  <c:v>120670.99999999997</c:v>
                </c:pt>
                <c:pt idx="19">
                  <c:v>184786.99999999997</c:v>
                </c:pt>
                <c:pt idx="20">
                  <c:v>220176</c:v>
                </c:pt>
                <c:pt idx="21">
                  <c:v>198478</c:v>
                </c:pt>
                <c:pt idx="22">
                  <c:v>176432</c:v>
                </c:pt>
                <c:pt idx="23">
                  <c:v>184755</c:v>
                </c:pt>
                <c:pt idx="24">
                  <c:v>655360</c:v>
                </c:pt>
                <c:pt idx="25">
                  <c:v>-145020</c:v>
                </c:pt>
                <c:pt idx="26">
                  <c:v>69963</c:v>
                </c:pt>
                <c:pt idx="27">
                  <c:v>-400157.00000000012</c:v>
                </c:pt>
                <c:pt idx="28">
                  <c:v>106108</c:v>
                </c:pt>
                <c:pt idx="29">
                  <c:v>152238</c:v>
                </c:pt>
                <c:pt idx="30">
                  <c:v>93228</c:v>
                </c:pt>
                <c:pt idx="31">
                  <c:v>530043</c:v>
                </c:pt>
                <c:pt idx="32">
                  <c:v>704195.99999999977</c:v>
                </c:pt>
                <c:pt idx="33">
                  <c:v>274747</c:v>
                </c:pt>
                <c:pt idx="34">
                  <c:v>368199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7308800"/>
        <c:axId val="327310336"/>
      </c:barChart>
      <c:catAx>
        <c:axId val="32730880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7310336"/>
        <c:crosses val="autoZero"/>
        <c:auto val="1"/>
        <c:lblAlgn val="ctr"/>
        <c:lblOffset val="100"/>
        <c:noMultiLvlLbl val="0"/>
      </c:catAx>
      <c:valAx>
        <c:axId val="32731033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7308800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-9405</c:v>
                </c:pt>
                <c:pt idx="3">
                  <c:v>0</c:v>
                </c:pt>
                <c:pt idx="4">
                  <c:v>0</c:v>
                </c:pt>
                <c:pt idx="5">
                  <c:v>1674.0000000000002</c:v>
                </c:pt>
                <c:pt idx="6">
                  <c:v>-3278</c:v>
                </c:pt>
                <c:pt idx="7">
                  <c:v>3406</c:v>
                </c:pt>
                <c:pt idx="8">
                  <c:v>-8741</c:v>
                </c:pt>
                <c:pt idx="9">
                  <c:v>-5182</c:v>
                </c:pt>
                <c:pt idx="10">
                  <c:v>1107</c:v>
                </c:pt>
                <c:pt idx="11">
                  <c:v>1410</c:v>
                </c:pt>
                <c:pt idx="12">
                  <c:v>30801.000000000007</c:v>
                </c:pt>
                <c:pt idx="13">
                  <c:v>128064</c:v>
                </c:pt>
                <c:pt idx="14">
                  <c:v>335200</c:v>
                </c:pt>
                <c:pt idx="15">
                  <c:v>325025</c:v>
                </c:pt>
                <c:pt idx="16">
                  <c:v>709035</c:v>
                </c:pt>
                <c:pt idx="17">
                  <c:v>1445596</c:v>
                </c:pt>
                <c:pt idx="18">
                  <c:v>328164</c:v>
                </c:pt>
                <c:pt idx="19">
                  <c:v>238420</c:v>
                </c:pt>
                <c:pt idx="20">
                  <c:v>215221</c:v>
                </c:pt>
                <c:pt idx="21">
                  <c:v>192409</c:v>
                </c:pt>
                <c:pt idx="22">
                  <c:v>744901</c:v>
                </c:pt>
                <c:pt idx="23">
                  <c:v>183232</c:v>
                </c:pt>
                <c:pt idx="24">
                  <c:v>131820</c:v>
                </c:pt>
                <c:pt idx="25">
                  <c:v>411365</c:v>
                </c:pt>
                <c:pt idx="26">
                  <c:v>198700</c:v>
                </c:pt>
                <c:pt idx="27">
                  <c:v>384300</c:v>
                </c:pt>
                <c:pt idx="28">
                  <c:v>145148</c:v>
                </c:pt>
                <c:pt idx="29">
                  <c:v>210817</c:v>
                </c:pt>
                <c:pt idx="30">
                  <c:v>357500</c:v>
                </c:pt>
                <c:pt idx="31">
                  <c:v>395000</c:v>
                </c:pt>
                <c:pt idx="32">
                  <c:v>843200</c:v>
                </c:pt>
                <c:pt idx="33">
                  <c:v>193900</c:v>
                </c:pt>
                <c:pt idx="34">
                  <c:v>1536000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8009.9999999999991</c:v>
                </c:pt>
                <c:pt idx="1">
                  <c:v>3080</c:v>
                </c:pt>
                <c:pt idx="2">
                  <c:v>171940</c:v>
                </c:pt>
                <c:pt idx="3">
                  <c:v>14675</c:v>
                </c:pt>
                <c:pt idx="4">
                  <c:v>13392.000000000002</c:v>
                </c:pt>
                <c:pt idx="5">
                  <c:v>20810</c:v>
                </c:pt>
                <c:pt idx="6">
                  <c:v>10626</c:v>
                </c:pt>
                <c:pt idx="7">
                  <c:v>101609.99999999999</c:v>
                </c:pt>
                <c:pt idx="8">
                  <c:v>31530</c:v>
                </c:pt>
                <c:pt idx="9">
                  <c:v>4213</c:v>
                </c:pt>
                <c:pt idx="10">
                  <c:v>12958</c:v>
                </c:pt>
                <c:pt idx="11">
                  <c:v>3717.9999999999964</c:v>
                </c:pt>
                <c:pt idx="12">
                  <c:v>208432</c:v>
                </c:pt>
                <c:pt idx="13">
                  <c:v>-5780</c:v>
                </c:pt>
                <c:pt idx="14">
                  <c:v>18273.999999999996</c:v>
                </c:pt>
                <c:pt idx="15">
                  <c:v>24492.999999999993</c:v>
                </c:pt>
                <c:pt idx="16">
                  <c:v>8689</c:v>
                </c:pt>
                <c:pt idx="17">
                  <c:v>771088</c:v>
                </c:pt>
                <c:pt idx="18">
                  <c:v>28432</c:v>
                </c:pt>
                <c:pt idx="19">
                  <c:v>19141.999999999996</c:v>
                </c:pt>
                <c:pt idx="20">
                  <c:v>-29396</c:v>
                </c:pt>
                <c:pt idx="21">
                  <c:v>127120</c:v>
                </c:pt>
                <c:pt idx="22">
                  <c:v>269252</c:v>
                </c:pt>
                <c:pt idx="23">
                  <c:v>23226</c:v>
                </c:pt>
                <c:pt idx="24">
                  <c:v>40068</c:v>
                </c:pt>
                <c:pt idx="25">
                  <c:v>60253</c:v>
                </c:pt>
                <c:pt idx="26">
                  <c:v>53781.000000000007</c:v>
                </c:pt>
                <c:pt idx="27">
                  <c:v>329500.00000000006</c:v>
                </c:pt>
                <c:pt idx="28">
                  <c:v>39416</c:v>
                </c:pt>
                <c:pt idx="29">
                  <c:v>169022.99999999997</c:v>
                </c:pt>
                <c:pt idx="30">
                  <c:v>141612</c:v>
                </c:pt>
                <c:pt idx="31">
                  <c:v>77485</c:v>
                </c:pt>
                <c:pt idx="32">
                  <c:v>158480</c:v>
                </c:pt>
                <c:pt idx="33">
                  <c:v>51605</c:v>
                </c:pt>
                <c:pt idx="34">
                  <c:v>77310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76753.000000000015</c:v>
                </c:pt>
                <c:pt idx="1">
                  <c:v>64164</c:v>
                </c:pt>
                <c:pt idx="2">
                  <c:v>1594642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1322687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2740200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1178106.9999999998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1380804.0000000002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1708437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2375829</c:v>
                </c:pt>
                <c:pt idx="33">
                  <c:v>62920.000000000015</c:v>
                </c:pt>
                <c:pt idx="34">
                  <c:v>118195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7341568"/>
        <c:axId val="327343104"/>
      </c:barChart>
      <c:catAx>
        <c:axId val="32734156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7343104"/>
        <c:crosses val="autoZero"/>
        <c:auto val="1"/>
        <c:lblAlgn val="ctr"/>
        <c:lblOffset val="100"/>
        <c:noMultiLvlLbl val="0"/>
      </c:catAx>
      <c:valAx>
        <c:axId val="32734310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7341568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-2100</c:v>
                </c:pt>
                <c:pt idx="1">
                  <c:v>-2800</c:v>
                </c:pt>
                <c:pt idx="2">
                  <c:v>-19100</c:v>
                </c:pt>
                <c:pt idx="3">
                  <c:v>-9312</c:v>
                </c:pt>
                <c:pt idx="4">
                  <c:v>-2784</c:v>
                </c:pt>
                <c:pt idx="5">
                  <c:v>-3515</c:v>
                </c:pt>
                <c:pt idx="6">
                  <c:v>-42654.999999999993</c:v>
                </c:pt>
                <c:pt idx="7">
                  <c:v>-81034.999999999985</c:v>
                </c:pt>
                <c:pt idx="8">
                  <c:v>-18810</c:v>
                </c:pt>
                <c:pt idx="9">
                  <c:v>-52962</c:v>
                </c:pt>
                <c:pt idx="10">
                  <c:v>-56255.999999999993</c:v>
                </c:pt>
                <c:pt idx="11">
                  <c:v>-7488</c:v>
                </c:pt>
                <c:pt idx="12">
                  <c:v>-53088</c:v>
                </c:pt>
                <c:pt idx="13">
                  <c:v>-7030</c:v>
                </c:pt>
                <c:pt idx="14">
                  <c:v>-12313.999999999998</c:v>
                </c:pt>
                <c:pt idx="15">
                  <c:v>-18887.999999999996</c:v>
                </c:pt>
                <c:pt idx="16">
                  <c:v>-4463.9999999999991</c:v>
                </c:pt>
                <c:pt idx="17">
                  <c:v>-19893</c:v>
                </c:pt>
                <c:pt idx="18">
                  <c:v>-36328</c:v>
                </c:pt>
                <c:pt idx="19">
                  <c:v>117508</c:v>
                </c:pt>
                <c:pt idx="20">
                  <c:v>146938</c:v>
                </c:pt>
                <c:pt idx="21">
                  <c:v>395134</c:v>
                </c:pt>
                <c:pt idx="22">
                  <c:v>1059056</c:v>
                </c:pt>
                <c:pt idx="23">
                  <c:v>192480</c:v>
                </c:pt>
                <c:pt idx="24">
                  <c:v>198500</c:v>
                </c:pt>
                <c:pt idx="25">
                  <c:v>112900</c:v>
                </c:pt>
                <c:pt idx="26">
                  <c:v>400200</c:v>
                </c:pt>
                <c:pt idx="27">
                  <c:v>781000</c:v>
                </c:pt>
                <c:pt idx="28">
                  <c:v>67000</c:v>
                </c:pt>
                <c:pt idx="29">
                  <c:v>320800</c:v>
                </c:pt>
                <c:pt idx="30">
                  <c:v>96500</c:v>
                </c:pt>
                <c:pt idx="31">
                  <c:v>114700</c:v>
                </c:pt>
                <c:pt idx="32">
                  <c:v>298300</c:v>
                </c:pt>
                <c:pt idx="33">
                  <c:v>113400</c:v>
                </c:pt>
                <c:pt idx="34">
                  <c:v>201267</c:v>
                </c:pt>
                <c:pt idx="35">
                  <c:v>80487</c:v>
                </c:pt>
                <c:pt idx="36">
                  <c:v>106600</c:v>
                </c:pt>
                <c:pt idx="37">
                  <c:v>460400</c:v>
                </c:pt>
                <c:pt idx="38">
                  <c:v>15600</c:v>
                </c:pt>
                <c:pt idx="39">
                  <c:v>41000</c:v>
                </c:pt>
                <c:pt idx="40">
                  <c:v>30700</c:v>
                </c:pt>
                <c:pt idx="41">
                  <c:v>47530</c:v>
                </c:pt>
                <c:pt idx="42">
                  <c:v>170379</c:v>
                </c:pt>
                <c:pt idx="43">
                  <c:v>13719.999999999998</c:v>
                </c:pt>
                <c:pt idx="44">
                  <c:v>21952</c:v>
                </c:pt>
                <c:pt idx="45">
                  <c:v>13959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16470</c:v>
                </c:pt>
                <c:pt idx="3">
                  <c:v>2676</c:v>
                </c:pt>
                <c:pt idx="4">
                  <c:v>-3393.9999999999991</c:v>
                </c:pt>
                <c:pt idx="5">
                  <c:v>3691</c:v>
                </c:pt>
                <c:pt idx="6">
                  <c:v>-1287</c:v>
                </c:pt>
                <c:pt idx="7">
                  <c:v>57488</c:v>
                </c:pt>
                <c:pt idx="8">
                  <c:v>5462</c:v>
                </c:pt>
                <c:pt idx="9">
                  <c:v>7208</c:v>
                </c:pt>
                <c:pt idx="10">
                  <c:v>4369</c:v>
                </c:pt>
                <c:pt idx="11">
                  <c:v>19467</c:v>
                </c:pt>
                <c:pt idx="12">
                  <c:v>60134</c:v>
                </c:pt>
                <c:pt idx="13">
                  <c:v>10433</c:v>
                </c:pt>
                <c:pt idx="14">
                  <c:v>5319</c:v>
                </c:pt>
                <c:pt idx="15">
                  <c:v>0</c:v>
                </c:pt>
                <c:pt idx="16">
                  <c:v>50715.000000000007</c:v>
                </c:pt>
                <c:pt idx="17">
                  <c:v>96324</c:v>
                </c:pt>
                <c:pt idx="18">
                  <c:v>26550.000000000004</c:v>
                </c:pt>
                <c:pt idx="19">
                  <c:v>130766</c:v>
                </c:pt>
                <c:pt idx="20">
                  <c:v>10952</c:v>
                </c:pt>
                <c:pt idx="21">
                  <c:v>32870</c:v>
                </c:pt>
                <c:pt idx="22">
                  <c:v>82017</c:v>
                </c:pt>
                <c:pt idx="23">
                  <c:v>115185.99999999999</c:v>
                </c:pt>
                <c:pt idx="24">
                  <c:v>97542.000000000015</c:v>
                </c:pt>
                <c:pt idx="25">
                  <c:v>90712.000000000015</c:v>
                </c:pt>
                <c:pt idx="26">
                  <c:v>15990</c:v>
                </c:pt>
                <c:pt idx="27">
                  <c:v>125228</c:v>
                </c:pt>
                <c:pt idx="28">
                  <c:v>44583</c:v>
                </c:pt>
                <c:pt idx="29">
                  <c:v>43373</c:v>
                </c:pt>
                <c:pt idx="30">
                  <c:v>8697</c:v>
                </c:pt>
                <c:pt idx="31">
                  <c:v>17497.000000000004</c:v>
                </c:pt>
                <c:pt idx="32">
                  <c:v>63061</c:v>
                </c:pt>
                <c:pt idx="33">
                  <c:v>30030.999999999993</c:v>
                </c:pt>
                <c:pt idx="34">
                  <c:v>10853</c:v>
                </c:pt>
                <c:pt idx="35">
                  <c:v>24266.999999999996</c:v>
                </c:pt>
                <c:pt idx="36">
                  <c:v>27505.999999999996</c:v>
                </c:pt>
                <c:pt idx="37">
                  <c:v>107388</c:v>
                </c:pt>
                <c:pt idx="38">
                  <c:v>16166</c:v>
                </c:pt>
                <c:pt idx="39">
                  <c:v>64943</c:v>
                </c:pt>
                <c:pt idx="40">
                  <c:v>8460</c:v>
                </c:pt>
                <c:pt idx="41">
                  <c:v>27260.000000000004</c:v>
                </c:pt>
                <c:pt idx="42">
                  <c:v>81649.000000000015</c:v>
                </c:pt>
                <c:pt idx="43">
                  <c:v>23922</c:v>
                </c:pt>
                <c:pt idx="44">
                  <c:v>101943</c:v>
                </c:pt>
                <c:pt idx="45">
                  <c:v>11516.000000000002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-8628</c:v>
                </c:pt>
                <c:pt idx="1">
                  <c:v>-19423.000000000004</c:v>
                </c:pt>
                <c:pt idx="2">
                  <c:v>-47060</c:v>
                </c:pt>
                <c:pt idx="3">
                  <c:v>-5576</c:v>
                </c:pt>
                <c:pt idx="4">
                  <c:v>-3826.9999999999995</c:v>
                </c:pt>
                <c:pt idx="5">
                  <c:v>-3041.9999999999982</c:v>
                </c:pt>
                <c:pt idx="6">
                  <c:v>-40235.999999999993</c:v>
                </c:pt>
                <c:pt idx="7">
                  <c:v>56769.000000000058</c:v>
                </c:pt>
                <c:pt idx="8">
                  <c:v>-2117</c:v>
                </c:pt>
                <c:pt idx="9">
                  <c:v>-19218</c:v>
                </c:pt>
                <c:pt idx="10">
                  <c:v>-5436</c:v>
                </c:pt>
                <c:pt idx="11">
                  <c:v>-9987</c:v>
                </c:pt>
                <c:pt idx="12">
                  <c:v>102180.00000000001</c:v>
                </c:pt>
                <c:pt idx="13">
                  <c:v>1138.0000000000018</c:v>
                </c:pt>
                <c:pt idx="14">
                  <c:v>7504.0000000000009</c:v>
                </c:pt>
                <c:pt idx="15">
                  <c:v>15836</c:v>
                </c:pt>
                <c:pt idx="16">
                  <c:v>23452</c:v>
                </c:pt>
                <c:pt idx="17">
                  <c:v>-126350</c:v>
                </c:pt>
                <c:pt idx="18">
                  <c:v>16344.000000000004</c:v>
                </c:pt>
                <c:pt idx="19">
                  <c:v>9036</c:v>
                </c:pt>
                <c:pt idx="20">
                  <c:v>1676.0000000000009</c:v>
                </c:pt>
                <c:pt idx="21">
                  <c:v>13468.999999999996</c:v>
                </c:pt>
                <c:pt idx="22">
                  <c:v>22525</c:v>
                </c:pt>
                <c:pt idx="23">
                  <c:v>1537</c:v>
                </c:pt>
                <c:pt idx="24">
                  <c:v>9349</c:v>
                </c:pt>
                <c:pt idx="25">
                  <c:v>24012</c:v>
                </c:pt>
                <c:pt idx="26">
                  <c:v>69387</c:v>
                </c:pt>
                <c:pt idx="27">
                  <c:v>123036</c:v>
                </c:pt>
                <c:pt idx="28">
                  <c:v>12790</c:v>
                </c:pt>
                <c:pt idx="29">
                  <c:v>12193</c:v>
                </c:pt>
                <c:pt idx="30">
                  <c:v>-8646</c:v>
                </c:pt>
                <c:pt idx="31">
                  <c:v>11010</c:v>
                </c:pt>
                <c:pt idx="32">
                  <c:v>46146</c:v>
                </c:pt>
                <c:pt idx="33">
                  <c:v>33402</c:v>
                </c:pt>
                <c:pt idx="34">
                  <c:v>-11373</c:v>
                </c:pt>
                <c:pt idx="35">
                  <c:v>3540.0000000000009</c:v>
                </c:pt>
                <c:pt idx="36">
                  <c:v>31687</c:v>
                </c:pt>
                <c:pt idx="37">
                  <c:v>43550</c:v>
                </c:pt>
                <c:pt idx="38">
                  <c:v>27432</c:v>
                </c:pt>
                <c:pt idx="39">
                  <c:v>-25886</c:v>
                </c:pt>
                <c:pt idx="40">
                  <c:v>3498</c:v>
                </c:pt>
                <c:pt idx="41">
                  <c:v>36924</c:v>
                </c:pt>
                <c:pt idx="42">
                  <c:v>41259</c:v>
                </c:pt>
                <c:pt idx="43">
                  <c:v>36115.999999999993</c:v>
                </c:pt>
                <c:pt idx="44">
                  <c:v>6323</c:v>
                </c:pt>
                <c:pt idx="45">
                  <c:v>23189.999999999996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7388160"/>
        <c:axId val="327394048"/>
      </c:barChart>
      <c:catAx>
        <c:axId val="32738816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7394048"/>
        <c:crosses val="autoZero"/>
        <c:auto val="1"/>
        <c:lblAlgn val="ctr"/>
        <c:lblOffset val="100"/>
        <c:noMultiLvlLbl val="0"/>
      </c:catAx>
      <c:valAx>
        <c:axId val="32739404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7388160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250502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-819</c:v>
                </c:pt>
                <c:pt idx="3">
                  <c:v>90</c:v>
                </c:pt>
                <c:pt idx="4">
                  <c:v>120.00000000000001</c:v>
                </c:pt>
                <c:pt idx="5">
                  <c:v>2</c:v>
                </c:pt>
                <c:pt idx="6">
                  <c:v>44</c:v>
                </c:pt>
                <c:pt idx="7">
                  <c:v>-176</c:v>
                </c:pt>
                <c:pt idx="8">
                  <c:v>39</c:v>
                </c:pt>
                <c:pt idx="9">
                  <c:v>14.000000000000002</c:v>
                </c:pt>
                <c:pt idx="10">
                  <c:v>0</c:v>
                </c:pt>
                <c:pt idx="11">
                  <c:v>0</c:v>
                </c:pt>
                <c:pt idx="12">
                  <c:v>-400</c:v>
                </c:pt>
                <c:pt idx="13">
                  <c:v>8</c:v>
                </c:pt>
                <c:pt idx="14">
                  <c:v>1</c:v>
                </c:pt>
                <c:pt idx="15">
                  <c:v>209</c:v>
                </c:pt>
                <c:pt idx="16">
                  <c:v>-123</c:v>
                </c:pt>
                <c:pt idx="17">
                  <c:v>6705.0000000000009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1581</c:v>
                </c:pt>
                <c:pt idx="22">
                  <c:v>8291</c:v>
                </c:pt>
                <c:pt idx="23">
                  <c:v>3100</c:v>
                </c:pt>
                <c:pt idx="24">
                  <c:v>886</c:v>
                </c:pt>
                <c:pt idx="25">
                  <c:v>300</c:v>
                </c:pt>
                <c:pt idx="26">
                  <c:v>1695</c:v>
                </c:pt>
                <c:pt idx="27">
                  <c:v>4800</c:v>
                </c:pt>
                <c:pt idx="28">
                  <c:v>582</c:v>
                </c:pt>
                <c:pt idx="29">
                  <c:v>400</c:v>
                </c:pt>
                <c:pt idx="30">
                  <c:v>384</c:v>
                </c:pt>
                <c:pt idx="31">
                  <c:v>870</c:v>
                </c:pt>
                <c:pt idx="32">
                  <c:v>9875</c:v>
                </c:pt>
                <c:pt idx="33">
                  <c:v>273</c:v>
                </c:pt>
                <c:pt idx="34">
                  <c:v>900</c:v>
                </c:pt>
                <c:pt idx="35">
                  <c:v>400</c:v>
                </c:pt>
                <c:pt idx="36">
                  <c:v>772</c:v>
                </c:pt>
                <c:pt idx="37">
                  <c:v>2448</c:v>
                </c:pt>
                <c:pt idx="38">
                  <c:v>286</c:v>
                </c:pt>
                <c:pt idx="39">
                  <c:v>86</c:v>
                </c:pt>
                <c:pt idx="40">
                  <c:v>100</c:v>
                </c:pt>
                <c:pt idx="41">
                  <c:v>93</c:v>
                </c:pt>
                <c:pt idx="42">
                  <c:v>6700</c:v>
                </c:pt>
                <c:pt idx="43">
                  <c:v>270</c:v>
                </c:pt>
                <c:pt idx="44">
                  <c:v>122</c:v>
                </c:pt>
                <c:pt idx="45">
                  <c:v>182</c:v>
                </c:pt>
                <c:pt idx="46">
                  <c:v>76</c:v>
                </c:pt>
                <c:pt idx="47">
                  <c:v>7000</c:v>
                </c:pt>
                <c:pt idx="48">
                  <c:v>382</c:v>
                </c:pt>
                <c:pt idx="49">
                  <c:v>1194</c:v>
                </c:pt>
                <c:pt idx="50">
                  <c:v>390</c:v>
                </c:pt>
                <c:pt idx="51">
                  <c:v>665</c:v>
                </c:pt>
                <c:pt idx="52">
                  <c:v>1863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413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476.00000000000011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1197.9999999999998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808.99999999999989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365.99999999999994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746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1266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544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-3249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2482.0000000000005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3561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769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771.00000000000011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850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2771.9999999999991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3503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2191.0000000000005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7424256"/>
        <c:axId val="327426048"/>
      </c:barChart>
      <c:catAx>
        <c:axId val="32742425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7426048"/>
        <c:crosses val="autoZero"/>
        <c:auto val="1"/>
        <c:lblAlgn val="ctr"/>
        <c:lblOffset val="100"/>
        <c:noMultiLvlLbl val="0"/>
      </c:catAx>
      <c:valAx>
        <c:axId val="32742604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7424256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1.2618</c:v>
                </c:pt>
                <c:pt idx="1">
                  <c:v>1.1869000000000001</c:v>
                </c:pt>
                <c:pt idx="2">
                  <c:v>1.1114999999999999</c:v>
                </c:pt>
                <c:pt idx="3">
                  <c:v>1.0355000000000001</c:v>
                </c:pt>
                <c:pt idx="4">
                  <c:v>0.95879999999999999</c:v>
                </c:pt>
                <c:pt idx="5">
                  <c:v>0.88139999999999996</c:v>
                </c:pt>
                <c:pt idx="6">
                  <c:v>0.80310000000000004</c:v>
                </c:pt>
                <c:pt idx="7">
                  <c:v>0.72399999999999998</c:v>
                </c:pt>
                <c:pt idx="8">
                  <c:v>0.64380000000000004</c:v>
                </c:pt>
                <c:pt idx="9">
                  <c:v>0.56240000000000001</c:v>
                </c:pt>
                <c:pt idx="10">
                  <c:v>0.47960000000000003</c:v>
                </c:pt>
                <c:pt idx="11">
                  <c:v>0.39500000000000002</c:v>
                </c:pt>
                <c:pt idx="12">
                  <c:v>0.30819999999999997</c:v>
                </c:pt>
                <c:pt idx="13">
                  <c:v>0.25950000000000001</c:v>
                </c:pt>
                <c:pt idx="14">
                  <c:v>0.15060000000000001</c:v>
                </c:pt>
                <c:pt idx="15">
                  <c:v>0.14299999999999999</c:v>
                </c:pt>
                <c:pt idx="16">
                  <c:v>0.21029999999999999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0.57430000000000003</c:v>
                </c:pt>
                <c:pt idx="21">
                  <c:v>0.55189999999999995</c:v>
                </c:pt>
                <c:pt idx="22">
                  <c:v>0.25</c:v>
                </c:pt>
                <c:pt idx="23">
                  <c:v>0.82289999999999996</c:v>
                </c:pt>
                <c:pt idx="24">
                  <c:v>0.25</c:v>
                </c:pt>
                <c:pt idx="25">
                  <c:v>0.25</c:v>
                </c:pt>
                <c:pt idx="26">
                  <c:v>1.0390999999999999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1.8055000000000001</c:v>
                </c:pt>
                <c:pt idx="1">
                  <c:v>1.6890000000000001</c:v>
                </c:pt>
                <c:pt idx="2">
                  <c:v>1.5726</c:v>
                </c:pt>
                <c:pt idx="3">
                  <c:v>1.4548000000000001</c:v>
                </c:pt>
                <c:pt idx="4">
                  <c:v>1.3381000000000001</c:v>
                </c:pt>
                <c:pt idx="5">
                  <c:v>1.2215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0.49659999999999999</c:v>
                </c:pt>
                <c:pt idx="12">
                  <c:v>0.37909999999999999</c:v>
                </c:pt>
                <c:pt idx="13">
                  <c:v>0.25</c:v>
                </c:pt>
                <c:pt idx="14">
                  <c:v>0.25</c:v>
                </c:pt>
                <c:pt idx="15">
                  <c:v>0.13769999999999999</c:v>
                </c:pt>
                <c:pt idx="16">
                  <c:v>0.18870000000000001</c:v>
                </c:pt>
                <c:pt idx="17">
                  <c:v>0.28120000000000001</c:v>
                </c:pt>
                <c:pt idx="18">
                  <c:v>0.35799999999999998</c:v>
                </c:pt>
                <c:pt idx="19">
                  <c:v>0.45789999999999997</c:v>
                </c:pt>
                <c:pt idx="20">
                  <c:v>0.5554</c:v>
                </c:pt>
                <c:pt idx="21">
                  <c:v>0.5635</c:v>
                </c:pt>
                <c:pt idx="22">
                  <c:v>0.64700000000000002</c:v>
                </c:pt>
                <c:pt idx="23">
                  <c:v>0.72950000000000004</c:v>
                </c:pt>
                <c:pt idx="24">
                  <c:v>0.81130000000000002</c:v>
                </c:pt>
                <c:pt idx="25">
                  <c:v>0.89239999999999997</c:v>
                </c:pt>
                <c:pt idx="26">
                  <c:v>0.97299999999999998</c:v>
                </c:pt>
                <c:pt idx="27">
                  <c:v>1.0530999999999999</c:v>
                </c:pt>
                <c:pt idx="28">
                  <c:v>1.1328</c:v>
                </c:pt>
                <c:pt idx="29">
                  <c:v>1.2121</c:v>
                </c:pt>
                <c:pt idx="30">
                  <c:v>1.2910999999999999</c:v>
                </c:pt>
                <c:pt idx="31">
                  <c:v>1.3697999999999999</c:v>
                </c:pt>
                <c:pt idx="32">
                  <c:v>1.4482999999999999</c:v>
                </c:pt>
                <c:pt idx="33">
                  <c:v>1.5265</c:v>
                </c:pt>
                <c:pt idx="34">
                  <c:v>1.6046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476352"/>
        <c:axId val="327477888"/>
      </c:scatterChart>
      <c:valAx>
        <c:axId val="32747635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27477888"/>
        <c:crosses val="autoZero"/>
        <c:crossBetween val="midCat"/>
      </c:valAx>
      <c:valAx>
        <c:axId val="3274778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2747635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1.2874000000000001</c:v>
                </c:pt>
                <c:pt idx="1">
                  <c:v>1.1996</c:v>
                </c:pt>
                <c:pt idx="2">
                  <c:v>1.111</c:v>
                </c:pt>
                <c:pt idx="3">
                  <c:v>1.0215000000000001</c:v>
                </c:pt>
                <c:pt idx="4">
                  <c:v>0.93100000000000005</c:v>
                </c:pt>
                <c:pt idx="5">
                  <c:v>0.83940000000000003</c:v>
                </c:pt>
                <c:pt idx="6">
                  <c:v>0.74670000000000003</c:v>
                </c:pt>
                <c:pt idx="7">
                  <c:v>0.65249999999999997</c:v>
                </c:pt>
                <c:pt idx="8">
                  <c:v>0.55669999999999997</c:v>
                </c:pt>
                <c:pt idx="9">
                  <c:v>0.53449999999999998</c:v>
                </c:pt>
                <c:pt idx="10">
                  <c:v>0.42059999999999997</c:v>
                </c:pt>
                <c:pt idx="11">
                  <c:v>0.30209999999999998</c:v>
                </c:pt>
                <c:pt idx="12">
                  <c:v>0.2142</c:v>
                </c:pt>
                <c:pt idx="13">
                  <c:v>0.2268</c:v>
                </c:pt>
                <c:pt idx="14">
                  <c:v>0.24790000000000001</c:v>
                </c:pt>
                <c:pt idx="15">
                  <c:v>0.25</c:v>
                </c:pt>
                <c:pt idx="16">
                  <c:v>0.44829999999999998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0.90469999999999995</c:v>
                </c:pt>
                <c:pt idx="22">
                  <c:v>1.0052000000000001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1.8656999999999999</c:v>
                </c:pt>
                <c:pt idx="1">
                  <c:v>1.6604000000000001</c:v>
                </c:pt>
                <c:pt idx="2">
                  <c:v>1.5955999999999999</c:v>
                </c:pt>
                <c:pt idx="3">
                  <c:v>1.4443999999999999</c:v>
                </c:pt>
                <c:pt idx="4">
                  <c:v>1.3501000000000001</c:v>
                </c:pt>
                <c:pt idx="5">
                  <c:v>1.2025999999999999</c:v>
                </c:pt>
                <c:pt idx="6">
                  <c:v>1.0933999999999999</c:v>
                </c:pt>
                <c:pt idx="7">
                  <c:v>0.91779999999999995</c:v>
                </c:pt>
                <c:pt idx="8">
                  <c:v>0.78149999999999997</c:v>
                </c:pt>
                <c:pt idx="9">
                  <c:v>0.69069999999999998</c:v>
                </c:pt>
                <c:pt idx="10">
                  <c:v>0.52810000000000001</c:v>
                </c:pt>
                <c:pt idx="11">
                  <c:v>0.42599999999999999</c:v>
                </c:pt>
                <c:pt idx="12">
                  <c:v>0.27539999999999998</c:v>
                </c:pt>
                <c:pt idx="13">
                  <c:v>0.22409999999999999</c:v>
                </c:pt>
                <c:pt idx="14">
                  <c:v>0.249</c:v>
                </c:pt>
                <c:pt idx="15">
                  <c:v>0.32479999999999998</c:v>
                </c:pt>
                <c:pt idx="16">
                  <c:v>0.41399999999999998</c:v>
                </c:pt>
                <c:pt idx="17">
                  <c:v>0.53</c:v>
                </c:pt>
                <c:pt idx="18">
                  <c:v>0.64319999999999999</c:v>
                </c:pt>
                <c:pt idx="19">
                  <c:v>0.75439999999999996</c:v>
                </c:pt>
                <c:pt idx="20">
                  <c:v>0.85799999999999998</c:v>
                </c:pt>
                <c:pt idx="21">
                  <c:v>0.96419999999999995</c:v>
                </c:pt>
                <c:pt idx="22">
                  <c:v>1.069</c:v>
                </c:pt>
                <c:pt idx="23">
                  <c:v>1.1729000000000001</c:v>
                </c:pt>
                <c:pt idx="24">
                  <c:v>1.2758</c:v>
                </c:pt>
                <c:pt idx="25">
                  <c:v>1.3778999999999999</c:v>
                </c:pt>
                <c:pt idx="26">
                  <c:v>1.3149999999999999</c:v>
                </c:pt>
                <c:pt idx="27">
                  <c:v>1.4074</c:v>
                </c:pt>
                <c:pt idx="28">
                  <c:v>1.6894</c:v>
                </c:pt>
                <c:pt idx="29">
                  <c:v>1.7905</c:v>
                </c:pt>
                <c:pt idx="30">
                  <c:v>1.6826000000000001</c:v>
                </c:pt>
                <c:pt idx="31">
                  <c:v>1.7738</c:v>
                </c:pt>
                <c:pt idx="32">
                  <c:v>1.8648</c:v>
                </c:pt>
                <c:pt idx="33">
                  <c:v>1.9556</c:v>
                </c:pt>
                <c:pt idx="34">
                  <c:v>2.0463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559808"/>
        <c:axId val="327569792"/>
      </c:scatterChart>
      <c:valAx>
        <c:axId val="32755980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27569792"/>
        <c:crosses val="autoZero"/>
        <c:crossBetween val="midCat"/>
      </c:valAx>
      <c:valAx>
        <c:axId val="3275697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27559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1.4086000000000001</c:v>
                </c:pt>
                <c:pt idx="1">
                  <c:v>1.3393999999999999</c:v>
                </c:pt>
                <c:pt idx="2">
                  <c:v>1.2698</c:v>
                </c:pt>
                <c:pt idx="3">
                  <c:v>1.1998</c:v>
                </c:pt>
                <c:pt idx="4">
                  <c:v>1.1274</c:v>
                </c:pt>
                <c:pt idx="5">
                  <c:v>1.0567</c:v>
                </c:pt>
                <c:pt idx="6">
                  <c:v>0.98540000000000005</c:v>
                </c:pt>
                <c:pt idx="7">
                  <c:v>0.91359999999999997</c:v>
                </c:pt>
                <c:pt idx="8">
                  <c:v>0.84099999999999997</c:v>
                </c:pt>
                <c:pt idx="9">
                  <c:v>0.76980000000000004</c:v>
                </c:pt>
                <c:pt idx="10">
                  <c:v>0.6956</c:v>
                </c:pt>
                <c:pt idx="11">
                  <c:v>0.61990000000000001</c:v>
                </c:pt>
                <c:pt idx="12">
                  <c:v>0.54349999999999998</c:v>
                </c:pt>
                <c:pt idx="13">
                  <c:v>0.46610000000000001</c:v>
                </c:pt>
                <c:pt idx="14">
                  <c:v>0.38740000000000002</c:v>
                </c:pt>
                <c:pt idx="15">
                  <c:v>0.30630000000000002</c:v>
                </c:pt>
                <c:pt idx="16">
                  <c:v>0.22459999999999999</c:v>
                </c:pt>
                <c:pt idx="17">
                  <c:v>0.13750000000000001</c:v>
                </c:pt>
                <c:pt idx="18">
                  <c:v>4.2500000000000003E-2</c:v>
                </c:pt>
                <c:pt idx="19">
                  <c:v>0.25</c:v>
                </c:pt>
                <c:pt idx="20">
                  <c:v>0.25569999999999998</c:v>
                </c:pt>
                <c:pt idx="21">
                  <c:v>0.30780000000000002</c:v>
                </c:pt>
                <c:pt idx="22">
                  <c:v>0.52980000000000005</c:v>
                </c:pt>
                <c:pt idx="23">
                  <c:v>0.64300000000000002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1.4515</c:v>
                </c:pt>
                <c:pt idx="35">
                  <c:v>1.5349999999999999</c:v>
                </c:pt>
                <c:pt idx="36">
                  <c:v>1.6182000000000001</c:v>
                </c:pt>
                <c:pt idx="37">
                  <c:v>1.7012</c:v>
                </c:pt>
                <c:pt idx="38">
                  <c:v>1.784</c:v>
                </c:pt>
                <c:pt idx="39">
                  <c:v>0.25</c:v>
                </c:pt>
                <c:pt idx="40">
                  <c:v>0.25</c:v>
                </c:pt>
                <c:pt idx="41">
                  <c:v>2.6903999999999999</c:v>
                </c:pt>
                <c:pt idx="42">
                  <c:v>2.5097</c:v>
                </c:pt>
                <c:pt idx="43">
                  <c:v>2.8948</c:v>
                </c:pt>
                <c:pt idx="44">
                  <c:v>2.9965999999999999</c:v>
                </c:pt>
                <c:pt idx="45">
                  <c:v>2.7911000000000001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1.9049</c:v>
                </c:pt>
                <c:pt idx="4">
                  <c:v>1.9144000000000001</c:v>
                </c:pt>
                <c:pt idx="5">
                  <c:v>1.8073999999999999</c:v>
                </c:pt>
                <c:pt idx="6">
                  <c:v>1.6991000000000001</c:v>
                </c:pt>
                <c:pt idx="7">
                  <c:v>1.5893999999999999</c:v>
                </c:pt>
                <c:pt idx="8">
                  <c:v>1.4781</c:v>
                </c:pt>
                <c:pt idx="9">
                  <c:v>1.1681999999999999</c:v>
                </c:pt>
                <c:pt idx="10">
                  <c:v>1.0650999999999999</c:v>
                </c:pt>
                <c:pt idx="11">
                  <c:v>0.96020000000000005</c:v>
                </c:pt>
                <c:pt idx="12">
                  <c:v>0.85319999999999996</c:v>
                </c:pt>
                <c:pt idx="13">
                  <c:v>0.74370000000000003</c:v>
                </c:pt>
                <c:pt idx="14">
                  <c:v>0.63109999999999999</c:v>
                </c:pt>
                <c:pt idx="15">
                  <c:v>0.4073</c:v>
                </c:pt>
                <c:pt idx="16">
                  <c:v>0.3397</c:v>
                </c:pt>
                <c:pt idx="17">
                  <c:v>0.18240000000000001</c:v>
                </c:pt>
                <c:pt idx="18">
                  <c:v>0.25</c:v>
                </c:pt>
                <c:pt idx="19">
                  <c:v>7.6600000000000001E-2</c:v>
                </c:pt>
                <c:pt idx="20">
                  <c:v>0.16800000000000001</c:v>
                </c:pt>
                <c:pt idx="21">
                  <c:v>0.25340000000000001</c:v>
                </c:pt>
                <c:pt idx="22">
                  <c:v>0.33660000000000001</c:v>
                </c:pt>
                <c:pt idx="23">
                  <c:v>0.41760000000000003</c:v>
                </c:pt>
                <c:pt idx="24">
                  <c:v>0.49740000000000001</c:v>
                </c:pt>
                <c:pt idx="25">
                  <c:v>0.57620000000000005</c:v>
                </c:pt>
                <c:pt idx="26">
                  <c:v>0.65439999999999998</c:v>
                </c:pt>
                <c:pt idx="27">
                  <c:v>0.73060000000000003</c:v>
                </c:pt>
                <c:pt idx="28">
                  <c:v>0.8085</c:v>
                </c:pt>
                <c:pt idx="29">
                  <c:v>0.8821</c:v>
                </c:pt>
                <c:pt idx="30">
                  <c:v>0.95750000000000002</c:v>
                </c:pt>
                <c:pt idx="31">
                  <c:v>1.0324</c:v>
                </c:pt>
                <c:pt idx="32">
                  <c:v>1.1071</c:v>
                </c:pt>
                <c:pt idx="33">
                  <c:v>1.1814</c:v>
                </c:pt>
                <c:pt idx="34">
                  <c:v>1.2556</c:v>
                </c:pt>
                <c:pt idx="35">
                  <c:v>1.3320000000000001</c:v>
                </c:pt>
                <c:pt idx="36">
                  <c:v>1.4058999999999999</c:v>
                </c:pt>
                <c:pt idx="37">
                  <c:v>1.4797</c:v>
                </c:pt>
                <c:pt idx="38">
                  <c:v>1.5533999999999999</c:v>
                </c:pt>
                <c:pt idx="39">
                  <c:v>1.6269</c:v>
                </c:pt>
                <c:pt idx="40">
                  <c:v>1.7002999999999999</c:v>
                </c:pt>
                <c:pt idx="41">
                  <c:v>1.7736000000000001</c:v>
                </c:pt>
                <c:pt idx="42">
                  <c:v>1.8468</c:v>
                </c:pt>
                <c:pt idx="43">
                  <c:v>1.9198999999999999</c:v>
                </c:pt>
                <c:pt idx="44">
                  <c:v>1.9930000000000001</c:v>
                </c:pt>
                <c:pt idx="45">
                  <c:v>2.0659999999999998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591808"/>
        <c:axId val="327593344"/>
      </c:scatterChart>
      <c:valAx>
        <c:axId val="32759180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27593344"/>
        <c:crosses val="autoZero"/>
        <c:crossBetween val="midCat"/>
      </c:valAx>
      <c:valAx>
        <c:axId val="3275933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27591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0.25</c:v>
                </c:pt>
                <c:pt idx="1">
                  <c:v>0.25</c:v>
                </c:pt>
                <c:pt idx="2">
                  <c:v>0.626</c:v>
                </c:pt>
                <c:pt idx="3">
                  <c:v>1.4027000000000001</c:v>
                </c:pt>
                <c:pt idx="4">
                  <c:v>1.3287</c:v>
                </c:pt>
                <c:pt idx="5">
                  <c:v>0.77610000000000001</c:v>
                </c:pt>
                <c:pt idx="6">
                  <c:v>1.1777</c:v>
                </c:pt>
                <c:pt idx="7">
                  <c:v>0.51419999999999999</c:v>
                </c:pt>
                <c:pt idx="8">
                  <c:v>1.0214000000000001</c:v>
                </c:pt>
                <c:pt idx="9">
                  <c:v>0.94099999999999995</c:v>
                </c:pt>
                <c:pt idx="10">
                  <c:v>0.31019999999999998</c:v>
                </c:pt>
                <c:pt idx="11">
                  <c:v>0.28799999999999998</c:v>
                </c:pt>
                <c:pt idx="12">
                  <c:v>0.24360000000000001</c:v>
                </c:pt>
                <c:pt idx="13">
                  <c:v>0.2361</c:v>
                </c:pt>
                <c:pt idx="14">
                  <c:v>0.17100000000000001</c:v>
                </c:pt>
                <c:pt idx="15">
                  <c:v>0.1961</c:v>
                </c:pt>
                <c:pt idx="16">
                  <c:v>0.14030000000000001</c:v>
                </c:pt>
                <c:pt idx="17">
                  <c:v>0.13370000000000001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0.25</c:v>
                </c:pt>
                <c:pt idx="1">
                  <c:v>0.25</c:v>
                </c:pt>
                <c:pt idx="2">
                  <c:v>1.4280999999999999</c:v>
                </c:pt>
                <c:pt idx="3">
                  <c:v>1.3566</c:v>
                </c:pt>
                <c:pt idx="4">
                  <c:v>1.2822</c:v>
                </c:pt>
                <c:pt idx="5">
                  <c:v>1.2088000000000001</c:v>
                </c:pt>
                <c:pt idx="6">
                  <c:v>1.2164999999999999</c:v>
                </c:pt>
                <c:pt idx="7">
                  <c:v>1.2071000000000001</c:v>
                </c:pt>
                <c:pt idx="8">
                  <c:v>1.1254999999999999</c:v>
                </c:pt>
                <c:pt idx="9">
                  <c:v>1.0119</c:v>
                </c:pt>
                <c:pt idx="10">
                  <c:v>0.9536</c:v>
                </c:pt>
                <c:pt idx="11">
                  <c:v>0.86409999999999998</c:v>
                </c:pt>
                <c:pt idx="12">
                  <c:v>0.77170000000000005</c:v>
                </c:pt>
                <c:pt idx="13">
                  <c:v>0.53029999999999999</c:v>
                </c:pt>
                <c:pt idx="14">
                  <c:v>0.44</c:v>
                </c:pt>
                <c:pt idx="15">
                  <c:v>0.48470000000000002</c:v>
                </c:pt>
                <c:pt idx="16">
                  <c:v>0.37180000000000002</c:v>
                </c:pt>
                <c:pt idx="17">
                  <c:v>0.13639999999999999</c:v>
                </c:pt>
                <c:pt idx="18">
                  <c:v>0.09</c:v>
                </c:pt>
                <c:pt idx="19">
                  <c:v>0.16830000000000001</c:v>
                </c:pt>
                <c:pt idx="20">
                  <c:v>0.19409999999999999</c:v>
                </c:pt>
                <c:pt idx="21">
                  <c:v>0.62280000000000002</c:v>
                </c:pt>
                <c:pt idx="22">
                  <c:v>0.30270000000000002</c:v>
                </c:pt>
                <c:pt idx="23">
                  <c:v>0.28170000000000001</c:v>
                </c:pt>
                <c:pt idx="24">
                  <c:v>0.88700000000000001</c:v>
                </c:pt>
                <c:pt idx="25">
                  <c:v>0.97040000000000004</c:v>
                </c:pt>
                <c:pt idx="26">
                  <c:v>0.51559999999999995</c:v>
                </c:pt>
                <c:pt idx="27">
                  <c:v>0.50880000000000003</c:v>
                </c:pt>
                <c:pt idx="28">
                  <c:v>0.74990000000000001</c:v>
                </c:pt>
                <c:pt idx="29">
                  <c:v>0.52649999999999997</c:v>
                </c:pt>
                <c:pt idx="30">
                  <c:v>0.85609999999999997</c:v>
                </c:pt>
                <c:pt idx="31">
                  <c:v>1.4422999999999999</c:v>
                </c:pt>
                <c:pt idx="32">
                  <c:v>1.4809000000000001</c:v>
                </c:pt>
                <c:pt idx="33">
                  <c:v>1.5922000000000001</c:v>
                </c:pt>
                <c:pt idx="34">
                  <c:v>1.6660999999999999</c:v>
                </c:pt>
                <c:pt idx="35">
                  <c:v>0.80920000000000003</c:v>
                </c:pt>
                <c:pt idx="36">
                  <c:v>1.8122</c:v>
                </c:pt>
                <c:pt idx="37">
                  <c:v>1.8845000000000001</c:v>
                </c:pt>
                <c:pt idx="38">
                  <c:v>1.9562999999999999</c:v>
                </c:pt>
                <c:pt idx="39">
                  <c:v>2.0276999999999998</c:v>
                </c:pt>
                <c:pt idx="40">
                  <c:v>0.95850000000000002</c:v>
                </c:pt>
                <c:pt idx="41">
                  <c:v>2.1692</c:v>
                </c:pt>
                <c:pt idx="42">
                  <c:v>1.095</c:v>
                </c:pt>
                <c:pt idx="43">
                  <c:v>2.3092999999999999</c:v>
                </c:pt>
                <c:pt idx="44">
                  <c:v>2.3788</c:v>
                </c:pt>
                <c:pt idx="45">
                  <c:v>2.4481000000000002</c:v>
                </c:pt>
                <c:pt idx="46">
                  <c:v>2.5169999999999999</c:v>
                </c:pt>
                <c:pt idx="47">
                  <c:v>1.4851000000000001</c:v>
                </c:pt>
                <c:pt idx="48">
                  <c:v>2.6541999999999999</c:v>
                </c:pt>
                <c:pt idx="49">
                  <c:v>2.7223999999999999</c:v>
                </c:pt>
                <c:pt idx="50">
                  <c:v>2.7904</c:v>
                </c:pt>
                <c:pt idx="51">
                  <c:v>2.8580999999999999</c:v>
                </c:pt>
                <c:pt idx="52">
                  <c:v>2.5670999999999999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20440</c:v>
                </c:pt>
                <c:pt idx="1">
                  <c:v>20420</c:v>
                </c:pt>
                <c:pt idx="2">
                  <c:v>20400</c:v>
                </c:pt>
                <c:pt idx="3">
                  <c:v>20380</c:v>
                </c:pt>
                <c:pt idx="4">
                  <c:v>20360</c:v>
                </c:pt>
                <c:pt idx="5">
                  <c:v>20340</c:v>
                </c:pt>
                <c:pt idx="6">
                  <c:v>20320</c:v>
                </c:pt>
                <c:pt idx="7">
                  <c:v>20300</c:v>
                </c:pt>
                <c:pt idx="8">
                  <c:v>20280</c:v>
                </c:pt>
                <c:pt idx="9">
                  <c:v>20260</c:v>
                </c:pt>
                <c:pt idx="10">
                  <c:v>20240</c:v>
                </c:pt>
                <c:pt idx="11">
                  <c:v>20220</c:v>
                </c:pt>
                <c:pt idx="12">
                  <c:v>20200</c:v>
                </c:pt>
                <c:pt idx="13">
                  <c:v>20180</c:v>
                </c:pt>
                <c:pt idx="14">
                  <c:v>20160</c:v>
                </c:pt>
                <c:pt idx="15">
                  <c:v>20140</c:v>
                </c:pt>
                <c:pt idx="16">
                  <c:v>20120</c:v>
                </c:pt>
                <c:pt idx="17">
                  <c:v>20100</c:v>
                </c:pt>
                <c:pt idx="18">
                  <c:v>20080</c:v>
                </c:pt>
                <c:pt idx="19">
                  <c:v>20060</c:v>
                </c:pt>
                <c:pt idx="20">
                  <c:v>20040</c:v>
                </c:pt>
                <c:pt idx="21">
                  <c:v>20020</c:v>
                </c:pt>
                <c:pt idx="22">
                  <c:v>20000</c:v>
                </c:pt>
                <c:pt idx="23">
                  <c:v>19980</c:v>
                </c:pt>
                <c:pt idx="24">
                  <c:v>19960</c:v>
                </c:pt>
                <c:pt idx="25">
                  <c:v>19940</c:v>
                </c:pt>
                <c:pt idx="26">
                  <c:v>19920</c:v>
                </c:pt>
                <c:pt idx="27">
                  <c:v>19900</c:v>
                </c:pt>
                <c:pt idx="28">
                  <c:v>19880</c:v>
                </c:pt>
                <c:pt idx="29">
                  <c:v>19860</c:v>
                </c:pt>
                <c:pt idx="30">
                  <c:v>19840</c:v>
                </c:pt>
                <c:pt idx="31">
                  <c:v>19820</c:v>
                </c:pt>
                <c:pt idx="32">
                  <c:v>19800</c:v>
                </c:pt>
                <c:pt idx="33">
                  <c:v>19780</c:v>
                </c:pt>
                <c:pt idx="34">
                  <c:v>19760</c:v>
                </c:pt>
                <c:pt idx="35">
                  <c:v>19740</c:v>
                </c:pt>
                <c:pt idx="36">
                  <c:v>19720</c:v>
                </c:pt>
                <c:pt idx="37">
                  <c:v>19700</c:v>
                </c:pt>
                <c:pt idx="38">
                  <c:v>19680</c:v>
                </c:pt>
                <c:pt idx="39">
                  <c:v>19660</c:v>
                </c:pt>
                <c:pt idx="40">
                  <c:v>19640</c:v>
                </c:pt>
                <c:pt idx="41">
                  <c:v>19620</c:v>
                </c:pt>
                <c:pt idx="42">
                  <c:v>19600</c:v>
                </c:pt>
                <c:pt idx="43">
                  <c:v>19580</c:v>
                </c:pt>
                <c:pt idx="44">
                  <c:v>19560</c:v>
                </c:pt>
                <c:pt idx="45">
                  <c:v>19540</c:v>
                </c:pt>
                <c:pt idx="46">
                  <c:v>19520</c:v>
                </c:pt>
                <c:pt idx="47">
                  <c:v>19500</c:v>
                </c:pt>
                <c:pt idx="48">
                  <c:v>19480</c:v>
                </c:pt>
                <c:pt idx="49">
                  <c:v>19460</c:v>
                </c:pt>
                <c:pt idx="50">
                  <c:v>19440</c:v>
                </c:pt>
                <c:pt idx="51">
                  <c:v>19420</c:v>
                </c:pt>
                <c:pt idx="52">
                  <c:v>19400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622016"/>
        <c:axId val="327632000"/>
      </c:scatterChart>
      <c:valAx>
        <c:axId val="32762201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27632000"/>
        <c:crosses val="autoZero"/>
        <c:crossBetween val="midCat"/>
      </c:valAx>
      <c:valAx>
        <c:axId val="3276320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276220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563.71640519697416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469.81373794456613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5826.8235213891576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493"/>
  <sheetViews>
    <sheetView tabSelected="1" zoomScale="70" zoomScaleNormal="70" workbookViewId="0">
      <pane xSplit="1" ySplit="2" topLeftCell="ES3" activePane="bottomRight" state="frozen"/>
      <selection pane="topRight" activeCell="B1" sqref="B1"/>
      <selection pane="bottomLeft" activeCell="A3" sqref="A3"/>
      <selection pane="bottomRight" activeCell="ET2" sqref="ET2"/>
    </sheetView>
  </sheetViews>
  <sheetFormatPr baseColWidth="10" defaultRowHeight="12.75" x14ac:dyDescent="0.2"/>
  <cols>
    <col min="1" max="1" width="12.140625" style="20" customWidth="1"/>
    <col min="2" max="5" width="11.5703125" style="20" customWidth="1"/>
    <col min="6" max="6" width="12" style="20" customWidth="1"/>
    <col min="7" max="7" width="8.28515625" style="1" customWidth="1"/>
    <col min="8" max="16" width="5.42578125" style="1" customWidth="1"/>
    <col min="17" max="18" width="2.140625" style="1" customWidth="1"/>
    <col min="19" max="24" width="7.140625" style="1" customWidth="1"/>
    <col min="25" max="25" width="4" style="1" customWidth="1"/>
    <col min="26" max="26" width="4.28515625" style="1" customWidth="1"/>
    <col min="27" max="32" width="7.140625" style="1" customWidth="1"/>
    <col min="33" max="33" width="5" style="1" customWidth="1"/>
    <col min="34" max="34" width="3" style="1" customWidth="1"/>
    <col min="35" max="35" width="4.28515625" style="1" customWidth="1"/>
    <col min="36" max="41" width="7.140625" style="1" customWidth="1"/>
    <col min="42" max="43" width="10.85546875" style="1" customWidth="1"/>
    <col min="44" max="44" width="3" style="1" customWidth="1"/>
    <col min="45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52.5703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1099</v>
      </c>
      <c r="F1" s="20">
        <f>+[1]Sheet1!$AD$2</f>
        <v>563.71640519697416</v>
      </c>
      <c r="G1" s="9" t="s">
        <v>11</v>
      </c>
      <c r="I1" s="103">
        <f ca="1">NOW()</f>
        <v>45779.70142928241</v>
      </c>
      <c r="J1" s="104"/>
      <c r="K1" s="104"/>
      <c r="L1" s="104"/>
      <c r="M1" s="104"/>
      <c r="N1" s="104"/>
      <c r="O1" s="104"/>
      <c r="P1" s="104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57</v>
      </c>
      <c r="AN1" s="21"/>
      <c r="AO1" s="21"/>
      <c r="AP1" s="21">
        <v>250502</v>
      </c>
      <c r="AQ1" s="21"/>
      <c r="AR1" s="21"/>
      <c r="AS1" s="22" t="str">
        <f>+B2</f>
        <v>250502</v>
      </c>
      <c r="AT1" s="22" t="str">
        <f>+AS1</f>
        <v>250502</v>
      </c>
      <c r="AU1" s="22" t="str">
        <f>+C2</f>
        <v>250509</v>
      </c>
      <c r="AV1" s="22" t="str">
        <f>+AU1</f>
        <v>250509</v>
      </c>
      <c r="AW1" s="22" t="str">
        <f>+D2</f>
        <v>250516</v>
      </c>
      <c r="AX1" s="22" t="str">
        <f>+AW1</f>
        <v>250516</v>
      </c>
      <c r="AY1" s="23">
        <f>+A3</f>
        <v>566.97</v>
      </c>
      <c r="BA1" s="22" t="str">
        <f>+AS1</f>
        <v>250502</v>
      </c>
      <c r="BB1" s="22"/>
      <c r="BC1" s="22" t="str">
        <f>+AU1</f>
        <v>250509</v>
      </c>
      <c r="BD1" s="22"/>
      <c r="BE1" s="22" t="str">
        <f>+AW1</f>
        <v>250516</v>
      </c>
      <c r="BF1" s="22">
        <f>+AY1</f>
        <v>566.97</v>
      </c>
      <c r="BG1" s="95"/>
      <c r="BH1" s="23" t="e">
        <f ca="1">MAX(BH4:BH38)</f>
        <v>#N/A</v>
      </c>
      <c r="BI1" s="1" t="str">
        <f ca="1">IFERROR(IF(MAX(BH4:BH38)&lt;&gt;0,INDEX(A4:A38,MATCH(MAX(BH4:BH38),BH4:BH38,0)),""),"")</f>
        <v/>
      </c>
      <c r="BJ1" s="22"/>
      <c r="BK1" s="22"/>
      <c r="BL1" s="22"/>
      <c r="BM1" s="22"/>
      <c r="BN1" s="22"/>
      <c r="BO1" s="22"/>
      <c r="BP1" s="64">
        <v>1</v>
      </c>
      <c r="BQ1" s="22" t="e">
        <f ca="1">IF(BR1&gt;BR2,IF(MAX(BQ4:BQ38)&lt;&gt;0,INDEX(A4:A38,MATCH(MAX(BQ4:BQ38),BQ4:BQ38,0)),A3),IF(MIN(BQ4:BQ38)&lt;&gt;0,INDEX(A4:A38,MATCH(MIN(BQ4:BQ38),BQ4:BQ38,0))))</f>
        <v>#NUM!</v>
      </c>
      <c r="BR1" s="22" t="e">
        <f ca="1">+MAX(BQ4:BQ38)</f>
        <v>#NUM!</v>
      </c>
      <c r="BS1" s="22">
        <f ca="1">IF(BT1&gt;BT2,IF(MAX(BS4:BS38)&lt;&gt;0,INDEX(A4:A38,MATCH(MAX(BS4:BS38),BS4:BS38,0)),A3),IF(MIN(BS4:BS38)&lt;&gt;0,INDEX(A4:A38,MATCH(MIN(BS4:BS38),BS4:BS38,0))))</f>
        <v>570</v>
      </c>
      <c r="BT1" s="22">
        <f ca="1">+MAX(BS4:BS38)</f>
        <v>70679998.080606699</v>
      </c>
      <c r="BU1" s="22">
        <f ca="1">IF(BV1&gt;BV2,IF(MAX(BU4:BU38)&lt;&gt;0,INDEX(A4:A38,MATCH(MAX(BU4:BU38),BU4:BU38,0)),A3),IF(MIN(BU4:BU38)&lt;&gt;0,INDEX(A4:A38,MATCH(MIN(BU4:BU38),BU4:BU38,0))))</f>
        <v>575</v>
      </c>
      <c r="BV1" s="22">
        <f ca="1">+MAX(BU4:BU38)</f>
        <v>477997366.59203714</v>
      </c>
      <c r="BX1" s="22" t="e">
        <f ca="1">IF(BY1&gt;BZ1,IF(MAX(BX4:BX38)&lt;&gt;0,INDEX(G4:G38,MATCH(MAX(BX4:BX38),BX4:BX38,0)),G3),IF(MIN(BX4:BX38)&lt;&gt;0,INDEX(G4:G38,MATCH(MIN(BX4:BX38),BX4:BX38,0))))</f>
        <v>#NUM!</v>
      </c>
      <c r="BY1" s="22" t="e">
        <f ca="1">+MAX(BX4:BX38)</f>
        <v>#NUM!</v>
      </c>
      <c r="BZ1" s="22" t="e">
        <f ca="1">ABS(MIN(BX4:BX38))</f>
        <v>#NUM!</v>
      </c>
      <c r="CA1" s="22"/>
      <c r="CB1" s="22"/>
      <c r="CC1" s="22" t="e">
        <f ca="1">+AVERAGE(BY39:BY40,CA39:CA40,CC39:CC40)</f>
        <v>#N/A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1391635</v>
      </c>
      <c r="CM1" s="22">
        <f>ABS(MIN(CK4:CK38))</f>
        <v>43458</v>
      </c>
      <c r="CN1" s="22"/>
      <c r="CO1" s="22"/>
      <c r="CP1" s="22"/>
      <c r="CQ1" s="22">
        <f>IF(CR1&gt;CS1,IF(MAX(CQ4:CQ38)&lt;&gt;0,INDEX(A4:A38,MATCH(MAX(CQ4:CQ38),CQ4:CQ38,0)),A3),IF(MIN(CQ4:CQ38)&lt;&gt;0,INDEX(A4:A38,MATCH(MIN(CQ4:CQ38),CQ4:CQ38,0))))</f>
        <v>570</v>
      </c>
      <c r="CR1" s="22">
        <f>+MAX(CQ4:CQ38)</f>
        <v>288497</v>
      </c>
      <c r="CS1" s="22">
        <f>ABS(MIN(CQ4:CQ38))</f>
        <v>216503</v>
      </c>
      <c r="CT1" s="22"/>
      <c r="CU1" s="22"/>
      <c r="CV1" s="22"/>
      <c r="CW1" s="22" t="e">
        <f ca="1">IF(CX1&gt;CY1,IF(MAX(CW4:CW38)&lt;&gt;0,INDEX(A4:A38,MATCH(MAX(CW4:CW38),CW4:CW38,0)),M3),IF(MIN(CW4:CW38)&lt;&gt;0,INDEX(A4:A38,MATCH(MIN(CW4:CW38),CW4:CW38,0))))</f>
        <v>#NUM!</v>
      </c>
      <c r="CX1" s="61" t="e">
        <f ca="1">+MAX(CW4:CW38)</f>
        <v>#NUM!</v>
      </c>
      <c r="CY1" s="22" t="e">
        <f ca="1">ABS(MIN(CW4:CW38))</f>
        <v>#NUM!</v>
      </c>
      <c r="DA1" s="22" t="str">
        <f>+B2</f>
        <v>250502</v>
      </c>
      <c r="DB1" s="22"/>
      <c r="DC1" s="22" t="str">
        <f>+DA1</f>
        <v>250502</v>
      </c>
      <c r="DD1" s="22"/>
      <c r="DE1" s="22" t="str">
        <f>+DC1</f>
        <v>250502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 t="s">
        <v>56</v>
      </c>
      <c r="DV1" s="22" t="s">
        <v>57</v>
      </c>
      <c r="DW1" s="22"/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45779.701429166664</v>
      </c>
      <c r="EL1" s="87">
        <f>B42+$DX$1</f>
        <v>45779.677083333336</v>
      </c>
      <c r="EM1" s="88">
        <f ca="1">+EL1-$EK$1</f>
        <v>-2.4345833327970468E-2</v>
      </c>
      <c r="EN1" s="87">
        <f>C42+$DX$1</f>
        <v>45786.677083333336</v>
      </c>
      <c r="EO1" s="88">
        <f ca="1">+EN1-$EK$1</f>
        <v>6.9756541666720295</v>
      </c>
      <c r="EP1" s="87">
        <f>D42+$DX$1</f>
        <v>45793.677083333336</v>
      </c>
      <c r="EQ1" s="88">
        <f ca="1">+EP1-$EK$1</f>
        <v>13.97565416667203</v>
      </c>
      <c r="ES1" s="66"/>
    </row>
    <row r="2" spans="1:162" ht="13.5" thickBot="1" x14ac:dyDescent="0.25">
      <c r="A2" s="24" t="s">
        <v>13</v>
      </c>
      <c r="B2" s="18" t="str">
        <f>+TEXT(B42,"YYMMDD")</f>
        <v>250502</v>
      </c>
      <c r="C2" s="18" t="str">
        <f>+TEXT(C42,"YYMMDD")</f>
        <v>250509</v>
      </c>
      <c r="D2" s="18" t="str">
        <f>+TEXT(D42,"YYMMDD")</f>
        <v>250516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 t="e">
        <f ca="1">ABS(+MIN(BQ4:BQ38))</f>
        <v>#NUM!</v>
      </c>
      <c r="BS2" s="22" t="s">
        <v>11</v>
      </c>
      <c r="BT2" s="25">
        <f ca="1">ABS(+MIN(BS4:BS38))</f>
        <v>19639547.131342001</v>
      </c>
      <c r="BU2" s="22" t="s">
        <v>11</v>
      </c>
      <c r="BV2" s="25">
        <f ca="1">ABS(+MIN(BU4:BU38))</f>
        <v>139510963.65440658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-2.4345833327970468E-2</v>
      </c>
      <c r="ET2" s="64" t="s">
        <v>22</v>
      </c>
    </row>
    <row r="3" spans="1:162" s="63" customFormat="1" ht="13.5" thickBot="1" x14ac:dyDescent="0.25">
      <c r="A3" s="26">
        <f>RTD("tos.rtd", ,"MARK", A2)</f>
        <v>566.97</v>
      </c>
      <c r="B3" s="27">
        <f>+AS3/AT3</f>
        <v>-2.098036026900596</v>
      </c>
      <c r="C3" s="27">
        <f>+AU3/AV3</f>
        <v>-2.8661452371868243</v>
      </c>
      <c r="D3" s="27">
        <f>+AW3/AX3</f>
        <v>-1.6532479217287768</v>
      </c>
      <c r="E3" s="28">
        <v>0</v>
      </c>
      <c r="F3" s="26">
        <f>RTD("tos.rtd", ,"MARK", F2)</f>
        <v>5709.75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2545010</v>
      </c>
      <c r="AQ3" s="1">
        <v>-2599556</v>
      </c>
      <c r="AR3" s="1"/>
      <c r="AS3" s="13">
        <f t="shared" ref="AS3:AX3" si="0">SUM(AS4:AS38)</f>
        <v>219314</v>
      </c>
      <c r="AT3" s="29">
        <f t="shared" si="0"/>
        <v>-104533</v>
      </c>
      <c r="AU3" s="13">
        <f t="shared" si="0"/>
        <v>90146</v>
      </c>
      <c r="AV3" s="29">
        <f t="shared" si="0"/>
        <v>-31452</v>
      </c>
      <c r="AW3" s="13">
        <f t="shared" si="0"/>
        <v>306861</v>
      </c>
      <c r="AX3" s="29">
        <f t="shared" si="0"/>
        <v>-185611</v>
      </c>
      <c r="AY3" s="29">
        <f>SUM(AY4:AY38)</f>
        <v>294725</v>
      </c>
      <c r="AZ3" s="1">
        <v>0</v>
      </c>
      <c r="BA3" s="13">
        <f t="shared" ref="BA3:BF3" si="1">SUM(BA4:BA38)</f>
        <v>2546624</v>
      </c>
      <c r="BB3" s="29">
        <f t="shared" si="1"/>
        <v>-2601146</v>
      </c>
      <c r="BC3" s="13">
        <f t="shared" si="1"/>
        <v>117292</v>
      </c>
      <c r="BD3" s="29">
        <f t="shared" si="1"/>
        <v>-175372</v>
      </c>
      <c r="BE3" s="13">
        <f t="shared" si="1"/>
        <v>88851</v>
      </c>
      <c r="BF3" s="29">
        <f t="shared" si="1"/>
        <v>-110278</v>
      </c>
      <c r="BG3" s="31"/>
      <c r="BH3" s="29" t="e">
        <f ca="1">SUM(BH4:BH38)</f>
        <v>#N/A</v>
      </c>
      <c r="BI3" s="1"/>
      <c r="BJ3" s="3" t="e">
        <f t="shared" ref="BJ3:BO3" ca="1" si="2">SUM(BJ4:BJ38)</f>
        <v>#NUM!</v>
      </c>
      <c r="BK3" s="3" t="e">
        <f t="shared" ca="1" si="2"/>
        <v>#NUM!</v>
      </c>
      <c r="BL3" s="3">
        <f t="shared" ca="1" si="2"/>
        <v>0.68078132823032089</v>
      </c>
      <c r="BM3" s="3">
        <f t="shared" ca="1" si="2"/>
        <v>-0.67760699387998102</v>
      </c>
      <c r="BN3" s="3">
        <f t="shared" ca="1" si="2"/>
        <v>0.67090455137350702</v>
      </c>
      <c r="BO3" s="3">
        <f t="shared" ca="1" si="2"/>
        <v>-0.67100872017429414</v>
      </c>
      <c r="BQ3" s="3" t="e">
        <f ca="1">SUM(BQ4:BQ38)</f>
        <v>#NUM!</v>
      </c>
      <c r="BR3" s="3"/>
      <c r="BS3" s="3">
        <f ca="1">SUM(BS4:BS38)</f>
        <v>412469518.82968187</v>
      </c>
      <c r="BT3" s="3"/>
      <c r="BU3" s="3">
        <f ca="1">SUM(BU4:BU38)</f>
        <v>927483561.26683867</v>
      </c>
      <c r="BV3" s="3"/>
      <c r="BX3" s="3" t="e">
        <f ca="1">SUM(BX4:BX38)</f>
        <v>#NUM!</v>
      </c>
      <c r="BY3" s="3"/>
      <c r="BZ3" s="3">
        <f ca="1">SUM(BZ4:BZ38)</f>
        <v>-184422738.47731668</v>
      </c>
      <c r="CA3" s="3"/>
      <c r="CB3" s="3">
        <f ca="1">SUM(CB4:CB38)</f>
        <v>-16404562.476665244</v>
      </c>
      <c r="CC3" s="3"/>
      <c r="CD3" s="3">
        <f t="shared" ref="CD3:CI3" si="3">SUM(CD4:CD38)</f>
        <v>19.440000000000001</v>
      </c>
      <c r="CE3" s="3">
        <f t="shared" si="3"/>
        <v>15.379999999999995</v>
      </c>
      <c r="CF3" s="3">
        <f t="shared" si="3"/>
        <v>18.64</v>
      </c>
      <c r="CG3" s="3">
        <f t="shared" si="3"/>
        <v>16.37</v>
      </c>
      <c r="CH3" s="3">
        <f t="shared" si="3"/>
        <v>18.700000000000003</v>
      </c>
      <c r="CI3" s="3">
        <f t="shared" si="3"/>
        <v>16.239999999999998</v>
      </c>
      <c r="CK3" s="3">
        <f>SUM(CK4:CK38)</f>
        <v>10554719</v>
      </c>
      <c r="CL3" s="3"/>
      <c r="CM3" s="3">
        <f>SUM(CM4:CM38)</f>
        <v>4202430</v>
      </c>
      <c r="CN3" s="3"/>
      <c r="CO3" s="3">
        <f>SUM(CO4:CO38)</f>
        <v>8987760</v>
      </c>
      <c r="CP3" s="3"/>
      <c r="CQ3" s="3">
        <f>SUM(CQ4:CQ38)</f>
        <v>-54522</v>
      </c>
      <c r="CR3" s="3"/>
      <c r="CS3" s="3">
        <f>SUM(CS4:CS38)</f>
        <v>-58080</v>
      </c>
      <c r="CT3" s="3"/>
      <c r="CU3" s="3">
        <f>SUM(CU4:CU38)</f>
        <v>-21427</v>
      </c>
      <c r="CV3" s="3"/>
      <c r="CW3" s="3" t="e">
        <f ca="1">SUM(CW4:CW38)</f>
        <v>#NUM!</v>
      </c>
      <c r="CY3" s="3" t="e">
        <f ca="1">SUM(CY4:CY38)</f>
        <v>#NUM!</v>
      </c>
      <c r="DA3" s="3">
        <f t="shared" ref="DA3:DF3" si="4">SUM(DA4:DA38)</f>
        <v>189.72</v>
      </c>
      <c r="DB3" s="3">
        <f t="shared" si="4"/>
        <v>119.11000000000008</v>
      </c>
      <c r="DC3" s="3">
        <f t="shared" si="4"/>
        <v>191.21999999999997</v>
      </c>
      <c r="DD3" s="3">
        <f t="shared" si="4"/>
        <v>122.96000000000008</v>
      </c>
      <c r="DE3" s="3">
        <f t="shared" si="4"/>
        <v>188.19</v>
      </c>
      <c r="DF3" s="3">
        <f t="shared" si="4"/>
        <v>118.97000000000001</v>
      </c>
      <c r="DG3" s="86"/>
      <c r="DH3" s="3">
        <f t="shared" ref="DH3:DM3" si="5">SUM(DH4:DH38)</f>
        <v>8.2404092338684176</v>
      </c>
      <c r="DI3" s="3">
        <f t="shared" si="5"/>
        <v>-317.91666666666663</v>
      </c>
      <c r="DJ3" s="3">
        <f t="shared" si="5"/>
        <v>-921</v>
      </c>
      <c r="DK3" s="3">
        <f t="shared" si="5"/>
        <v>1041</v>
      </c>
      <c r="DL3" s="3">
        <f t="shared" si="5"/>
        <v>-309.6762574327982</v>
      </c>
      <c r="DM3" s="3">
        <f t="shared" si="5"/>
        <v>120</v>
      </c>
      <c r="DP3" s="3">
        <f t="shared" ref="DP3:DS3" si="6">SUM(DP4:DP38)</f>
        <v>16.152165444247721</v>
      </c>
      <c r="DQ3" s="3">
        <f t="shared" si="6"/>
        <v>-244.09999999999991</v>
      </c>
      <c r="DR3" s="3" t="e">
        <f t="shared" ca="1" si="6"/>
        <v>#NUM!</v>
      </c>
      <c r="DS3" s="3">
        <f t="shared" si="6"/>
        <v>-452.83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7">SUM(EE4:EE38)</f>
        <v>17.6036</v>
      </c>
      <c r="EF3" s="3">
        <f t="shared" si="7"/>
        <v>28.941100000000002</v>
      </c>
      <c r="EG3" s="3">
        <f t="shared" si="7"/>
        <v>6.8150999999999993</v>
      </c>
      <c r="EH3" s="3">
        <f t="shared" si="7"/>
        <v>6.8588999999999993</v>
      </c>
      <c r="EI3" s="3">
        <f t="shared" si="7"/>
        <v>6.9214999999999991</v>
      </c>
      <c r="EJ3" s="3">
        <f t="shared" si="7"/>
        <v>6.9184999999999999</v>
      </c>
      <c r="EL3" s="3">
        <f t="shared" ref="EL3:EQ3" si="8">SUM(EL4:EL38)</f>
        <v>0</v>
      </c>
      <c r="EM3" s="3">
        <f t="shared" si="8"/>
        <v>0</v>
      </c>
      <c r="EN3" s="3">
        <f t="shared" si="8"/>
        <v>0</v>
      </c>
      <c r="EO3" s="3">
        <f t="shared" si="8"/>
        <v>0</v>
      </c>
      <c r="EP3" s="3">
        <f t="shared" si="8"/>
        <v>0</v>
      </c>
      <c r="EQ3" s="3">
        <f t="shared" si="8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ROUND(565/$A$39,0)*$A$39+17*$A$39</f>
        <v>582</v>
      </c>
      <c r="B4" s="3">
        <f t="shared" ref="B4:B38" si="9">+IF($A$1="ABS",AS4-AT4,AS4+AT4)</f>
        <v>1916</v>
      </c>
      <c r="C4" s="3">
        <f t="shared" ref="C4:C38" si="10">+IF($A$1="ABS",AU4-AV4,AU4+AV4)</f>
        <v>698</v>
      </c>
      <c r="D4" s="3">
        <f t="shared" ref="D4:D38" si="11">+IF($A$1="ABS",AW4-AX4,AW4+AX4)</f>
        <v>3949</v>
      </c>
      <c r="E4" s="3">
        <f t="shared" ref="E4:E38" si="12">SUM(B4:D4)</f>
        <v>6563</v>
      </c>
      <c r="F4" s="4">
        <f t="shared" ref="F4:F38" si="13">+$F$3/$A$3*A4</f>
        <v>5861.111699031695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138</v>
      </c>
      <c r="AN4" s="1">
        <v>10</v>
      </c>
      <c r="AO4" s="1">
        <v>582</v>
      </c>
      <c r="AP4" s="1">
        <v>886</v>
      </c>
      <c r="AQ4" s="1">
        <v>-12</v>
      </c>
      <c r="AR4" s="1"/>
      <c r="AS4" s="6">
        <f>IF(RTD("tos.rtd",,AS$2,"."&amp;$A$2&amp;$AS$1&amp;"C"&amp;$A4)="N/A",0,RTD("tos.rtd",,AS$2,"."&amp;$A$2&amp;$AS$1&amp;"C"&amp;$A4))</f>
        <v>1916</v>
      </c>
      <c r="AT4" s="7">
        <f>-IF(RTD("tos.rtd",,AT$2,"."&amp;$A$2&amp;$AS$1&amp;"P"&amp;$A4)="N/A",0,RTD("tos.rtd",,AT$2,"."&amp;$A$2&amp;$AS$1&amp;"P"&amp;$A4))</f>
        <v>0</v>
      </c>
      <c r="AU4" s="6">
        <f>IF(RTD("tos.rtd",,AU$2,"."&amp;$A$2&amp;$AU$1&amp;"C"&amp;$A4)="N/A",0,RTD("tos.rtd",,AU$2,"."&amp;$A$2&amp;$AU$1&amp;"C"&amp;$A4))</f>
        <v>697</v>
      </c>
      <c r="AV4" s="7">
        <f>-IF(RTD("tos.rtd",,AV$2,"."&amp;$A$2&amp;$AU$1&amp;"P"&amp;$A4)="N/A",0,RTD("tos.rtd",,AV$2,"."&amp;$A$2&amp;$AU$1&amp;"P"&amp;$A4))</f>
        <v>-1</v>
      </c>
      <c r="AW4" s="6">
        <f>IF(RTD("tos.rtd",,AW$2,"."&amp;$A$2&amp;$AW$1&amp;"C"&amp;$A4)="N/A",0,RTD("tos.rtd",,AW$2,"."&amp;$A$2&amp;$AW$1&amp;"C"&amp;$A4))</f>
        <v>3948</v>
      </c>
      <c r="AX4" s="7">
        <f>-IF(RTD("tos.rtd",,AX$2,"."&amp;$A$2&amp;$AW$1&amp;"P"&amp;$A4)="N/A",0,RTD("tos.rtd",,AX$2,"."&amp;$A$2&amp;$AW$1&amp;"P"&amp;$A4))</f>
        <v>-1</v>
      </c>
      <c r="AY4" s="1">
        <f>SUM(AS4:AX4)</f>
        <v>6559</v>
      </c>
      <c r="AZ4" s="8">
        <f>+A4</f>
        <v>582</v>
      </c>
      <c r="BA4" s="30">
        <f>IF(RTD("tos.rtd",,BA$2,"."&amp;$A$2&amp;$AS$1&amp;"C"&amp;$A4)="N/A",0,RTD("tos.rtd",,BA$2,"."&amp;$A$2&amp;$AS$1&amp;"C"&amp;$A4))</f>
        <v>886</v>
      </c>
      <c r="BB4" s="31">
        <f>-IF(RTD("tos.rtd",,BB$2,"."&amp;$A$2&amp;$AS$1&amp;"P"&amp;$A4)="N/A",0,RTD("tos.rtd",,BB$2,"."&amp;$A$2&amp;$AS$1&amp;"P"&amp;$A4))</f>
        <v>-12</v>
      </c>
      <c r="BC4" s="30">
        <f>IF(RTD("tos.rtd",,BC$2,"."&amp;$A$2&amp;$AU$1&amp;"C"&amp;$A4)="N/A",0,RTD("tos.rtd",,BC$2,"."&amp;$A$2&amp;$AU$1&amp;"C"&amp;$A4))</f>
        <v>1282</v>
      </c>
      <c r="BD4" s="31">
        <f>-IF(RTD("tos.rtd",,BD$2,"."&amp;$A$2&amp;$AU$1&amp;"P"&amp;$A4)="N/A",0,RTD("tos.rtd",,BD$2,"."&amp;$A$2&amp;$AU$1&amp;"P"&amp;$A4))</f>
        <v>-3</v>
      </c>
      <c r="BE4" s="30">
        <f>IF(RTD("tos.rtd",,BE$2,"."&amp;$A$2&amp;$AW$1&amp;"C"&amp;$A4)="N/A",0,RTD("tos.rtd",,BE$2,"."&amp;$A$2&amp;$AW$1&amp;"C"&amp;$A4))</f>
        <v>717</v>
      </c>
      <c r="BF4" s="99">
        <f>-IF(RTD("tos.rtd",,BF$2,"."&amp;$A$2&amp;$AW$1&amp;"P"&amp;$A4)="N/A",0,RTD("tos.rtd",,BF$2,"."&amp;$A$2&amp;$AW$1&amp;"P"&amp;$A4))</f>
        <v>-1</v>
      </c>
      <c r="BG4" s="32" t="e">
        <f ca="1">+Hoja2!Y5</f>
        <v>#N/A</v>
      </c>
      <c r="BH4" s="31" t="e">
        <f ca="1">SUM(BA4:BG4)</f>
        <v>#N/A</v>
      </c>
      <c r="BI4" s="8"/>
      <c r="BJ4" s="3" t="e">
        <f ca="1">IF($BP$1=1,DX4,IF(RTD("tos.rtd",,BJ$2,"."&amp;$A$2&amp;$AS$1&amp;"C"&amp;$A4)="N/A",0,RTD("tos.rtd",,BJ$2,"."&amp;$A$2&amp;$AS$1&amp;"C"&amp;$A4)))</f>
        <v>#NUM!</v>
      </c>
      <c r="BK4" s="3" t="e">
        <f ca="1">IF($BP$1=1,DY4,-IF(RTD("tos.rtd",,BK$2,"."&amp;$A$2&amp;$AS$1&amp;"P"&amp;$A4)="N/A",0,RTD("tos.rtd",,BK$2,"."&amp;$A$2&amp;$AS$1&amp;"P"&amp;$A4)))</f>
        <v>#NUM!</v>
      </c>
      <c r="BL4" s="3">
        <f ca="1">IF($BP$1=1,DZ4,IF(RTD("tos.rtd",,BL$2,"."&amp;$A$2&amp;$AU$1&amp;"C"&amp;$A4)="N/A",0,RTD("tos.rtd",,BL$2,"."&amp;$A$2&amp;$AU$1&amp;"C"&amp;$A4)))</f>
        <v>1.7235849421340637E-2</v>
      </c>
      <c r="BM4" s="3">
        <f ca="1">IF($BP$1=1,EA4,-IF(RTD("tos.rtd",,BM$2,"."&amp;$A$2&amp;$AU$1&amp;"P"&amp;$A4)="N/A",0,RTD("tos.rtd",,BM$2,"."&amp;$A$2&amp;$AU$1&amp;"P"&amp;$A4)))</f>
        <v>-1.7202559537233712E-2</v>
      </c>
      <c r="BN4" s="3">
        <f ca="1">IF($BP$1=1,EB4,IF(RTD("tos.rtd",,BN$2,"."&amp;$A$2&amp;$AW$1&amp;"C"&amp;$A4)="N/A",0,RTD("tos.rtd",,BN$2,"."&amp;$A$2&amp;$AW$1&amp;"C"&amp;$A4)))</f>
        <v>1.7184943147120692E-2</v>
      </c>
      <c r="BO4" s="3">
        <f ca="1">IF($BP$1=1,EC4,-IF(RTD("tos.rtd",,BO$2,"."&amp;$A$2&amp;$AW$1&amp;"P"&amp;$A4)="N/A",0,RTD("tos.rtd",,BO$2,"."&amp;$A$2&amp;$AW$1&amp;"P"&amp;$A4)))</f>
        <v>-1.7094255341462927E-2</v>
      </c>
      <c r="BQ4" s="3" t="e">
        <f ca="1">+$A$3*$A$3*AS4*BJ4-$A$3*$A$3*AT4*BK4</f>
        <v>#NUM!</v>
      </c>
      <c r="BR4" s="3"/>
      <c r="BS4" s="3">
        <f ca="1">+$A$3*$A$3*AU4*BL4-$A$3*$A$3*AV4*BM4</f>
        <v>3856233.2551855622</v>
      </c>
      <c r="BT4" s="3"/>
      <c r="BU4" s="3">
        <f ca="1">+$A$3*$A$3*AW4*BN4-$A$3*$A$3*AX4*BO4</f>
        <v>21803989.601278272</v>
      </c>
      <c r="BV4" s="3"/>
      <c r="BX4" s="3" t="e">
        <f t="shared" ref="BX4" ca="1" si="14">+$A$3*$A$3*BA4*BJ4-$A$3*$A$3*BB4*BK4</f>
        <v>#NUM!</v>
      </c>
      <c r="BY4" s="3"/>
      <c r="BZ4" s="3">
        <f t="shared" ref="BZ4" ca="1" si="15">+$A$3*$A$3*BC4*BL4-$A$3*$A$3*BD4*BM4</f>
        <v>7086395.1015120307</v>
      </c>
      <c r="CA4" s="3"/>
      <c r="CB4" s="3">
        <f t="shared" ref="CB4" ca="1" si="16">+$A$3*$A$3*BE4*BN4-$A$3*$A$3*BF4*BO4</f>
        <v>3955346.0209725276</v>
      </c>
      <c r="CC4" s="3"/>
      <c r="CD4" s="3">
        <f>IF(RTD("tos.rtd",,CD$2,"."&amp;$A$2&amp;$AS$1&amp;"C"&amp;$A4)="N/A",0,RTD("tos.rtd",,CD$2,"."&amp;$A$2&amp;$AS$1&amp;"C"&amp;$A4))</f>
        <v>0</v>
      </c>
      <c r="CE4" s="3">
        <f>-IF(RTD("tos.rtd",,CE$2,"."&amp;$A$2&amp;$AS$1&amp;"P"&amp;$A4)="N/A",0,RTD("tos.rtd",,CE$2,"."&amp;$A$2&amp;$AS$1&amp;"P"&amp;$A4))</f>
        <v>0.95</v>
      </c>
      <c r="CF4" s="3">
        <f>IF(RTD("tos.rtd",,CF$2,"."&amp;$A$2&amp;$AU$1&amp;"C"&amp;$A4)="N/A",0,RTD("tos.rtd",,CF$2,"."&amp;$A$2&amp;$AU$1&amp;"C"&amp;$A4))</f>
        <v>0.12</v>
      </c>
      <c r="CG4" s="3">
        <f>-IF(RTD("tos.rtd",,CG$2,"."&amp;$A$2&amp;$AU$1&amp;"P"&amp;$A4)="N/A",0,RTD("tos.rtd",,CG$2,"."&amp;$A$2&amp;$AU$1&amp;"P"&amp;$A4))</f>
        <v>0.88</v>
      </c>
      <c r="CH4" s="3">
        <f>IF(RTD("tos.rtd",,CH$2,"."&amp;$A$2&amp;$AW$1&amp;"C"&amp;$A4)="N/A",0,RTD("tos.rtd",,CH$2,"."&amp;$A$2&amp;$AW$1&amp;"C"&amp;$A4))</f>
        <v>0.22</v>
      </c>
      <c r="CI4" s="3">
        <f>-IF(RTD("tos.rtd",,CI$2,"."&amp;$A$2&amp;$AW$1&amp;"P"&amp;$A4)="N/A",0,RTD("tos.rtd",,CI$2,"."&amp;$A$2&amp;$AW$1&amp;"P"&amp;$A4))</f>
        <v>0.78</v>
      </c>
      <c r="CK4" s="3">
        <f t="shared" ref="CK4:CK38" si="17">+AS4*CD4*100+AT4*CE4*100</f>
        <v>0</v>
      </c>
      <c r="CL4" s="3"/>
      <c r="CM4" s="3">
        <f t="shared" ref="CM4:CM38" si="18">+AU4*CF4*100+AV4*CG4*100</f>
        <v>8276</v>
      </c>
      <c r="CN4" s="3"/>
      <c r="CO4" s="3">
        <f t="shared" ref="CO4:CO38" si="19">+AW4*CH4*100+AX4*CI4*100</f>
        <v>86778</v>
      </c>
      <c r="CP4" s="3">
        <f>+CK4+CM4+CO4</f>
        <v>95054</v>
      </c>
      <c r="CQ4" s="3">
        <f>+BA4+BB4</f>
        <v>874</v>
      </c>
      <c r="CR4" s="3"/>
      <c r="CS4" s="3">
        <f t="shared" ref="CS4:CS38" si="20">+BC4+BD4</f>
        <v>1279</v>
      </c>
      <c r="CT4" s="3"/>
      <c r="CU4" s="3">
        <f t="shared" ref="CU4:CU38" si="21">+BE4+BF4</f>
        <v>716</v>
      </c>
      <c r="CV4" s="3">
        <f>+CQ4+CS4+CU4</f>
        <v>2869</v>
      </c>
      <c r="CW4" s="3" t="e">
        <f ca="1">+BQ4+BS4+BU4</f>
        <v>#NUM!</v>
      </c>
      <c r="CX4" s="85"/>
      <c r="CY4" s="3" t="e">
        <f ca="1">+BX4+BZ4+CB4</f>
        <v>#NUM!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15.02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15.24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14.86</v>
      </c>
      <c r="DG4" s="86">
        <f>+$A4-$A$3</f>
        <v>15.029999999999973</v>
      </c>
      <c r="DH4" s="3">
        <f t="shared" ref="DH4:DH38" si="22">((DA4-DE4)/(DC4-DE4))*(BA4-AP4)</f>
        <v>0</v>
      </c>
      <c r="DI4" s="3">
        <f>((DB4-DF4)/(DD4-DF4))*(BB4-AQ4)</f>
        <v>0</v>
      </c>
      <c r="DJ4" s="3">
        <f>IF(DA4&gt;=(DE4+(DC4-DE4)*0.6),(BA4-AP4),IF(DA4&lt;=(DE4+(DC4-DE4)*0.4),-(BA4-AP4),0))</f>
        <v>0</v>
      </c>
      <c r="DK4" s="3">
        <f>IF(DB4&lt;=(DF4+(DD4-DF4)*0.4),-(BB4-AQ4),IF(DB4&gt;=(DF4+(DD4-DF4)*0.6),(BB4-AQ4),0))</f>
        <v>0</v>
      </c>
      <c r="DL4" s="3">
        <f>+DH4+DI4</f>
        <v>0</v>
      </c>
      <c r="DM4" s="3">
        <f>+DJ4+DK4</f>
        <v>0</v>
      </c>
      <c r="DN4" s="63" t="str">
        <f>IF(AND(DA4&gt;=(DE4+(DC4-DE4)*0.6),BA4&gt;AP4),"BUY",IF(AND(DA4&lt;=(DE4+(DC4-DE4)*0.4),BA4&gt;AP4),"SELL","UNKNOWN"))</f>
        <v>UNKNOWN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0</v>
      </c>
      <c r="DQ4" s="3">
        <f>+DA4*DJ4+DB4*DK4</f>
        <v>0</v>
      </c>
      <c r="DR4" s="3" t="e">
        <f ca="1">+BJ4*DJ4+BK4*DK4</f>
        <v>#NUM!</v>
      </c>
      <c r="DS4" s="3">
        <f>+CD4*DJ4+CE4*DK4</f>
        <v>0</v>
      </c>
      <c r="DT4" s="3">
        <f>BA4-VLOOKUP(AZ4,$AO$4:$AQ$38,2,FALSE)</f>
        <v>0</v>
      </c>
      <c r="DU4" s="3">
        <f>BB4-VLOOKUP(AZ4,$AO$4:$AQ$38,3,FALSE)</f>
        <v>0</v>
      </c>
      <c r="DV4" s="3">
        <f>AM4+IF(DN4="BUY",DT4,IF(DN4="SELL",-DT4,0))</f>
        <v>138</v>
      </c>
      <c r="DW4" s="3">
        <f t="shared" ref="DW4:DW38" si="23">AN4+IF(DO4="BUY",DU4,IF(DO4="SELL",-DU4,0))</f>
        <v>10</v>
      </c>
      <c r="DX4" s="3" t="e">
        <f t="shared" ref="DX4:DX38" ca="1" si="24">(EXP(-POWER((LN($A$3/$A4)+($EC$1+POWER($EE4,2)/2)*($EM$1/$DY$1))/($EE4*SQRT($EM$1/$DY$1)),2)/2)/SQRT(2*PI())/($A$3*$EE4*SQRT($EM$1/$DY$1)))</f>
        <v>#NUM!</v>
      </c>
      <c r="DY4" s="3" t="e">
        <f t="shared" ref="DY4:DY38" ca="1" si="25">-(EXP(-POWER((LN($A$3/$A4)+($EC$1+POWER($EF4,2)/2)*($EM$1/$DY$1))/($EF4*SQRT($EM$1/$DY$1)),2)/2)/SQRT(2*PI())/($A$3*$EF4*SQRT($EM$1/$DY$1)))</f>
        <v>#NUM!</v>
      </c>
      <c r="DZ4" s="3">
        <f t="shared" ref="DZ4:DZ38" ca="1" si="26">(EXP(-POWER((LN($A$3/$A4)+($EC$1+POWER($EG4,2)/2)*($EO$1/$DY$1))/($EG4*SQRT($EO$1/$DY$1)),2)/2)/SQRT(2*PI())/($A$3*$EG4*SQRT($EO$1/$DY$1)))</f>
        <v>1.7235849421340637E-2</v>
      </c>
      <c r="EA4" s="3">
        <f t="shared" ref="EA4:EA38" ca="1" si="27">-(EXP(-POWER((LN($A$3/$A4)+($EC$1+POWER($EH4,2)/2)*($EO$1/$DY$1))/($EH4*SQRT($EO$1/$DY$1)),2)/2)/SQRT(2*PI())/($A$3*$EH4*SQRT($EO$1/$DY$1)))</f>
        <v>-1.7202559537233712E-2</v>
      </c>
      <c r="EB4" s="3">
        <f t="shared" ref="EB4:EB38" ca="1" si="28">(EXP(-POWER((LN($A$3/$A4)+($EC$1+POWER($EI4,2)/2)*($EO$1/$DY$1))/($EI4*SQRT($EO$1/$DY$1)),2)/2)/SQRT(2*PI())/($A$3*$EI4*SQRT($EO$1/$DY$1)))</f>
        <v>1.7184943147120692E-2</v>
      </c>
      <c r="EC4" s="3">
        <f t="shared" ref="EC4:EC38" ca="1" si="29">-(EXP(-POWER((LN($A$3/$A4)+($EC$1+POWER($EJ4,2)/2)*($EO$1/$DY$1))/($EJ4*SQRT($EO$1/$DY$1)),2)/2)/SQRT(2*PI())/($A$3*$EJ4*SQRT($EO$1/$DY$1)))</f>
        <v>-1.7094255341462927E-2</v>
      </c>
      <c r="EE4" s="59">
        <f>IFERROR(VALUE(IF(OR(EL4="--",EL4="0.00%"),$EE$1,EL4)),$EE$1)</f>
        <v>1.2618</v>
      </c>
      <c r="EF4" s="59">
        <f t="shared" ref="EF4:EF38" si="30">IFERROR(VALUE(IF(OR(EM4="--",EM4="0.00%"),$EE$1,EM4)),$EE$1)</f>
        <v>1.8055000000000001</v>
      </c>
      <c r="EG4" s="59">
        <f t="shared" ref="EG4:EG38" si="31">IFERROR(VALUE(IF(OR(EN4="--",EN4="0.00%"),$EE$1,EN4)),$EE$1)</f>
        <v>0.158</v>
      </c>
      <c r="EH4" s="59">
        <f t="shared" ref="EH4:EH38" si="32">IFERROR(VALUE(IF(OR(EO4="--",EO4="0.00%"),$EE$1,EO4)),$EE$1)</f>
        <v>0.16239999999999999</v>
      </c>
      <c r="EI4" s="59">
        <f t="shared" ref="EI4:EI38" si="33">IFERROR(VALUE(IF(OR(EP4="--",EP4="0.00%"),$EE$1,EP4)),$EE$1)</f>
        <v>0.16400000000000001</v>
      </c>
      <c r="EJ4" s="59">
        <f t="shared" ref="EJ4:EJ38" si="34">IFERROR(VALUE(IF(OR(EQ4="--",EQ4="0.00%"),$EE$1,EQ4)),$EE$1)</f>
        <v>0.1701</v>
      </c>
      <c r="EL4" s="3" t="str">
        <f>RTD("tos.rtd",,EL$2,"."&amp;$A$2&amp;$AS$1&amp;"C"&amp;$A4)</f>
        <v>126.18%</v>
      </c>
      <c r="EM4" s="3" t="str">
        <f>RTD("tos.rtd",,EM$2,"."&amp;$A$2&amp;$AS$1&amp;"P"&amp;$A4)</f>
        <v>180.55%</v>
      </c>
      <c r="EN4" s="3" t="str">
        <f>RTD("tos.rtd",,EN$2,"."&amp;$A$2&amp;$AU$1&amp;"C"&amp;$A4)</f>
        <v>15.80%</v>
      </c>
      <c r="EO4" s="3" t="str">
        <f>RTD("tos.rtd",,EO$2,"."&amp;$A$2&amp;$AU$1&amp;"P"&amp;$A4)</f>
        <v>16.24%</v>
      </c>
      <c r="EP4" s="3" t="str">
        <f>RTD("tos.rtd",,EP$2,"."&amp;$A$2&amp;$AW$1&amp;"C"&amp;$A4)</f>
        <v>16.40%</v>
      </c>
      <c r="EQ4" s="3" t="str">
        <f>RTD("tos.rtd",,EQ$2,"."&amp;$A$2&amp;$AW$1&amp;"P"&amp;$A4)</f>
        <v>17.01%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IF(ISNUMBER(DV4+DW4), (DV4+DW4),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IF(ISNUMBER(DV4+DW4), (DV4+DW4), 0)
        )))),
    "00.00")
)</f>
        <v>582,00.00</v>
      </c>
      <c r="EU4" s="101">
        <f>+A3</f>
        <v>566.97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</f>
        <v>2025-05-02 16:50:00,,,,,575,,,,,,,,</v>
      </c>
      <c r="EW4" s="67">
        <f>+A44</f>
        <v>488.96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</f>
        <v>2025-05-02 16:50:00,,,,,485,,,,,,,,</v>
      </c>
      <c r="EY4" s="67">
        <f>+A84</f>
        <v>5685.75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</f>
        <v>2025-05-02 16:50:00,,,,,5650,,,,,,,,</v>
      </c>
      <c r="FA4" s="67">
        <f>+A136</f>
        <v>20092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</f>
        <v>2025-05-02 16:50:00,,,,,20000,,,,,,,,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</f>
        <v>2025-05-02 16:50:00,,,-309.676257432798,120,16.1521654442477,-244.1,,-452.83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</f>
        <v>2025-05-02 16:50:00,,,-432.705827460482,-878,100.74874968503,-475.82,,-143.12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</f>
        <v>2025-05-02 16:50:00,,,0,0,0,0,,0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</f>
        <v>2025-05-02 16:50:00,,,,0,,0,,0</v>
      </c>
    </row>
    <row r="5" spans="1:162" s="63" customFormat="1" ht="13.5" thickBot="1" x14ac:dyDescent="0.25">
      <c r="A5" s="2">
        <f>+A4-$A$39</f>
        <v>581</v>
      </c>
      <c r="B5" s="3">
        <f t="shared" si="9"/>
        <v>2553</v>
      </c>
      <c r="C5" s="3">
        <f t="shared" si="10"/>
        <v>859</v>
      </c>
      <c r="D5" s="3">
        <f t="shared" si="11"/>
        <v>4044</v>
      </c>
      <c r="E5" s="3">
        <f>SUM(B5:D5)</f>
        <v>7456</v>
      </c>
      <c r="F5" s="4">
        <f>+$F$3/$A$3*A5</f>
        <v>5851.0410603735645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-630</v>
      </c>
      <c r="AN5" s="1">
        <v>0</v>
      </c>
      <c r="AO5" s="1">
        <v>581</v>
      </c>
      <c r="AP5" s="1">
        <v>1892</v>
      </c>
      <c r="AQ5" s="1">
        <v>-30</v>
      </c>
      <c r="AR5" s="1"/>
      <c r="AS5" s="6">
        <f>IF(RTD("tos.rtd",,AS$2,"."&amp;$A$2&amp;$AS$1&amp;"C"&amp;$A5)="N/A",0,RTD("tos.rtd",,AS$2,"."&amp;$A$2&amp;$AS$1&amp;"C"&amp;$A5))</f>
        <v>2553</v>
      </c>
      <c r="AT5" s="7">
        <f>-IF(RTD("tos.rtd",,AT$2,"."&amp;$A$2&amp;$AS$1&amp;"P"&amp;$A5)="N/A",0,RTD("tos.rtd",,AT$2,"."&amp;$A$2&amp;$AS$1&amp;"P"&amp;$A5))</f>
        <v>0</v>
      </c>
      <c r="AU5" s="6">
        <f>IF(RTD("tos.rtd",,AU$2,"."&amp;$A$2&amp;$AU$1&amp;"C"&amp;$A5)="N/A",0,RTD("tos.rtd",,AU$2,"."&amp;$A$2&amp;$AU$1&amp;"C"&amp;$A5))</f>
        <v>852</v>
      </c>
      <c r="AV5" s="7">
        <f>-IF(RTD("tos.rtd",,AV$2,"."&amp;$A$2&amp;$AU$1&amp;"P"&amp;$A5)="N/A",0,RTD("tos.rtd",,AV$2,"."&amp;$A$2&amp;$AU$1&amp;"P"&amp;$A5))</f>
        <v>-7</v>
      </c>
      <c r="AW5" s="6">
        <f>IF(RTD("tos.rtd",,AW$2,"."&amp;$A$2&amp;$AW$1&amp;"C"&amp;$A5)="N/A",0,RTD("tos.rtd",,AW$2,"."&amp;$A$2&amp;$AW$1&amp;"C"&amp;$A5))</f>
        <v>4017</v>
      </c>
      <c r="AX5" s="7">
        <f>-IF(RTD("tos.rtd",,AX$2,"."&amp;$A$2&amp;$AW$1&amp;"P"&amp;$A5)="N/A",0,RTD("tos.rtd",,AX$2,"."&amp;$A$2&amp;$AW$1&amp;"P"&amp;$A5))</f>
        <v>-27</v>
      </c>
      <c r="AY5" s="1">
        <f>SUM(AS5:AX5)</f>
        <v>7388</v>
      </c>
      <c r="AZ5" s="8">
        <f t="shared" ref="AZ5:AZ38" si="35">+A5</f>
        <v>581</v>
      </c>
      <c r="BA5" s="6">
        <f>IF(RTD("tos.rtd",,BA$2,"."&amp;$A$2&amp;$AS$1&amp;"C"&amp;$A5)="N/A",0,RTD("tos.rtd",,BA$2,"."&amp;$A$2&amp;$AS$1&amp;"C"&amp;$A5))</f>
        <v>1892</v>
      </c>
      <c r="BB5" s="7">
        <f>-IF(RTD("tos.rtd",,BB$2,"."&amp;$A$2&amp;$AS$1&amp;"P"&amp;$A5)="N/A",0,RTD("tos.rtd",,BB$2,"."&amp;$A$2&amp;$AS$1&amp;"P"&amp;$A5))</f>
        <v>-30</v>
      </c>
      <c r="BC5" s="6">
        <f>IF(RTD("tos.rtd",,BC$2,"."&amp;$A$2&amp;$AU$1&amp;"C"&amp;$A5)="N/A",0,RTD("tos.rtd",,BC$2,"."&amp;$A$2&amp;$AU$1&amp;"C"&amp;$A5))</f>
        <v>1221</v>
      </c>
      <c r="BD5" s="7">
        <f>-IF(RTD("tos.rtd",,BD$2,"."&amp;$A$2&amp;$AU$1&amp;"P"&amp;$A5)="N/A",0,RTD("tos.rtd",,BD$2,"."&amp;$A$2&amp;$AU$1&amp;"P"&amp;$A5))</f>
        <v>-25</v>
      </c>
      <c r="BE5" s="6">
        <f>IF(RTD("tos.rtd",,BE$2,"."&amp;$A$2&amp;$AW$1&amp;"C"&amp;$A5)="N/A",0,RTD("tos.rtd",,BE$2,"."&amp;$A$2&amp;$AW$1&amp;"C"&amp;$A5))</f>
        <v>667</v>
      </c>
      <c r="BF5" s="83">
        <f>-IF(RTD("tos.rtd",,BF$2,"."&amp;$A$2&amp;$AW$1&amp;"P"&amp;$A5)="N/A",0,RTD("tos.rtd",,BF$2,"."&amp;$A$2&amp;$AW$1&amp;"P"&amp;$A5))</f>
        <v>-2</v>
      </c>
      <c r="BG5" s="32" t="e">
        <f ca="1">+Hoja2!Y6</f>
        <v>#N/A</v>
      </c>
      <c r="BH5" s="7" t="e">
        <f t="shared" ref="BH5:BH38" ca="1" si="36">SUM(BA5:BG5)</f>
        <v>#N/A</v>
      </c>
      <c r="BI5" s="8" t="e">
        <f ca="1">IF(AND(BH5&lt;0,BH4&gt;0), "Cruce -", IF(AND(BH5&gt;0,BH4&lt;0),"Cruce +", ""))</f>
        <v>#N/A</v>
      </c>
      <c r="BJ5" s="3" t="e">
        <f ca="1">IF($BP$1=1,DX5,IF(RTD("tos.rtd",,BJ$2,"."&amp;$A$2&amp;$AS$1&amp;"C"&amp;$A5)="N/A",0,RTD("tos.rtd",,BJ$2,"."&amp;$A$2&amp;$AS$1&amp;"C"&amp;$A5)))</f>
        <v>#NUM!</v>
      </c>
      <c r="BK5" s="3" t="e">
        <f ca="1">IF($BP$1=1,DY5,-IF(RTD("tos.rtd",,BK$2,"."&amp;$A$2&amp;$AS$1&amp;"P"&amp;$A5)="N/A",0,RTD("tos.rtd",,BK$2,"."&amp;$A$2&amp;$AS$1&amp;"P"&amp;$A5)))</f>
        <v>#NUM!</v>
      </c>
      <c r="BL5" s="3">
        <f ca="1">IF($BP$1=1,DZ5,IF(RTD("tos.rtd",,BL$2,"."&amp;$A$2&amp;$AU$1&amp;"C"&amp;$A5)="N/A",0,RTD("tos.rtd",,BL$2,"."&amp;$A$2&amp;$AU$1&amp;"C"&amp;$A5)))</f>
        <v>1.833268024501801E-2</v>
      </c>
      <c r="BM5" s="3">
        <f ca="1">IF($BP$1=1,EA5,-IF(RTD("tos.rtd",,BM$2,"."&amp;$A$2&amp;$AU$1&amp;"P"&amp;$A5)="N/A",0,RTD("tos.rtd",,BM$2,"."&amp;$A$2&amp;$AU$1&amp;"P"&amp;$A5)))</f>
        <v>-1.8242237509832605E-2</v>
      </c>
      <c r="BN5" s="3">
        <f ca="1">IF($BP$1=1,EB5,IF(RTD("tos.rtd",,BN$2,"."&amp;$A$2&amp;$AW$1&amp;"C"&amp;$A5)="N/A",0,RTD("tos.rtd",,BN$2,"."&amp;$A$2&amp;$AW$1&amp;"C"&amp;$A5)))</f>
        <v>1.8172953207780972E-2</v>
      </c>
      <c r="BO5" s="3">
        <f ca="1">IF($BP$1=1,EC5,-IF(RTD("tos.rtd",,BO$2,"."&amp;$A$2&amp;$AW$1&amp;"P"&amp;$A5)="N/A",0,RTD("tos.rtd",,BO$2,"."&amp;$A$2&amp;$AW$1&amp;"P"&amp;$A5)))</f>
        <v>-1.8011249555665555E-2</v>
      </c>
      <c r="BQ5" s="3" t="e">
        <f t="shared" ref="BQ5:BQ38" ca="1" si="37">+$A$3*$A$3*AS5*BJ5-$A$3*$A$3*AT5*BK5</f>
        <v>#NUM!</v>
      </c>
      <c r="BR5" s="3" t="e">
        <f ca="1">IF(AND(BQ5&lt;0,BQ4&gt;0), "Cruce -", IF(AND(BQ5&gt;0,BQ4&lt;0),"Cruce +", ""))</f>
        <v>#NUM!</v>
      </c>
      <c r="BS5" s="3">
        <f t="shared" ref="BS5:BS38" ca="1" si="38">+$A$3*$A$3*AU5*BL5-$A$3*$A$3*AV5*BM5</f>
        <v>4979899.5272908024</v>
      </c>
      <c r="BT5" s="3" t="str">
        <f ca="1">IF(AND(BS5&lt;0,BS4&gt;0), "Cruce -", IF(AND(BS5&gt;0,BS4&lt;0),"Cruce +", ""))</f>
        <v/>
      </c>
      <c r="BU5" s="3">
        <f t="shared" ref="BU5:BU38" ca="1" si="39">+$A$3*$A$3*AW5*BN5-$A$3*$A$3*AX5*BO5</f>
        <v>23310130.913951125</v>
      </c>
      <c r="BV5" s="3" t="str">
        <f ca="1">IF(AND(BU5&lt;0,BU4&gt;0), "Cruce -", IF(AND(BU5&gt;0,BU4&lt;0),"Cruce +", ""))</f>
        <v/>
      </c>
      <c r="BX5" s="3" t="e">
        <f t="shared" ref="BX5:BX38" ca="1" si="40">+$A$3*$A$3*BA5*BJ5-$A$3*$A$3*BB5*BK5</f>
        <v>#NUM!</v>
      </c>
      <c r="BY5" s="3" t="e">
        <f ca="1">IF(AND(BX5&lt;0,BX4&gt;0), "Cruce -", IF(AND(BX5&gt;0,BX4&lt;0),"Cruce +", ""))</f>
        <v>#NUM!</v>
      </c>
      <c r="BZ5" s="3">
        <f t="shared" ref="BZ5:BZ38" ca="1" si="41">+$A$3*$A$3*BC5*BL5-$A$3*$A$3*BD5*BM5</f>
        <v>7048911.9597904431</v>
      </c>
      <c r="CA5" s="3" t="str">
        <f ca="1">IF(AND(BZ5&lt;0,BZ4&gt;0), "Cruce -", IF(AND(BZ5&gt;0,BZ4&lt;0),"Cruce +", ""))</f>
        <v/>
      </c>
      <c r="CB5" s="3">
        <f t="shared" ref="CB5:CB38" ca="1" si="42">+$A$3*$A$3*BE5*BN5-$A$3*$A$3*BF5*BO5</f>
        <v>3884891.8678808487</v>
      </c>
      <c r="CC5" s="3" t="str">
        <f ca="1">IF(AND(CB5&lt;0,CB4&gt;0), "Cruce -", IF(AND(CB5&gt;0,CB4&lt;0),"Cruce +", ""))</f>
        <v/>
      </c>
      <c r="CD5" s="3">
        <f>IF(RTD("tos.rtd",,CD$2,"."&amp;$A$2&amp;$AS$1&amp;"C"&amp;$A5)="N/A",0,RTD("tos.rtd",,CD$2,"."&amp;$A$2&amp;$AS$1&amp;"C"&amp;$A5))</f>
        <v>0</v>
      </c>
      <c r="CE5" s="3">
        <f>-IF(RTD("tos.rtd",,CE$2,"."&amp;$A$2&amp;$AS$1&amp;"P"&amp;$A5)="N/A",0,RTD("tos.rtd",,CE$2,"."&amp;$A$2&amp;$AS$1&amp;"P"&amp;$A5))</f>
        <v>0.95</v>
      </c>
      <c r="CF5" s="3">
        <f>IF(RTD("tos.rtd",,CF$2,"."&amp;$A$2&amp;$AU$1&amp;"C"&amp;$A5)="N/A",0,RTD("tos.rtd",,CF$2,"."&amp;$A$2&amp;$AU$1&amp;"C"&amp;$A5))</f>
        <v>0.14000000000000001</v>
      </c>
      <c r="CG5" s="3">
        <f>-IF(RTD("tos.rtd",,CG$2,"."&amp;$A$2&amp;$AU$1&amp;"P"&amp;$A5)="N/A",0,RTD("tos.rtd",,CG$2,"."&amp;$A$2&amp;$AU$1&amp;"P"&amp;$A5))</f>
        <v>0.86</v>
      </c>
      <c r="CH5" s="3">
        <f>IF(RTD("tos.rtd",,CH$2,"."&amp;$A$2&amp;$AW$1&amp;"C"&amp;$A5)="N/A",0,RTD("tos.rtd",,CH$2,"."&amp;$A$2&amp;$AW$1&amp;"C"&amp;$A5))</f>
        <v>0.24</v>
      </c>
      <c r="CI5" s="3">
        <f>-IF(RTD("tos.rtd",,CI$2,"."&amp;$A$2&amp;$AW$1&amp;"P"&amp;$A5)="N/A",0,RTD("tos.rtd",,CI$2,"."&amp;$A$2&amp;$AW$1&amp;"P"&amp;$A5))</f>
        <v>0.76</v>
      </c>
      <c r="CK5" s="3">
        <f t="shared" si="17"/>
        <v>0</v>
      </c>
      <c r="CL5" s="3"/>
      <c r="CM5" s="3">
        <f t="shared" si="18"/>
        <v>11326.000000000002</v>
      </c>
      <c r="CN5" s="3"/>
      <c r="CO5" s="3">
        <f t="shared" si="19"/>
        <v>94356</v>
      </c>
      <c r="CP5" s="3">
        <f t="shared" ref="CP5:CP38" si="43">+CK5+CM5+CO5</f>
        <v>105682</v>
      </c>
      <c r="CQ5" s="3">
        <f t="shared" ref="CQ5:CQ38" si="44">+BA5+BB5</f>
        <v>1862</v>
      </c>
      <c r="CR5" s="3"/>
      <c r="CS5" s="3">
        <f t="shared" si="20"/>
        <v>1196</v>
      </c>
      <c r="CT5" s="3"/>
      <c r="CU5" s="3">
        <f t="shared" si="21"/>
        <v>665</v>
      </c>
      <c r="CV5" s="3">
        <f t="shared" ref="CV5:CV38" si="45">+CQ5+CS5+CU5</f>
        <v>3723</v>
      </c>
      <c r="CW5" s="3" t="e">
        <f t="shared" ref="CW5:CW38" ca="1" si="46">+BQ5+BS5+BU5</f>
        <v>#NUM!</v>
      </c>
      <c r="CX5" s="85" t="e">
        <f ca="1">IF(AND(CW5&lt;0,CW4&gt;0), "Cruce -", IF(AND(CW5&gt;0,CW4&lt;0),"Cruce +", ""))</f>
        <v>#NUM!</v>
      </c>
      <c r="CY5" s="3" t="e">
        <f t="shared" ref="CY5:CY38" ca="1" si="47">+BX5+BZ5+CB5</f>
        <v>#NUM!</v>
      </c>
      <c r="CZ5" s="85" t="e">
        <f ca="1">IF(AND(CY5&lt;0,CY4&gt;0), "Cruce -", IF(AND(CY5&gt;0,CY4&lt;0),"Cruce +", ""))</f>
        <v>#NUM!</v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14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14.24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13.86</v>
      </c>
      <c r="DG5" s="86">
        <f t="shared" ref="DG5:DG38" si="48">+$A5-$A$3</f>
        <v>14.029999999999973</v>
      </c>
      <c r="DH5" s="3">
        <f t="shared" si="22"/>
        <v>0</v>
      </c>
      <c r="DI5" s="3">
        <f t="shared" ref="DI5:DI38" si="49">((DB5-DF5)/(DD5-DF5))*(BB5-AQ5)</f>
        <v>0</v>
      </c>
      <c r="DJ5" s="3">
        <f t="shared" ref="DJ5:DJ38" si="50">IF(DA5&gt;=(DE5+(DC5-DE5)*0.6),(BA5-AP5),IF(DA5&lt;=(DE5+(DC5-DE5)*0.4),-(BA5-AP5),0))</f>
        <v>0</v>
      </c>
      <c r="DK5" s="3">
        <f t="shared" ref="DK5:DK38" si="51">IF(DB5&lt;=(DF5+(DD5-DF5)*0.4),-(BB5-AQ5),IF(DB5&gt;=(DF5+(DD5-DF5)*0.6),(BB5-AQ5),0))</f>
        <v>0</v>
      </c>
      <c r="DL5" s="3">
        <f t="shared" ref="DL5:DL38" si="52">+DH5+DI5</f>
        <v>0</v>
      </c>
      <c r="DM5" s="3">
        <f t="shared" ref="DM5:DM38" si="53">+DJ5+DK5</f>
        <v>0</v>
      </c>
      <c r="DN5" s="63" t="str">
        <f t="shared" ref="DN5:DN38" si="54">IF(AND(DA5&gt;=(DE5+(DC5-DE5)*0.6),BA5&gt;AP5),"BUY",IF(AND(DA5&lt;=(DE5+(DC5-DE5)*0.4),BA5&gt;AP5),"SELL","UNKNOWN"))</f>
        <v>UNKNOWN</v>
      </c>
      <c r="DO5" s="63" t="str">
        <f t="shared" ref="DO5:DO38" si="55">IF(AND(DB5&gt;=(DF5+(DD5-DF5)*0.6),ABS(BB5)&gt;ABS(AQ5)),"BUY",IF(AND(DB5&lt;=(DF5+(DD5-DF5)*0.4),ABS(BB5)&gt;ABS(AQ5)),"SELL","UNKNOWN"))</f>
        <v>UNKNOWN</v>
      </c>
      <c r="DP5" s="3">
        <f t="shared" ref="DP5:DP38" si="56">+DH5*DA5+DI5*DB5</f>
        <v>0</v>
      </c>
      <c r="DQ5" s="3">
        <f t="shared" ref="DQ5:DQ38" si="57">+DA5*DJ5+DB5*DK5</f>
        <v>0</v>
      </c>
      <c r="DR5" s="3" t="e">
        <f t="shared" ref="DR5:DR38" ca="1" si="58">+BJ5*DJ5+BK5*DK5</f>
        <v>#NUM!</v>
      </c>
      <c r="DS5" s="3">
        <f t="shared" ref="DS5:DS38" si="59">+CD5*DJ5+CE5*DK5</f>
        <v>0</v>
      </c>
      <c r="DT5" s="3">
        <f t="shared" ref="DT5:DT38" si="60">BA5-VLOOKUP(AZ5,$AO$4:$AQ$38,2,FALSE)</f>
        <v>0</v>
      </c>
      <c r="DU5" s="3">
        <f t="shared" ref="DU5:DU38" si="61">BB5-VLOOKUP(AZ5,$AO$4:$AQ$38,3,FALSE)</f>
        <v>0</v>
      </c>
      <c r="DV5" s="3">
        <f t="shared" ref="DV5:DV38" si="62">AM5+IF(DN5="BUY",DT5,IF(DN5="SELL",-DT5,0))</f>
        <v>-630</v>
      </c>
      <c r="DW5" s="3">
        <f t="shared" si="23"/>
        <v>0</v>
      </c>
      <c r="DX5" s="3" t="e">
        <f t="shared" ca="1" si="24"/>
        <v>#NUM!</v>
      </c>
      <c r="DY5" s="3" t="e">
        <f t="shared" ca="1" si="25"/>
        <v>#NUM!</v>
      </c>
      <c r="DZ5" s="3">
        <f t="shared" ca="1" si="26"/>
        <v>1.833268024501801E-2</v>
      </c>
      <c r="EA5" s="3">
        <f t="shared" ca="1" si="27"/>
        <v>-1.8242237509832605E-2</v>
      </c>
      <c r="EB5" s="3">
        <f t="shared" ca="1" si="28"/>
        <v>1.8172953207780972E-2</v>
      </c>
      <c r="EC5" s="3">
        <f t="shared" ca="1" si="29"/>
        <v>-1.8011249555665555E-2</v>
      </c>
      <c r="EE5" s="59">
        <f t="shared" ref="EE5:EE38" si="63">IFERROR(VALUE(IF(OR(EL5="--",EL5="0.00%"),$EE$1,EL5)),$EE$1)</f>
        <v>1.1869000000000001</v>
      </c>
      <c r="EF5" s="59">
        <f t="shared" si="30"/>
        <v>1.6890000000000001</v>
      </c>
      <c r="EG5" s="59">
        <f t="shared" si="31"/>
        <v>0.15870000000000001</v>
      </c>
      <c r="EH5" s="59">
        <f t="shared" si="32"/>
        <v>0.16270000000000001</v>
      </c>
      <c r="EI5" s="59">
        <f t="shared" si="33"/>
        <v>0.16539999999999999</v>
      </c>
      <c r="EJ5" s="59">
        <f t="shared" si="34"/>
        <v>0.17100000000000001</v>
      </c>
      <c r="EL5" s="3" t="str">
        <f>RTD("tos.rtd",,EL$2,"."&amp;$A$2&amp;$AS$1&amp;"C"&amp;$A5)</f>
        <v>118.69%</v>
      </c>
      <c r="EM5" s="3" t="str">
        <f>RTD("tos.rtd",,EM$2,"."&amp;$A$2&amp;$AS$1&amp;"P"&amp;$A5)</f>
        <v>168.90%</v>
      </c>
      <c r="EN5" s="3" t="str">
        <f>RTD("tos.rtd",,EN$2,"."&amp;$A$2&amp;$AU$1&amp;"C"&amp;$A5)</f>
        <v>15.87%</v>
      </c>
      <c r="EO5" s="3" t="str">
        <f>RTD("tos.rtd",,EO$2,"."&amp;$A$2&amp;$AU$1&amp;"P"&amp;$A5)</f>
        <v>16.27%</v>
      </c>
      <c r="EP5" s="3" t="str">
        <f>RTD("tos.rtd",,EP$2,"."&amp;$A$2&amp;$AW$1&amp;"C"&amp;$A5)</f>
        <v>16.54%</v>
      </c>
      <c r="EQ5" s="3" t="str">
        <f>RTD("tos.rtd",,EQ$2,"."&amp;$A$2&amp;$AW$1&amp;"P"&amp;$A5)</f>
        <v>17.10%</v>
      </c>
      <c r="ET5" s="63" t="str">
        <f t="shared" ref="ET5:ET38" ca="1" si="64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IF(ISNUMBER(DV5+DW5), (DV5+DW5),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IF(ISNUMBER(DV5+DW5), (DV5+DW5), 0)
        )))),
    "00.00")
)</f>
        <v>581,00.00</v>
      </c>
      <c r="EU5" s="67">
        <v>560.84</v>
      </c>
      <c r="EV5" s="67" t="s">
        <v>59</v>
      </c>
      <c r="EW5" s="67">
        <v>482.69</v>
      </c>
      <c r="EX5" s="67" t="s">
        <v>60</v>
      </c>
      <c r="EY5" s="67">
        <v>5623.75</v>
      </c>
      <c r="EZ5" s="67" t="s">
        <v>61</v>
      </c>
      <c r="FA5" s="67">
        <v>19832.25</v>
      </c>
      <c r="FB5" s="67" t="s">
        <v>62</v>
      </c>
      <c r="FC5" s="67" t="s">
        <v>63</v>
      </c>
      <c r="FD5" s="67" t="s">
        <v>64</v>
      </c>
      <c r="FE5" s="67" t="s">
        <v>65</v>
      </c>
      <c r="FF5" s="67" t="s">
        <v>66</v>
      </c>
    </row>
    <row r="6" spans="1:162" s="63" customFormat="1" ht="13.5" thickBot="1" x14ac:dyDescent="0.25">
      <c r="A6" s="2">
        <f t="shared" ref="A6:A38" si="65">+A5-$A$39</f>
        <v>580</v>
      </c>
      <c r="B6" s="3">
        <f t="shared" si="9"/>
        <v>11711</v>
      </c>
      <c r="C6" s="3">
        <f t="shared" si="10"/>
        <v>3837</v>
      </c>
      <c r="D6" s="3">
        <f t="shared" si="11"/>
        <v>33733</v>
      </c>
      <c r="E6" s="3">
        <f>SUM(B6:D6)</f>
        <v>49281</v>
      </c>
      <c r="F6" s="4">
        <f>+$F$3/$A$3*A6</f>
        <v>5840.9704217154349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1534</v>
      </c>
      <c r="AN6" s="1">
        <v>-38</v>
      </c>
      <c r="AO6" s="1">
        <v>580</v>
      </c>
      <c r="AP6" s="1">
        <v>8566</v>
      </c>
      <c r="AQ6" s="1">
        <v>-253</v>
      </c>
      <c r="AR6" s="1"/>
      <c r="AS6" s="6">
        <f>IF(RTD("tos.rtd",,AS$2,"."&amp;$A$2&amp;$AS$1&amp;"C"&amp;$A6)="N/A",0,RTD("tos.rtd",,AS$2,"."&amp;$A$2&amp;$AS$1&amp;"C"&amp;$A6))</f>
        <v>11698</v>
      </c>
      <c r="AT6" s="7">
        <f>-IF(RTD("tos.rtd",,AT$2,"."&amp;$A$2&amp;$AS$1&amp;"P"&amp;$A6)="N/A",0,RTD("tos.rtd",,AT$2,"."&amp;$A$2&amp;$AS$1&amp;"P"&amp;$A6))</f>
        <v>-13</v>
      </c>
      <c r="AU6" s="6">
        <f>IF(RTD("tos.rtd",,AU$2,"."&amp;$A$2&amp;$AU$1&amp;"C"&amp;$A6)="N/A",0,RTD("tos.rtd",,AU$2,"."&amp;$A$2&amp;$AU$1&amp;"C"&amp;$A6))</f>
        <v>3644</v>
      </c>
      <c r="AV6" s="7">
        <f>-IF(RTD("tos.rtd",,AV$2,"."&amp;$A$2&amp;$AU$1&amp;"P"&amp;$A6)="N/A",0,RTD("tos.rtd",,AV$2,"."&amp;$A$2&amp;$AU$1&amp;"P"&amp;$A6))</f>
        <v>-193</v>
      </c>
      <c r="AW6" s="6">
        <f>IF(RTD("tos.rtd",,AW$2,"."&amp;$A$2&amp;$AW$1&amp;"C"&amp;$A6)="N/A",0,RTD("tos.rtd",,AW$2,"."&amp;$A$2&amp;$AW$1&amp;"C"&amp;$A6))</f>
        <v>32141</v>
      </c>
      <c r="AX6" s="7">
        <f>-IF(RTD("tos.rtd",,AX$2,"."&amp;$A$2&amp;$AW$1&amp;"P"&amp;$A6)="N/A",0,RTD("tos.rtd",,AX$2,"."&amp;$A$2&amp;$AW$1&amp;"P"&amp;$A6))</f>
        <v>-1592</v>
      </c>
      <c r="AY6" s="1">
        <f t="shared" ref="AY6:AY38" si="66">SUM(AS6:AX6)</f>
        <v>45685</v>
      </c>
      <c r="AZ6" s="8">
        <f t="shared" si="35"/>
        <v>580</v>
      </c>
      <c r="BA6" s="6">
        <f>IF(RTD("tos.rtd",,BA$2,"."&amp;$A$2&amp;$AS$1&amp;"C"&amp;$A6)="N/A",0,RTD("tos.rtd",,BA$2,"."&amp;$A$2&amp;$AS$1&amp;"C"&amp;$A6))</f>
        <v>8566</v>
      </c>
      <c r="BB6" s="7">
        <f>-IF(RTD("tos.rtd",,BB$2,"."&amp;$A$2&amp;$AS$1&amp;"P"&amp;$A6)="N/A",0,RTD("tos.rtd",,BB$2,"."&amp;$A$2&amp;$AS$1&amp;"P"&amp;$A6))</f>
        <v>-253</v>
      </c>
      <c r="BC6" s="6">
        <f>IF(RTD("tos.rtd",,BC$2,"."&amp;$A$2&amp;$AU$1&amp;"C"&amp;$A6)="N/A",0,RTD("tos.rtd",,BC$2,"."&amp;$A$2&amp;$AU$1&amp;"C"&amp;$A6))</f>
        <v>9507</v>
      </c>
      <c r="BD6" s="7">
        <f>-IF(RTD("tos.rtd",,BD$2,"."&amp;$A$2&amp;$AU$1&amp;"P"&amp;$A6)="N/A",0,RTD("tos.rtd",,BD$2,"."&amp;$A$2&amp;$AU$1&amp;"P"&amp;$A6))</f>
        <v>-243</v>
      </c>
      <c r="BE6" s="6">
        <f>IF(RTD("tos.rtd",,BE$2,"."&amp;$A$2&amp;$AW$1&amp;"C"&amp;$A6)="N/A",0,RTD("tos.rtd",,BE$2,"."&amp;$A$2&amp;$AW$1&amp;"C"&amp;$A6))</f>
        <v>15854</v>
      </c>
      <c r="BF6" s="83">
        <f>-IF(RTD("tos.rtd",,BF$2,"."&amp;$A$2&amp;$AW$1&amp;"P"&amp;$A6)="N/A",0,RTD("tos.rtd",,BF$2,"."&amp;$A$2&amp;$AW$1&amp;"P"&amp;$A6))</f>
        <v>-272</v>
      </c>
      <c r="BG6" s="32" t="e">
        <f ca="1">+Hoja2!Y7</f>
        <v>#N/A</v>
      </c>
      <c r="BH6" s="7" t="e">
        <f t="shared" ca="1" si="36"/>
        <v>#N/A</v>
      </c>
      <c r="BI6" s="8" t="e">
        <f t="shared" ref="BI6" ca="1" si="67">IF(AND(BH6&lt;0,BH5&gt;0), "Cruce -", IF(AND(BH6&gt;0,BH5&lt;0),"Cruce +", ""))</f>
        <v>#N/A</v>
      </c>
      <c r="BJ6" s="3" t="e">
        <f ca="1">IF($BP$1=1,DX6,IF(RTD("tos.rtd",,BJ$2,"."&amp;$A$2&amp;$AS$1&amp;"C"&amp;$A6)="N/A",0,RTD("tos.rtd",,BJ$2,"."&amp;$A$2&amp;$AS$1&amp;"C"&amp;$A6)))</f>
        <v>#NUM!</v>
      </c>
      <c r="BK6" s="3" t="e">
        <f ca="1">IF($BP$1=1,DY6,-IF(RTD("tos.rtd",,BK$2,"."&amp;$A$2&amp;$AS$1&amp;"P"&amp;$A6)="N/A",0,RTD("tos.rtd",,BK$2,"."&amp;$A$2&amp;$AS$1&amp;"P"&amp;$A6)))</f>
        <v>#NUM!</v>
      </c>
      <c r="BL6" s="3">
        <f ca="1">IF($BP$1=1,DZ6,IF(RTD("tos.rtd",,BL$2,"."&amp;$A$2&amp;$AU$1&amp;"C"&amp;$A6)="N/A",0,RTD("tos.rtd",,BL$2,"."&amp;$A$2&amp;$AU$1&amp;"C"&amp;$A6)))</f>
        <v>1.9359742690863956E-2</v>
      </c>
      <c r="BM6" s="3">
        <f ca="1">IF($BP$1=1,EA6,-IF(RTD("tos.rtd",,BM$2,"."&amp;$A$2&amp;$AU$1&amp;"P"&amp;$A6)="N/A",0,RTD("tos.rtd",,BM$2,"."&amp;$A$2&amp;$AU$1&amp;"P"&amp;$A6)))</f>
        <v>-1.9240544200345402E-2</v>
      </c>
      <c r="BN6" s="3">
        <f ca="1">IF($BP$1=1,EB6,IF(RTD("tos.rtd",,BN$2,"."&amp;$A$2&amp;$AW$1&amp;"C"&amp;$A6)="N/A",0,RTD("tos.rtd",,BN$2,"."&amp;$A$2&amp;$AW$1&amp;"C"&amp;$A6)))</f>
        <v>1.9102808657741933E-2</v>
      </c>
      <c r="BO6" s="3">
        <f ca="1">IF($BP$1=1,EC6,-IF(RTD("tos.rtd",,BO$2,"."&amp;$A$2&amp;$AW$1&amp;"P"&amp;$A6)="N/A",0,RTD("tos.rtd",,BO$2,"."&amp;$A$2&amp;$AW$1&amp;"P"&amp;$A6)))</f>
        <v>-1.8893621009711786E-2</v>
      </c>
      <c r="BQ6" s="3" t="e">
        <f t="shared" ca="1" si="37"/>
        <v>#NUM!</v>
      </c>
      <c r="BR6" s="3" t="e">
        <f t="shared" ref="BR6:BT38" ca="1" si="68">IF(AND(BQ6&lt;0,BQ5&gt;0), "Cruce -", IF(AND(BQ6&gt;0,BQ5&lt;0),"Cruce +", ""))</f>
        <v>#NUM!</v>
      </c>
      <c r="BS6" s="3">
        <f t="shared" ca="1" si="38"/>
        <v>21483954.180152085</v>
      </c>
      <c r="BT6" s="3" t="str">
        <f t="shared" ca="1" si="68"/>
        <v/>
      </c>
      <c r="BU6" s="3">
        <f t="shared" ca="1" si="39"/>
        <v>187699083.32199943</v>
      </c>
      <c r="BV6" s="3" t="str">
        <f t="shared" ref="BV6" ca="1" si="69">IF(AND(BU6&lt;0,BU5&gt;0), "Cruce -", IF(AND(BU6&gt;0,BU5&lt;0),"Cruce +", ""))</f>
        <v/>
      </c>
      <c r="BX6" s="3" t="e">
        <f t="shared" ca="1" si="40"/>
        <v>#NUM!</v>
      </c>
      <c r="BY6" s="3" t="e">
        <f t="shared" ref="BY6:BY38" ca="1" si="70">IF(AND(BX6&lt;0,BX5&gt;0), "Cruce -", IF(AND(BX6&gt;0,BX5&lt;0),"Cruce +", ""))</f>
        <v>#NUM!</v>
      </c>
      <c r="BZ6" s="3">
        <f t="shared" ca="1" si="41"/>
        <v>57661829.900036111</v>
      </c>
      <c r="CA6" s="3" t="str">
        <f t="shared" ref="CA6:CA38" ca="1" si="71">IF(AND(BZ6&lt;0,BZ5&gt;0), "Cruce -", IF(AND(BZ6&gt;0,BZ5&lt;0),"Cruce +", ""))</f>
        <v/>
      </c>
      <c r="CB6" s="3">
        <f t="shared" ca="1" si="42"/>
        <v>95702568.684529871</v>
      </c>
      <c r="CC6" s="3" t="str">
        <f t="shared" ref="CC6:CC38" ca="1" si="72">IF(AND(CB6&lt;0,CB5&gt;0), "Cruce -", IF(AND(CB6&gt;0,CB5&lt;0),"Cruce +", ""))</f>
        <v/>
      </c>
      <c r="CD6" s="3">
        <f>IF(RTD("tos.rtd",,CD$2,"."&amp;$A$2&amp;$AS$1&amp;"C"&amp;$A6)="N/A",0,RTD("tos.rtd",,CD$2,"."&amp;$A$2&amp;$AS$1&amp;"C"&amp;$A6))</f>
        <v>0</v>
      </c>
      <c r="CE6" s="3">
        <f>-IF(RTD("tos.rtd",,CE$2,"."&amp;$A$2&amp;$AS$1&amp;"P"&amp;$A6)="N/A",0,RTD("tos.rtd",,CE$2,"."&amp;$A$2&amp;$AS$1&amp;"P"&amp;$A6))</f>
        <v>0.95</v>
      </c>
      <c r="CF6" s="3">
        <f>IF(RTD("tos.rtd",,CF$2,"."&amp;$A$2&amp;$AU$1&amp;"C"&amp;$A6)="N/A",0,RTD("tos.rtd",,CF$2,"."&amp;$A$2&amp;$AU$1&amp;"C"&amp;$A6))</f>
        <v>0.16</v>
      </c>
      <c r="CG6" s="3">
        <f>-IF(RTD("tos.rtd",,CG$2,"."&amp;$A$2&amp;$AU$1&amp;"P"&amp;$A6)="N/A",0,RTD("tos.rtd",,CG$2,"."&amp;$A$2&amp;$AU$1&amp;"P"&amp;$A6))</f>
        <v>0.84</v>
      </c>
      <c r="CH6" s="3">
        <f>IF(RTD("tos.rtd",,CH$2,"."&amp;$A$2&amp;$AW$1&amp;"C"&amp;$A6)="N/A",0,RTD("tos.rtd",,CH$2,"."&amp;$A$2&amp;$AW$1&amp;"C"&amp;$A6))</f>
        <v>0.26</v>
      </c>
      <c r="CI6" s="3">
        <f>-IF(RTD("tos.rtd",,CI$2,"."&amp;$A$2&amp;$AW$1&amp;"P"&amp;$A6)="N/A",0,RTD("tos.rtd",,CI$2,"."&amp;$A$2&amp;$AW$1&amp;"P"&amp;$A6))</f>
        <v>0.74</v>
      </c>
      <c r="CK6" s="3">
        <f t="shared" si="17"/>
        <v>-1235</v>
      </c>
      <c r="CL6" s="3"/>
      <c r="CM6" s="3">
        <f t="shared" si="18"/>
        <v>42092</v>
      </c>
      <c r="CN6" s="3"/>
      <c r="CO6" s="3">
        <f t="shared" si="19"/>
        <v>717858</v>
      </c>
      <c r="CP6" s="3">
        <f t="shared" si="43"/>
        <v>758715</v>
      </c>
      <c r="CQ6" s="3">
        <f t="shared" si="44"/>
        <v>8313</v>
      </c>
      <c r="CR6" s="3"/>
      <c r="CS6" s="3">
        <f t="shared" si="20"/>
        <v>9264</v>
      </c>
      <c r="CT6" s="3"/>
      <c r="CU6" s="3">
        <f t="shared" si="21"/>
        <v>15582</v>
      </c>
      <c r="CV6" s="3">
        <f t="shared" si="45"/>
        <v>33159</v>
      </c>
      <c r="CW6" s="3" t="e">
        <f t="shared" ca="1" si="46"/>
        <v>#NUM!</v>
      </c>
      <c r="CX6" s="85" t="e">
        <f t="shared" ref="CX6:CX38" ca="1" si="73">IF(AND(CW6&lt;0,CW5&gt;0), "Cruce -", IF(AND(CW6&gt;0,CW5&lt;0),"Cruce +", ""))</f>
        <v>#NUM!</v>
      </c>
      <c r="CY6" s="3" t="e">
        <f t="shared" ca="1" si="47"/>
        <v>#NUM!</v>
      </c>
      <c r="CZ6" s="85" t="e">
        <f t="shared" ref="CZ6:CZ38" ca="1" si="74">IF(AND(CY6&lt;0,CY5&gt;0), "Cruce -", IF(AND(CY6&gt;0,CY5&lt;0),"Cruce +", ""))</f>
        <v>#NUM!</v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13.5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13.24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12.86</v>
      </c>
      <c r="DG6" s="86">
        <f t="shared" si="48"/>
        <v>13.029999999999973</v>
      </c>
      <c r="DH6" s="3">
        <f t="shared" si="22"/>
        <v>0</v>
      </c>
      <c r="DI6" s="3">
        <f t="shared" si="49"/>
        <v>0</v>
      </c>
      <c r="DJ6" s="3">
        <f t="shared" si="50"/>
        <v>0</v>
      </c>
      <c r="DK6" s="3">
        <f t="shared" si="51"/>
        <v>0</v>
      </c>
      <c r="DL6" s="3">
        <f t="shared" si="52"/>
        <v>0</v>
      </c>
      <c r="DM6" s="3">
        <f t="shared" si="53"/>
        <v>0</v>
      </c>
      <c r="DN6" s="63" t="str">
        <f t="shared" si="54"/>
        <v>UNKNOWN</v>
      </c>
      <c r="DO6" s="63" t="str">
        <f t="shared" si="55"/>
        <v>UNKNOWN</v>
      </c>
      <c r="DP6" s="3">
        <f t="shared" si="56"/>
        <v>0</v>
      </c>
      <c r="DQ6" s="3">
        <f t="shared" si="57"/>
        <v>0</v>
      </c>
      <c r="DR6" s="3" t="e">
        <f t="shared" ca="1" si="58"/>
        <v>#NUM!</v>
      </c>
      <c r="DS6" s="3">
        <f t="shared" si="59"/>
        <v>0</v>
      </c>
      <c r="DT6" s="3">
        <f t="shared" si="60"/>
        <v>0</v>
      </c>
      <c r="DU6" s="3">
        <f t="shared" si="61"/>
        <v>0</v>
      </c>
      <c r="DV6" s="3">
        <f t="shared" si="62"/>
        <v>1534</v>
      </c>
      <c r="DW6" s="3">
        <f t="shared" si="23"/>
        <v>-38</v>
      </c>
      <c r="DX6" s="3" t="e">
        <f t="shared" ca="1" si="24"/>
        <v>#NUM!</v>
      </c>
      <c r="DY6" s="3" t="e">
        <f t="shared" ca="1" si="25"/>
        <v>#NUM!</v>
      </c>
      <c r="DZ6" s="3">
        <f t="shared" ca="1" si="26"/>
        <v>1.9359742690863956E-2</v>
      </c>
      <c r="EA6" s="3">
        <f t="shared" ca="1" si="27"/>
        <v>-1.9240544200345402E-2</v>
      </c>
      <c r="EB6" s="3">
        <f t="shared" ca="1" si="28"/>
        <v>1.9102808657741933E-2</v>
      </c>
      <c r="EC6" s="3">
        <f t="shared" ca="1" si="29"/>
        <v>-1.8893621009711786E-2</v>
      </c>
      <c r="EE6" s="59">
        <f t="shared" si="63"/>
        <v>1.1114999999999999</v>
      </c>
      <c r="EF6" s="59">
        <f t="shared" si="30"/>
        <v>1.5726</v>
      </c>
      <c r="EG6" s="59">
        <f t="shared" si="31"/>
        <v>0.1603</v>
      </c>
      <c r="EH6" s="59">
        <f t="shared" si="32"/>
        <v>0.16339999999999999</v>
      </c>
      <c r="EI6" s="59">
        <f t="shared" si="33"/>
        <v>0.1668</v>
      </c>
      <c r="EJ6" s="59">
        <f t="shared" si="34"/>
        <v>0.17169999999999999</v>
      </c>
      <c r="EL6" s="3" t="str">
        <f>RTD("tos.rtd",,EL$2,"."&amp;$A$2&amp;$AS$1&amp;"C"&amp;$A6)</f>
        <v>111.15%</v>
      </c>
      <c r="EM6" s="3" t="str">
        <f>RTD("tos.rtd",,EM$2,"."&amp;$A$2&amp;$AS$1&amp;"P"&amp;$A6)</f>
        <v>157.26%</v>
      </c>
      <c r="EN6" s="3" t="str">
        <f>RTD("tos.rtd",,EN$2,"."&amp;$A$2&amp;$AU$1&amp;"C"&amp;$A6)</f>
        <v>16.03%</v>
      </c>
      <c r="EO6" s="3" t="str">
        <f>RTD("tos.rtd",,EO$2,"."&amp;$A$2&amp;$AU$1&amp;"P"&amp;$A6)</f>
        <v>16.34%</v>
      </c>
      <c r="EP6" s="3" t="str">
        <f>RTD("tos.rtd",,EP$2,"."&amp;$A$2&amp;$AW$1&amp;"C"&amp;$A6)</f>
        <v>16.68%</v>
      </c>
      <c r="EQ6" s="3" t="str">
        <f>RTD("tos.rtd",,EQ$2,"."&amp;$A$2&amp;$AW$1&amp;"P"&amp;$A6)</f>
        <v>17.17%</v>
      </c>
      <c r="ET6" s="63" t="str">
        <f t="shared" ca="1" si="64"/>
        <v>580,00.00</v>
      </c>
      <c r="EU6" s="67">
        <v>560.75</v>
      </c>
      <c r="EV6" s="67" t="s">
        <v>67</v>
      </c>
      <c r="EW6" s="67">
        <v>482.54</v>
      </c>
      <c r="EX6" s="67" t="s">
        <v>68</v>
      </c>
      <c r="EY6" s="67">
        <v>5622.5</v>
      </c>
      <c r="EZ6" s="67" t="s">
        <v>69</v>
      </c>
      <c r="FA6" s="67">
        <v>19826.75</v>
      </c>
      <c r="FB6" s="67" t="s">
        <v>70</v>
      </c>
      <c r="FC6" s="67" t="s">
        <v>71</v>
      </c>
      <c r="FD6" s="67" t="s">
        <v>72</v>
      </c>
      <c r="FE6" s="67" t="s">
        <v>73</v>
      </c>
      <c r="FF6" s="67" t="s">
        <v>74</v>
      </c>
    </row>
    <row r="7" spans="1:162" s="63" customFormat="1" ht="13.5" thickBot="1" x14ac:dyDescent="0.25">
      <c r="A7" s="2">
        <f t="shared" si="65"/>
        <v>579</v>
      </c>
      <c r="B7" s="3">
        <f t="shared" si="9"/>
        <v>4471</v>
      </c>
      <c r="C7" s="3">
        <f t="shared" si="10"/>
        <v>724</v>
      </c>
      <c r="D7" s="3">
        <f t="shared" si="11"/>
        <v>2884</v>
      </c>
      <c r="E7" s="3">
        <f t="shared" si="12"/>
        <v>8079</v>
      </c>
      <c r="F7" s="4">
        <f t="shared" si="13"/>
        <v>5830.8997830573044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-939</v>
      </c>
      <c r="AN7" s="1">
        <v>-4</v>
      </c>
      <c r="AO7" s="1">
        <v>579</v>
      </c>
      <c r="AP7" s="1">
        <v>3128</v>
      </c>
      <c r="AQ7" s="1">
        <v>-22</v>
      </c>
      <c r="AR7" s="1"/>
      <c r="AS7" s="6">
        <f>IF(RTD("tos.rtd",,AS$2,"."&amp;$A$2&amp;$AS$1&amp;"C"&amp;$A7)="N/A",0,RTD("tos.rtd",,AS$2,"."&amp;$A$2&amp;$AS$1&amp;"C"&amp;$A7))</f>
        <v>4471</v>
      </c>
      <c r="AT7" s="7">
        <f>-IF(RTD("tos.rtd",,AT$2,"."&amp;$A$2&amp;$AS$1&amp;"P"&amp;$A7)="N/A",0,RTD("tos.rtd",,AT$2,"."&amp;$A$2&amp;$AS$1&amp;"P"&amp;$A7))</f>
        <v>0</v>
      </c>
      <c r="AU7" s="6">
        <f>IF(RTD("tos.rtd",,AU$2,"."&amp;$A$2&amp;$AU$1&amp;"C"&amp;$A7)="N/A",0,RTD("tos.rtd",,AU$2,"."&amp;$A$2&amp;$AU$1&amp;"C"&amp;$A7))</f>
        <v>719</v>
      </c>
      <c r="AV7" s="7">
        <f>-IF(RTD("tos.rtd",,AV$2,"."&amp;$A$2&amp;$AU$1&amp;"P"&amp;$A7)="N/A",0,RTD("tos.rtd",,AV$2,"."&amp;$A$2&amp;$AU$1&amp;"P"&amp;$A7))</f>
        <v>-5</v>
      </c>
      <c r="AW7" s="6">
        <f>IF(RTD("tos.rtd",,AW$2,"."&amp;$A$2&amp;$AW$1&amp;"C"&amp;$A7)="N/A",0,RTD("tos.rtd",,AW$2,"."&amp;$A$2&amp;$AW$1&amp;"C"&amp;$A7))</f>
        <v>2881</v>
      </c>
      <c r="AX7" s="7">
        <f>-IF(RTD("tos.rtd",,AX$2,"."&amp;$A$2&amp;$AW$1&amp;"P"&amp;$A7)="N/A",0,RTD("tos.rtd",,AX$2,"."&amp;$A$2&amp;$AW$1&amp;"P"&amp;$A7))</f>
        <v>-3</v>
      </c>
      <c r="AY7" s="1">
        <f t="shared" si="66"/>
        <v>8063</v>
      </c>
      <c r="AZ7" s="8">
        <f t="shared" si="35"/>
        <v>579</v>
      </c>
      <c r="BA7" s="6">
        <f>IF(RTD("tos.rtd",,BA$2,"."&amp;$A$2&amp;$AS$1&amp;"C"&amp;$A7)="N/A",0,RTD("tos.rtd",,BA$2,"."&amp;$A$2&amp;$AS$1&amp;"C"&amp;$A7))</f>
        <v>3128</v>
      </c>
      <c r="BB7" s="7">
        <f>-IF(RTD("tos.rtd",,BB$2,"."&amp;$A$2&amp;$AS$1&amp;"P"&amp;$A7)="N/A",0,RTD("tos.rtd",,BB$2,"."&amp;$A$2&amp;$AS$1&amp;"P"&amp;$A7))</f>
        <v>-22</v>
      </c>
      <c r="BC7" s="6">
        <f>IF(RTD("tos.rtd",,BC$2,"."&amp;$A$2&amp;$AU$1&amp;"C"&amp;$A7)="N/A",0,RTD("tos.rtd",,BC$2,"."&amp;$A$2&amp;$AU$1&amp;"C"&amp;$A7))</f>
        <v>2814</v>
      </c>
      <c r="BD7" s="7">
        <f>-IF(RTD("tos.rtd",,BD$2,"."&amp;$A$2&amp;$AU$1&amp;"P"&amp;$A7)="N/A",0,RTD("tos.rtd",,BD$2,"."&amp;$A$2&amp;$AU$1&amp;"P"&amp;$A7))</f>
        <v>-15</v>
      </c>
      <c r="BE7" s="6">
        <f>IF(RTD("tos.rtd",,BE$2,"."&amp;$A$2&amp;$AW$1&amp;"C"&amp;$A7)="N/A",0,RTD("tos.rtd",,BE$2,"."&amp;$A$2&amp;$AW$1&amp;"C"&amp;$A7))</f>
        <v>779</v>
      </c>
      <c r="BF7" s="83">
        <f>-IF(RTD("tos.rtd",,BF$2,"."&amp;$A$2&amp;$AW$1&amp;"P"&amp;$A7)="N/A",0,RTD("tos.rtd",,BF$2,"."&amp;$A$2&amp;$AW$1&amp;"P"&amp;$A7))</f>
        <v>0</v>
      </c>
      <c r="BG7" s="32" t="e">
        <f ca="1">+Hoja2!Y8</f>
        <v>#N/A</v>
      </c>
      <c r="BH7" s="7" t="e">
        <f t="shared" ca="1" si="36"/>
        <v>#N/A</v>
      </c>
      <c r="BI7" s="8" t="e">
        <f t="shared" ref="BI7" ca="1" si="75">IF(AND(BH7&lt;0,BH6&gt;0), "Cruce -", IF(AND(BH7&gt;0,BH6&lt;0),"Cruce +", ""))</f>
        <v>#N/A</v>
      </c>
      <c r="BJ7" s="3" t="e">
        <f ca="1">IF($BP$1=1,DX7,IF(RTD("tos.rtd",,BJ$2,"."&amp;$A$2&amp;$AS$1&amp;"C"&amp;$A7)="N/A",0,RTD("tos.rtd",,BJ$2,"."&amp;$A$2&amp;$AS$1&amp;"C"&amp;$A7)))</f>
        <v>#NUM!</v>
      </c>
      <c r="BK7" s="3" t="e">
        <f ca="1">IF($BP$1=1,DY7,-IF(RTD("tos.rtd",,BK$2,"."&amp;$A$2&amp;$AS$1&amp;"P"&amp;$A7)="N/A",0,RTD("tos.rtd",,BK$2,"."&amp;$A$2&amp;$AS$1&amp;"P"&amp;$A7)))</f>
        <v>#NUM!</v>
      </c>
      <c r="BL7" s="3">
        <f ca="1">IF($BP$1=1,DZ7,IF(RTD("tos.rtd",,BL$2,"."&amp;$A$2&amp;$AU$1&amp;"C"&amp;$A7)="N/A",0,RTD("tos.rtd",,BL$2,"."&amp;$A$2&amp;$AU$1&amp;"C"&amp;$A7)))</f>
        <v>2.0325703931906382E-2</v>
      </c>
      <c r="BM7" s="3">
        <f ca="1">IF($BP$1=1,EA7,-IF(RTD("tos.rtd",,BM$2,"."&amp;$A$2&amp;$AU$1&amp;"P"&amp;$A7)="N/A",0,RTD("tos.rtd",,BM$2,"."&amp;$A$2&amp;$AU$1&amp;"P"&amp;$A7)))</f>
        <v>-2.0119918813823981E-2</v>
      </c>
      <c r="BN7" s="3">
        <f ca="1">IF($BP$1=1,EB7,IF(RTD("tos.rtd",,BN$2,"."&amp;$A$2&amp;$AW$1&amp;"C"&amp;$A7)="N/A",0,RTD("tos.rtd",,BN$2,"."&amp;$A$2&amp;$AW$1&amp;"C"&amp;$A7)))</f>
        <v>1.9948470132822579E-2</v>
      </c>
      <c r="BO7" s="3">
        <f ca="1">IF($BP$1=1,EC7,-IF(RTD("tos.rtd",,BO$2,"."&amp;$A$2&amp;$AW$1&amp;"P"&amp;$A7)="N/A",0,RTD("tos.rtd",,BO$2,"."&amp;$A$2&amp;$AW$1&amp;"P"&amp;$A7)))</f>
        <v>-1.9712340361838426E-2</v>
      </c>
      <c r="BQ7" s="3" t="e">
        <f t="shared" ca="1" si="37"/>
        <v>#NUM!</v>
      </c>
      <c r="BR7" s="3" t="e">
        <f t="shared" ca="1" si="68"/>
        <v>#NUM!</v>
      </c>
      <c r="BS7" s="3">
        <f t="shared" ca="1" si="38"/>
        <v>4665463.0744719682</v>
      </c>
      <c r="BT7" s="3" t="str">
        <f t="shared" ca="1" si="68"/>
        <v/>
      </c>
      <c r="BU7" s="3">
        <f t="shared" ca="1" si="39"/>
        <v>18455503.691430427</v>
      </c>
      <c r="BV7" s="3" t="str">
        <f t="shared" ref="BV7" ca="1" si="76">IF(AND(BU7&lt;0,BU6&gt;0), "Cruce -", IF(AND(BU7&gt;0,BU6&lt;0),"Cruce +", ""))</f>
        <v/>
      </c>
      <c r="BX7" s="3" t="e">
        <f t="shared" ca="1" si="40"/>
        <v>#NUM!</v>
      </c>
      <c r="BY7" s="3" t="e">
        <f t="shared" ca="1" si="70"/>
        <v>#NUM!</v>
      </c>
      <c r="BZ7" s="3">
        <f t="shared" ca="1" si="41"/>
        <v>18289095.014786888</v>
      </c>
      <c r="CA7" s="3" t="str">
        <f t="shared" ca="1" si="71"/>
        <v/>
      </c>
      <c r="CB7" s="3">
        <f t="shared" ca="1" si="42"/>
        <v>4995364.8316284176</v>
      </c>
      <c r="CC7" s="3" t="str">
        <f t="shared" ca="1" si="72"/>
        <v/>
      </c>
      <c r="CD7" s="3">
        <f>IF(RTD("tos.rtd",,CD$2,"."&amp;$A$2&amp;$AS$1&amp;"C"&amp;$A7)="N/A",0,RTD("tos.rtd",,CD$2,"."&amp;$A$2&amp;$AS$1&amp;"C"&amp;$A7))</f>
        <v>0</v>
      </c>
      <c r="CE7" s="3">
        <f>-IF(RTD("tos.rtd",,CE$2,"."&amp;$A$2&amp;$AS$1&amp;"P"&amp;$A7)="N/A",0,RTD("tos.rtd",,CE$2,"."&amp;$A$2&amp;$AS$1&amp;"P"&amp;$A7))</f>
        <v>0.95</v>
      </c>
      <c r="CF7" s="3">
        <f>IF(RTD("tos.rtd",,CF$2,"."&amp;$A$2&amp;$AU$1&amp;"C"&amp;$A7)="N/A",0,RTD("tos.rtd",,CF$2,"."&amp;$A$2&amp;$AU$1&amp;"C"&amp;$A7))</f>
        <v>0.18</v>
      </c>
      <c r="CG7" s="3">
        <f>-IF(RTD("tos.rtd",,CG$2,"."&amp;$A$2&amp;$AU$1&amp;"P"&amp;$A7)="N/A",0,RTD("tos.rtd",,CG$2,"."&amp;$A$2&amp;$AU$1&amp;"P"&amp;$A7))</f>
        <v>0.82</v>
      </c>
      <c r="CH7" s="3">
        <f>IF(RTD("tos.rtd",,CH$2,"."&amp;$A$2&amp;$AW$1&amp;"C"&amp;$A7)="N/A",0,RTD("tos.rtd",,CH$2,"."&amp;$A$2&amp;$AW$1&amp;"C"&amp;$A7))</f>
        <v>0.28000000000000003</v>
      </c>
      <c r="CI7" s="3">
        <f>-IF(RTD("tos.rtd",,CI$2,"."&amp;$A$2&amp;$AW$1&amp;"P"&amp;$A7)="N/A",0,RTD("tos.rtd",,CI$2,"."&amp;$A$2&amp;$AW$1&amp;"P"&amp;$A7))</f>
        <v>0.72</v>
      </c>
      <c r="CK7" s="3">
        <f t="shared" si="17"/>
        <v>0</v>
      </c>
      <c r="CL7" s="3"/>
      <c r="CM7" s="3">
        <f t="shared" si="18"/>
        <v>12531.999999999998</v>
      </c>
      <c r="CN7" s="3"/>
      <c r="CO7" s="3">
        <f t="shared" si="19"/>
        <v>80452</v>
      </c>
      <c r="CP7" s="3">
        <f t="shared" si="43"/>
        <v>92984</v>
      </c>
      <c r="CQ7" s="3">
        <f t="shared" si="44"/>
        <v>3106</v>
      </c>
      <c r="CR7" s="3"/>
      <c r="CS7" s="3">
        <f t="shared" si="20"/>
        <v>2799</v>
      </c>
      <c r="CT7" s="3"/>
      <c r="CU7" s="3">
        <f t="shared" si="21"/>
        <v>779</v>
      </c>
      <c r="CV7" s="3">
        <f t="shared" si="45"/>
        <v>6684</v>
      </c>
      <c r="CW7" s="3" t="e">
        <f t="shared" ca="1" si="46"/>
        <v>#NUM!</v>
      </c>
      <c r="CX7" s="85" t="e">
        <f t="shared" ca="1" si="73"/>
        <v>#NUM!</v>
      </c>
      <c r="CY7" s="3" t="e">
        <f t="shared" ca="1" si="47"/>
        <v>#NUM!</v>
      </c>
      <c r="CZ7" s="85" t="e">
        <f t="shared" ca="1" si="74"/>
        <v>#NUM!</v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11.68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12.24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11.86</v>
      </c>
      <c r="DG7" s="86">
        <f t="shared" si="48"/>
        <v>12.029999999999973</v>
      </c>
      <c r="DH7" s="3">
        <f t="shared" si="22"/>
        <v>0</v>
      </c>
      <c r="DI7" s="3">
        <f t="shared" si="49"/>
        <v>0</v>
      </c>
      <c r="DJ7" s="3">
        <f t="shared" si="50"/>
        <v>0</v>
      </c>
      <c r="DK7" s="3">
        <f t="shared" si="51"/>
        <v>0</v>
      </c>
      <c r="DL7" s="3">
        <f t="shared" si="52"/>
        <v>0</v>
      </c>
      <c r="DM7" s="3">
        <f t="shared" si="53"/>
        <v>0</v>
      </c>
      <c r="DN7" s="63" t="str">
        <f t="shared" si="54"/>
        <v>UNKNOWN</v>
      </c>
      <c r="DO7" s="63" t="str">
        <f t="shared" si="55"/>
        <v>UNKNOWN</v>
      </c>
      <c r="DP7" s="3">
        <f t="shared" si="56"/>
        <v>0</v>
      </c>
      <c r="DQ7" s="3">
        <f t="shared" si="57"/>
        <v>0</v>
      </c>
      <c r="DR7" s="3" t="e">
        <f t="shared" ca="1" si="58"/>
        <v>#NUM!</v>
      </c>
      <c r="DS7" s="3">
        <f t="shared" si="59"/>
        <v>0</v>
      </c>
      <c r="DT7" s="3">
        <f t="shared" si="60"/>
        <v>0</v>
      </c>
      <c r="DU7" s="3">
        <f t="shared" si="61"/>
        <v>0</v>
      </c>
      <c r="DV7" s="3">
        <f t="shared" si="62"/>
        <v>-939</v>
      </c>
      <c r="DW7" s="3">
        <f t="shared" si="23"/>
        <v>-4</v>
      </c>
      <c r="DX7" s="3" t="e">
        <f t="shared" ca="1" si="24"/>
        <v>#NUM!</v>
      </c>
      <c r="DY7" s="3" t="e">
        <f t="shared" ca="1" si="25"/>
        <v>#NUM!</v>
      </c>
      <c r="DZ7" s="3">
        <f t="shared" ca="1" si="26"/>
        <v>2.0325703931906382E-2</v>
      </c>
      <c r="EA7" s="3">
        <f t="shared" ca="1" si="27"/>
        <v>-2.0119918813823981E-2</v>
      </c>
      <c r="EB7" s="3">
        <f t="shared" ca="1" si="28"/>
        <v>1.9948470132822579E-2</v>
      </c>
      <c r="EC7" s="3">
        <f t="shared" ca="1" si="29"/>
        <v>-1.9712340361838426E-2</v>
      </c>
      <c r="EE7" s="59">
        <f t="shared" si="63"/>
        <v>1.0355000000000001</v>
      </c>
      <c r="EF7" s="59">
        <f t="shared" si="30"/>
        <v>1.4548000000000001</v>
      </c>
      <c r="EG7" s="59">
        <f t="shared" si="31"/>
        <v>0.16159999999999999</v>
      </c>
      <c r="EH7" s="59">
        <f t="shared" si="32"/>
        <v>0.16539999999999999</v>
      </c>
      <c r="EI7" s="59">
        <f t="shared" si="33"/>
        <v>0.16850000000000001</v>
      </c>
      <c r="EJ7" s="59">
        <f t="shared" si="34"/>
        <v>0.17269999999999999</v>
      </c>
      <c r="EL7" s="3" t="str">
        <f>RTD("tos.rtd",,EL$2,"."&amp;$A$2&amp;$AS$1&amp;"C"&amp;$A7)</f>
        <v>103.55%</v>
      </c>
      <c r="EM7" s="3" t="str">
        <f>RTD("tos.rtd",,EM$2,"."&amp;$A$2&amp;$AS$1&amp;"P"&amp;$A7)</f>
        <v>145.48%</v>
      </c>
      <c r="EN7" s="3" t="str">
        <f>RTD("tos.rtd",,EN$2,"."&amp;$A$2&amp;$AU$1&amp;"C"&amp;$A7)</f>
        <v>16.16%</v>
      </c>
      <c r="EO7" s="3" t="str">
        <f>RTD("tos.rtd",,EO$2,"."&amp;$A$2&amp;$AU$1&amp;"P"&amp;$A7)</f>
        <v>16.54%</v>
      </c>
      <c r="EP7" s="3" t="str">
        <f>RTD("tos.rtd",,EP$2,"."&amp;$A$2&amp;$AW$1&amp;"C"&amp;$A7)</f>
        <v>16.85%</v>
      </c>
      <c r="EQ7" s="3" t="str">
        <f>RTD("tos.rtd",,EQ$2,"."&amp;$A$2&amp;$AW$1&amp;"P"&amp;$A7)</f>
        <v>17.27%</v>
      </c>
      <c r="ET7" s="63" t="str">
        <f t="shared" ca="1" si="64"/>
        <v>579,00.00</v>
      </c>
      <c r="EU7" s="67">
        <v>560.82000000000005</v>
      </c>
      <c r="EV7" s="67" t="s">
        <v>75</v>
      </c>
      <c r="EW7" s="67">
        <v>482.59</v>
      </c>
      <c r="EX7" s="67" t="s">
        <v>76</v>
      </c>
      <c r="EY7" s="67">
        <v>5623.25</v>
      </c>
      <c r="EZ7" s="67" t="s">
        <v>77</v>
      </c>
      <c r="FA7" s="67">
        <v>19828.5</v>
      </c>
      <c r="FB7" s="67" t="s">
        <v>78</v>
      </c>
      <c r="FC7" s="67" t="s">
        <v>79</v>
      </c>
      <c r="FD7" s="67" t="s">
        <v>80</v>
      </c>
      <c r="FE7" s="67" t="s">
        <v>81</v>
      </c>
      <c r="FF7" s="67" t="s">
        <v>82</v>
      </c>
    </row>
    <row r="8" spans="1:162" s="63" customFormat="1" ht="13.5" thickBot="1" x14ac:dyDescent="0.25">
      <c r="A8" s="2">
        <f t="shared" si="65"/>
        <v>578</v>
      </c>
      <c r="B8" s="3">
        <f t="shared" si="9"/>
        <v>4141</v>
      </c>
      <c r="C8" s="3">
        <f t="shared" si="10"/>
        <v>1741</v>
      </c>
      <c r="D8" s="3">
        <f t="shared" si="11"/>
        <v>2690</v>
      </c>
      <c r="E8" s="3">
        <f t="shared" si="12"/>
        <v>8572</v>
      </c>
      <c r="F8" s="4">
        <f t="shared" si="13"/>
        <v>5820.8291443991748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-402</v>
      </c>
      <c r="AN8" s="1">
        <v>4</v>
      </c>
      <c r="AO8" s="1">
        <v>578</v>
      </c>
      <c r="AP8" s="1">
        <v>5263</v>
      </c>
      <c r="AQ8" s="1">
        <v>-69</v>
      </c>
      <c r="AR8" s="1"/>
      <c r="AS8" s="6">
        <f>IF(RTD("tos.rtd",,AS$2,"."&amp;$A$2&amp;$AS$1&amp;"C"&amp;$A8)="N/A",0,RTD("tos.rtd",,AS$2,"."&amp;$A$2&amp;$AS$1&amp;"C"&amp;$A8))</f>
        <v>4139</v>
      </c>
      <c r="AT8" s="7">
        <f>-IF(RTD("tos.rtd",,AT$2,"."&amp;$A$2&amp;$AS$1&amp;"P"&amp;$A8)="N/A",0,RTD("tos.rtd",,AT$2,"."&amp;$A$2&amp;$AS$1&amp;"P"&amp;$A8))</f>
        <v>-2</v>
      </c>
      <c r="AU8" s="6">
        <f>IF(RTD("tos.rtd",,AU$2,"."&amp;$A$2&amp;$AU$1&amp;"C"&amp;$A8)="N/A",0,RTD("tos.rtd",,AU$2,"."&amp;$A$2&amp;$AU$1&amp;"C"&amp;$A8))</f>
        <v>1663</v>
      </c>
      <c r="AV8" s="7">
        <f>-IF(RTD("tos.rtd",,AV$2,"."&amp;$A$2&amp;$AU$1&amp;"P"&amp;$A8)="N/A",0,RTD("tos.rtd",,AV$2,"."&amp;$A$2&amp;$AU$1&amp;"P"&amp;$A8))</f>
        <v>-78</v>
      </c>
      <c r="AW8" s="6">
        <f>IF(RTD("tos.rtd",,AW$2,"."&amp;$A$2&amp;$AW$1&amp;"C"&amp;$A8)="N/A",0,RTD("tos.rtd",,AW$2,"."&amp;$A$2&amp;$AW$1&amp;"C"&amp;$A8))</f>
        <v>2421</v>
      </c>
      <c r="AX8" s="7">
        <f>-IF(RTD("tos.rtd",,AX$2,"."&amp;$A$2&amp;$AW$1&amp;"P"&amp;$A8)="N/A",0,RTD("tos.rtd",,AX$2,"."&amp;$A$2&amp;$AW$1&amp;"P"&amp;$A8))</f>
        <v>-269</v>
      </c>
      <c r="AY8" s="1">
        <f t="shared" si="66"/>
        <v>7874</v>
      </c>
      <c r="AZ8" s="8">
        <f t="shared" si="35"/>
        <v>578</v>
      </c>
      <c r="BA8" s="6">
        <f>IF(RTD("tos.rtd",,BA$2,"."&amp;$A$2&amp;$AS$1&amp;"C"&amp;$A8)="N/A",0,RTD("tos.rtd",,BA$2,"."&amp;$A$2&amp;$AS$1&amp;"C"&amp;$A8))</f>
        <v>5264</v>
      </c>
      <c r="BB8" s="7">
        <f>-IF(RTD("tos.rtd",,BB$2,"."&amp;$A$2&amp;$AS$1&amp;"P"&amp;$A8)="N/A",0,RTD("tos.rtd",,BB$2,"."&amp;$A$2&amp;$AS$1&amp;"P"&amp;$A8))</f>
        <v>-69</v>
      </c>
      <c r="BC8" s="6">
        <f>IF(RTD("tos.rtd",,BC$2,"."&amp;$A$2&amp;$AU$1&amp;"C"&amp;$A8)="N/A",0,RTD("tos.rtd",,BC$2,"."&amp;$A$2&amp;$AU$1&amp;"C"&amp;$A8))</f>
        <v>2677</v>
      </c>
      <c r="BD8" s="7">
        <f>-IF(RTD("tos.rtd",,BD$2,"."&amp;$A$2&amp;$AU$1&amp;"P"&amp;$A8)="N/A",0,RTD("tos.rtd",,BD$2,"."&amp;$A$2&amp;$AU$1&amp;"P"&amp;$A8))</f>
        <v>-107</v>
      </c>
      <c r="BE8" s="6">
        <f>IF(RTD("tos.rtd",,BE$2,"."&amp;$A$2&amp;$AW$1&amp;"C"&amp;$A8)="N/A",0,RTD("tos.rtd",,BE$2,"."&amp;$A$2&amp;$AW$1&amp;"C"&amp;$A8))</f>
        <v>662</v>
      </c>
      <c r="BF8" s="83">
        <f>-IF(RTD("tos.rtd",,BF$2,"."&amp;$A$2&amp;$AW$1&amp;"P"&amp;$A8)="N/A",0,RTD("tos.rtd",,BF$2,"."&amp;$A$2&amp;$AW$1&amp;"P"&amp;$A8))</f>
        <v>-18</v>
      </c>
      <c r="BG8" s="32" t="e">
        <f ca="1">+Hoja2!Y9</f>
        <v>#N/A</v>
      </c>
      <c r="BH8" s="7" t="e">
        <f t="shared" ca="1" si="36"/>
        <v>#N/A</v>
      </c>
      <c r="BI8" s="8" t="e">
        <f t="shared" ref="BI8" ca="1" si="77">IF(AND(BH8&lt;0,BH7&gt;0), "Cruce -", IF(AND(BH8&gt;0,BH7&lt;0),"Cruce +", ""))</f>
        <v>#N/A</v>
      </c>
      <c r="BJ8" s="3" t="e">
        <f ca="1">IF($BP$1=1,DX8,IF(RTD("tos.rtd",,BJ$2,"."&amp;$A$2&amp;$AS$1&amp;"C"&amp;$A8)="N/A",0,RTD("tos.rtd",,BJ$2,"."&amp;$A$2&amp;$AS$1&amp;"C"&amp;$A8)))</f>
        <v>#NUM!</v>
      </c>
      <c r="BK8" s="3" t="e">
        <f ca="1">IF($BP$1=1,DY8,-IF(RTD("tos.rtd",,BK$2,"."&amp;$A$2&amp;$AS$1&amp;"P"&amp;$A8)="N/A",0,RTD("tos.rtd",,BK$2,"."&amp;$A$2&amp;$AS$1&amp;"P"&amp;$A8)))</f>
        <v>#NUM!</v>
      </c>
      <c r="BL8" s="3">
        <f ca="1">IF($BP$1=1,DZ8,IF(RTD("tos.rtd",,BL$2,"."&amp;$A$2&amp;$AU$1&amp;"C"&amp;$A8)="N/A",0,RTD("tos.rtd",,BL$2,"."&amp;$A$2&amp;$AU$1&amp;"C"&amp;$A8)))</f>
        <v>2.1159066568636201E-2</v>
      </c>
      <c r="BM8" s="3">
        <f ca="1">IF($BP$1=1,EA8,-IF(RTD("tos.rtd",,BM$2,"."&amp;$A$2&amp;$AU$1&amp;"P"&amp;$A8)="N/A",0,RTD("tos.rtd",,BM$2,"."&amp;$A$2&amp;$AU$1&amp;"P"&amp;$A8)))</f>
        <v>-2.0972927158533869E-2</v>
      </c>
      <c r="BN8" s="3">
        <f ca="1">IF($BP$1=1,EB8,IF(RTD("tos.rtd",,BN$2,"."&amp;$A$2&amp;$AW$1&amp;"C"&amp;$A8)="N/A",0,RTD("tos.rtd",,BN$2,"."&amp;$A$2&amp;$AW$1&amp;"C"&amp;$A8)))</f>
        <v>2.0717388111567557E-2</v>
      </c>
      <c r="BO8" s="3">
        <f ca="1">IF($BP$1=1,EC8,-IF(RTD("tos.rtd",,BO$2,"."&amp;$A$2&amp;$AW$1&amp;"P"&amp;$A8)="N/A",0,RTD("tos.rtd",,BO$2,"."&amp;$A$2&amp;$AW$1&amp;"P"&amp;$A8)))</f>
        <v>-2.0455164375952552E-2</v>
      </c>
      <c r="BQ8" s="3" t="e">
        <f t="shared" ca="1" si="37"/>
        <v>#NUM!</v>
      </c>
      <c r="BR8" s="3" t="e">
        <f t="shared" ca="1" si="68"/>
        <v>#NUM!</v>
      </c>
      <c r="BS8" s="3">
        <f t="shared" ca="1" si="38"/>
        <v>10785341.597757701</v>
      </c>
      <c r="BT8" s="3" t="str">
        <f t="shared" ca="1" si="68"/>
        <v/>
      </c>
      <c r="BU8" s="3">
        <f t="shared" ca="1" si="39"/>
        <v>14354365.605431814</v>
      </c>
      <c r="BV8" s="3" t="str">
        <f t="shared" ref="BV8" ca="1" si="78">IF(AND(BU8&lt;0,BU7&gt;0), "Cruce -", IF(AND(BU8&gt;0,BU7&lt;0),"Cruce +", ""))</f>
        <v/>
      </c>
      <c r="BX8" s="3" t="e">
        <f t="shared" ca="1" si="40"/>
        <v>#NUM!</v>
      </c>
      <c r="BY8" s="3" t="e">
        <f t="shared" ca="1" si="70"/>
        <v>#NUM!</v>
      </c>
      <c r="BZ8" s="3">
        <f t="shared" ca="1" si="41"/>
        <v>17486738.855120294</v>
      </c>
      <c r="CA8" s="3" t="str">
        <f t="shared" ca="1" si="71"/>
        <v/>
      </c>
      <c r="CB8" s="3">
        <f t="shared" ca="1" si="42"/>
        <v>4290368.9704746082</v>
      </c>
      <c r="CC8" s="3" t="str">
        <f t="shared" ca="1" si="72"/>
        <v/>
      </c>
      <c r="CD8" s="3">
        <f>IF(RTD("tos.rtd",,CD$2,"."&amp;$A$2&amp;$AS$1&amp;"C"&amp;$A8)="N/A",0,RTD("tos.rtd",,CD$2,"."&amp;$A$2&amp;$AS$1&amp;"C"&amp;$A8))</f>
        <v>0</v>
      </c>
      <c r="CE8" s="3">
        <f>-IF(RTD("tos.rtd",,CE$2,"."&amp;$A$2&amp;$AS$1&amp;"P"&amp;$A8)="N/A",0,RTD("tos.rtd",,CE$2,"."&amp;$A$2&amp;$AS$1&amp;"P"&amp;$A8))</f>
        <v>0.95</v>
      </c>
      <c r="CF8" s="3">
        <f>IF(RTD("tos.rtd",,CF$2,"."&amp;$A$2&amp;$AU$1&amp;"C"&amp;$A8)="N/A",0,RTD("tos.rtd",,CF$2,"."&amp;$A$2&amp;$AU$1&amp;"C"&amp;$A8))</f>
        <v>0.21</v>
      </c>
      <c r="CG8" s="3">
        <f>-IF(RTD("tos.rtd",,CG$2,"."&amp;$A$2&amp;$AU$1&amp;"P"&amp;$A8)="N/A",0,RTD("tos.rtd",,CG$2,"."&amp;$A$2&amp;$AU$1&amp;"P"&amp;$A8))</f>
        <v>0.79</v>
      </c>
      <c r="CH8" s="3">
        <f>IF(RTD("tos.rtd",,CH$2,"."&amp;$A$2&amp;$AW$1&amp;"C"&amp;$A8)="N/A",0,RTD("tos.rtd",,CH$2,"."&amp;$A$2&amp;$AW$1&amp;"C"&amp;$A8))</f>
        <v>0.3</v>
      </c>
      <c r="CI8" s="3">
        <f>-IF(RTD("tos.rtd",,CI$2,"."&amp;$A$2&amp;$AW$1&amp;"P"&amp;$A8)="N/A",0,RTD("tos.rtd",,CI$2,"."&amp;$A$2&amp;$AW$1&amp;"P"&amp;$A8))</f>
        <v>0.7</v>
      </c>
      <c r="CK8" s="3">
        <f t="shared" si="17"/>
        <v>-190</v>
      </c>
      <c r="CL8" s="3"/>
      <c r="CM8" s="3">
        <f t="shared" si="18"/>
        <v>28760.999999999993</v>
      </c>
      <c r="CN8" s="3"/>
      <c r="CO8" s="3">
        <f t="shared" si="19"/>
        <v>53800</v>
      </c>
      <c r="CP8" s="3">
        <f t="shared" si="43"/>
        <v>82371</v>
      </c>
      <c r="CQ8" s="3">
        <f t="shared" si="44"/>
        <v>5195</v>
      </c>
      <c r="CR8" s="3"/>
      <c r="CS8" s="3">
        <f t="shared" si="20"/>
        <v>2570</v>
      </c>
      <c r="CT8" s="3"/>
      <c r="CU8" s="3">
        <f t="shared" si="21"/>
        <v>644</v>
      </c>
      <c r="CV8" s="3">
        <f t="shared" si="45"/>
        <v>8409</v>
      </c>
      <c r="CW8" s="3" t="e">
        <f t="shared" ca="1" si="46"/>
        <v>#NUM!</v>
      </c>
      <c r="CX8" s="85" t="e">
        <f t="shared" ca="1" si="73"/>
        <v>#NUM!</v>
      </c>
      <c r="CY8" s="3" t="e">
        <f t="shared" ca="1" si="47"/>
        <v>#NUM!</v>
      </c>
      <c r="CZ8" s="85" t="e">
        <f t="shared" ca="1" si="74"/>
        <v>#NUM!</v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10.11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11.24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10.86</v>
      </c>
      <c r="DG8" s="86">
        <f t="shared" si="48"/>
        <v>11.029999999999973</v>
      </c>
      <c r="DH8" s="3">
        <f t="shared" si="22"/>
        <v>1</v>
      </c>
      <c r="DI8" s="3">
        <f t="shared" si="49"/>
        <v>0</v>
      </c>
      <c r="DJ8" s="3">
        <f t="shared" si="50"/>
        <v>1</v>
      </c>
      <c r="DK8" s="3">
        <f t="shared" si="51"/>
        <v>0</v>
      </c>
      <c r="DL8" s="3">
        <f t="shared" si="52"/>
        <v>1</v>
      </c>
      <c r="DM8" s="3">
        <f t="shared" si="53"/>
        <v>1</v>
      </c>
      <c r="DN8" s="63" t="str">
        <f t="shared" si="54"/>
        <v>BUY</v>
      </c>
      <c r="DO8" s="63" t="str">
        <f t="shared" si="55"/>
        <v>UNKNOWN</v>
      </c>
      <c r="DP8" s="3">
        <f t="shared" si="56"/>
        <v>0.01</v>
      </c>
      <c r="DQ8" s="3">
        <f t="shared" si="57"/>
        <v>0.01</v>
      </c>
      <c r="DR8" s="3" t="e">
        <f t="shared" ca="1" si="58"/>
        <v>#NUM!</v>
      </c>
      <c r="DS8" s="3">
        <f t="shared" si="59"/>
        <v>0</v>
      </c>
      <c r="DT8" s="3">
        <f t="shared" si="60"/>
        <v>1</v>
      </c>
      <c r="DU8" s="3">
        <f t="shared" si="61"/>
        <v>0</v>
      </c>
      <c r="DV8" s="3">
        <f t="shared" si="62"/>
        <v>-401</v>
      </c>
      <c r="DW8" s="3">
        <f t="shared" si="23"/>
        <v>4</v>
      </c>
      <c r="DX8" s="3" t="e">
        <f t="shared" ca="1" si="24"/>
        <v>#NUM!</v>
      </c>
      <c r="DY8" s="3" t="e">
        <f t="shared" ca="1" si="25"/>
        <v>#NUM!</v>
      </c>
      <c r="DZ8" s="3">
        <f t="shared" ca="1" si="26"/>
        <v>2.1159066568636201E-2</v>
      </c>
      <c r="EA8" s="3">
        <f t="shared" ca="1" si="27"/>
        <v>-2.0972927158533869E-2</v>
      </c>
      <c r="EB8" s="3">
        <f t="shared" ca="1" si="28"/>
        <v>2.0717388111567557E-2</v>
      </c>
      <c r="EC8" s="3">
        <f t="shared" ca="1" si="29"/>
        <v>-2.0455164375952552E-2</v>
      </c>
      <c r="EE8" s="59">
        <f t="shared" si="63"/>
        <v>0.95879999999999999</v>
      </c>
      <c r="EF8" s="59">
        <f t="shared" si="30"/>
        <v>1.3381000000000001</v>
      </c>
      <c r="EG8" s="59">
        <f t="shared" si="31"/>
        <v>0.16370000000000001</v>
      </c>
      <c r="EH8" s="59">
        <f t="shared" si="32"/>
        <v>0.16639999999999999</v>
      </c>
      <c r="EI8" s="59">
        <f t="shared" si="33"/>
        <v>0.1701</v>
      </c>
      <c r="EJ8" s="59">
        <f t="shared" si="34"/>
        <v>0.1739</v>
      </c>
      <c r="EL8" s="3" t="str">
        <f>RTD("tos.rtd",,EL$2,"."&amp;$A$2&amp;$AS$1&amp;"C"&amp;$A8)</f>
        <v>95.88%</v>
      </c>
      <c r="EM8" s="3" t="str">
        <f>RTD("tos.rtd",,EM$2,"."&amp;$A$2&amp;$AS$1&amp;"P"&amp;$A8)</f>
        <v>133.81%</v>
      </c>
      <c r="EN8" s="3" t="str">
        <f>RTD("tos.rtd",,EN$2,"."&amp;$A$2&amp;$AU$1&amp;"C"&amp;$A8)</f>
        <v>16.37%</v>
      </c>
      <c r="EO8" s="3" t="str">
        <f>RTD("tos.rtd",,EO$2,"."&amp;$A$2&amp;$AU$1&amp;"P"&amp;$A8)</f>
        <v>16.64%</v>
      </c>
      <c r="EP8" s="3" t="str">
        <f>RTD("tos.rtd",,EP$2,"."&amp;$A$2&amp;$AW$1&amp;"C"&amp;$A8)</f>
        <v>17.01%</v>
      </c>
      <c r="EQ8" s="3" t="str">
        <f>RTD("tos.rtd",,EQ$2,"."&amp;$A$2&amp;$AW$1&amp;"P"&amp;$A8)</f>
        <v>17.39%</v>
      </c>
      <c r="ET8" s="63" t="str">
        <f t="shared" ca="1" si="64"/>
        <v>578,00.00</v>
      </c>
      <c r="EU8" s="67">
        <v>560.86</v>
      </c>
      <c r="EV8" s="67" t="s">
        <v>83</v>
      </c>
      <c r="EW8" s="67">
        <v>482.71</v>
      </c>
      <c r="EX8" s="67" t="s">
        <v>84</v>
      </c>
      <c r="EY8" s="67">
        <v>5624</v>
      </c>
      <c r="EZ8" s="67" t="s">
        <v>85</v>
      </c>
      <c r="FA8" s="67">
        <v>19833.75</v>
      </c>
      <c r="FB8" s="67" t="s">
        <v>86</v>
      </c>
      <c r="FC8" s="67" t="s">
        <v>87</v>
      </c>
      <c r="FD8" s="67" t="s">
        <v>88</v>
      </c>
      <c r="FE8" s="67" t="s">
        <v>89</v>
      </c>
      <c r="FF8" s="67" t="s">
        <v>90</v>
      </c>
    </row>
    <row r="9" spans="1:162" s="63" customFormat="1" ht="13.5" thickBot="1" x14ac:dyDescent="0.25">
      <c r="A9" s="2">
        <f t="shared" si="65"/>
        <v>577</v>
      </c>
      <c r="B9" s="3">
        <f t="shared" ref="B9:B14" si="79">+IF($A$1="ABS",AS9-AT9,AS9+AT9)</f>
        <v>6505</v>
      </c>
      <c r="C9" s="3">
        <f t="shared" ref="C9:C14" si="80">+IF($A$1="ABS",AU9-AV9,AU9+AV9)</f>
        <v>968</v>
      </c>
      <c r="D9" s="3">
        <f t="shared" ref="D9:D14" si="81">+IF($A$1="ABS",AW9-AX9,AW9+AX9)</f>
        <v>4009</v>
      </c>
      <c r="E9" s="3">
        <f t="shared" ref="E9:E14" si="82">SUM(B9:D9)</f>
        <v>11482</v>
      </c>
      <c r="F9" s="4">
        <f t="shared" ref="F9:F14" si="83">+$F$3/$A$3*A9</f>
        <v>5810.7585057410442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-1419</v>
      </c>
      <c r="AN9" s="1">
        <v>-99</v>
      </c>
      <c r="AO9" s="1">
        <v>577</v>
      </c>
      <c r="AP9" s="1">
        <v>9673</v>
      </c>
      <c r="AQ9" s="1">
        <v>-206</v>
      </c>
      <c r="AR9" s="1"/>
      <c r="AS9" s="6">
        <f>IF(RTD("tos.rtd",,AS$2,"."&amp;$A$2&amp;$AS$1&amp;"C"&amp;$A9)="N/A",0,RTD("tos.rtd",,AS$2,"."&amp;$A$2&amp;$AS$1&amp;"C"&amp;$A9))</f>
        <v>6505</v>
      </c>
      <c r="AT9" s="7">
        <f>-IF(RTD("tos.rtd",,AT$2,"."&amp;$A$2&amp;$AS$1&amp;"P"&amp;$A9)="N/A",0,RTD("tos.rtd",,AT$2,"."&amp;$A$2&amp;$AS$1&amp;"P"&amp;$A9))</f>
        <v>0</v>
      </c>
      <c r="AU9" s="6">
        <f>IF(RTD("tos.rtd",,AU$2,"."&amp;$A$2&amp;$AU$1&amp;"C"&amp;$A9)="N/A",0,RTD("tos.rtd",,AU$2,"."&amp;$A$2&amp;$AU$1&amp;"C"&amp;$A9))</f>
        <v>945</v>
      </c>
      <c r="AV9" s="7">
        <f>-IF(RTD("tos.rtd",,AV$2,"."&amp;$A$2&amp;$AU$1&amp;"P"&amp;$A9)="N/A",0,RTD("tos.rtd",,AV$2,"."&amp;$A$2&amp;$AU$1&amp;"P"&amp;$A9))</f>
        <v>-23</v>
      </c>
      <c r="AW9" s="6">
        <f>IF(RTD("tos.rtd",,AW$2,"."&amp;$A$2&amp;$AW$1&amp;"C"&amp;$A9)="N/A",0,RTD("tos.rtd",,AW$2,"."&amp;$A$2&amp;$AW$1&amp;"C"&amp;$A9))</f>
        <v>3994</v>
      </c>
      <c r="AX9" s="7">
        <f>-IF(RTD("tos.rtd",,AX$2,"."&amp;$A$2&amp;$AW$1&amp;"P"&amp;$A9)="N/A",0,RTD("tos.rtd",,AX$2,"."&amp;$A$2&amp;$AW$1&amp;"P"&amp;$A9))</f>
        <v>-15</v>
      </c>
      <c r="AY9" s="1">
        <f t="shared" ref="AY9:AY14" si="84">SUM(AS9:AX9)</f>
        <v>11406</v>
      </c>
      <c r="AZ9" s="8">
        <f t="shared" si="35"/>
        <v>577</v>
      </c>
      <c r="BA9" s="6">
        <f>IF(RTD("tos.rtd",,BA$2,"."&amp;$A$2&amp;$AS$1&amp;"C"&amp;$A9)="N/A",0,RTD("tos.rtd",,BA$2,"."&amp;$A$2&amp;$AS$1&amp;"C"&amp;$A9))</f>
        <v>9673</v>
      </c>
      <c r="BB9" s="7">
        <f>-IF(RTD("tos.rtd",,BB$2,"."&amp;$A$2&amp;$AS$1&amp;"P"&amp;$A9)="N/A",0,RTD("tos.rtd",,BB$2,"."&amp;$A$2&amp;$AS$1&amp;"P"&amp;$A9))</f>
        <v>-206</v>
      </c>
      <c r="BC9" s="6">
        <f>IF(RTD("tos.rtd",,BC$2,"."&amp;$A$2&amp;$AU$1&amp;"C"&amp;$A9)="N/A",0,RTD("tos.rtd",,BC$2,"."&amp;$A$2&amp;$AU$1&amp;"C"&amp;$A9))</f>
        <v>1247</v>
      </c>
      <c r="BD9" s="7">
        <f>-IF(RTD("tos.rtd",,BD$2,"."&amp;$A$2&amp;$AU$1&amp;"P"&amp;$A9)="N/A",0,RTD("tos.rtd",,BD$2,"."&amp;$A$2&amp;$AU$1&amp;"P"&amp;$A9))</f>
        <v>-12</v>
      </c>
      <c r="BE9" s="6">
        <f>IF(RTD("tos.rtd",,BE$2,"."&amp;$A$2&amp;$AW$1&amp;"C"&amp;$A9)="N/A",0,RTD("tos.rtd",,BE$2,"."&amp;$A$2&amp;$AW$1&amp;"C"&amp;$A9))</f>
        <v>1281</v>
      </c>
      <c r="BF9" s="83">
        <f>-IF(RTD("tos.rtd",,BF$2,"."&amp;$A$2&amp;$AW$1&amp;"P"&amp;$A9)="N/A",0,RTD("tos.rtd",,BF$2,"."&amp;$A$2&amp;$AW$1&amp;"P"&amp;$A9))</f>
        <v>-19</v>
      </c>
      <c r="BG9" s="32" t="e">
        <f ca="1">+Hoja2!Y10</f>
        <v>#N/A</v>
      </c>
      <c r="BH9" s="7" t="e">
        <f t="shared" ca="1" si="36"/>
        <v>#N/A</v>
      </c>
      <c r="BI9" s="8" t="e">
        <f t="shared" ref="BI9" ca="1" si="85">IF(AND(BH9&lt;0,BH8&gt;0), "Cruce -", IF(AND(BH9&gt;0,BH8&lt;0),"Cruce +", ""))</f>
        <v>#N/A</v>
      </c>
      <c r="BJ9" s="3" t="e">
        <f ca="1">IF($BP$1=1,DX9,IF(RTD("tos.rtd",,BJ$2,"."&amp;$A$2&amp;$AS$1&amp;"C"&amp;$A9)="N/A",0,RTD("tos.rtd",,BJ$2,"."&amp;$A$2&amp;$AS$1&amp;"C"&amp;$A9)))</f>
        <v>#NUM!</v>
      </c>
      <c r="BK9" s="3" t="e">
        <f ca="1">IF($BP$1=1,DY9,-IF(RTD("tos.rtd",,BK$2,"."&amp;$A$2&amp;$AS$1&amp;"P"&amp;$A9)="N/A",0,RTD("tos.rtd",,BK$2,"."&amp;$A$2&amp;$AS$1&amp;"P"&amp;$A9)))</f>
        <v>#NUM!</v>
      </c>
      <c r="BL9" s="3">
        <f ca="1">IF($BP$1=1,DZ9,IF(RTD("tos.rtd",,BL$2,"."&amp;$A$2&amp;$AU$1&amp;"C"&amp;$A9)="N/A",0,RTD("tos.rtd",,BL$2,"."&amp;$A$2&amp;$AU$1&amp;"C"&amp;$A9)))</f>
        <v>2.191652176762909E-2</v>
      </c>
      <c r="BM9" s="3">
        <f ca="1">IF($BP$1=1,EA9,-IF(RTD("tos.rtd",,BM$2,"."&amp;$A$2&amp;$AU$1&amp;"P"&amp;$A9)="N/A",0,RTD("tos.rtd",,BM$2,"."&amp;$A$2&amp;$AU$1&amp;"P"&amp;$A9)))</f>
        <v>-2.170184740056293E-2</v>
      </c>
      <c r="BN9" s="3">
        <f ca="1">IF($BP$1=1,EB9,IF(RTD("tos.rtd",,BN$2,"."&amp;$A$2&amp;$AW$1&amp;"C"&amp;$A9)="N/A",0,RTD("tos.rtd",,BN$2,"."&amp;$A$2&amp;$AW$1&amp;"C"&amp;$A9)))</f>
        <v>2.1382958606978194E-2</v>
      </c>
      <c r="BO9" s="3">
        <f ca="1">IF($BP$1=1,EC9,-IF(RTD("tos.rtd",,BO$2,"."&amp;$A$2&amp;$AW$1&amp;"P"&amp;$A9)="N/A",0,RTD("tos.rtd",,BO$2,"."&amp;$A$2&amp;$AW$1&amp;"P"&amp;$A9)))</f>
        <v>-2.1124444817846217E-2</v>
      </c>
      <c r="BQ9" s="3" t="e">
        <f t="shared" ref="BQ9:BQ14" ca="1" si="86">+$A$3*$A$3*AS9*BJ9-$A$3*$A$3*AT9*BK9</f>
        <v>#NUM!</v>
      </c>
      <c r="BR9" s="3" t="e">
        <f t="shared" ca="1" si="68"/>
        <v>#NUM!</v>
      </c>
      <c r="BS9" s="3">
        <f t="shared" ref="BS9:BS14" ca="1" si="87">+$A$3*$A$3*AU9*BL9-$A$3*$A$3*AV9*BM9</f>
        <v>6497238.6168084415</v>
      </c>
      <c r="BT9" s="3" t="str">
        <f t="shared" ca="1" si="68"/>
        <v/>
      </c>
      <c r="BU9" s="3">
        <f t="shared" ref="BU9:BU14" ca="1" si="88">+$A$3*$A$3*AW9*BN9-$A$3*$A$3*AX9*BO9</f>
        <v>27351533.880981456</v>
      </c>
      <c r="BV9" s="3" t="str">
        <f t="shared" ref="BV9" ca="1" si="89">IF(AND(BU9&lt;0,BU8&gt;0), "Cruce -", IF(AND(BU9&gt;0,BU8&lt;0),"Cruce +", ""))</f>
        <v/>
      </c>
      <c r="BX9" s="3" t="e">
        <f t="shared" ref="BX9:BX14" ca="1" si="90">+$A$3*$A$3*BA9*BJ9-$A$3*$A$3*BB9*BK9</f>
        <v>#NUM!</v>
      </c>
      <c r="BY9" s="3" t="e">
        <f t="shared" ca="1" si="70"/>
        <v>#NUM!</v>
      </c>
      <c r="BZ9" s="3">
        <f t="shared" ref="BZ9:BZ14" ca="1" si="91">+$A$3*$A$3*BC9*BL9-$A$3*$A$3*BD9*BM9</f>
        <v>8701619.3292012215</v>
      </c>
      <c r="CA9" s="3" t="str">
        <f t="shared" ca="1" si="71"/>
        <v/>
      </c>
      <c r="CB9" s="3">
        <f t="shared" ref="CB9:CB14" ca="1" si="92">+$A$3*$A$3*BE9*BN9-$A$3*$A$3*BF9*BO9</f>
        <v>8676136.0012044925</v>
      </c>
      <c r="CC9" s="3" t="str">
        <f t="shared" ca="1" si="72"/>
        <v/>
      </c>
      <c r="CD9" s="3">
        <f>IF(RTD("tos.rtd",,CD$2,"."&amp;$A$2&amp;$AS$1&amp;"C"&amp;$A9)="N/A",0,RTD("tos.rtd",,CD$2,"."&amp;$A$2&amp;$AS$1&amp;"C"&amp;$A9))</f>
        <v>0</v>
      </c>
      <c r="CE9" s="3">
        <f>-IF(RTD("tos.rtd",,CE$2,"."&amp;$A$2&amp;$AS$1&amp;"P"&amp;$A9)="N/A",0,RTD("tos.rtd",,CE$2,"."&amp;$A$2&amp;$AS$1&amp;"P"&amp;$A9))</f>
        <v>0.95</v>
      </c>
      <c r="CF9" s="3">
        <f>IF(RTD("tos.rtd",,CF$2,"."&amp;$A$2&amp;$AU$1&amp;"C"&amp;$A9)="N/A",0,RTD("tos.rtd",,CF$2,"."&amp;$A$2&amp;$AU$1&amp;"C"&amp;$A9))</f>
        <v>0.23</v>
      </c>
      <c r="CG9" s="3">
        <f>-IF(RTD("tos.rtd",,CG$2,"."&amp;$A$2&amp;$AU$1&amp;"P"&amp;$A9)="N/A",0,RTD("tos.rtd",,CG$2,"."&amp;$A$2&amp;$AU$1&amp;"P"&amp;$A9))</f>
        <v>0.77</v>
      </c>
      <c r="CH9" s="3">
        <f>IF(RTD("tos.rtd",,CH$2,"."&amp;$A$2&amp;$AW$1&amp;"C"&amp;$A9)="N/A",0,RTD("tos.rtd",,CH$2,"."&amp;$A$2&amp;$AW$1&amp;"C"&amp;$A9))</f>
        <v>0.32</v>
      </c>
      <c r="CI9" s="3">
        <f>-IF(RTD("tos.rtd",,CI$2,"."&amp;$A$2&amp;$AW$1&amp;"P"&amp;$A9)="N/A",0,RTD("tos.rtd",,CI$2,"."&amp;$A$2&amp;$AW$1&amp;"P"&amp;$A9))</f>
        <v>0.68</v>
      </c>
      <c r="CK9" s="3">
        <f t="shared" ref="CK9:CK14" si="93">+AS9*CD9*100+AT9*CE9*100</f>
        <v>0</v>
      </c>
      <c r="CL9" s="3"/>
      <c r="CM9" s="3">
        <f t="shared" ref="CM9:CM14" si="94">+AU9*CF9*100+AV9*CG9*100</f>
        <v>19964.000000000004</v>
      </c>
      <c r="CN9" s="3"/>
      <c r="CO9" s="3">
        <f t="shared" ref="CO9:CO14" si="95">+AW9*CH9*100+AX9*CI9*100</f>
        <v>126788</v>
      </c>
      <c r="CP9" s="3">
        <f t="shared" ref="CP9:CP14" si="96">+CK9+CM9+CO9</f>
        <v>146752</v>
      </c>
      <c r="CQ9" s="3">
        <f t="shared" ref="CQ9:CQ14" si="97">+BA9+BB9</f>
        <v>9467</v>
      </c>
      <c r="CR9" s="3"/>
      <c r="CS9" s="3">
        <f t="shared" ref="CS9:CS14" si="98">+BC9+BD9</f>
        <v>1235</v>
      </c>
      <c r="CT9" s="3"/>
      <c r="CU9" s="3">
        <f t="shared" ref="CU9:CU14" si="99">+BE9+BF9</f>
        <v>1262</v>
      </c>
      <c r="CV9" s="3">
        <f t="shared" ref="CV9:CV14" si="100">+CQ9+CS9+CU9</f>
        <v>11964</v>
      </c>
      <c r="CW9" s="3" t="e">
        <f t="shared" ref="CW9:CW14" ca="1" si="101">+BQ9+BS9+BU9</f>
        <v>#NUM!</v>
      </c>
      <c r="CX9" s="85" t="e">
        <f t="shared" ca="1" si="73"/>
        <v>#NUM!</v>
      </c>
      <c r="CY9" s="3" t="e">
        <f t="shared" ref="CY9:CY14" ca="1" si="102">+BX9+BZ9+CB9</f>
        <v>#NUM!</v>
      </c>
      <c r="CZ9" s="85" t="e">
        <f t="shared" ca="1" si="74"/>
        <v>#NUM!</v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9.43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10.24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9.86</v>
      </c>
      <c r="DG9" s="86">
        <f t="shared" si="48"/>
        <v>10.029999999999973</v>
      </c>
      <c r="DH9" s="3">
        <f t="shared" ref="DH9:DH14" si="103">((DA9-DE9)/(DC9-DE9))*(BA9-AP9)</f>
        <v>0</v>
      </c>
      <c r="DI9" s="3">
        <f t="shared" ref="DI9:DI14" si="104">((DB9-DF9)/(DD9-DF9))*(BB9-AQ9)</f>
        <v>0</v>
      </c>
      <c r="DJ9" s="3">
        <f t="shared" ref="DJ9:DJ14" si="105">IF(DA9&gt;=(DE9+(DC9-DE9)*0.6),(BA9-AP9),IF(DA9&lt;=(DE9+(DC9-DE9)*0.4),-(BA9-AP9),0))</f>
        <v>0</v>
      </c>
      <c r="DK9" s="3">
        <f t="shared" si="51"/>
        <v>0</v>
      </c>
      <c r="DL9" s="3">
        <f t="shared" si="52"/>
        <v>0</v>
      </c>
      <c r="DM9" s="3">
        <f t="shared" si="53"/>
        <v>0</v>
      </c>
      <c r="DN9" s="63" t="str">
        <f t="shared" si="54"/>
        <v>UNKNOWN</v>
      </c>
      <c r="DO9" s="63" t="str">
        <f t="shared" si="55"/>
        <v>UNKNOWN</v>
      </c>
      <c r="DP9" s="3">
        <f t="shared" si="56"/>
        <v>0</v>
      </c>
      <c r="DQ9" s="3">
        <f t="shared" si="57"/>
        <v>0</v>
      </c>
      <c r="DR9" s="3" t="e">
        <f t="shared" ca="1" si="58"/>
        <v>#NUM!</v>
      </c>
      <c r="DS9" s="3">
        <f t="shared" si="59"/>
        <v>0</v>
      </c>
      <c r="DT9" s="3">
        <f t="shared" si="60"/>
        <v>0</v>
      </c>
      <c r="DU9" s="3">
        <f t="shared" si="61"/>
        <v>0</v>
      </c>
      <c r="DV9" s="3">
        <f t="shared" si="62"/>
        <v>-1419</v>
      </c>
      <c r="DW9" s="3">
        <f t="shared" si="23"/>
        <v>-99</v>
      </c>
      <c r="DX9" s="3" t="e">
        <f t="shared" ca="1" si="24"/>
        <v>#NUM!</v>
      </c>
      <c r="DY9" s="3" t="e">
        <f t="shared" ca="1" si="25"/>
        <v>#NUM!</v>
      </c>
      <c r="DZ9" s="3">
        <f t="shared" ca="1" si="26"/>
        <v>2.191652176762909E-2</v>
      </c>
      <c r="EA9" s="3">
        <f t="shared" ca="1" si="27"/>
        <v>-2.170184740056293E-2</v>
      </c>
      <c r="EB9" s="3">
        <f t="shared" ca="1" si="28"/>
        <v>2.1382958606978194E-2</v>
      </c>
      <c r="EC9" s="3">
        <f t="shared" ca="1" si="29"/>
        <v>-2.1124444817846217E-2</v>
      </c>
      <c r="EE9" s="59">
        <f t="shared" ref="EE9:EE14" si="106">IFERROR(VALUE(IF(OR(EL9="--",EL9="0.00%"),$EE$1,EL9)),$EE$1)</f>
        <v>0.88139999999999996</v>
      </c>
      <c r="EF9" s="59">
        <f t="shared" ref="EF9:EF14" si="107">IFERROR(VALUE(IF(OR(EM9="--",EM9="0.00%"),$EE$1,EM9)),$EE$1)</f>
        <v>1.2215</v>
      </c>
      <c r="EG9" s="59">
        <f t="shared" ref="EG9:EG14" si="108">IFERROR(VALUE(IF(OR(EN9="--",EN9="0.00%"),$EE$1,EN9)),$EE$1)</f>
        <v>0.16539999999999999</v>
      </c>
      <c r="EH9" s="59">
        <f t="shared" ref="EH9:EH14" si="109">IFERROR(VALUE(IF(OR(EO9="--",EO9="0.00%"),$EE$1,EO9)),$EE$1)</f>
        <v>0.16800000000000001</v>
      </c>
      <c r="EI9" s="59">
        <f t="shared" ref="EI9:EI14" si="110">IFERROR(VALUE(IF(OR(EP9="--",EP9="0.00%"),$EE$1,EP9)),$EE$1)</f>
        <v>0.1719</v>
      </c>
      <c r="EJ9" s="59">
        <f t="shared" ref="EJ9:EJ14" si="111">IFERROR(VALUE(IF(OR(EQ9="--",EQ9="0.00%"),$EE$1,EQ9)),$EE$1)</f>
        <v>0.17510000000000001</v>
      </c>
      <c r="EL9" s="3" t="str">
        <f>RTD("tos.rtd",,EL$2,"."&amp;$A$2&amp;$AS$1&amp;"C"&amp;$A9)</f>
        <v>88.14%</v>
      </c>
      <c r="EM9" s="3" t="str">
        <f>RTD("tos.rtd",,EM$2,"."&amp;$A$2&amp;$AS$1&amp;"P"&amp;$A9)</f>
        <v>122.15%</v>
      </c>
      <c r="EN9" s="3" t="str">
        <f>RTD("tos.rtd",,EN$2,"."&amp;$A$2&amp;$AU$1&amp;"C"&amp;$A9)</f>
        <v>16.54%</v>
      </c>
      <c r="EO9" s="3" t="str">
        <f>RTD("tos.rtd",,EO$2,"."&amp;$A$2&amp;$AU$1&amp;"P"&amp;$A9)</f>
        <v>16.80%</v>
      </c>
      <c r="EP9" s="3" t="str">
        <f>RTD("tos.rtd",,EP$2,"."&amp;$A$2&amp;$AW$1&amp;"C"&amp;$A9)</f>
        <v>17.19%</v>
      </c>
      <c r="EQ9" s="3" t="str">
        <f>RTD("tos.rtd",,EQ$2,"."&amp;$A$2&amp;$AW$1&amp;"P"&amp;$A9)</f>
        <v>17.51%</v>
      </c>
      <c r="ET9" s="63" t="str">
        <f t="shared" ca="1" si="64"/>
        <v>577,00.00</v>
      </c>
      <c r="EU9" s="67">
        <v>560.86</v>
      </c>
      <c r="EV9" s="67" t="s">
        <v>91</v>
      </c>
      <c r="EW9" s="67">
        <v>482.77</v>
      </c>
      <c r="EX9" s="67" t="s">
        <v>92</v>
      </c>
      <c r="EY9" s="67">
        <v>5624</v>
      </c>
      <c r="EZ9" s="67" t="s">
        <v>93</v>
      </c>
      <c r="FA9" s="67">
        <v>19836</v>
      </c>
      <c r="FB9" s="67" t="s">
        <v>94</v>
      </c>
      <c r="FC9" s="67" t="s">
        <v>95</v>
      </c>
      <c r="FD9" s="67" t="s">
        <v>96</v>
      </c>
      <c r="FE9" s="67" t="s">
        <v>97</v>
      </c>
      <c r="FF9" s="67" t="s">
        <v>98</v>
      </c>
    </row>
    <row r="10" spans="1:162" s="63" customFormat="1" ht="13.5" thickBot="1" x14ac:dyDescent="0.25">
      <c r="A10" s="2">
        <f t="shared" si="65"/>
        <v>576</v>
      </c>
      <c r="B10" s="3">
        <f t="shared" si="79"/>
        <v>3770</v>
      </c>
      <c r="C10" s="3">
        <f t="shared" si="80"/>
        <v>1164</v>
      </c>
      <c r="D10" s="3">
        <f t="shared" si="81"/>
        <v>3728</v>
      </c>
      <c r="E10" s="3">
        <f t="shared" si="82"/>
        <v>8662</v>
      </c>
      <c r="F10" s="4">
        <f t="shared" si="83"/>
        <v>5800.6878670829146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-4462</v>
      </c>
      <c r="AN10" s="1">
        <v>13</v>
      </c>
      <c r="AO10" s="1">
        <v>576</v>
      </c>
      <c r="AP10" s="1">
        <v>13741</v>
      </c>
      <c r="AQ10" s="1">
        <v>-694</v>
      </c>
      <c r="AR10" s="1"/>
      <c r="AS10" s="6">
        <f>IF(RTD("tos.rtd",,AS$2,"."&amp;$A$2&amp;$AS$1&amp;"C"&amp;$A10)="N/A",0,RTD("tos.rtd",,AS$2,"."&amp;$A$2&amp;$AS$1&amp;"C"&amp;$A10))</f>
        <v>3770</v>
      </c>
      <c r="AT10" s="7">
        <f>-IF(RTD("tos.rtd",,AT$2,"."&amp;$A$2&amp;$AS$1&amp;"P"&amp;$A10)="N/A",0,RTD("tos.rtd",,AT$2,"."&amp;$A$2&amp;$AS$1&amp;"P"&amp;$A10))</f>
        <v>0</v>
      </c>
      <c r="AU10" s="6">
        <f>IF(RTD("tos.rtd",,AU$2,"."&amp;$A$2&amp;$AU$1&amp;"C"&amp;$A10)="N/A",0,RTD("tos.rtd",,AU$2,"."&amp;$A$2&amp;$AU$1&amp;"C"&amp;$A10))</f>
        <v>1125</v>
      </c>
      <c r="AV10" s="7">
        <f>-IF(RTD("tos.rtd",,AV$2,"."&amp;$A$2&amp;$AU$1&amp;"P"&amp;$A10)="N/A",0,RTD("tos.rtd",,AV$2,"."&amp;$A$2&amp;$AU$1&amp;"P"&amp;$A10))</f>
        <v>-39</v>
      </c>
      <c r="AW10" s="6">
        <f>IF(RTD("tos.rtd",,AW$2,"."&amp;$A$2&amp;$AW$1&amp;"C"&amp;$A10)="N/A",0,RTD("tos.rtd",,AW$2,"."&amp;$A$2&amp;$AW$1&amp;"C"&amp;$A10))</f>
        <v>3456</v>
      </c>
      <c r="AX10" s="7">
        <f>-IF(RTD("tos.rtd",,AX$2,"."&amp;$A$2&amp;$AW$1&amp;"P"&amp;$A10)="N/A",0,RTD("tos.rtd",,AX$2,"."&amp;$A$2&amp;$AW$1&amp;"P"&amp;$A10))</f>
        <v>-272</v>
      </c>
      <c r="AY10" s="1">
        <f t="shared" si="84"/>
        <v>8040</v>
      </c>
      <c r="AZ10" s="8">
        <f t="shared" si="35"/>
        <v>576</v>
      </c>
      <c r="BA10" s="6">
        <f>IF(RTD("tos.rtd",,BA$2,"."&amp;$A$2&amp;$AS$1&amp;"C"&amp;$A10)="N/A",0,RTD("tos.rtd",,BA$2,"."&amp;$A$2&amp;$AS$1&amp;"C"&amp;$A10))</f>
        <v>13741</v>
      </c>
      <c r="BB10" s="7">
        <f>-IF(RTD("tos.rtd",,BB$2,"."&amp;$A$2&amp;$AS$1&amp;"P"&amp;$A10)="N/A",0,RTD("tos.rtd",,BB$2,"."&amp;$A$2&amp;$AS$1&amp;"P"&amp;$A10))</f>
        <v>-694</v>
      </c>
      <c r="BC10" s="6">
        <f>IF(RTD("tos.rtd",,BC$2,"."&amp;$A$2&amp;$AU$1&amp;"C"&amp;$A10)="N/A",0,RTD("tos.rtd",,BC$2,"."&amp;$A$2&amp;$AU$1&amp;"C"&amp;$A10))</f>
        <v>1018</v>
      </c>
      <c r="BD10" s="7">
        <f>-IF(RTD("tos.rtd",,BD$2,"."&amp;$A$2&amp;$AU$1&amp;"P"&amp;$A10)="N/A",0,RTD("tos.rtd",,BD$2,"."&amp;$A$2&amp;$AU$1&amp;"P"&amp;$A10))</f>
        <v>-58</v>
      </c>
      <c r="BE10" s="6">
        <f>IF(RTD("tos.rtd",,BE$2,"."&amp;$A$2&amp;$AW$1&amp;"C"&amp;$A10)="N/A",0,RTD("tos.rtd",,BE$2,"."&amp;$A$2&amp;$AW$1&amp;"C"&amp;$A10))</f>
        <v>1663</v>
      </c>
      <c r="BF10" s="83">
        <f>-IF(RTD("tos.rtd",,BF$2,"."&amp;$A$2&amp;$AW$1&amp;"P"&amp;$A10)="N/A",0,RTD("tos.rtd",,BF$2,"."&amp;$A$2&amp;$AW$1&amp;"P"&amp;$A10))</f>
        <v>-11</v>
      </c>
      <c r="BG10" s="32" t="e">
        <f ca="1">+Hoja2!Y11</f>
        <v>#N/A</v>
      </c>
      <c r="BH10" s="7" t="e">
        <f t="shared" ca="1" si="36"/>
        <v>#N/A</v>
      </c>
      <c r="BI10" s="8" t="e">
        <f t="shared" ref="BI10" ca="1" si="112">IF(AND(BH10&lt;0,BH9&gt;0), "Cruce -", IF(AND(BH10&gt;0,BH9&lt;0),"Cruce +", ""))</f>
        <v>#N/A</v>
      </c>
      <c r="BJ10" s="3" t="e">
        <f ca="1">IF($BP$1=1,DX10,IF(RTD("tos.rtd",,BJ$2,"."&amp;$A$2&amp;$AS$1&amp;"C"&amp;$A10)="N/A",0,RTD("tos.rtd",,BJ$2,"."&amp;$A$2&amp;$AS$1&amp;"C"&amp;$A10)))</f>
        <v>#NUM!</v>
      </c>
      <c r="BK10" s="3" t="e">
        <f ca="1">IF($BP$1=1,DY10,-IF(RTD("tos.rtd",,BK$2,"."&amp;$A$2&amp;$AS$1&amp;"P"&amp;$A10)="N/A",0,RTD("tos.rtd",,BK$2,"."&amp;$A$2&amp;$AS$1&amp;"P"&amp;$A10)))</f>
        <v>#NUM!</v>
      </c>
      <c r="BL10" s="3">
        <f ca="1">IF($BP$1=1,DZ10,IF(RTD("tos.rtd",,BL$2,"."&amp;$A$2&amp;$AU$1&amp;"C"&amp;$A10)="N/A",0,RTD("tos.rtd",,BL$2,"."&amp;$A$2&amp;$AU$1&amp;"C"&amp;$A10)))</f>
        <v>2.254246266397145E-2</v>
      </c>
      <c r="BM10" s="3">
        <f ca="1">IF($BP$1=1,EA10,-IF(RTD("tos.rtd",,BM$2,"."&amp;$A$2&amp;$AU$1&amp;"P"&amp;$A10)="N/A",0,RTD("tos.rtd",,BM$2,"."&amp;$A$2&amp;$AU$1&amp;"P"&amp;$A10)))</f>
        <v>-2.2343522602628202E-2</v>
      </c>
      <c r="BN10" s="3">
        <f ca="1">IF($BP$1=1,EB10,IF(RTD("tos.rtd",,BN$2,"."&amp;$A$2&amp;$AW$1&amp;"C"&amp;$A10)="N/A",0,RTD("tos.rtd",,BN$2,"."&amp;$A$2&amp;$AW$1&amp;"C"&amp;$A10)))</f>
        <v>2.1943194657005085E-2</v>
      </c>
      <c r="BO10" s="3">
        <f ca="1">IF($BP$1=1,EC10,-IF(RTD("tos.rtd",,BO$2,"."&amp;$A$2&amp;$AW$1&amp;"P"&amp;$A10)="N/A",0,RTD("tos.rtd",,BO$2,"."&amp;$A$2&amp;$AW$1&amp;"P"&amp;$A10)))</f>
        <v>-2.167862131698731E-2</v>
      </c>
      <c r="BQ10" s="3" t="e">
        <f t="shared" ca="1" si="86"/>
        <v>#NUM!</v>
      </c>
      <c r="BR10" s="3" t="e">
        <f t="shared" ca="1" si="68"/>
        <v>#NUM!</v>
      </c>
      <c r="BS10" s="3">
        <f t="shared" ca="1" si="87"/>
        <v>7872070.2395944484</v>
      </c>
      <c r="BT10" s="3" t="str">
        <f t="shared" ca="1" si="68"/>
        <v/>
      </c>
      <c r="BU10" s="3">
        <f t="shared" ca="1" si="88"/>
        <v>22482270.684104208</v>
      </c>
      <c r="BV10" s="3" t="str">
        <f t="shared" ref="BV10" ca="1" si="113">IF(AND(BU10&lt;0,BU9&gt;0), "Cruce -", IF(AND(BU10&gt;0,BU9&lt;0),"Cruce +", ""))</f>
        <v/>
      </c>
      <c r="BX10" s="3" t="e">
        <f t="shared" ca="1" si="90"/>
        <v>#NUM!</v>
      </c>
      <c r="BY10" s="3" t="e">
        <f t="shared" ca="1" si="70"/>
        <v>#NUM!</v>
      </c>
      <c r="BZ10" s="3">
        <f t="shared" ca="1" si="91"/>
        <v>6960240.544752392</v>
      </c>
      <c r="CA10" s="3" t="str">
        <f t="shared" ca="1" si="71"/>
        <v/>
      </c>
      <c r="CB10" s="3">
        <f t="shared" ca="1" si="92"/>
        <v>11653729.242967999</v>
      </c>
      <c r="CC10" s="3" t="str">
        <f t="shared" ca="1" si="72"/>
        <v/>
      </c>
      <c r="CD10" s="3">
        <f>IF(RTD("tos.rtd",,CD$2,"."&amp;$A$2&amp;$AS$1&amp;"C"&amp;$A10)="N/A",0,RTD("tos.rtd",,CD$2,"."&amp;$A$2&amp;$AS$1&amp;"C"&amp;$A10))</f>
        <v>0</v>
      </c>
      <c r="CE10" s="3">
        <f>-IF(RTD("tos.rtd",,CE$2,"."&amp;$A$2&amp;$AS$1&amp;"P"&amp;$A10)="N/A",0,RTD("tos.rtd",,CE$2,"."&amp;$A$2&amp;$AS$1&amp;"P"&amp;$A10))</f>
        <v>1</v>
      </c>
      <c r="CF10" s="3">
        <f>IF(RTD("tos.rtd",,CF$2,"."&amp;$A$2&amp;$AU$1&amp;"C"&amp;$A10)="N/A",0,RTD("tos.rtd",,CF$2,"."&amp;$A$2&amp;$AU$1&amp;"C"&amp;$A10))</f>
        <v>0.26</v>
      </c>
      <c r="CG10" s="3">
        <f>-IF(RTD("tos.rtd",,CG$2,"."&amp;$A$2&amp;$AU$1&amp;"P"&amp;$A10)="N/A",0,RTD("tos.rtd",,CG$2,"."&amp;$A$2&amp;$AU$1&amp;"P"&amp;$A10))</f>
        <v>0.74</v>
      </c>
      <c r="CH10" s="3">
        <f>IF(RTD("tos.rtd",,CH$2,"."&amp;$A$2&amp;$AW$1&amp;"C"&amp;$A10)="N/A",0,RTD("tos.rtd",,CH$2,"."&amp;$A$2&amp;$AW$1&amp;"C"&amp;$A10))</f>
        <v>0.34</v>
      </c>
      <c r="CI10" s="3">
        <f>-IF(RTD("tos.rtd",,CI$2,"."&amp;$A$2&amp;$AW$1&amp;"P"&amp;$A10)="N/A",0,RTD("tos.rtd",,CI$2,"."&amp;$A$2&amp;$AW$1&amp;"P"&amp;$A10))</f>
        <v>0.66</v>
      </c>
      <c r="CK10" s="3">
        <f t="shared" si="93"/>
        <v>0</v>
      </c>
      <c r="CL10" s="3"/>
      <c r="CM10" s="3">
        <f t="shared" si="94"/>
        <v>26364</v>
      </c>
      <c r="CN10" s="3"/>
      <c r="CO10" s="3">
        <f t="shared" si="95"/>
        <v>99552.000000000015</v>
      </c>
      <c r="CP10" s="3">
        <f t="shared" si="96"/>
        <v>125916.00000000001</v>
      </c>
      <c r="CQ10" s="3">
        <f t="shared" si="97"/>
        <v>13047</v>
      </c>
      <c r="CR10" s="3"/>
      <c r="CS10" s="3">
        <f t="shared" si="98"/>
        <v>960</v>
      </c>
      <c r="CT10" s="3"/>
      <c r="CU10" s="3">
        <f t="shared" si="99"/>
        <v>1652</v>
      </c>
      <c r="CV10" s="3">
        <f t="shared" si="100"/>
        <v>15659</v>
      </c>
      <c r="CW10" s="3" t="e">
        <f t="shared" ca="1" si="101"/>
        <v>#NUM!</v>
      </c>
      <c r="CX10" s="85" t="e">
        <f t="shared" ca="1" si="73"/>
        <v>#NUM!</v>
      </c>
      <c r="CY10" s="3" t="e">
        <f t="shared" ca="1" si="102"/>
        <v>#NUM!</v>
      </c>
      <c r="CZ10" s="85" t="e">
        <f t="shared" ca="1" si="74"/>
        <v>#NUM!</v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8.4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9.11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8.92</v>
      </c>
      <c r="DG10" s="86">
        <f t="shared" si="48"/>
        <v>9.0299999999999727</v>
      </c>
      <c r="DH10" s="3">
        <f t="shared" si="103"/>
        <v>0</v>
      </c>
      <c r="DI10" s="3">
        <f t="shared" si="104"/>
        <v>0</v>
      </c>
      <c r="DJ10" s="3">
        <f t="shared" si="105"/>
        <v>0</v>
      </c>
      <c r="DK10" s="3">
        <f t="shared" si="51"/>
        <v>0</v>
      </c>
      <c r="DL10" s="3">
        <f t="shared" si="52"/>
        <v>0</v>
      </c>
      <c r="DM10" s="3">
        <f t="shared" si="53"/>
        <v>0</v>
      </c>
      <c r="DN10" s="63" t="str">
        <f t="shared" si="54"/>
        <v>UNKNOWN</v>
      </c>
      <c r="DO10" s="63" t="str">
        <f t="shared" si="55"/>
        <v>UNKNOWN</v>
      </c>
      <c r="DP10" s="3">
        <f t="shared" si="56"/>
        <v>0</v>
      </c>
      <c r="DQ10" s="3">
        <f t="shared" si="57"/>
        <v>0</v>
      </c>
      <c r="DR10" s="3" t="e">
        <f t="shared" ca="1" si="58"/>
        <v>#NUM!</v>
      </c>
      <c r="DS10" s="3">
        <f t="shared" si="59"/>
        <v>0</v>
      </c>
      <c r="DT10" s="3">
        <f t="shared" si="60"/>
        <v>0</v>
      </c>
      <c r="DU10" s="3">
        <f t="shared" si="61"/>
        <v>0</v>
      </c>
      <c r="DV10" s="3">
        <f t="shared" si="62"/>
        <v>-4462</v>
      </c>
      <c r="DW10" s="3">
        <f t="shared" si="23"/>
        <v>13</v>
      </c>
      <c r="DX10" s="3" t="e">
        <f t="shared" ca="1" si="24"/>
        <v>#NUM!</v>
      </c>
      <c r="DY10" s="3" t="e">
        <f t="shared" ca="1" si="25"/>
        <v>#NUM!</v>
      </c>
      <c r="DZ10" s="3">
        <f t="shared" ca="1" si="26"/>
        <v>2.254246266397145E-2</v>
      </c>
      <c r="EA10" s="3">
        <f t="shared" ca="1" si="27"/>
        <v>-2.2343522602628202E-2</v>
      </c>
      <c r="EB10" s="3">
        <f t="shared" ca="1" si="28"/>
        <v>2.1943194657005085E-2</v>
      </c>
      <c r="EC10" s="3">
        <f t="shared" ca="1" si="29"/>
        <v>-2.167862131698731E-2</v>
      </c>
      <c r="EE10" s="59">
        <f t="shared" si="106"/>
        <v>0.80310000000000004</v>
      </c>
      <c r="EF10" s="59">
        <f t="shared" si="107"/>
        <v>0.25</v>
      </c>
      <c r="EG10" s="59">
        <f t="shared" si="108"/>
        <v>0.16739999999999999</v>
      </c>
      <c r="EH10" s="59">
        <f t="shared" si="109"/>
        <v>0.16950000000000001</v>
      </c>
      <c r="EI10" s="59">
        <f t="shared" si="110"/>
        <v>0.17380000000000001</v>
      </c>
      <c r="EJ10" s="59">
        <f t="shared" si="111"/>
        <v>0.1767</v>
      </c>
      <c r="EL10" s="3" t="str">
        <f>RTD("tos.rtd",,EL$2,"."&amp;$A$2&amp;$AS$1&amp;"C"&amp;$A10)</f>
        <v>80.31%</v>
      </c>
      <c r="EM10" s="3" t="str">
        <f>RTD("tos.rtd",,EM$2,"."&amp;$A$2&amp;$AS$1&amp;"P"&amp;$A10)</f>
        <v>--</v>
      </c>
      <c r="EN10" s="3" t="str">
        <f>RTD("tos.rtd",,EN$2,"."&amp;$A$2&amp;$AU$1&amp;"C"&amp;$A10)</f>
        <v>16.74%</v>
      </c>
      <c r="EO10" s="3" t="str">
        <f>RTD("tos.rtd",,EO$2,"."&amp;$A$2&amp;$AU$1&amp;"P"&amp;$A10)</f>
        <v>16.95%</v>
      </c>
      <c r="EP10" s="3" t="str">
        <f>RTD("tos.rtd",,EP$2,"."&amp;$A$2&amp;$AW$1&amp;"C"&amp;$A10)</f>
        <v>17.38%</v>
      </c>
      <c r="EQ10" s="3" t="str">
        <f>RTD("tos.rtd",,EQ$2,"."&amp;$A$2&amp;$AW$1&amp;"P"&amp;$A10)</f>
        <v>17.67%</v>
      </c>
      <c r="ET10" s="63" t="str">
        <f t="shared" ca="1" si="64"/>
        <v>576,00.00</v>
      </c>
      <c r="EU10" s="67">
        <v>560.89</v>
      </c>
      <c r="EV10" s="67" t="s">
        <v>99</v>
      </c>
      <c r="EW10" s="67">
        <v>482.79</v>
      </c>
      <c r="EX10" s="67" t="s">
        <v>100</v>
      </c>
      <c r="EY10" s="67">
        <v>5624.5</v>
      </c>
      <c r="EZ10" s="67" t="s">
        <v>101</v>
      </c>
      <c r="FA10" s="67">
        <v>19836</v>
      </c>
      <c r="FB10" s="67" t="s">
        <v>102</v>
      </c>
      <c r="FC10" s="67" t="s">
        <v>103</v>
      </c>
      <c r="FD10" s="67" t="s">
        <v>104</v>
      </c>
      <c r="FE10" s="67" t="s">
        <v>105</v>
      </c>
      <c r="FF10" s="67" t="s">
        <v>106</v>
      </c>
    </row>
    <row r="11" spans="1:162" s="63" customFormat="1" ht="13.5" thickBot="1" x14ac:dyDescent="0.25">
      <c r="A11" s="2">
        <f t="shared" si="65"/>
        <v>575</v>
      </c>
      <c r="B11" s="3">
        <f t="shared" si="79"/>
        <v>12580</v>
      </c>
      <c r="C11" s="3">
        <f t="shared" si="80"/>
        <v>7605</v>
      </c>
      <c r="D11" s="3">
        <f t="shared" si="81"/>
        <v>71932</v>
      </c>
      <c r="E11" s="3">
        <f t="shared" si="82"/>
        <v>92117</v>
      </c>
      <c r="F11" s="4">
        <f t="shared" si="83"/>
        <v>5790.6172284247841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3521</v>
      </c>
      <c r="AN11" s="1">
        <v>0</v>
      </c>
      <c r="AO11" s="1">
        <v>575</v>
      </c>
      <c r="AP11" s="1">
        <v>50959</v>
      </c>
      <c r="AQ11" s="1">
        <v>-982</v>
      </c>
      <c r="AR11" s="1"/>
      <c r="AS11" s="6">
        <f>IF(RTD("tos.rtd",,AS$2,"."&amp;$A$2&amp;$AS$1&amp;"C"&amp;$A11)="N/A",0,RTD("tos.rtd",,AS$2,"."&amp;$A$2&amp;$AS$1&amp;"C"&amp;$A11))</f>
        <v>12525</v>
      </c>
      <c r="AT11" s="7">
        <f>-IF(RTD("tos.rtd",,AT$2,"."&amp;$A$2&amp;$AS$1&amp;"P"&amp;$A11)="N/A",0,RTD("tos.rtd",,AT$2,"."&amp;$A$2&amp;$AS$1&amp;"P"&amp;$A11))</f>
        <v>-55</v>
      </c>
      <c r="AU11" s="6">
        <f>IF(RTD("tos.rtd",,AU$2,"."&amp;$A$2&amp;$AU$1&amp;"C"&amp;$A11)="N/A",0,RTD("tos.rtd",,AU$2,"."&amp;$A$2&amp;$AU$1&amp;"C"&amp;$A11))</f>
        <v>7555</v>
      </c>
      <c r="AV11" s="7">
        <f>-IF(RTD("tos.rtd",,AV$2,"."&amp;$A$2&amp;$AU$1&amp;"P"&amp;$A11)="N/A",0,RTD("tos.rtd",,AV$2,"."&amp;$A$2&amp;$AU$1&amp;"P"&amp;$A11))</f>
        <v>-50</v>
      </c>
      <c r="AW11" s="6">
        <f>IF(RTD("tos.rtd",,AW$2,"."&amp;$A$2&amp;$AW$1&amp;"C"&amp;$A11)="N/A",0,RTD("tos.rtd",,AW$2,"."&amp;$A$2&amp;$AW$1&amp;"C"&amp;$A11))</f>
        <v>69141</v>
      </c>
      <c r="AX11" s="7">
        <f>-IF(RTD("tos.rtd",,AX$2,"."&amp;$A$2&amp;$AW$1&amp;"P"&amp;$A11)="N/A",0,RTD("tos.rtd",,AX$2,"."&amp;$A$2&amp;$AW$1&amp;"P"&amp;$A11))</f>
        <v>-2791</v>
      </c>
      <c r="AY11" s="1">
        <f t="shared" si="84"/>
        <v>86325</v>
      </c>
      <c r="AZ11" s="8">
        <f t="shared" si="35"/>
        <v>575</v>
      </c>
      <c r="BA11" s="6">
        <f>IF(RTD("tos.rtd",,BA$2,"."&amp;$A$2&amp;$AS$1&amp;"C"&amp;$A11)="N/A",0,RTD("tos.rtd",,BA$2,"."&amp;$A$2&amp;$AS$1&amp;"C"&amp;$A11))</f>
        <v>50959</v>
      </c>
      <c r="BB11" s="7">
        <f>-IF(RTD("tos.rtd",,BB$2,"."&amp;$A$2&amp;$AS$1&amp;"P"&amp;$A11)="N/A",0,RTD("tos.rtd",,BB$2,"."&amp;$A$2&amp;$AS$1&amp;"P"&amp;$A11))</f>
        <v>-982</v>
      </c>
      <c r="BC11" s="6">
        <f>IF(RTD("tos.rtd",,BC$2,"."&amp;$A$2&amp;$AU$1&amp;"C"&amp;$A11)="N/A",0,RTD("tos.rtd",,BC$2,"."&amp;$A$2&amp;$AU$1&amp;"C"&amp;$A11))</f>
        <v>16120</v>
      </c>
      <c r="BD11" s="7">
        <f>-IF(RTD("tos.rtd",,BD$2,"."&amp;$A$2&amp;$AU$1&amp;"P"&amp;$A11)="N/A",0,RTD("tos.rtd",,BD$2,"."&amp;$A$2&amp;$AU$1&amp;"P"&amp;$A11))</f>
        <v>-2893</v>
      </c>
      <c r="BE11" s="6">
        <f>IF(RTD("tos.rtd",,BE$2,"."&amp;$A$2&amp;$AW$1&amp;"C"&amp;$A11)="N/A",0,RTD("tos.rtd",,BE$2,"."&amp;$A$2&amp;$AW$1&amp;"C"&amp;$A11))</f>
        <v>14781</v>
      </c>
      <c r="BF11" s="83">
        <f>-IF(RTD("tos.rtd",,BF$2,"."&amp;$A$2&amp;$AW$1&amp;"P"&amp;$A11)="N/A",0,RTD("tos.rtd",,BF$2,"."&amp;$A$2&amp;$AW$1&amp;"P"&amp;$A11))</f>
        <v>-339</v>
      </c>
      <c r="BG11" s="32" t="e">
        <f ca="1">+Hoja2!Y12</f>
        <v>#N/A</v>
      </c>
      <c r="BH11" s="7" t="e">
        <f t="shared" ca="1" si="36"/>
        <v>#N/A</v>
      </c>
      <c r="BI11" s="8" t="e">
        <f t="shared" ref="BI11" ca="1" si="114">IF(AND(BH11&lt;0,BH10&gt;0), "Cruce -", IF(AND(BH11&gt;0,BH10&lt;0),"Cruce +", ""))</f>
        <v>#N/A</v>
      </c>
      <c r="BJ11" s="3" t="e">
        <f ca="1">IF($BP$1=1,DX11,IF(RTD("tos.rtd",,BJ$2,"."&amp;$A$2&amp;$AS$1&amp;"C"&amp;$A11)="N/A",0,RTD("tos.rtd",,BJ$2,"."&amp;$A$2&amp;$AS$1&amp;"C"&amp;$A11)))</f>
        <v>#NUM!</v>
      </c>
      <c r="BK11" s="3" t="e">
        <f ca="1">IF($BP$1=1,DY11,-IF(RTD("tos.rtd",,BK$2,"."&amp;$A$2&amp;$AS$1&amp;"P"&amp;$A11)="N/A",0,RTD("tos.rtd",,BK$2,"."&amp;$A$2&amp;$AS$1&amp;"P"&amp;$A11)))</f>
        <v>#NUM!</v>
      </c>
      <c r="BL11" s="3">
        <f ca="1">IF($BP$1=1,DZ11,IF(RTD("tos.rtd",,BL$2,"."&amp;$A$2&amp;$AU$1&amp;"C"&amp;$A11)="N/A",0,RTD("tos.rtd",,BL$2,"."&amp;$A$2&amp;$AU$1&amp;"C"&amp;$A11)))</f>
        <v>2.3065888936767923E-2</v>
      </c>
      <c r="BM11" s="3">
        <f ca="1">IF($BP$1=1,EA11,-IF(RTD("tos.rtd",,BM$2,"."&amp;$A$2&amp;$AU$1&amp;"P"&amp;$A11)="N/A",0,RTD("tos.rtd",,BM$2,"."&amp;$A$2&amp;$AU$1&amp;"P"&amp;$A11)))</f>
        <v>-2.2876401969421669E-2</v>
      </c>
      <c r="BN11" s="3">
        <f ca="1">IF($BP$1=1,EB11,IF(RTD("tos.rtd",,BN$2,"."&amp;$A$2&amp;$AW$1&amp;"C"&amp;$A11)="N/A",0,RTD("tos.rtd",,BN$2,"."&amp;$A$2&amp;$AW$1&amp;"C"&amp;$A11)))</f>
        <v>2.2403132489022554E-2</v>
      </c>
      <c r="BO11" s="3">
        <f ca="1">IF($BP$1=1,EC11,-IF(RTD("tos.rtd",,BO$2,"."&amp;$A$2&amp;$AW$1&amp;"P"&amp;$A11)="N/A",0,RTD("tos.rtd",,BO$2,"."&amp;$A$2&amp;$AW$1&amp;"P"&amp;$A11)))</f>
        <v>-2.2212196215917711E-2</v>
      </c>
      <c r="BQ11" s="3" t="e">
        <f t="shared" ca="1" si="86"/>
        <v>#NUM!</v>
      </c>
      <c r="BR11" s="3" t="e">
        <f t="shared" ca="1" si="68"/>
        <v>#NUM!</v>
      </c>
      <c r="BS11" s="3">
        <f t="shared" ca="1" si="87"/>
        <v>55649955.457988411</v>
      </c>
      <c r="BT11" s="3" t="str">
        <f t="shared" ca="1" si="68"/>
        <v/>
      </c>
      <c r="BU11" s="3">
        <f t="shared" ca="1" si="88"/>
        <v>477997366.59203714</v>
      </c>
      <c r="BV11" s="3" t="str">
        <f t="shared" ref="BV11" ca="1" si="115">IF(AND(BU11&lt;0,BU10&gt;0), "Cruce -", IF(AND(BU11&gt;0,BU10&lt;0),"Cruce +", ""))</f>
        <v/>
      </c>
      <c r="BX11" s="3" t="e">
        <f t="shared" ca="1" si="90"/>
        <v>#NUM!</v>
      </c>
      <c r="BY11" s="3" t="e">
        <f t="shared" ca="1" si="70"/>
        <v>#NUM!</v>
      </c>
      <c r="BZ11" s="3">
        <f t="shared" ca="1" si="91"/>
        <v>98249724.98317492</v>
      </c>
      <c r="CA11" s="3" t="str">
        <f t="shared" ca="1" si="71"/>
        <v/>
      </c>
      <c r="CB11" s="3">
        <f t="shared" ca="1" si="92"/>
        <v>104026292.8617076</v>
      </c>
      <c r="CC11" s="3" t="str">
        <f t="shared" ca="1" si="72"/>
        <v/>
      </c>
      <c r="CD11" s="3">
        <f>IF(RTD("tos.rtd",,CD$2,"."&amp;$A$2&amp;$AS$1&amp;"C"&amp;$A11)="N/A",0,RTD("tos.rtd",,CD$2,"."&amp;$A$2&amp;$AS$1&amp;"C"&amp;$A11))</f>
        <v>0.01</v>
      </c>
      <c r="CE11" s="3">
        <f>-IF(RTD("tos.rtd",,CE$2,"."&amp;$A$2&amp;$AS$1&amp;"P"&amp;$A11)="N/A",0,RTD("tos.rtd",,CE$2,"."&amp;$A$2&amp;$AS$1&amp;"P"&amp;$A11))</f>
        <v>1</v>
      </c>
      <c r="CF11" s="3">
        <f>IF(RTD("tos.rtd",,CF$2,"."&amp;$A$2&amp;$AU$1&amp;"C"&amp;$A11)="N/A",0,RTD("tos.rtd",,CF$2,"."&amp;$A$2&amp;$AU$1&amp;"C"&amp;$A11))</f>
        <v>0.28999999999999998</v>
      </c>
      <c r="CG11" s="3">
        <f>-IF(RTD("tos.rtd",,CG$2,"."&amp;$A$2&amp;$AU$1&amp;"P"&amp;$A11)="N/A",0,RTD("tos.rtd",,CG$2,"."&amp;$A$2&amp;$AU$1&amp;"P"&amp;$A11))</f>
        <v>0.71</v>
      </c>
      <c r="CH11" s="3">
        <f>IF(RTD("tos.rtd",,CH$2,"."&amp;$A$2&amp;$AW$1&amp;"C"&amp;$A11)="N/A",0,RTD("tos.rtd",,CH$2,"."&amp;$A$2&amp;$AW$1&amp;"C"&amp;$A11))</f>
        <v>0.36</v>
      </c>
      <c r="CI11" s="3">
        <f>-IF(RTD("tos.rtd",,CI$2,"."&amp;$A$2&amp;$AW$1&amp;"P"&amp;$A11)="N/A",0,RTD("tos.rtd",,CI$2,"."&amp;$A$2&amp;$AW$1&amp;"P"&amp;$A11))</f>
        <v>0.64</v>
      </c>
      <c r="CK11" s="3">
        <f t="shared" si="93"/>
        <v>7025</v>
      </c>
      <c r="CL11" s="3"/>
      <c r="CM11" s="3">
        <f t="shared" si="94"/>
        <v>215544.99999999997</v>
      </c>
      <c r="CN11" s="3"/>
      <c r="CO11" s="3">
        <f t="shared" si="95"/>
        <v>2310452</v>
      </c>
      <c r="CP11" s="3">
        <f t="shared" si="96"/>
        <v>2533022</v>
      </c>
      <c r="CQ11" s="3">
        <f t="shared" si="97"/>
        <v>49977</v>
      </c>
      <c r="CR11" s="3"/>
      <c r="CS11" s="3">
        <f t="shared" si="98"/>
        <v>13227</v>
      </c>
      <c r="CT11" s="3"/>
      <c r="CU11" s="3">
        <f t="shared" si="99"/>
        <v>14442</v>
      </c>
      <c r="CV11" s="3">
        <f t="shared" si="100"/>
        <v>77646</v>
      </c>
      <c r="CW11" s="3" t="e">
        <f t="shared" ca="1" si="101"/>
        <v>#NUM!</v>
      </c>
      <c r="CX11" s="85" t="e">
        <f t="shared" ca="1" si="73"/>
        <v>#NUM!</v>
      </c>
      <c r="CY11" s="3" t="e">
        <f t="shared" ca="1" si="102"/>
        <v>#NUM!</v>
      </c>
      <c r="CZ11" s="85" t="e">
        <f t="shared" ca="1" si="74"/>
        <v>#NUM!</v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8.5</v>
      </c>
      <c r="DC11" s="3">
        <f>IF(RTD("tos.rtd",,DC$2,"."&amp;$A$2&amp;$AS$1&amp;"C"&amp;$A11)="N/A",0,RTD("tos.rtd",,DC$2,"."&amp;$A$2&amp;$AS$1&amp;"C"&amp;$A11))</f>
        <v>0.01</v>
      </c>
      <c r="DD11" s="3">
        <f>IF(RTD("tos.rtd",,DD$2,"."&amp;$A$2&amp;$AS$1&amp;"P"&amp;$A11)="N/A",0,RTD("tos.rtd",,DD$2,"."&amp;$A$2&amp;$AS$1&amp;"P"&amp;$A11))</f>
        <v>8.11</v>
      </c>
      <c r="DE11" s="3">
        <f>IF(RTD("tos.rtd",,DE$2,"."&amp;$A$2&amp;$AS$1&amp;"C"&amp;$A11)="N/A",0,RTD("tos.rtd",,DE$2,"."&amp;$A$2&amp;$AS$1&amp;"C"&amp;$A11))</f>
        <v>0</v>
      </c>
      <c r="DF11" s="3">
        <f>IF(RTD("tos.rtd",,DF$2,"."&amp;$A$2&amp;$AS$1&amp;"P"&amp;$A11)="N/A",0,RTD("tos.rtd",,DF$2,"."&amp;$A$2&amp;$AS$1&amp;"P"&amp;$A11))</f>
        <v>7.92</v>
      </c>
      <c r="DG11" s="86">
        <f t="shared" si="48"/>
        <v>8.0299999999999727</v>
      </c>
      <c r="DH11" s="3">
        <f t="shared" si="103"/>
        <v>0</v>
      </c>
      <c r="DI11" s="3">
        <f t="shared" si="104"/>
        <v>0</v>
      </c>
      <c r="DJ11" s="3">
        <f t="shared" si="105"/>
        <v>0</v>
      </c>
      <c r="DK11" s="3">
        <f t="shared" si="51"/>
        <v>0</v>
      </c>
      <c r="DL11" s="3">
        <f t="shared" si="52"/>
        <v>0</v>
      </c>
      <c r="DM11" s="3">
        <f t="shared" si="53"/>
        <v>0</v>
      </c>
      <c r="DN11" s="63" t="str">
        <f t="shared" si="54"/>
        <v>UNKNOWN</v>
      </c>
      <c r="DO11" s="63" t="str">
        <f t="shared" si="55"/>
        <v>UNKNOWN</v>
      </c>
      <c r="DP11" s="3">
        <f t="shared" si="56"/>
        <v>0</v>
      </c>
      <c r="DQ11" s="3">
        <f t="shared" si="57"/>
        <v>0</v>
      </c>
      <c r="DR11" s="3" t="e">
        <f t="shared" ca="1" si="58"/>
        <v>#NUM!</v>
      </c>
      <c r="DS11" s="3">
        <f t="shared" si="59"/>
        <v>0</v>
      </c>
      <c r="DT11" s="3">
        <f t="shared" si="60"/>
        <v>0</v>
      </c>
      <c r="DU11" s="3">
        <f t="shared" si="61"/>
        <v>0</v>
      </c>
      <c r="DV11" s="3">
        <f t="shared" si="62"/>
        <v>3521</v>
      </c>
      <c r="DW11" s="3">
        <f t="shared" si="23"/>
        <v>0</v>
      </c>
      <c r="DX11" s="3" t="e">
        <f t="shared" ca="1" si="24"/>
        <v>#NUM!</v>
      </c>
      <c r="DY11" s="3" t="e">
        <f t="shared" ca="1" si="25"/>
        <v>#NUM!</v>
      </c>
      <c r="DZ11" s="3">
        <f t="shared" ca="1" si="26"/>
        <v>2.3065888936767923E-2</v>
      </c>
      <c r="EA11" s="3">
        <f t="shared" ca="1" si="27"/>
        <v>-2.2876401969421669E-2</v>
      </c>
      <c r="EB11" s="3">
        <f t="shared" ca="1" si="28"/>
        <v>2.2403132489022554E-2</v>
      </c>
      <c r="EC11" s="3">
        <f t="shared" ca="1" si="29"/>
        <v>-2.2212196215917711E-2</v>
      </c>
      <c r="EE11" s="59">
        <f t="shared" si="106"/>
        <v>0.72399999999999998</v>
      </c>
      <c r="EF11" s="59">
        <f t="shared" si="107"/>
        <v>0.25</v>
      </c>
      <c r="EG11" s="59">
        <f t="shared" si="108"/>
        <v>0.16930000000000001</v>
      </c>
      <c r="EH11" s="59">
        <f t="shared" si="109"/>
        <v>0.1711</v>
      </c>
      <c r="EI11" s="59">
        <f t="shared" si="110"/>
        <v>0.1757</v>
      </c>
      <c r="EJ11" s="59">
        <f t="shared" si="111"/>
        <v>0.17760000000000001</v>
      </c>
      <c r="EL11" s="3" t="str">
        <f>RTD("tos.rtd",,EL$2,"."&amp;$A$2&amp;$AS$1&amp;"C"&amp;$A11)</f>
        <v>72.40%</v>
      </c>
      <c r="EM11" s="3" t="str">
        <f>RTD("tos.rtd",,EM$2,"."&amp;$A$2&amp;$AS$1&amp;"P"&amp;$A11)</f>
        <v>--</v>
      </c>
      <c r="EN11" s="3" t="str">
        <f>RTD("tos.rtd",,EN$2,"."&amp;$A$2&amp;$AU$1&amp;"C"&amp;$A11)</f>
        <v>16.93%</v>
      </c>
      <c r="EO11" s="3" t="str">
        <f>RTD("tos.rtd",,EO$2,"."&amp;$A$2&amp;$AU$1&amp;"P"&amp;$A11)</f>
        <v>17.11%</v>
      </c>
      <c r="EP11" s="3" t="str">
        <f>RTD("tos.rtd",,EP$2,"."&amp;$A$2&amp;$AW$1&amp;"C"&amp;$A11)</f>
        <v>17.57%</v>
      </c>
      <c r="EQ11" s="3" t="str">
        <f>RTD("tos.rtd",,EQ$2,"."&amp;$A$2&amp;$AW$1&amp;"P"&amp;$A11)</f>
        <v>17.76%</v>
      </c>
      <c r="ET11" s="63" t="str">
        <f t="shared" ca="1" si="64"/>
        <v>575,00.00</v>
      </c>
      <c r="EU11" s="67">
        <v>561</v>
      </c>
      <c r="EV11" s="67" t="s">
        <v>107</v>
      </c>
      <c r="EW11" s="67">
        <v>482.94</v>
      </c>
      <c r="EX11" s="67" t="s">
        <v>108</v>
      </c>
      <c r="EY11" s="67">
        <v>5625.25</v>
      </c>
      <c r="EZ11" s="67" t="s">
        <v>109</v>
      </c>
      <c r="FA11" s="67">
        <v>19843.25</v>
      </c>
      <c r="FB11" s="67" t="s">
        <v>110</v>
      </c>
      <c r="FC11" s="67" t="s">
        <v>111</v>
      </c>
      <c r="FD11" s="67" t="s">
        <v>112</v>
      </c>
      <c r="FE11" s="67" t="s">
        <v>113</v>
      </c>
      <c r="FF11" s="67" t="s">
        <v>114</v>
      </c>
    </row>
    <row r="12" spans="1:162" s="63" customFormat="1" ht="13.5" thickBot="1" x14ac:dyDescent="0.25">
      <c r="A12" s="2">
        <f t="shared" si="65"/>
        <v>574</v>
      </c>
      <c r="B12" s="3">
        <f t="shared" si="79"/>
        <v>7133</v>
      </c>
      <c r="C12" s="3">
        <f t="shared" si="80"/>
        <v>1650</v>
      </c>
      <c r="D12" s="3">
        <f t="shared" si="81"/>
        <v>2868</v>
      </c>
      <c r="E12" s="3">
        <f t="shared" si="82"/>
        <v>11651</v>
      </c>
      <c r="F12" s="4">
        <f t="shared" si="83"/>
        <v>5780.5465897666545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-115</v>
      </c>
      <c r="AN12" s="1">
        <v>-87</v>
      </c>
      <c r="AO12" s="1">
        <v>574</v>
      </c>
      <c r="AP12" s="1">
        <v>27367</v>
      </c>
      <c r="AQ12" s="1">
        <v>-416</v>
      </c>
      <c r="AR12" s="1"/>
      <c r="AS12" s="6">
        <f>IF(RTD("tos.rtd",,AS$2,"."&amp;$A$2&amp;$AS$1&amp;"C"&amp;$A12)="N/A",0,RTD("tos.rtd",,AS$2,"."&amp;$A$2&amp;$AS$1&amp;"C"&amp;$A12))</f>
        <v>7120</v>
      </c>
      <c r="AT12" s="7">
        <f>-IF(RTD("tos.rtd",,AT$2,"."&amp;$A$2&amp;$AS$1&amp;"P"&amp;$A12)="N/A",0,RTD("tos.rtd",,AT$2,"."&amp;$A$2&amp;$AS$1&amp;"P"&amp;$A12))</f>
        <v>-13</v>
      </c>
      <c r="AU12" s="6">
        <f>IF(RTD("tos.rtd",,AU$2,"."&amp;$A$2&amp;$AU$1&amp;"C"&amp;$A12)="N/A",0,RTD("tos.rtd",,AU$2,"."&amp;$A$2&amp;$AU$1&amp;"C"&amp;$A12))</f>
        <v>1622</v>
      </c>
      <c r="AV12" s="7">
        <f>-IF(RTD("tos.rtd",,AV$2,"."&amp;$A$2&amp;$AU$1&amp;"P"&amp;$A12)="N/A",0,RTD("tos.rtd",,AV$2,"."&amp;$A$2&amp;$AU$1&amp;"P"&amp;$A12))</f>
        <v>-28</v>
      </c>
      <c r="AW12" s="6">
        <f>IF(RTD("tos.rtd",,AW$2,"."&amp;$A$2&amp;$AW$1&amp;"C"&amp;$A12)="N/A",0,RTD("tos.rtd",,AW$2,"."&amp;$A$2&amp;$AW$1&amp;"C"&amp;$A12))</f>
        <v>2566</v>
      </c>
      <c r="AX12" s="7">
        <f>-IF(RTD("tos.rtd",,AX$2,"."&amp;$A$2&amp;$AW$1&amp;"P"&amp;$A12)="N/A",0,RTD("tos.rtd",,AX$2,"."&amp;$A$2&amp;$AW$1&amp;"P"&amp;$A12))</f>
        <v>-302</v>
      </c>
      <c r="AY12" s="1">
        <f t="shared" si="84"/>
        <v>10965</v>
      </c>
      <c r="AZ12" s="8">
        <f t="shared" si="35"/>
        <v>574</v>
      </c>
      <c r="BA12" s="6">
        <f>IF(RTD("tos.rtd",,BA$2,"."&amp;$A$2&amp;$AS$1&amp;"C"&amp;$A12)="N/A",0,RTD("tos.rtd",,BA$2,"."&amp;$A$2&amp;$AS$1&amp;"C"&amp;$A12))</f>
        <v>27367</v>
      </c>
      <c r="BB12" s="7">
        <f>-IF(RTD("tos.rtd",,BB$2,"."&amp;$A$2&amp;$AS$1&amp;"P"&amp;$A12)="N/A",0,RTD("tos.rtd",,BB$2,"."&amp;$A$2&amp;$AS$1&amp;"P"&amp;$A12))</f>
        <v>-416</v>
      </c>
      <c r="BC12" s="6">
        <f>IF(RTD("tos.rtd",,BC$2,"."&amp;$A$2&amp;$AU$1&amp;"C"&amp;$A12)="N/A",0,RTD("tos.rtd",,BC$2,"."&amp;$A$2&amp;$AU$1&amp;"C"&amp;$A12))</f>
        <v>2799</v>
      </c>
      <c r="BD12" s="7">
        <f>-IF(RTD("tos.rtd",,BD$2,"."&amp;$A$2&amp;$AU$1&amp;"P"&amp;$A12)="N/A",0,RTD("tos.rtd",,BD$2,"."&amp;$A$2&amp;$AU$1&amp;"P"&amp;$A12))</f>
        <v>-62</v>
      </c>
      <c r="BE12" s="6">
        <f>IF(RTD("tos.rtd",,BE$2,"."&amp;$A$2&amp;$AW$1&amp;"C"&amp;$A12)="N/A",0,RTD("tos.rtd",,BE$2,"."&amp;$A$2&amp;$AW$1&amp;"C"&amp;$A12))</f>
        <v>1853</v>
      </c>
      <c r="BF12" s="83">
        <f>-IF(RTD("tos.rtd",,BF$2,"."&amp;$A$2&amp;$AW$1&amp;"P"&amp;$A12)="N/A",0,RTD("tos.rtd",,BF$2,"."&amp;$A$2&amp;$AW$1&amp;"P"&amp;$A12))</f>
        <v>-83</v>
      </c>
      <c r="BG12" s="32" t="e">
        <f ca="1">+Hoja2!Y13</f>
        <v>#N/A</v>
      </c>
      <c r="BH12" s="7" t="e">
        <f t="shared" ca="1" si="36"/>
        <v>#N/A</v>
      </c>
      <c r="BI12" s="8" t="e">
        <f t="shared" ref="BI12" ca="1" si="116">IF(AND(BH12&lt;0,BH11&gt;0), "Cruce -", IF(AND(BH12&gt;0,BH11&lt;0),"Cruce +", ""))</f>
        <v>#N/A</v>
      </c>
      <c r="BJ12" s="3" t="e">
        <f ca="1">IF($BP$1=1,DX12,IF(RTD("tos.rtd",,BJ$2,"."&amp;$A$2&amp;$AS$1&amp;"C"&amp;$A12)="N/A",0,RTD("tos.rtd",,BJ$2,"."&amp;$A$2&amp;$AS$1&amp;"C"&amp;$A12)))</f>
        <v>#NUM!</v>
      </c>
      <c r="BK12" s="3" t="e">
        <f ca="1">IF($BP$1=1,DY12,-IF(RTD("tos.rtd",,BK$2,"."&amp;$A$2&amp;$AS$1&amp;"P"&amp;$A12)="N/A",0,RTD("tos.rtd",,BK$2,"."&amp;$A$2&amp;$AS$1&amp;"P"&amp;$A12)))</f>
        <v>#NUM!</v>
      </c>
      <c r="BL12" s="3">
        <f ca="1">IF($BP$1=1,DZ12,IF(RTD("tos.rtd",,BL$2,"."&amp;$A$2&amp;$AU$1&amp;"C"&amp;$A12)="N/A",0,RTD("tos.rtd",,BL$2,"."&amp;$A$2&amp;$AU$1&amp;"C"&amp;$A12)))</f>
        <v>2.3431832722935437E-2</v>
      </c>
      <c r="BM12" s="3">
        <f ca="1">IF($BP$1=1,EA12,-IF(RTD("tos.rtd",,BM$2,"."&amp;$A$2&amp;$AU$1&amp;"P"&amp;$A12)="N/A",0,RTD("tos.rtd",,BM$2,"."&amp;$A$2&amp;$AU$1&amp;"P"&amp;$A12)))</f>
        <v>-2.3227454096353069E-2</v>
      </c>
      <c r="BN12" s="3">
        <f ca="1">IF($BP$1=1,EB12,IF(RTD("tos.rtd",,BN$2,"."&amp;$A$2&amp;$AW$1&amp;"C"&amp;$A12)="N/A",0,RTD("tos.rtd",,BN$2,"."&amp;$A$2&amp;$AW$1&amp;"C"&amp;$A12)))</f>
        <v>2.2751585465365032E-2</v>
      </c>
      <c r="BO12" s="3">
        <f ca="1">IF($BP$1=1,EC12,-IF(RTD("tos.rtd",,BO$2,"."&amp;$A$2&amp;$AW$1&amp;"P"&amp;$A12)="N/A",0,RTD("tos.rtd",,BO$2,"."&amp;$A$2&amp;$AW$1&amp;"P"&amp;$A12)))</f>
        <v>-2.2546733116220817E-2</v>
      </c>
      <c r="BQ12" s="3" t="e">
        <f t="shared" ca="1" si="86"/>
        <v>#NUM!</v>
      </c>
      <c r="BR12" s="3" t="e">
        <f t="shared" ca="1" si="68"/>
        <v>#NUM!</v>
      </c>
      <c r="BS12" s="3">
        <f t="shared" ca="1" si="87"/>
        <v>12008292.827372836</v>
      </c>
      <c r="BT12" s="3" t="str">
        <f t="shared" ca="1" si="68"/>
        <v/>
      </c>
      <c r="BU12" s="3">
        <f t="shared" ca="1" si="88"/>
        <v>16577901.050838072</v>
      </c>
      <c r="BV12" s="3" t="str">
        <f t="shared" ref="BV12" ca="1" si="117">IF(AND(BU12&lt;0,BU11&gt;0), "Cruce -", IF(AND(BU12&gt;0,BU11&lt;0),"Cruce +", ""))</f>
        <v/>
      </c>
      <c r="BX12" s="3" t="e">
        <f t="shared" ca="1" si="90"/>
        <v>#NUM!</v>
      </c>
      <c r="BY12" s="3" t="e">
        <f t="shared" ca="1" si="70"/>
        <v>#NUM!</v>
      </c>
      <c r="BZ12" s="3">
        <f t="shared" ca="1" si="91"/>
        <v>20619921.863388848</v>
      </c>
      <c r="CA12" s="3" t="str">
        <f t="shared" ca="1" si="71"/>
        <v/>
      </c>
      <c r="CB12" s="3">
        <f t="shared" ca="1" si="92"/>
        <v>12950556.151110593</v>
      </c>
      <c r="CC12" s="3" t="str">
        <f t="shared" ca="1" si="72"/>
        <v/>
      </c>
      <c r="CD12" s="3">
        <f>IF(RTD("tos.rtd",,CD$2,"."&amp;$A$2&amp;$AS$1&amp;"C"&amp;$A12)="N/A",0,RTD("tos.rtd",,CD$2,"."&amp;$A$2&amp;$AS$1&amp;"C"&amp;$A12))</f>
        <v>0.01</v>
      </c>
      <c r="CE12" s="3">
        <f>-IF(RTD("tos.rtd",,CE$2,"."&amp;$A$2&amp;$AS$1&amp;"P"&amp;$A12)="N/A",0,RTD("tos.rtd",,CE$2,"."&amp;$A$2&amp;$AS$1&amp;"P"&amp;$A12))</f>
        <v>1</v>
      </c>
      <c r="CF12" s="3">
        <f>IF(RTD("tos.rtd",,CF$2,"."&amp;$A$2&amp;$AU$1&amp;"C"&amp;$A12)="N/A",0,RTD("tos.rtd",,CF$2,"."&amp;$A$2&amp;$AU$1&amp;"C"&amp;$A12))</f>
        <v>0.32</v>
      </c>
      <c r="CG12" s="3">
        <f>-IF(RTD("tos.rtd",,CG$2,"."&amp;$A$2&amp;$AU$1&amp;"P"&amp;$A12)="N/A",0,RTD("tos.rtd",,CG$2,"."&amp;$A$2&amp;$AU$1&amp;"P"&amp;$A12))</f>
        <v>0.69</v>
      </c>
      <c r="CH12" s="3">
        <f>IF(RTD("tos.rtd",,CH$2,"."&amp;$A$2&amp;$AW$1&amp;"C"&amp;$A12)="N/A",0,RTD("tos.rtd",,CH$2,"."&amp;$A$2&amp;$AW$1&amp;"C"&amp;$A12))</f>
        <v>0.38</v>
      </c>
      <c r="CI12" s="3">
        <f>-IF(RTD("tos.rtd",,CI$2,"."&amp;$A$2&amp;$AW$1&amp;"P"&amp;$A12)="N/A",0,RTD("tos.rtd",,CI$2,"."&amp;$A$2&amp;$AW$1&amp;"P"&amp;$A12))</f>
        <v>0.62</v>
      </c>
      <c r="CK12" s="3">
        <f t="shared" si="93"/>
        <v>5820</v>
      </c>
      <c r="CL12" s="3"/>
      <c r="CM12" s="3">
        <f t="shared" si="94"/>
        <v>49972</v>
      </c>
      <c r="CN12" s="3"/>
      <c r="CO12" s="3">
        <f t="shared" si="95"/>
        <v>78784</v>
      </c>
      <c r="CP12" s="3">
        <f t="shared" si="96"/>
        <v>134576</v>
      </c>
      <c r="CQ12" s="3">
        <f t="shared" si="97"/>
        <v>26951</v>
      </c>
      <c r="CR12" s="3"/>
      <c r="CS12" s="3">
        <f t="shared" si="98"/>
        <v>2737</v>
      </c>
      <c r="CT12" s="3"/>
      <c r="CU12" s="3">
        <f t="shared" si="99"/>
        <v>1770</v>
      </c>
      <c r="CV12" s="3">
        <f t="shared" si="100"/>
        <v>31458</v>
      </c>
      <c r="CW12" s="3" t="e">
        <f t="shared" ca="1" si="101"/>
        <v>#NUM!</v>
      </c>
      <c r="CX12" s="85" t="e">
        <f t="shared" ca="1" si="73"/>
        <v>#NUM!</v>
      </c>
      <c r="CY12" s="3" t="e">
        <f t="shared" ca="1" si="102"/>
        <v>#NUM!</v>
      </c>
      <c r="CZ12" s="85" t="e">
        <f t="shared" ca="1" si="74"/>
        <v>#NUM!</v>
      </c>
      <c r="DA12" s="3">
        <f>IF(RTD("tos.rtd",,DA$2,"."&amp;$A$2&amp;$AS$1&amp;"C"&amp;$A12)="N/A",0,RTD("tos.rtd",,DA$2,"."&amp;$A$2&amp;$AS$1&amp;"C"&amp;$A12))</f>
        <v>0.01</v>
      </c>
      <c r="DB12" s="3">
        <f>IF(RTD("tos.rtd",,DB$2,"."&amp;$A$2&amp;$AS$1&amp;"P"&amp;$A12)="N/A",0,RTD("tos.rtd",,DB$2,"."&amp;$A$2&amp;$AS$1&amp;"P"&amp;$A12))</f>
        <v>6.41</v>
      </c>
      <c r="DC12" s="3">
        <f>IF(RTD("tos.rtd",,DC$2,"."&amp;$A$2&amp;$AS$1&amp;"C"&amp;$A12)="N/A",0,RTD("tos.rtd",,DC$2,"."&amp;$A$2&amp;$AS$1&amp;"C"&amp;$A12))</f>
        <v>0.01</v>
      </c>
      <c r="DD12" s="3">
        <f>IF(RTD("tos.rtd",,DD$2,"."&amp;$A$2&amp;$AS$1&amp;"P"&amp;$A12)="N/A",0,RTD("tos.rtd",,DD$2,"."&amp;$A$2&amp;$AS$1&amp;"P"&amp;$A12))</f>
        <v>7.12</v>
      </c>
      <c r="DE12" s="3">
        <f>IF(RTD("tos.rtd",,DE$2,"."&amp;$A$2&amp;$AS$1&amp;"C"&amp;$A12)="N/A",0,RTD("tos.rtd",,DE$2,"."&amp;$A$2&amp;$AS$1&amp;"C"&amp;$A12))</f>
        <v>0</v>
      </c>
      <c r="DF12" s="3">
        <f>IF(RTD("tos.rtd",,DF$2,"."&amp;$A$2&amp;$AS$1&amp;"P"&amp;$A12)="N/A",0,RTD("tos.rtd",,DF$2,"."&amp;$A$2&amp;$AS$1&amp;"P"&amp;$A12))</f>
        <v>6.92</v>
      </c>
      <c r="DG12" s="86">
        <f t="shared" si="48"/>
        <v>7.0299999999999727</v>
      </c>
      <c r="DH12" s="3">
        <f t="shared" si="103"/>
        <v>0</v>
      </c>
      <c r="DI12" s="3">
        <f t="shared" si="104"/>
        <v>0</v>
      </c>
      <c r="DJ12" s="3">
        <f t="shared" si="105"/>
        <v>0</v>
      </c>
      <c r="DK12" s="3">
        <f t="shared" si="51"/>
        <v>0</v>
      </c>
      <c r="DL12" s="3">
        <f t="shared" si="52"/>
        <v>0</v>
      </c>
      <c r="DM12" s="3">
        <f t="shared" si="53"/>
        <v>0</v>
      </c>
      <c r="DN12" s="63" t="str">
        <f t="shared" si="54"/>
        <v>UNKNOWN</v>
      </c>
      <c r="DO12" s="63" t="str">
        <f t="shared" si="55"/>
        <v>UNKNOWN</v>
      </c>
      <c r="DP12" s="3">
        <f t="shared" si="56"/>
        <v>0</v>
      </c>
      <c r="DQ12" s="3">
        <f t="shared" si="57"/>
        <v>0</v>
      </c>
      <c r="DR12" s="3" t="e">
        <f t="shared" ca="1" si="58"/>
        <v>#NUM!</v>
      </c>
      <c r="DS12" s="3">
        <f t="shared" si="59"/>
        <v>0</v>
      </c>
      <c r="DT12" s="3">
        <f t="shared" si="60"/>
        <v>0</v>
      </c>
      <c r="DU12" s="3">
        <f t="shared" si="61"/>
        <v>0</v>
      </c>
      <c r="DV12" s="3">
        <f t="shared" si="62"/>
        <v>-115</v>
      </c>
      <c r="DW12" s="3">
        <f t="shared" si="23"/>
        <v>-87</v>
      </c>
      <c r="DX12" s="3" t="e">
        <f t="shared" ca="1" si="24"/>
        <v>#NUM!</v>
      </c>
      <c r="DY12" s="3" t="e">
        <f t="shared" ca="1" si="25"/>
        <v>#NUM!</v>
      </c>
      <c r="DZ12" s="3">
        <f t="shared" ca="1" si="26"/>
        <v>2.3431832722935437E-2</v>
      </c>
      <c r="EA12" s="3">
        <f t="shared" ca="1" si="27"/>
        <v>-2.3227454096353069E-2</v>
      </c>
      <c r="EB12" s="3">
        <f t="shared" ca="1" si="28"/>
        <v>2.2751585465365032E-2</v>
      </c>
      <c r="EC12" s="3">
        <f t="shared" ca="1" si="29"/>
        <v>-2.2546733116220817E-2</v>
      </c>
      <c r="EE12" s="59">
        <f t="shared" si="106"/>
        <v>0.64380000000000004</v>
      </c>
      <c r="EF12" s="59">
        <f t="shared" si="107"/>
        <v>0.25</v>
      </c>
      <c r="EG12" s="59">
        <f t="shared" si="108"/>
        <v>0.1716</v>
      </c>
      <c r="EH12" s="59">
        <f t="shared" si="109"/>
        <v>0.1734</v>
      </c>
      <c r="EI12" s="59">
        <f t="shared" si="110"/>
        <v>0.1777</v>
      </c>
      <c r="EJ12" s="59">
        <f t="shared" si="111"/>
        <v>0.17960000000000001</v>
      </c>
      <c r="EL12" s="3" t="str">
        <f>RTD("tos.rtd",,EL$2,"."&amp;$A$2&amp;$AS$1&amp;"C"&amp;$A12)</f>
        <v>64.38%</v>
      </c>
      <c r="EM12" s="3" t="str">
        <f>RTD("tos.rtd",,EM$2,"."&amp;$A$2&amp;$AS$1&amp;"P"&amp;$A12)</f>
        <v>--</v>
      </c>
      <c r="EN12" s="3" t="str">
        <f>RTD("tos.rtd",,EN$2,"."&amp;$A$2&amp;$AU$1&amp;"C"&amp;$A12)</f>
        <v>17.16%</v>
      </c>
      <c r="EO12" s="3" t="str">
        <f>RTD("tos.rtd",,EO$2,"."&amp;$A$2&amp;$AU$1&amp;"P"&amp;$A12)</f>
        <v>17.34%</v>
      </c>
      <c r="EP12" s="3" t="str">
        <f>RTD("tos.rtd",,EP$2,"."&amp;$A$2&amp;$AW$1&amp;"C"&amp;$A12)</f>
        <v>17.77%</v>
      </c>
      <c r="EQ12" s="3" t="str">
        <f>RTD("tos.rtd",,EQ$2,"."&amp;$A$2&amp;$AW$1&amp;"P"&amp;$A12)</f>
        <v>17.96%</v>
      </c>
      <c r="ET12" s="63" t="str">
        <f t="shared" ca="1" si="64"/>
        <v>574,00.00</v>
      </c>
      <c r="EU12" s="67">
        <v>560.99</v>
      </c>
      <c r="EV12" s="67" t="s">
        <v>115</v>
      </c>
      <c r="EW12" s="67">
        <v>482.93</v>
      </c>
      <c r="EX12" s="67" t="s">
        <v>116</v>
      </c>
      <c r="EY12" s="67">
        <v>5625.25</v>
      </c>
      <c r="EZ12" s="67" t="s">
        <v>117</v>
      </c>
      <c r="FA12" s="67">
        <v>19842</v>
      </c>
      <c r="FB12" s="67" t="s">
        <v>118</v>
      </c>
      <c r="FC12" s="67" t="s">
        <v>119</v>
      </c>
      <c r="FD12" s="67" t="s">
        <v>120</v>
      </c>
      <c r="FE12" s="67" t="s">
        <v>121</v>
      </c>
      <c r="FF12" s="67" t="s">
        <v>122</v>
      </c>
    </row>
    <row r="13" spans="1:162" s="63" customFormat="1" ht="13.5" thickBot="1" x14ac:dyDescent="0.25">
      <c r="A13" s="2">
        <f t="shared" si="65"/>
        <v>573</v>
      </c>
      <c r="B13" s="3">
        <f t="shared" si="79"/>
        <v>5752</v>
      </c>
      <c r="C13" s="3">
        <f t="shared" si="80"/>
        <v>1753</v>
      </c>
      <c r="D13" s="3">
        <f t="shared" si="81"/>
        <v>3773</v>
      </c>
      <c r="E13" s="3">
        <f t="shared" si="82"/>
        <v>11278</v>
      </c>
      <c r="F13" s="4">
        <f t="shared" si="83"/>
        <v>5770.475951108524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-12999</v>
      </c>
      <c r="AN13" s="1">
        <v>100</v>
      </c>
      <c r="AO13" s="1">
        <v>573</v>
      </c>
      <c r="AP13" s="1">
        <v>40795</v>
      </c>
      <c r="AQ13" s="1">
        <v>-494</v>
      </c>
      <c r="AR13" s="1"/>
      <c r="AS13" s="6">
        <f>IF(RTD("tos.rtd",,AS$2,"."&amp;$A$2&amp;$AS$1&amp;"C"&amp;$A13)="N/A",0,RTD("tos.rtd",,AS$2,"."&amp;$A$2&amp;$AS$1&amp;"C"&amp;$A13))</f>
        <v>5732</v>
      </c>
      <c r="AT13" s="7">
        <f>-IF(RTD("tos.rtd",,AT$2,"."&amp;$A$2&amp;$AS$1&amp;"P"&amp;$A13)="N/A",0,RTD("tos.rtd",,AT$2,"."&amp;$A$2&amp;$AS$1&amp;"P"&amp;$A13))</f>
        <v>-20</v>
      </c>
      <c r="AU13" s="6">
        <f>IF(RTD("tos.rtd",,AU$2,"."&amp;$A$2&amp;$AU$1&amp;"C"&amp;$A13)="N/A",0,RTD("tos.rtd",,AU$2,"."&amp;$A$2&amp;$AU$1&amp;"C"&amp;$A13))</f>
        <v>1744</v>
      </c>
      <c r="AV13" s="7">
        <f>-IF(RTD("tos.rtd",,AV$2,"."&amp;$A$2&amp;$AU$1&amp;"P"&amp;$A13)="N/A",0,RTD("tos.rtd",,AV$2,"."&amp;$A$2&amp;$AU$1&amp;"P"&amp;$A13))</f>
        <v>-9</v>
      </c>
      <c r="AW13" s="6">
        <f>IF(RTD("tos.rtd",,AW$2,"."&amp;$A$2&amp;$AW$1&amp;"C"&amp;$A13)="N/A",0,RTD("tos.rtd",,AW$2,"."&amp;$A$2&amp;$AW$1&amp;"C"&amp;$A13))</f>
        <v>3314</v>
      </c>
      <c r="AX13" s="7">
        <f>-IF(RTD("tos.rtd",,AX$2,"."&amp;$A$2&amp;$AW$1&amp;"P"&amp;$A13)="N/A",0,RTD("tos.rtd",,AX$2,"."&amp;$A$2&amp;$AW$1&amp;"P"&amp;$A13))</f>
        <v>-459</v>
      </c>
      <c r="AY13" s="1">
        <f t="shared" si="84"/>
        <v>10302</v>
      </c>
      <c r="AZ13" s="8">
        <f t="shared" si="35"/>
        <v>573</v>
      </c>
      <c r="BA13" s="6">
        <f>IF(RTD("tos.rtd",,BA$2,"."&amp;$A$2&amp;$AS$1&amp;"C"&amp;$A13)="N/A",0,RTD("tos.rtd",,BA$2,"."&amp;$A$2&amp;$AS$1&amp;"C"&amp;$A13))</f>
        <v>40796</v>
      </c>
      <c r="BB13" s="7">
        <f>-IF(RTD("tos.rtd",,BB$2,"."&amp;$A$2&amp;$AS$1&amp;"P"&amp;$A13)="N/A",0,RTD("tos.rtd",,BB$2,"."&amp;$A$2&amp;$AS$1&amp;"P"&amp;$A13))</f>
        <v>-494</v>
      </c>
      <c r="BC13" s="6">
        <f>IF(RTD("tos.rtd",,BC$2,"."&amp;$A$2&amp;$AU$1&amp;"C"&amp;$A13)="N/A",0,RTD("tos.rtd",,BC$2,"."&amp;$A$2&amp;$AU$1&amp;"C"&amp;$A13))</f>
        <v>2122</v>
      </c>
      <c r="BD13" s="7">
        <f>-IF(RTD("tos.rtd",,BD$2,"."&amp;$A$2&amp;$AU$1&amp;"P"&amp;$A13)="N/A",0,RTD("tos.rtd",,BD$2,"."&amp;$A$2&amp;$AU$1&amp;"P"&amp;$A13))</f>
        <v>-93</v>
      </c>
      <c r="BE13" s="6">
        <f>IF(RTD("tos.rtd",,BE$2,"."&amp;$A$2&amp;$AW$1&amp;"C"&amp;$A13)="N/A",0,RTD("tos.rtd",,BE$2,"."&amp;$A$2&amp;$AW$1&amp;"C"&amp;$A13))</f>
        <v>1718</v>
      </c>
      <c r="BF13" s="83">
        <f>-IF(RTD("tos.rtd",,BF$2,"."&amp;$A$2&amp;$AW$1&amp;"P"&amp;$A13)="N/A",0,RTD("tos.rtd",,BF$2,"."&amp;$A$2&amp;$AW$1&amp;"P"&amp;$A13))</f>
        <v>-14</v>
      </c>
      <c r="BG13" s="32" t="e">
        <f ca="1">+Hoja2!Y14</f>
        <v>#N/A</v>
      </c>
      <c r="BH13" s="7" t="e">
        <f t="shared" ca="1" si="36"/>
        <v>#N/A</v>
      </c>
      <c r="BI13" s="8" t="e">
        <f t="shared" ref="BI13" ca="1" si="118">IF(AND(BH13&lt;0,BH12&gt;0), "Cruce -", IF(AND(BH13&gt;0,BH12&lt;0),"Cruce +", ""))</f>
        <v>#N/A</v>
      </c>
      <c r="BJ13" s="3" t="e">
        <f ca="1">IF($BP$1=1,DX13,IF(RTD("tos.rtd",,BJ$2,"."&amp;$A$2&amp;$AS$1&amp;"C"&amp;$A13)="N/A",0,RTD("tos.rtd",,BJ$2,"."&amp;$A$2&amp;$AS$1&amp;"C"&amp;$A13)))</f>
        <v>#NUM!</v>
      </c>
      <c r="BK13" s="3" t="e">
        <f ca="1">IF($BP$1=1,DY13,-IF(RTD("tos.rtd",,BK$2,"."&amp;$A$2&amp;$AS$1&amp;"P"&amp;$A13)="N/A",0,RTD("tos.rtd",,BK$2,"."&amp;$A$2&amp;$AS$1&amp;"P"&amp;$A13)))</f>
        <v>#NUM!</v>
      </c>
      <c r="BL13" s="3">
        <f ca="1">IF($BP$1=1,DZ13,IF(RTD("tos.rtd",,BL$2,"."&amp;$A$2&amp;$AU$1&amp;"C"&amp;$A13)="N/A",0,RTD("tos.rtd",,BL$2,"."&amp;$A$2&amp;$AU$1&amp;"C"&amp;$A13)))</f>
        <v>2.3705852365982081E-2</v>
      </c>
      <c r="BM13" s="3">
        <f ca="1">IF($BP$1=1,EA13,-IF(RTD("tos.rtd",,BM$2,"."&amp;$A$2&amp;$AU$1&amp;"P"&amp;$A13)="N/A",0,RTD("tos.rtd",,BM$2,"."&amp;$A$2&amp;$AU$1&amp;"P"&amp;$A13)))</f>
        <v>-2.3501648408666018E-2</v>
      </c>
      <c r="BN13" s="3">
        <f ca="1">IF($BP$1=1,EB13,IF(RTD("tos.rtd",,BN$2,"."&amp;$A$2&amp;$AW$1&amp;"C"&amp;$A13)="N/A",0,RTD("tos.rtd",,BN$2,"."&amp;$A$2&amp;$AW$1&amp;"C"&amp;$A13)))</f>
        <v>2.3010807572583659E-2</v>
      </c>
      <c r="BO13" s="3">
        <f ca="1">IF($BP$1=1,EC13,-IF(RTD("tos.rtd",,BO$2,"."&amp;$A$2&amp;$AW$1&amp;"P"&amp;$A13)="N/A",0,RTD("tos.rtd",,BO$2,"."&amp;$A$2&amp;$AW$1&amp;"P"&amp;$A13)))</f>
        <v>-2.2817494195652922E-2</v>
      </c>
      <c r="BQ13" s="3" t="e">
        <f t="shared" ca="1" si="86"/>
        <v>#NUM!</v>
      </c>
      <c r="BR13" s="3" t="e">
        <f t="shared" ca="1" si="68"/>
        <v>#NUM!</v>
      </c>
      <c r="BS13" s="3">
        <f t="shared" ca="1" si="87"/>
        <v>13221922.875788646</v>
      </c>
      <c r="BT13" s="3" t="str">
        <f t="shared" ca="1" si="68"/>
        <v/>
      </c>
      <c r="BU13" s="3">
        <f t="shared" ca="1" si="88"/>
        <v>21146782.983929336</v>
      </c>
      <c r="BV13" s="3" t="str">
        <f t="shared" ref="BV13" ca="1" si="119">IF(AND(BU13&lt;0,BU12&gt;0), "Cruce -", IF(AND(BU13&gt;0,BU12&lt;0),"Cruce +", ""))</f>
        <v/>
      </c>
      <c r="BX13" s="3" t="e">
        <f t="shared" ca="1" si="90"/>
        <v>#NUM!</v>
      </c>
      <c r="BY13" s="3" t="e">
        <f t="shared" ca="1" si="70"/>
        <v>#NUM!</v>
      </c>
      <c r="BZ13" s="3">
        <f t="shared" ca="1" si="91"/>
        <v>15467823.945581686</v>
      </c>
      <c r="CA13" s="3" t="str">
        <f t="shared" ca="1" si="71"/>
        <v/>
      </c>
      <c r="CB13" s="3">
        <f t="shared" ca="1" si="92"/>
        <v>12605253.541360773</v>
      </c>
      <c r="CC13" s="3" t="str">
        <f t="shared" ca="1" si="72"/>
        <v/>
      </c>
      <c r="CD13" s="3">
        <f>IF(RTD("tos.rtd",,CD$2,"."&amp;$A$2&amp;$AS$1&amp;"C"&amp;$A13)="N/A",0,RTD("tos.rtd",,CD$2,"."&amp;$A$2&amp;$AS$1&amp;"C"&amp;$A13))</f>
        <v>0.01</v>
      </c>
      <c r="CE13" s="3">
        <f>-IF(RTD("tos.rtd",,CE$2,"."&amp;$A$2&amp;$AS$1&amp;"P"&amp;$A13)="N/A",0,RTD("tos.rtd",,CE$2,"."&amp;$A$2&amp;$AS$1&amp;"P"&amp;$A13))</f>
        <v>1</v>
      </c>
      <c r="CF13" s="3">
        <f>IF(RTD("tos.rtd",,CF$2,"."&amp;$A$2&amp;$AU$1&amp;"C"&amp;$A13)="N/A",0,RTD("tos.rtd",,CF$2,"."&amp;$A$2&amp;$AU$1&amp;"C"&amp;$A13))</f>
        <v>0.34</v>
      </c>
      <c r="CG13" s="3">
        <f>-IF(RTD("tos.rtd",,CG$2,"."&amp;$A$2&amp;$AU$1&amp;"P"&amp;$A13)="N/A",0,RTD("tos.rtd",,CG$2,"."&amp;$A$2&amp;$AU$1&amp;"P"&amp;$A13))</f>
        <v>0.66</v>
      </c>
      <c r="CH13" s="3">
        <f>IF(RTD("tos.rtd",,CH$2,"."&amp;$A$2&amp;$AW$1&amp;"C"&amp;$A13)="N/A",0,RTD("tos.rtd",,CH$2,"."&amp;$A$2&amp;$AW$1&amp;"C"&amp;$A13))</f>
        <v>0.4</v>
      </c>
      <c r="CI13" s="3">
        <f>-IF(RTD("tos.rtd",,CI$2,"."&amp;$A$2&amp;$AW$1&amp;"P"&amp;$A13)="N/A",0,RTD("tos.rtd",,CI$2,"."&amp;$A$2&amp;$AW$1&amp;"P"&amp;$A13))</f>
        <v>0.6</v>
      </c>
      <c r="CK13" s="3">
        <f t="shared" si="93"/>
        <v>3732</v>
      </c>
      <c r="CL13" s="3"/>
      <c r="CM13" s="3">
        <f t="shared" si="94"/>
        <v>58702</v>
      </c>
      <c r="CN13" s="3"/>
      <c r="CO13" s="3">
        <f t="shared" si="95"/>
        <v>105020</v>
      </c>
      <c r="CP13" s="3">
        <f t="shared" si="96"/>
        <v>167454</v>
      </c>
      <c r="CQ13" s="3">
        <f t="shared" si="97"/>
        <v>40302</v>
      </c>
      <c r="CR13" s="3"/>
      <c r="CS13" s="3">
        <f t="shared" si="98"/>
        <v>2029</v>
      </c>
      <c r="CT13" s="3"/>
      <c r="CU13" s="3">
        <f t="shared" si="99"/>
        <v>1704</v>
      </c>
      <c r="CV13" s="3">
        <f t="shared" si="100"/>
        <v>44035</v>
      </c>
      <c r="CW13" s="3" t="e">
        <f t="shared" ca="1" si="101"/>
        <v>#NUM!</v>
      </c>
      <c r="CX13" s="85" t="e">
        <f t="shared" ca="1" si="73"/>
        <v>#NUM!</v>
      </c>
      <c r="CY13" s="3" t="e">
        <f t="shared" ca="1" si="102"/>
        <v>#NUM!</v>
      </c>
      <c r="CZ13" s="85" t="e">
        <f t="shared" ca="1" si="74"/>
        <v>#NUM!</v>
      </c>
      <c r="DA13" s="3">
        <f>IF(RTD("tos.rtd",,DA$2,"."&amp;$A$2&amp;$AS$1&amp;"C"&amp;$A13)="N/A",0,RTD("tos.rtd",,DA$2,"."&amp;$A$2&amp;$AS$1&amp;"C"&amp;$A13))</f>
        <v>0.01</v>
      </c>
      <c r="DB13" s="3">
        <f>IF(RTD("tos.rtd",,DB$2,"."&amp;$A$2&amp;$AS$1&amp;"P"&amp;$A13)="N/A",0,RTD("tos.rtd",,DB$2,"."&amp;$A$2&amp;$AS$1&amp;"P"&amp;$A13))</f>
        <v>6.36</v>
      </c>
      <c r="DC13" s="3">
        <f>IF(RTD("tos.rtd",,DC$2,"."&amp;$A$2&amp;$AS$1&amp;"C"&amp;$A13)="N/A",0,RTD("tos.rtd",,DC$2,"."&amp;$A$2&amp;$AS$1&amp;"C"&amp;$A13))</f>
        <v>0.01</v>
      </c>
      <c r="DD13" s="3">
        <f>IF(RTD("tos.rtd",,DD$2,"."&amp;$A$2&amp;$AS$1&amp;"P"&amp;$A13)="N/A",0,RTD("tos.rtd",,DD$2,"."&amp;$A$2&amp;$AS$1&amp;"P"&amp;$A13))</f>
        <v>6.12</v>
      </c>
      <c r="DE13" s="3">
        <f>IF(RTD("tos.rtd",,DE$2,"."&amp;$A$2&amp;$AS$1&amp;"C"&amp;$A13)="N/A",0,RTD("tos.rtd",,DE$2,"."&amp;$A$2&amp;$AS$1&amp;"C"&amp;$A13))</f>
        <v>0</v>
      </c>
      <c r="DF13" s="3">
        <f>IF(RTD("tos.rtd",,DF$2,"."&amp;$A$2&amp;$AS$1&amp;"P"&amp;$A13)="N/A",0,RTD("tos.rtd",,DF$2,"."&amp;$A$2&amp;$AS$1&amp;"P"&amp;$A13))</f>
        <v>5.92</v>
      </c>
      <c r="DG13" s="86">
        <f t="shared" si="48"/>
        <v>6.0299999999999727</v>
      </c>
      <c r="DH13" s="3">
        <f t="shared" si="103"/>
        <v>1</v>
      </c>
      <c r="DI13" s="3">
        <f t="shared" si="104"/>
        <v>0</v>
      </c>
      <c r="DJ13" s="3">
        <f t="shared" si="105"/>
        <v>1</v>
      </c>
      <c r="DK13" s="3">
        <f t="shared" si="51"/>
        <v>0</v>
      </c>
      <c r="DL13" s="3">
        <f t="shared" si="52"/>
        <v>1</v>
      </c>
      <c r="DM13" s="3">
        <f t="shared" si="53"/>
        <v>1</v>
      </c>
      <c r="DN13" s="63" t="str">
        <f t="shared" si="54"/>
        <v>BUY</v>
      </c>
      <c r="DO13" s="63" t="str">
        <f t="shared" si="55"/>
        <v>UNKNOWN</v>
      </c>
      <c r="DP13" s="3">
        <f t="shared" si="56"/>
        <v>0.01</v>
      </c>
      <c r="DQ13" s="3">
        <f t="shared" si="57"/>
        <v>0.01</v>
      </c>
      <c r="DR13" s="3" t="e">
        <f t="shared" ca="1" si="58"/>
        <v>#NUM!</v>
      </c>
      <c r="DS13" s="3">
        <f t="shared" si="59"/>
        <v>0.01</v>
      </c>
      <c r="DT13" s="3">
        <f t="shared" si="60"/>
        <v>1</v>
      </c>
      <c r="DU13" s="3">
        <f t="shared" si="61"/>
        <v>0</v>
      </c>
      <c r="DV13" s="3">
        <f t="shared" si="62"/>
        <v>-12998</v>
      </c>
      <c r="DW13" s="3">
        <f t="shared" si="23"/>
        <v>100</v>
      </c>
      <c r="DX13" s="3" t="e">
        <f t="shared" ca="1" si="24"/>
        <v>#NUM!</v>
      </c>
      <c r="DY13" s="3" t="e">
        <f t="shared" ca="1" si="25"/>
        <v>#NUM!</v>
      </c>
      <c r="DZ13" s="3">
        <f t="shared" ca="1" si="26"/>
        <v>2.3705852365982081E-2</v>
      </c>
      <c r="EA13" s="3">
        <f t="shared" ca="1" si="27"/>
        <v>-2.3501648408666018E-2</v>
      </c>
      <c r="EB13" s="3">
        <f t="shared" ca="1" si="28"/>
        <v>2.3010807572583659E-2</v>
      </c>
      <c r="EC13" s="3">
        <f t="shared" ca="1" si="29"/>
        <v>-2.2817494195652922E-2</v>
      </c>
      <c r="EE13" s="59">
        <f t="shared" si="106"/>
        <v>0.56240000000000001</v>
      </c>
      <c r="EF13" s="59">
        <f t="shared" si="107"/>
        <v>0.25</v>
      </c>
      <c r="EG13" s="59">
        <f t="shared" si="108"/>
        <v>0.17369999999999999</v>
      </c>
      <c r="EH13" s="59">
        <f t="shared" si="109"/>
        <v>0.1754</v>
      </c>
      <c r="EI13" s="59">
        <f t="shared" si="110"/>
        <v>0.17960000000000001</v>
      </c>
      <c r="EJ13" s="59">
        <f t="shared" si="111"/>
        <v>0.18129999999999999</v>
      </c>
      <c r="EL13" s="3" t="str">
        <f>RTD("tos.rtd",,EL$2,"."&amp;$A$2&amp;$AS$1&amp;"C"&amp;$A13)</f>
        <v>56.24%</v>
      </c>
      <c r="EM13" s="3" t="str">
        <f>RTD("tos.rtd",,EM$2,"."&amp;$A$2&amp;$AS$1&amp;"P"&amp;$A13)</f>
        <v>--</v>
      </c>
      <c r="EN13" s="3" t="str">
        <f>RTD("tos.rtd",,EN$2,"."&amp;$A$2&amp;$AU$1&amp;"C"&amp;$A13)</f>
        <v>17.37%</v>
      </c>
      <c r="EO13" s="3" t="str">
        <f>RTD("tos.rtd",,EO$2,"."&amp;$A$2&amp;$AU$1&amp;"P"&amp;$A13)</f>
        <v>17.54%</v>
      </c>
      <c r="EP13" s="3" t="str">
        <f>RTD("tos.rtd",,EP$2,"."&amp;$A$2&amp;$AW$1&amp;"C"&amp;$A13)</f>
        <v>17.96%</v>
      </c>
      <c r="EQ13" s="3" t="str">
        <f>RTD("tos.rtd",,EQ$2,"."&amp;$A$2&amp;$AW$1&amp;"P"&amp;$A13)</f>
        <v>18.13%</v>
      </c>
      <c r="ET13" s="63" t="str">
        <f t="shared" ca="1" si="64"/>
        <v>573,00.00</v>
      </c>
      <c r="EU13" s="67">
        <v>561.25</v>
      </c>
      <c r="EV13" s="67" t="s">
        <v>123</v>
      </c>
      <c r="EW13" s="67">
        <v>483.17</v>
      </c>
      <c r="EX13" s="67" t="s">
        <v>124</v>
      </c>
      <c r="EY13" s="67">
        <v>5628</v>
      </c>
      <c r="EZ13" s="67" t="s">
        <v>125</v>
      </c>
      <c r="FA13" s="67">
        <v>19852</v>
      </c>
      <c r="FB13" s="67" t="s">
        <v>126</v>
      </c>
      <c r="FC13" s="67" t="s">
        <v>127</v>
      </c>
      <c r="FD13" s="67" t="s">
        <v>128</v>
      </c>
      <c r="FE13" s="67" t="s">
        <v>129</v>
      </c>
      <c r="FF13" s="67" t="s">
        <v>130</v>
      </c>
    </row>
    <row r="14" spans="1:162" s="63" customFormat="1" ht="13.5" thickBot="1" x14ac:dyDescent="0.25">
      <c r="A14" s="2">
        <f t="shared" si="65"/>
        <v>572</v>
      </c>
      <c r="B14" s="3">
        <f t="shared" si="79"/>
        <v>8922</v>
      </c>
      <c r="C14" s="3">
        <f t="shared" si="80"/>
        <v>2510</v>
      </c>
      <c r="D14" s="3">
        <f t="shared" si="81"/>
        <v>3216</v>
      </c>
      <c r="E14" s="3">
        <f t="shared" si="82"/>
        <v>14648</v>
      </c>
      <c r="F14" s="4">
        <f t="shared" si="83"/>
        <v>5760.4053124503944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-20791</v>
      </c>
      <c r="AN14" s="1">
        <v>-274</v>
      </c>
      <c r="AO14" s="1">
        <v>572</v>
      </c>
      <c r="AP14" s="1">
        <v>80141</v>
      </c>
      <c r="AQ14" s="1">
        <v>-2050</v>
      </c>
      <c r="AR14" s="1"/>
      <c r="AS14" s="6">
        <f>IF(RTD("tos.rtd",,AS$2,"."&amp;$A$2&amp;$AS$1&amp;"C"&amp;$A14)="N/A",0,RTD("tos.rtd",,AS$2,"."&amp;$A$2&amp;$AS$1&amp;"C"&amp;$A14))</f>
        <v>8847</v>
      </c>
      <c r="AT14" s="7">
        <f>-IF(RTD("tos.rtd",,AT$2,"."&amp;$A$2&amp;$AS$1&amp;"P"&amp;$A14)="N/A",0,RTD("tos.rtd",,AT$2,"."&amp;$A$2&amp;$AS$1&amp;"P"&amp;$A14))</f>
        <v>-75</v>
      </c>
      <c r="AU14" s="6">
        <f>IF(RTD("tos.rtd",,AU$2,"."&amp;$A$2&amp;$AU$1&amp;"C"&amp;$A14)="N/A",0,RTD("tos.rtd",,AU$2,"."&amp;$A$2&amp;$AU$1&amp;"C"&amp;$A14))</f>
        <v>2495</v>
      </c>
      <c r="AV14" s="7">
        <f>-IF(RTD("tos.rtd",,AV$2,"."&amp;$A$2&amp;$AU$1&amp;"P"&amp;$A14)="N/A",0,RTD("tos.rtd",,AV$2,"."&amp;$A$2&amp;$AU$1&amp;"P"&amp;$A14))</f>
        <v>-15</v>
      </c>
      <c r="AW14" s="6">
        <f>IF(RTD("tos.rtd",,AW$2,"."&amp;$A$2&amp;$AW$1&amp;"C"&amp;$A14)="N/A",0,RTD("tos.rtd",,AW$2,"."&amp;$A$2&amp;$AW$1&amp;"C"&amp;$A14))</f>
        <v>2714</v>
      </c>
      <c r="AX14" s="7">
        <f>-IF(RTD("tos.rtd",,AX$2,"."&amp;$A$2&amp;$AW$1&amp;"P"&amp;$A14)="N/A",0,RTD("tos.rtd",,AX$2,"."&amp;$A$2&amp;$AW$1&amp;"P"&amp;$A14))</f>
        <v>-502</v>
      </c>
      <c r="AY14" s="1">
        <f t="shared" si="84"/>
        <v>13464</v>
      </c>
      <c r="AZ14" s="8">
        <f t="shared" si="35"/>
        <v>572</v>
      </c>
      <c r="BA14" s="6">
        <f>IF(RTD("tos.rtd",,BA$2,"."&amp;$A$2&amp;$AS$1&amp;"C"&amp;$A14)="N/A",0,RTD("tos.rtd",,BA$2,"."&amp;$A$2&amp;$AS$1&amp;"C"&amp;$A14))</f>
        <v>80143</v>
      </c>
      <c r="BB14" s="7">
        <f>-IF(RTD("tos.rtd",,BB$2,"."&amp;$A$2&amp;$AS$1&amp;"P"&amp;$A14)="N/A",0,RTD("tos.rtd",,BB$2,"."&amp;$A$2&amp;$AS$1&amp;"P"&amp;$A14))</f>
        <v>-2050</v>
      </c>
      <c r="BC14" s="6">
        <f>IF(RTD("tos.rtd",,BC$2,"."&amp;$A$2&amp;$AU$1&amp;"C"&amp;$A14)="N/A",0,RTD("tos.rtd",,BC$2,"."&amp;$A$2&amp;$AU$1&amp;"C"&amp;$A14))</f>
        <v>2737</v>
      </c>
      <c r="BD14" s="7">
        <f>-IF(RTD("tos.rtd",,BD$2,"."&amp;$A$2&amp;$AU$1&amp;"P"&amp;$A14)="N/A",0,RTD("tos.rtd",,BD$2,"."&amp;$A$2&amp;$AU$1&amp;"P"&amp;$A14))</f>
        <v>-227</v>
      </c>
      <c r="BE14" s="6">
        <f>IF(RTD("tos.rtd",,BE$2,"."&amp;$A$2&amp;$AW$1&amp;"C"&amp;$A14)="N/A",0,RTD("tos.rtd",,BE$2,"."&amp;$A$2&amp;$AW$1&amp;"C"&amp;$A14))</f>
        <v>2013</v>
      </c>
      <c r="BF14" s="83">
        <f>-IF(RTD("tos.rtd",,BF$2,"."&amp;$A$2&amp;$AW$1&amp;"P"&amp;$A14)="N/A",0,RTD("tos.rtd",,BF$2,"."&amp;$A$2&amp;$AW$1&amp;"P"&amp;$A14))</f>
        <v>-33</v>
      </c>
      <c r="BG14" s="32" t="e">
        <f ca="1">+Hoja2!Y15</f>
        <v>#N/A</v>
      </c>
      <c r="BH14" s="7" t="e">
        <f t="shared" ca="1" si="36"/>
        <v>#N/A</v>
      </c>
      <c r="BI14" s="8" t="e">
        <f t="shared" ref="BI14" ca="1" si="120">IF(AND(BH14&lt;0,BH13&gt;0), "Cruce -", IF(AND(BH14&gt;0,BH13&lt;0),"Cruce +", ""))</f>
        <v>#N/A</v>
      </c>
      <c r="BJ14" s="3" t="e">
        <f ca="1">IF($BP$1=1,DX14,IF(RTD("tos.rtd",,BJ$2,"."&amp;$A$2&amp;$AS$1&amp;"C"&amp;$A14)="N/A",0,RTD("tos.rtd",,BJ$2,"."&amp;$A$2&amp;$AS$1&amp;"C"&amp;$A14)))</f>
        <v>#NUM!</v>
      </c>
      <c r="BK14" s="3" t="e">
        <f ca="1">IF($BP$1=1,DY14,-IF(RTD("tos.rtd",,BK$2,"."&amp;$A$2&amp;$AS$1&amp;"P"&amp;$A14)="N/A",0,RTD("tos.rtd",,BK$2,"."&amp;$A$2&amp;$AS$1&amp;"P"&amp;$A14)))</f>
        <v>#NUM!</v>
      </c>
      <c r="BL14" s="3">
        <f ca="1">IF($BP$1=1,DZ14,IF(RTD("tos.rtd",,BL$2,"."&amp;$A$2&amp;$AU$1&amp;"C"&amp;$A14)="N/A",0,RTD("tos.rtd",,BL$2,"."&amp;$A$2&amp;$AU$1&amp;"C"&amp;$A14)))</f>
        <v>2.3832637318371278E-2</v>
      </c>
      <c r="BM14" s="3">
        <f ca="1">IF($BP$1=1,EA14,-IF(RTD("tos.rtd",,BM$2,"."&amp;$A$2&amp;$AU$1&amp;"P"&amp;$A14)="N/A",0,RTD("tos.rtd",,BM$2,"."&amp;$A$2&amp;$AU$1&amp;"P"&amp;$A14)))</f>
        <v>-2.3682981919240009E-2</v>
      </c>
      <c r="BN14" s="3">
        <f ca="1">IF($BP$1=1,EB14,IF(RTD("tos.rtd",,BN$2,"."&amp;$A$2&amp;$AW$1&amp;"C"&amp;$A14)="N/A",0,RTD("tos.rtd",,BN$2,"."&amp;$A$2&amp;$AW$1&amp;"C"&amp;$A14)))</f>
        <v>2.3161158917670111E-2</v>
      </c>
      <c r="BO14" s="3">
        <f ca="1">IF($BP$1=1,EC14,-IF(RTD("tos.rtd",,BO$2,"."&amp;$A$2&amp;$AW$1&amp;"P"&amp;$A14)="N/A",0,RTD("tos.rtd",,BO$2,"."&amp;$A$2&amp;$AW$1&amp;"P"&amp;$A14)))</f>
        <v>-2.300770509813482E-2</v>
      </c>
      <c r="BQ14" s="3" t="e">
        <f t="shared" ca="1" si="86"/>
        <v>#NUM!</v>
      </c>
      <c r="BR14" s="3" t="e">
        <f t="shared" ca="1" si="68"/>
        <v>#NUM!</v>
      </c>
      <c r="BS14" s="3">
        <f t="shared" ca="1" si="87"/>
        <v>19000299.147556733</v>
      </c>
      <c r="BT14" s="3" t="str">
        <f t="shared" ca="1" si="68"/>
        <v/>
      </c>
      <c r="BU14" s="3">
        <f t="shared" ca="1" si="88"/>
        <v>16493699.917576471</v>
      </c>
      <c r="BV14" s="3" t="str">
        <f t="shared" ref="BV14" ca="1" si="121">IF(AND(BU14&lt;0,BU13&gt;0), "Cruce -", IF(AND(BU14&gt;0,BU13&lt;0),"Cruce +", ""))</f>
        <v/>
      </c>
      <c r="BX14" s="3" t="e">
        <f t="shared" ca="1" si="90"/>
        <v>#NUM!</v>
      </c>
      <c r="BY14" s="3" t="e">
        <f t="shared" ca="1" si="70"/>
        <v>#NUM!</v>
      </c>
      <c r="BZ14" s="3">
        <f t="shared" ca="1" si="91"/>
        <v>19240331.531151444</v>
      </c>
      <c r="CA14" s="3" t="str">
        <f t="shared" ca="1" si="71"/>
        <v/>
      </c>
      <c r="CB14" s="3">
        <f t="shared" ca="1" si="92"/>
        <v>14743262.237375706</v>
      </c>
      <c r="CC14" s="3" t="str">
        <f t="shared" ca="1" si="72"/>
        <v/>
      </c>
      <c r="CD14" s="3">
        <f>IF(RTD("tos.rtd",,CD$2,"."&amp;$A$2&amp;$AS$1&amp;"C"&amp;$A14)="N/A",0,RTD("tos.rtd",,CD$2,"."&amp;$A$2&amp;$AS$1&amp;"C"&amp;$A14))</f>
        <v>0.01</v>
      </c>
      <c r="CE14" s="3">
        <f>-IF(RTD("tos.rtd",,CE$2,"."&amp;$A$2&amp;$AS$1&amp;"P"&amp;$A14)="N/A",0,RTD("tos.rtd",,CE$2,"."&amp;$A$2&amp;$AS$1&amp;"P"&amp;$A14))</f>
        <v>1</v>
      </c>
      <c r="CF14" s="3">
        <f>IF(RTD("tos.rtd",,CF$2,"."&amp;$A$2&amp;$AU$1&amp;"C"&amp;$A14)="N/A",0,RTD("tos.rtd",,CF$2,"."&amp;$A$2&amp;$AU$1&amp;"C"&amp;$A14))</f>
        <v>0.37</v>
      </c>
      <c r="CG14" s="3">
        <f>-IF(RTD("tos.rtd",,CG$2,"."&amp;$A$2&amp;$AU$1&amp;"P"&amp;$A14)="N/A",0,RTD("tos.rtd",,CG$2,"."&amp;$A$2&amp;$AU$1&amp;"P"&amp;$A14))</f>
        <v>0.63</v>
      </c>
      <c r="CH14" s="3">
        <f>IF(RTD("tos.rtd",,CH$2,"."&amp;$A$2&amp;$AW$1&amp;"C"&amp;$A14)="N/A",0,RTD("tos.rtd",,CH$2,"."&amp;$A$2&amp;$AW$1&amp;"C"&amp;$A14))</f>
        <v>0.42</v>
      </c>
      <c r="CI14" s="3">
        <f>-IF(RTD("tos.rtd",,CI$2,"."&amp;$A$2&amp;$AW$1&amp;"P"&amp;$A14)="N/A",0,RTD("tos.rtd",,CI$2,"."&amp;$A$2&amp;$AW$1&amp;"P"&amp;$A14))</f>
        <v>0.57999999999999996</v>
      </c>
      <c r="CK14" s="3">
        <f t="shared" si="93"/>
        <v>1347</v>
      </c>
      <c r="CL14" s="3"/>
      <c r="CM14" s="3">
        <f t="shared" si="94"/>
        <v>91370</v>
      </c>
      <c r="CN14" s="3"/>
      <c r="CO14" s="3">
        <f t="shared" si="95"/>
        <v>84871.999999999985</v>
      </c>
      <c r="CP14" s="3">
        <f t="shared" si="96"/>
        <v>177589</v>
      </c>
      <c r="CQ14" s="3">
        <f t="shared" si="97"/>
        <v>78093</v>
      </c>
      <c r="CR14" s="3"/>
      <c r="CS14" s="3">
        <f t="shared" si="98"/>
        <v>2510</v>
      </c>
      <c r="CT14" s="3"/>
      <c r="CU14" s="3">
        <f t="shared" si="99"/>
        <v>1980</v>
      </c>
      <c r="CV14" s="3">
        <f t="shared" si="100"/>
        <v>82583</v>
      </c>
      <c r="CW14" s="3" t="e">
        <f t="shared" ca="1" si="101"/>
        <v>#NUM!</v>
      </c>
      <c r="CX14" s="85" t="e">
        <f t="shared" ca="1" si="73"/>
        <v>#NUM!</v>
      </c>
      <c r="CY14" s="3" t="e">
        <f t="shared" ca="1" si="102"/>
        <v>#NUM!</v>
      </c>
      <c r="CZ14" s="85" t="e">
        <f t="shared" ca="1" si="74"/>
        <v>#NUM!</v>
      </c>
      <c r="DA14" s="3">
        <f>IF(RTD("tos.rtd",,DA$2,"."&amp;$A$2&amp;$AS$1&amp;"C"&amp;$A14)="N/A",0,RTD("tos.rtd",,DA$2,"."&amp;$A$2&amp;$AS$1&amp;"C"&amp;$A14))</f>
        <v>0.01</v>
      </c>
      <c r="DB14" s="3">
        <f>IF(RTD("tos.rtd",,DB$2,"."&amp;$A$2&amp;$AS$1&amp;"P"&amp;$A14)="N/A",0,RTD("tos.rtd",,DB$2,"."&amp;$A$2&amp;$AS$1&amp;"P"&amp;$A14))</f>
        <v>5.03</v>
      </c>
      <c r="DC14" s="3">
        <f>IF(RTD("tos.rtd",,DC$2,"."&amp;$A$2&amp;$AS$1&amp;"C"&amp;$A14)="N/A",0,RTD("tos.rtd",,DC$2,"."&amp;$A$2&amp;$AS$1&amp;"C"&amp;$A14))</f>
        <v>0.01</v>
      </c>
      <c r="DD14" s="3">
        <f>IF(RTD("tos.rtd",,DD$2,"."&amp;$A$2&amp;$AS$1&amp;"P"&amp;$A14)="N/A",0,RTD("tos.rtd",,DD$2,"."&amp;$A$2&amp;$AS$1&amp;"P"&amp;$A14))</f>
        <v>5.12</v>
      </c>
      <c r="DE14" s="3">
        <f>IF(RTD("tos.rtd",,DE$2,"."&amp;$A$2&amp;$AS$1&amp;"C"&amp;$A14)="N/A",0,RTD("tos.rtd",,DE$2,"."&amp;$A$2&amp;$AS$1&amp;"C"&amp;$A14))</f>
        <v>0</v>
      </c>
      <c r="DF14" s="3">
        <f>IF(RTD("tos.rtd",,DF$2,"."&amp;$A$2&amp;$AS$1&amp;"P"&amp;$A14)="N/A",0,RTD("tos.rtd",,DF$2,"."&amp;$A$2&amp;$AS$1&amp;"P"&amp;$A14))</f>
        <v>4.92</v>
      </c>
      <c r="DG14" s="86">
        <f t="shared" si="48"/>
        <v>5.0299999999999727</v>
      </c>
      <c r="DH14" s="3">
        <f t="shared" si="103"/>
        <v>2</v>
      </c>
      <c r="DI14" s="3">
        <f t="shared" si="104"/>
        <v>0</v>
      </c>
      <c r="DJ14" s="3">
        <f t="shared" si="105"/>
        <v>2</v>
      </c>
      <c r="DK14" s="3">
        <f t="shared" si="51"/>
        <v>0</v>
      </c>
      <c r="DL14" s="3">
        <f t="shared" si="52"/>
        <v>2</v>
      </c>
      <c r="DM14" s="3">
        <f t="shared" si="53"/>
        <v>2</v>
      </c>
      <c r="DN14" s="63" t="str">
        <f t="shared" si="54"/>
        <v>BUY</v>
      </c>
      <c r="DO14" s="63" t="str">
        <f t="shared" si="55"/>
        <v>UNKNOWN</v>
      </c>
      <c r="DP14" s="3">
        <f t="shared" si="56"/>
        <v>0.02</v>
      </c>
      <c r="DQ14" s="3">
        <f t="shared" si="57"/>
        <v>0.02</v>
      </c>
      <c r="DR14" s="3" t="e">
        <f t="shared" ca="1" si="58"/>
        <v>#NUM!</v>
      </c>
      <c r="DS14" s="3">
        <f t="shared" si="59"/>
        <v>0.02</v>
      </c>
      <c r="DT14" s="3">
        <f t="shared" si="60"/>
        <v>2</v>
      </c>
      <c r="DU14" s="3">
        <f t="shared" si="61"/>
        <v>0</v>
      </c>
      <c r="DV14" s="3">
        <f t="shared" si="62"/>
        <v>-20789</v>
      </c>
      <c r="DW14" s="3">
        <f t="shared" si="23"/>
        <v>-274</v>
      </c>
      <c r="DX14" s="3" t="e">
        <f t="shared" ca="1" si="24"/>
        <v>#NUM!</v>
      </c>
      <c r="DY14" s="3" t="e">
        <f t="shared" ca="1" si="25"/>
        <v>#NUM!</v>
      </c>
      <c r="DZ14" s="3">
        <f t="shared" ca="1" si="26"/>
        <v>2.3832637318371278E-2</v>
      </c>
      <c r="EA14" s="3">
        <f t="shared" ca="1" si="27"/>
        <v>-2.3682981919240009E-2</v>
      </c>
      <c r="EB14" s="3">
        <f t="shared" ca="1" si="28"/>
        <v>2.3161158917670111E-2</v>
      </c>
      <c r="EC14" s="3">
        <f t="shared" ca="1" si="29"/>
        <v>-2.300770509813482E-2</v>
      </c>
      <c r="EE14" s="59">
        <f t="shared" si="106"/>
        <v>0.47960000000000003</v>
      </c>
      <c r="EF14" s="59">
        <f t="shared" si="107"/>
        <v>0.25</v>
      </c>
      <c r="EG14" s="59">
        <f t="shared" si="108"/>
        <v>0.17610000000000001</v>
      </c>
      <c r="EH14" s="59">
        <f t="shared" si="109"/>
        <v>0.17730000000000001</v>
      </c>
      <c r="EI14" s="59">
        <f t="shared" si="110"/>
        <v>0.18160000000000001</v>
      </c>
      <c r="EJ14" s="59">
        <f t="shared" si="111"/>
        <v>0.18290000000000001</v>
      </c>
      <c r="EL14" s="3" t="str">
        <f>RTD("tos.rtd",,EL$2,"."&amp;$A$2&amp;$AS$1&amp;"C"&amp;$A14)</f>
        <v>47.96%</v>
      </c>
      <c r="EM14" s="3" t="str">
        <f>RTD("tos.rtd",,EM$2,"."&amp;$A$2&amp;$AS$1&amp;"P"&amp;$A14)</f>
        <v>--</v>
      </c>
      <c r="EN14" s="3" t="str">
        <f>RTD("tos.rtd",,EN$2,"."&amp;$A$2&amp;$AU$1&amp;"C"&amp;$A14)</f>
        <v>17.61%</v>
      </c>
      <c r="EO14" s="3" t="str">
        <f>RTD("tos.rtd",,EO$2,"."&amp;$A$2&amp;$AU$1&amp;"P"&amp;$A14)</f>
        <v>17.73%</v>
      </c>
      <c r="EP14" s="3" t="str">
        <f>RTD("tos.rtd",,EP$2,"."&amp;$A$2&amp;$AW$1&amp;"C"&amp;$A14)</f>
        <v>18.16%</v>
      </c>
      <c r="EQ14" s="3" t="str">
        <f>RTD("tos.rtd",,EQ$2,"."&amp;$A$2&amp;$AW$1&amp;"P"&amp;$A14)</f>
        <v>18.29%</v>
      </c>
      <c r="ET14" s="63" t="str">
        <f t="shared" ca="1" si="64"/>
        <v>572,00.00</v>
      </c>
      <c r="EU14" s="67">
        <v>561.30999999999995</v>
      </c>
      <c r="EV14" s="67" t="s">
        <v>131</v>
      </c>
      <c r="EW14" s="67">
        <v>483.15</v>
      </c>
      <c r="EX14" s="67" t="s">
        <v>132</v>
      </c>
      <c r="EY14" s="67">
        <v>5628</v>
      </c>
      <c r="EZ14" s="67" t="s">
        <v>133</v>
      </c>
      <c r="FA14" s="67">
        <v>19851.75</v>
      </c>
      <c r="FB14" s="67" t="s">
        <v>134</v>
      </c>
      <c r="FC14" s="67" t="s">
        <v>135</v>
      </c>
      <c r="FD14" s="67" t="s">
        <v>136</v>
      </c>
      <c r="FE14" s="67" t="s">
        <v>137</v>
      </c>
      <c r="FF14" s="67" t="s">
        <v>138</v>
      </c>
    </row>
    <row r="15" spans="1:162" s="63" customFormat="1" ht="13.5" thickBot="1" x14ac:dyDescent="0.25">
      <c r="A15" s="2">
        <f t="shared" si="65"/>
        <v>571</v>
      </c>
      <c r="B15" s="3">
        <f t="shared" si="9"/>
        <v>10141</v>
      </c>
      <c r="C15" s="3">
        <f t="shared" si="10"/>
        <v>1342</v>
      </c>
      <c r="D15" s="3">
        <f t="shared" si="11"/>
        <v>3089</v>
      </c>
      <c r="E15" s="3">
        <f t="shared" si="12"/>
        <v>14572</v>
      </c>
      <c r="F15" s="4">
        <f t="shared" si="13"/>
        <v>5750.3346737922639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1892</v>
      </c>
      <c r="AN15" s="1">
        <v>197</v>
      </c>
      <c r="AO15" s="1">
        <v>571</v>
      </c>
      <c r="AP15" s="1">
        <v>122292</v>
      </c>
      <c r="AQ15" s="1">
        <v>-1583</v>
      </c>
      <c r="AR15" s="1"/>
      <c r="AS15" s="6">
        <f>IF(RTD("tos.rtd",,AS$2,"."&amp;$A$2&amp;$AS$1&amp;"C"&amp;$A15)="N/A",0,RTD("tos.rtd",,AS$2,"."&amp;$A$2&amp;$AS$1&amp;"C"&amp;$A15))</f>
        <v>10091</v>
      </c>
      <c r="AT15" s="7">
        <f>-IF(RTD("tos.rtd",,AT$2,"."&amp;$A$2&amp;$AS$1&amp;"P"&amp;$A15)="N/A",0,RTD("tos.rtd",,AT$2,"."&amp;$A$2&amp;$AS$1&amp;"P"&amp;$A15))</f>
        <v>-50</v>
      </c>
      <c r="AU15" s="6">
        <f>IF(RTD("tos.rtd",,AU$2,"."&amp;$A$2&amp;$AU$1&amp;"C"&amp;$A15)="N/A",0,RTD("tos.rtd",,AU$2,"."&amp;$A$2&amp;$AU$1&amp;"C"&amp;$A15))</f>
        <v>1328</v>
      </c>
      <c r="AV15" s="7">
        <f>-IF(RTD("tos.rtd",,AV$2,"."&amp;$A$2&amp;$AU$1&amp;"P"&amp;$A15)="N/A",0,RTD("tos.rtd",,AV$2,"."&amp;$A$2&amp;$AU$1&amp;"P"&amp;$A15))</f>
        <v>-14</v>
      </c>
      <c r="AW15" s="6">
        <f>IF(RTD("tos.rtd",,AW$2,"."&amp;$A$2&amp;$AW$1&amp;"C"&amp;$A15)="N/A",0,RTD("tos.rtd",,AW$2,"."&amp;$A$2&amp;$AW$1&amp;"C"&amp;$A15))</f>
        <v>2462</v>
      </c>
      <c r="AX15" s="7">
        <f>-IF(RTD("tos.rtd",,AX$2,"."&amp;$A$2&amp;$AW$1&amp;"P"&amp;$A15)="N/A",0,RTD("tos.rtd",,AX$2,"."&amp;$A$2&amp;$AW$1&amp;"P"&amp;$A15))</f>
        <v>-627</v>
      </c>
      <c r="AY15" s="1">
        <f t="shared" si="66"/>
        <v>13190</v>
      </c>
      <c r="AZ15" s="8">
        <f t="shared" si="35"/>
        <v>571</v>
      </c>
      <c r="BA15" s="6">
        <f>IF(RTD("tos.rtd",,BA$2,"."&amp;$A$2&amp;$AS$1&amp;"C"&amp;$A15)="N/A",0,RTD("tos.rtd",,BA$2,"."&amp;$A$2&amp;$AS$1&amp;"C"&amp;$A15))</f>
        <v>122292</v>
      </c>
      <c r="BB15" s="7">
        <f>-IF(RTD("tos.rtd",,BB$2,"."&amp;$A$2&amp;$AS$1&amp;"P"&amp;$A15)="N/A",0,RTD("tos.rtd",,BB$2,"."&amp;$A$2&amp;$AS$1&amp;"P"&amp;$A15))</f>
        <v>-1583</v>
      </c>
      <c r="BC15" s="6">
        <f>IF(RTD("tos.rtd",,BC$2,"."&amp;$A$2&amp;$AU$1&amp;"C"&amp;$A15)="N/A",0,RTD("tos.rtd",,BC$2,"."&amp;$A$2&amp;$AU$1&amp;"C"&amp;$A15))</f>
        <v>2275</v>
      </c>
      <c r="BD15" s="7">
        <f>-IF(RTD("tos.rtd",,BD$2,"."&amp;$A$2&amp;$AU$1&amp;"P"&amp;$A15)="N/A",0,RTD("tos.rtd",,BD$2,"."&amp;$A$2&amp;$AU$1&amp;"P"&amp;$A15))</f>
        <v>-221</v>
      </c>
      <c r="BE15" s="6">
        <f>IF(RTD("tos.rtd",,BE$2,"."&amp;$A$2&amp;$AW$1&amp;"C"&amp;$A15)="N/A",0,RTD("tos.rtd",,BE$2,"."&amp;$A$2&amp;$AW$1&amp;"C"&amp;$A15))</f>
        <v>876</v>
      </c>
      <c r="BF15" s="83">
        <f>-IF(RTD("tos.rtd",,BF$2,"."&amp;$A$2&amp;$AW$1&amp;"P"&amp;$A15)="N/A",0,RTD("tos.rtd",,BF$2,"."&amp;$A$2&amp;$AW$1&amp;"P"&amp;$A15))</f>
        <v>-228</v>
      </c>
      <c r="BG15" s="32" t="e">
        <f ca="1">+Hoja2!Y16</f>
        <v>#N/A</v>
      </c>
      <c r="BH15" s="7" t="e">
        <f t="shared" ca="1" si="36"/>
        <v>#N/A</v>
      </c>
      <c r="BI15" s="8" t="e">
        <f t="shared" ref="BI15" ca="1" si="122">IF(AND(BH15&lt;0,BH14&gt;0), "Cruce -", IF(AND(BH15&gt;0,BH14&lt;0),"Cruce +", ""))</f>
        <v>#N/A</v>
      </c>
      <c r="BJ15" s="3" t="e">
        <f ca="1">IF($BP$1=1,DX15,IF(RTD("tos.rtd",,BJ$2,"."&amp;$A$2&amp;$AS$1&amp;"C"&amp;$A15)="N/A",0,RTD("tos.rtd",,BJ$2,"."&amp;$A$2&amp;$AS$1&amp;"C"&amp;$A15)))</f>
        <v>#NUM!</v>
      </c>
      <c r="BK15" s="3" t="e">
        <f ca="1">IF($BP$1=1,DY15,-IF(RTD("tos.rtd",,BK$2,"."&amp;$A$2&amp;$AS$1&amp;"P"&amp;$A15)="N/A",0,RTD("tos.rtd",,BK$2,"."&amp;$A$2&amp;$AS$1&amp;"P"&amp;$A15)))</f>
        <v>#NUM!</v>
      </c>
      <c r="BL15" s="3">
        <f ca="1">IF($BP$1=1,DZ15,IF(RTD("tos.rtd",,BL$2,"."&amp;$A$2&amp;$AU$1&amp;"C"&amp;$A15)="N/A",0,RTD("tos.rtd",,BL$2,"."&amp;$A$2&amp;$AU$1&amp;"C"&amp;$A15)))</f>
        <v>2.3878711304514209E-2</v>
      </c>
      <c r="BM15" s="3">
        <f ca="1">IF($BP$1=1,EA15,-IF(RTD("tos.rtd",,BM$2,"."&amp;$A$2&amp;$AU$1&amp;"P"&amp;$A15)="N/A",0,RTD("tos.rtd",,BM$2,"."&amp;$A$2&amp;$AU$1&amp;"P"&amp;$A15)))</f>
        <v>-2.3687859149054667E-2</v>
      </c>
      <c r="BN15" s="3">
        <f ca="1">IF($BP$1=1,EB15,IF(RTD("tos.rtd",,BN$2,"."&amp;$A$2&amp;$AW$1&amp;"C"&amp;$A15)="N/A",0,RTD("tos.rtd",,BN$2,"."&amp;$A$2&amp;$AW$1&amp;"C"&amp;$A15)))</f>
        <v>2.3193185721637262E-2</v>
      </c>
      <c r="BO15" s="3">
        <f ca="1">IF($BP$1=1,EC15,-IF(RTD("tos.rtd",,BO$2,"."&amp;$A$2&amp;$AW$1&amp;"P"&amp;$A15)="N/A",0,RTD("tos.rtd",,BO$2,"."&amp;$A$2&amp;$AW$1&amp;"P"&amp;$A15)))</f>
        <v>-2.3266096175390112E-2</v>
      </c>
      <c r="BQ15" s="3" t="e">
        <f t="shared" ca="1" si="37"/>
        <v>#NUM!</v>
      </c>
      <c r="BR15" s="3" t="e">
        <f t="shared" ca="1" si="68"/>
        <v>#NUM!</v>
      </c>
      <c r="BS15" s="3">
        <f t="shared" ca="1" si="38"/>
        <v>10087031.827074159</v>
      </c>
      <c r="BT15" s="3" t="str">
        <f t="shared" ca="1" si="68"/>
        <v/>
      </c>
      <c r="BU15" s="3">
        <f t="shared" ca="1" si="39"/>
        <v>13666266.641565755</v>
      </c>
      <c r="BV15" s="3" t="str">
        <f t="shared" ref="BV15" ca="1" si="123">IF(AND(BU15&lt;0,BU14&gt;0), "Cruce -", IF(AND(BU15&gt;0,BU14&lt;0),"Cruce +", ""))</f>
        <v/>
      </c>
      <c r="BX15" s="3" t="e">
        <f t="shared" ca="1" si="40"/>
        <v>#NUM!</v>
      </c>
      <c r="BY15" s="3" t="e">
        <f t="shared" ca="1" si="70"/>
        <v>#NUM!</v>
      </c>
      <c r="BZ15" s="3">
        <f t="shared" ca="1" si="41"/>
        <v>15779920.062772499</v>
      </c>
      <c r="CA15" s="3" t="str">
        <f t="shared" ca="1" si="71"/>
        <v/>
      </c>
      <c r="CB15" s="3">
        <f t="shared" ca="1" si="42"/>
        <v>4825862.4337048447</v>
      </c>
      <c r="CC15" s="3" t="str">
        <f t="shared" ca="1" si="72"/>
        <v/>
      </c>
      <c r="CD15" s="3">
        <f>IF(RTD("tos.rtd",,CD$2,"."&amp;$A$2&amp;$AS$1&amp;"C"&amp;$A15)="N/A",0,RTD("tos.rtd",,CD$2,"."&amp;$A$2&amp;$AS$1&amp;"C"&amp;$A15))</f>
        <v>0.01</v>
      </c>
      <c r="CE15" s="3">
        <f>-IF(RTD("tos.rtd",,CE$2,"."&amp;$A$2&amp;$AS$1&amp;"P"&amp;$A15)="N/A",0,RTD("tos.rtd",,CE$2,"."&amp;$A$2&amp;$AS$1&amp;"P"&amp;$A15))</f>
        <v>0.95</v>
      </c>
      <c r="CF15" s="3">
        <f>IF(RTD("tos.rtd",,CF$2,"."&amp;$A$2&amp;$AU$1&amp;"C"&amp;$A15)="N/A",0,RTD("tos.rtd",,CF$2,"."&amp;$A$2&amp;$AU$1&amp;"C"&amp;$A15))</f>
        <v>0.4</v>
      </c>
      <c r="CG15" s="3">
        <f>-IF(RTD("tos.rtd",,CG$2,"."&amp;$A$2&amp;$AU$1&amp;"P"&amp;$A15)="N/A",0,RTD("tos.rtd",,CG$2,"."&amp;$A$2&amp;$AU$1&amp;"P"&amp;$A15))</f>
        <v>0.6</v>
      </c>
      <c r="CH15" s="3">
        <f>IF(RTD("tos.rtd",,CH$2,"."&amp;$A$2&amp;$AW$1&amp;"C"&amp;$A15)="N/A",0,RTD("tos.rtd",,CH$2,"."&amp;$A$2&amp;$AW$1&amp;"C"&amp;$A15))</f>
        <v>0.44</v>
      </c>
      <c r="CI15" s="3">
        <f>-IF(RTD("tos.rtd",,CI$2,"."&amp;$A$2&amp;$AW$1&amp;"P"&amp;$A15)="N/A",0,RTD("tos.rtd",,CI$2,"."&amp;$A$2&amp;$AW$1&amp;"P"&amp;$A15))</f>
        <v>0.56000000000000005</v>
      </c>
      <c r="CK15" s="3">
        <f t="shared" si="17"/>
        <v>5341</v>
      </c>
      <c r="CL15" s="3"/>
      <c r="CM15" s="3">
        <f t="shared" si="18"/>
        <v>52280.000000000007</v>
      </c>
      <c r="CN15" s="3"/>
      <c r="CO15" s="3">
        <f t="shared" si="19"/>
        <v>73216</v>
      </c>
      <c r="CP15" s="3">
        <f t="shared" si="43"/>
        <v>130837</v>
      </c>
      <c r="CQ15" s="3">
        <f t="shared" si="44"/>
        <v>120709</v>
      </c>
      <c r="CR15" s="3"/>
      <c r="CS15" s="3">
        <f t="shared" si="20"/>
        <v>2054</v>
      </c>
      <c r="CT15" s="3"/>
      <c r="CU15" s="3">
        <f t="shared" si="21"/>
        <v>648</v>
      </c>
      <c r="CV15" s="3">
        <f t="shared" si="45"/>
        <v>123411</v>
      </c>
      <c r="CW15" s="3" t="e">
        <f t="shared" ca="1" si="46"/>
        <v>#NUM!</v>
      </c>
      <c r="CX15" s="85" t="e">
        <f t="shared" ca="1" si="73"/>
        <v>#NUM!</v>
      </c>
      <c r="CY15" s="3" t="e">
        <f t="shared" ca="1" si="47"/>
        <v>#NUM!</v>
      </c>
      <c r="CZ15" s="85" t="e">
        <f t="shared" ca="1" si="74"/>
        <v>#NUM!</v>
      </c>
      <c r="DA15" s="3">
        <f>IF(RTD("tos.rtd",,DA$2,"."&amp;$A$2&amp;$AS$1&amp;"C"&amp;$A15)="N/A",0,RTD("tos.rtd",,DA$2,"."&amp;$A$2&amp;$AS$1&amp;"C"&amp;$A15))</f>
        <v>0.01</v>
      </c>
      <c r="DB15" s="3">
        <f>IF(RTD("tos.rtd",,DB$2,"."&amp;$A$2&amp;$AS$1&amp;"P"&amp;$A15)="N/A",0,RTD("tos.rtd",,DB$2,"."&amp;$A$2&amp;$AS$1&amp;"P"&amp;$A15))</f>
        <v>4.1399999999999997</v>
      </c>
      <c r="DC15" s="3">
        <f>IF(RTD("tos.rtd",,DC$2,"."&amp;$A$2&amp;$AS$1&amp;"C"&amp;$A15)="N/A",0,RTD("tos.rtd",,DC$2,"."&amp;$A$2&amp;$AS$1&amp;"C"&amp;$A15))</f>
        <v>0.01</v>
      </c>
      <c r="DD15" s="3">
        <f>IF(RTD("tos.rtd",,DD$2,"."&amp;$A$2&amp;$AS$1&amp;"P"&amp;$A15)="N/A",0,RTD("tos.rtd",,DD$2,"."&amp;$A$2&amp;$AS$1&amp;"P"&amp;$A15))</f>
        <v>4.1100000000000003</v>
      </c>
      <c r="DE15" s="3">
        <f>IF(RTD("tos.rtd",,DE$2,"."&amp;$A$2&amp;$AS$1&amp;"C"&amp;$A15)="N/A",0,RTD("tos.rtd",,DE$2,"."&amp;$A$2&amp;$AS$1&amp;"C"&amp;$A15))</f>
        <v>0</v>
      </c>
      <c r="DF15" s="3">
        <f>IF(RTD("tos.rtd",,DF$2,"."&amp;$A$2&amp;$AS$1&amp;"P"&amp;$A15)="N/A",0,RTD("tos.rtd",,DF$2,"."&amp;$A$2&amp;$AS$1&amp;"P"&amp;$A15))</f>
        <v>3.97</v>
      </c>
      <c r="DG15" s="86">
        <f t="shared" si="48"/>
        <v>4.0299999999999727</v>
      </c>
      <c r="DH15" s="3">
        <f t="shared" si="22"/>
        <v>0</v>
      </c>
      <c r="DI15" s="3">
        <f t="shared" si="49"/>
        <v>0</v>
      </c>
      <c r="DJ15" s="3">
        <f t="shared" si="50"/>
        <v>0</v>
      </c>
      <c r="DK15" s="3">
        <f t="shared" si="51"/>
        <v>0</v>
      </c>
      <c r="DL15" s="3">
        <f t="shared" si="52"/>
        <v>0</v>
      </c>
      <c r="DM15" s="3">
        <f t="shared" si="53"/>
        <v>0</v>
      </c>
      <c r="DN15" s="63" t="str">
        <f t="shared" si="54"/>
        <v>UNKNOWN</v>
      </c>
      <c r="DO15" s="63" t="str">
        <f t="shared" si="55"/>
        <v>UNKNOWN</v>
      </c>
      <c r="DP15" s="3">
        <f t="shared" si="56"/>
        <v>0</v>
      </c>
      <c r="DQ15" s="3">
        <f t="shared" si="57"/>
        <v>0</v>
      </c>
      <c r="DR15" s="3" t="e">
        <f t="shared" ca="1" si="58"/>
        <v>#NUM!</v>
      </c>
      <c r="DS15" s="3">
        <f t="shared" si="59"/>
        <v>0</v>
      </c>
      <c r="DT15" s="3">
        <f t="shared" si="60"/>
        <v>0</v>
      </c>
      <c r="DU15" s="3">
        <f t="shared" si="61"/>
        <v>0</v>
      </c>
      <c r="DV15" s="3">
        <f t="shared" si="62"/>
        <v>1892</v>
      </c>
      <c r="DW15" s="3">
        <f t="shared" si="23"/>
        <v>197</v>
      </c>
      <c r="DX15" s="3" t="e">
        <f t="shared" ca="1" si="24"/>
        <v>#NUM!</v>
      </c>
      <c r="DY15" s="3" t="e">
        <f t="shared" ca="1" si="25"/>
        <v>#NUM!</v>
      </c>
      <c r="DZ15" s="3">
        <f t="shared" ca="1" si="26"/>
        <v>2.3878711304514209E-2</v>
      </c>
      <c r="EA15" s="3">
        <f t="shared" ca="1" si="27"/>
        <v>-2.3687859149054667E-2</v>
      </c>
      <c r="EB15" s="3">
        <f t="shared" ca="1" si="28"/>
        <v>2.3193185721637262E-2</v>
      </c>
      <c r="EC15" s="3">
        <f t="shared" ca="1" si="29"/>
        <v>-2.3266096175390112E-2</v>
      </c>
      <c r="EE15" s="59">
        <f t="shared" si="63"/>
        <v>0.39500000000000002</v>
      </c>
      <c r="EF15" s="59">
        <f t="shared" si="30"/>
        <v>0.49659999999999999</v>
      </c>
      <c r="EG15" s="59">
        <f t="shared" si="31"/>
        <v>0.17829999999999999</v>
      </c>
      <c r="EH15" s="59">
        <f t="shared" si="32"/>
        <v>0.17979999999999999</v>
      </c>
      <c r="EI15" s="59">
        <f t="shared" si="33"/>
        <v>0.18379999999999999</v>
      </c>
      <c r="EJ15" s="59">
        <f t="shared" si="34"/>
        <v>0.1832</v>
      </c>
      <c r="EL15" s="3" t="str">
        <f>RTD("tos.rtd",,EL$2,"."&amp;$A$2&amp;$AS$1&amp;"C"&amp;$A15)</f>
        <v>39.50%</v>
      </c>
      <c r="EM15" s="3" t="str">
        <f>RTD("tos.rtd",,EM$2,"."&amp;$A$2&amp;$AS$1&amp;"P"&amp;$A15)</f>
        <v>49.66%</v>
      </c>
      <c r="EN15" s="3" t="str">
        <f>RTD("tos.rtd",,EN$2,"."&amp;$A$2&amp;$AU$1&amp;"C"&amp;$A15)</f>
        <v>17.83%</v>
      </c>
      <c r="EO15" s="3" t="str">
        <f>RTD("tos.rtd",,EO$2,"."&amp;$A$2&amp;$AU$1&amp;"P"&amp;$A15)</f>
        <v>17.98%</v>
      </c>
      <c r="EP15" s="3" t="str">
        <f>RTD("tos.rtd",,EP$2,"."&amp;$A$2&amp;$AW$1&amp;"C"&amp;$A15)</f>
        <v>18.38%</v>
      </c>
      <c r="EQ15" s="3" t="str">
        <f>RTD("tos.rtd",,EQ$2,"."&amp;$A$2&amp;$AW$1&amp;"P"&amp;$A15)</f>
        <v>18.32%</v>
      </c>
      <c r="ET15" s="63" t="str">
        <f t="shared" ca="1" si="64"/>
        <v>571,00.00</v>
      </c>
      <c r="EU15" s="67">
        <v>561.30999999999995</v>
      </c>
      <c r="EV15" s="67" t="s">
        <v>139</v>
      </c>
      <c r="EW15" s="67">
        <v>483.2</v>
      </c>
      <c r="EX15" s="67" t="s">
        <v>140</v>
      </c>
      <c r="EY15" s="67">
        <v>5628.25</v>
      </c>
      <c r="EZ15" s="67" t="s">
        <v>141</v>
      </c>
      <c r="FA15" s="67">
        <v>19853</v>
      </c>
      <c r="FB15" s="67" t="s">
        <v>142</v>
      </c>
      <c r="FC15" s="67" t="s">
        <v>143</v>
      </c>
      <c r="FD15" s="67" t="s">
        <v>144</v>
      </c>
      <c r="FE15" s="67" t="s">
        <v>145</v>
      </c>
      <c r="FF15" s="67" t="s">
        <v>146</v>
      </c>
    </row>
    <row r="16" spans="1:162" s="63" customFormat="1" ht="13.5" thickBot="1" x14ac:dyDescent="0.25">
      <c r="A16" s="2">
        <f t="shared" si="65"/>
        <v>570</v>
      </c>
      <c r="B16" s="3">
        <f t="shared" si="9"/>
        <v>19805</v>
      </c>
      <c r="C16" s="3">
        <f t="shared" si="10"/>
        <v>10177</v>
      </c>
      <c r="D16" s="3">
        <f>+IF($A$1="ABS",AW16-AX16,AW16+AX16)</f>
        <v>47018</v>
      </c>
      <c r="E16" s="3">
        <f t="shared" si="12"/>
        <v>77000</v>
      </c>
      <c r="F16" s="4">
        <f t="shared" si="13"/>
        <v>5740.2640351341342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40446</v>
      </c>
      <c r="AN16" s="1">
        <v>1146</v>
      </c>
      <c r="AO16" s="1">
        <v>570</v>
      </c>
      <c r="AP16" s="1">
        <v>301550</v>
      </c>
      <c r="AQ16" s="1">
        <v>-13116</v>
      </c>
      <c r="AR16" s="1"/>
      <c r="AS16" s="6">
        <f>IF(RTD("tos.rtd",,AS$2,"."&amp;$A$2&amp;$AS$1&amp;"C"&amp;$A16)="N/A",0,RTD("tos.rtd",,AS$2,"."&amp;$A$2&amp;$AS$1&amp;"C"&amp;$A16))</f>
        <v>19234</v>
      </c>
      <c r="AT16" s="7">
        <f>-IF(RTD("tos.rtd",,AT$2,"."&amp;$A$2&amp;$AS$1&amp;"P"&amp;$A16)="N/A",0,RTD("tos.rtd",,AT$2,"."&amp;$A$2&amp;$AS$1&amp;"P"&amp;$A16))</f>
        <v>-571</v>
      </c>
      <c r="AU16" s="6">
        <f>IF(RTD("tos.rtd",,AU$2,"."&amp;$A$2&amp;$AU$1&amp;"C"&amp;$A16)="N/A",0,RTD("tos.rtd",,AU$2,"."&amp;$A$2&amp;$AU$1&amp;"C"&amp;$A16))</f>
        <v>9706</v>
      </c>
      <c r="AV16" s="7">
        <f>-IF(RTD("tos.rtd",,AV$2,"."&amp;$A$2&amp;$AU$1&amp;"P"&amp;$A16)="N/A",0,RTD("tos.rtd",,AV$2,"."&amp;$A$2&amp;$AU$1&amp;"P"&amp;$A16))</f>
        <v>-471</v>
      </c>
      <c r="AW16" s="6">
        <f>IF(RTD("tos.rtd",,AW$2,"."&amp;$A$2&amp;$AW$1&amp;"C"&amp;$A16)="N/A",0,RTD("tos.rtd",,AW$2,"."&amp;$A$2&amp;$AW$1&amp;"C"&amp;$A16))</f>
        <v>29331</v>
      </c>
      <c r="AX16" s="7">
        <f>-IF(RTD("tos.rtd",,AX$2,"."&amp;$A$2&amp;$AW$1&amp;"P"&amp;$A16)="N/A",0,RTD("tos.rtd",,AX$2,"."&amp;$A$2&amp;$AW$1&amp;"P"&amp;$A16))</f>
        <v>-17687</v>
      </c>
      <c r="AY16" s="1">
        <f t="shared" si="66"/>
        <v>39542</v>
      </c>
      <c r="AZ16" s="8">
        <f t="shared" si="35"/>
        <v>570</v>
      </c>
      <c r="BA16" s="6">
        <f>IF(RTD("tos.rtd",,BA$2,"."&amp;$A$2&amp;$AS$1&amp;"C"&amp;$A16)="N/A",0,RTD("tos.rtd",,BA$2,"."&amp;$A$2&amp;$AS$1&amp;"C"&amp;$A16))</f>
        <v>301703</v>
      </c>
      <c r="BB16" s="7">
        <f>-IF(RTD("tos.rtd",,BB$2,"."&amp;$A$2&amp;$AS$1&amp;"P"&amp;$A16)="N/A",0,RTD("tos.rtd",,BB$2,"."&amp;$A$2&amp;$AS$1&amp;"P"&amp;$A16))</f>
        <v>-13206</v>
      </c>
      <c r="BC16" s="6">
        <f>IF(RTD("tos.rtd",,BC$2,"."&amp;$A$2&amp;$AU$1&amp;"C"&amp;$A16)="N/A",0,RTD("tos.rtd",,BC$2,"."&amp;$A$2&amp;$AU$1&amp;"C"&amp;$A16))</f>
        <v>19365</v>
      </c>
      <c r="BD16" s="7">
        <f>-IF(RTD("tos.rtd",,BD$2,"."&amp;$A$2&amp;$AU$1&amp;"P"&amp;$A16)="N/A",0,RTD("tos.rtd",,BD$2,"."&amp;$A$2&amp;$AU$1&amp;"P"&amp;$A16))</f>
        <v>-1782</v>
      </c>
      <c r="BE16" s="6">
        <f>IF(RTD("tos.rtd",,BE$2,"."&amp;$A$2&amp;$AW$1&amp;"C"&amp;$A16)="N/A",0,RTD("tos.rtd",,BE$2,"."&amp;$A$2&amp;$AW$1&amp;"C"&amp;$A16))</f>
        <v>9056</v>
      </c>
      <c r="BF16" s="83">
        <f>-IF(RTD("tos.rtd",,BF$2,"."&amp;$A$2&amp;$AW$1&amp;"P"&amp;$A16)="N/A",0,RTD("tos.rtd",,BF$2,"."&amp;$A$2&amp;$AW$1&amp;"P"&amp;$A16))</f>
        <v>-3439</v>
      </c>
      <c r="BG16" s="32" t="e">
        <f ca="1">+Hoja2!Y17</f>
        <v>#N/A</v>
      </c>
      <c r="BH16" s="7" t="e">
        <f t="shared" ca="1" si="36"/>
        <v>#N/A</v>
      </c>
      <c r="BI16" s="8" t="e">
        <f t="shared" ref="BI16" ca="1" si="124">IF(AND(BH16&lt;0,BH15&gt;0), "Cruce -", IF(AND(BH16&gt;0,BH15&lt;0),"Cruce +", ""))</f>
        <v>#N/A</v>
      </c>
      <c r="BJ16" s="3" t="e">
        <f ca="1">IF($BP$1=1,DX16,IF(RTD("tos.rtd",,BJ$2,"."&amp;$A$2&amp;$AS$1&amp;"C"&amp;$A16)="N/A",0,RTD("tos.rtd",,BJ$2,"."&amp;$A$2&amp;$AS$1&amp;"C"&amp;$A16)))</f>
        <v>#NUM!</v>
      </c>
      <c r="BK16" s="3" t="e">
        <f ca="1">IF($BP$1=1,DY16,-IF(RTD("tos.rtd",,BK$2,"."&amp;$A$2&amp;$AS$1&amp;"P"&amp;$A16)="N/A",0,RTD("tos.rtd",,BK$2,"."&amp;$A$2&amp;$AS$1&amp;"P"&amp;$A16)))</f>
        <v>#NUM!</v>
      </c>
      <c r="BL16" s="3">
        <f ca="1">IF($BP$1=1,DZ16,IF(RTD("tos.rtd",,BL$2,"."&amp;$A$2&amp;$AU$1&amp;"C"&amp;$A16)="N/A",0,RTD("tos.rtd",,BL$2,"."&amp;$A$2&amp;$AU$1&amp;"C"&amp;$A16)))</f>
        <v>2.3800413421064873E-2</v>
      </c>
      <c r="BM16" s="3">
        <f ca="1">IF($BP$1=1,EA16,-IF(RTD("tos.rtd",,BM$2,"."&amp;$A$2&amp;$AU$1&amp;"P"&amp;$A16)="N/A",0,RTD("tos.rtd",,BM$2,"."&amp;$A$2&amp;$AU$1&amp;"P"&amp;$A16)))</f>
        <v>-2.3633865966301435E-2</v>
      </c>
      <c r="BN16" s="3">
        <f ca="1">IF($BP$1=1,EB16,IF(RTD("tos.rtd",,BN$2,"."&amp;$A$2&amp;$AW$1&amp;"C"&amp;$A16)="N/A",0,RTD("tos.rtd",,BN$2,"."&amp;$A$2&amp;$AW$1&amp;"C"&amp;$A16)))</f>
        <v>2.3159990659542048E-2</v>
      </c>
      <c r="BO16" s="3">
        <f ca="1">IF($BP$1=1,EC16,-IF(RTD("tos.rtd",,BO$2,"."&amp;$A$2&amp;$AW$1&amp;"P"&amp;$A16)="N/A",0,RTD("tos.rtd",,BO$2,"."&amp;$A$2&amp;$AW$1&amp;"P"&amp;$A16)))</f>
        <v>-2.3258185204752261E-2</v>
      </c>
      <c r="BQ16" s="3" t="e">
        <f t="shared" ca="1" si="37"/>
        <v>#NUM!</v>
      </c>
      <c r="BR16" s="3" t="e">
        <f t="shared" ca="1" si="68"/>
        <v>#NUM!</v>
      </c>
      <c r="BS16" s="3">
        <f t="shared" ca="1" si="38"/>
        <v>70679998.080606699</v>
      </c>
      <c r="BT16" s="3" t="str">
        <f t="shared" ca="1" si="68"/>
        <v/>
      </c>
      <c r="BU16" s="3">
        <f t="shared" ca="1" si="39"/>
        <v>86130057.493408442</v>
      </c>
      <c r="BV16" s="3" t="str">
        <f t="shared" ref="BV16" ca="1" si="125">IF(AND(BU16&lt;0,BU15&gt;0), "Cruce -", IF(AND(BU16&gt;0,BU15&lt;0),"Cruce +", ""))</f>
        <v/>
      </c>
      <c r="BX16" s="3" t="e">
        <f t="shared" ca="1" si="40"/>
        <v>#NUM!</v>
      </c>
      <c r="BY16" s="3" t="e">
        <f t="shared" ca="1" si="70"/>
        <v>#NUM!</v>
      </c>
      <c r="BZ16" s="3">
        <f t="shared" ca="1" si="41"/>
        <v>134618742.26991034</v>
      </c>
      <c r="CA16" s="3" t="str">
        <f t="shared" ca="1" si="71"/>
        <v/>
      </c>
      <c r="CB16" s="3">
        <f t="shared" ca="1" si="42"/>
        <v>41709419.125509866</v>
      </c>
      <c r="CC16" s="3" t="str">
        <f t="shared" ca="1" si="72"/>
        <v/>
      </c>
      <c r="CD16" s="3">
        <f>IF(RTD("tos.rtd",,CD$2,"."&amp;$A$2&amp;$AS$1&amp;"C"&amp;$A16)="N/A",0,RTD("tos.rtd",,CD$2,"."&amp;$A$2&amp;$AS$1&amp;"C"&amp;$A16))</f>
        <v>0.01</v>
      </c>
      <c r="CE16" s="3">
        <f>-IF(RTD("tos.rtd",,CE$2,"."&amp;$A$2&amp;$AS$1&amp;"P"&amp;$A16)="N/A",0,RTD("tos.rtd",,CE$2,"."&amp;$A$2&amp;$AS$1&amp;"P"&amp;$A16))</f>
        <v>0.95</v>
      </c>
      <c r="CF16" s="3">
        <f>IF(RTD("tos.rtd",,CF$2,"."&amp;$A$2&amp;$AU$1&amp;"C"&amp;$A16)="N/A",0,RTD("tos.rtd",,CF$2,"."&amp;$A$2&amp;$AU$1&amp;"C"&amp;$A16))</f>
        <v>0.43</v>
      </c>
      <c r="CG16" s="3">
        <f>-IF(RTD("tos.rtd",,CG$2,"."&amp;$A$2&amp;$AU$1&amp;"P"&amp;$A16)="N/A",0,RTD("tos.rtd",,CG$2,"."&amp;$A$2&amp;$AU$1&amp;"P"&amp;$A16))</f>
        <v>0.56999999999999995</v>
      </c>
      <c r="CH16" s="3">
        <f>IF(RTD("tos.rtd",,CH$2,"."&amp;$A$2&amp;$AW$1&amp;"C"&amp;$A16)="N/A",0,RTD("tos.rtd",,CH$2,"."&amp;$A$2&amp;$AW$1&amp;"C"&amp;$A16))</f>
        <v>0.46</v>
      </c>
      <c r="CI16" s="3">
        <f>-IF(RTD("tos.rtd",,CI$2,"."&amp;$A$2&amp;$AW$1&amp;"P"&amp;$A16)="N/A",0,RTD("tos.rtd",,CI$2,"."&amp;$A$2&amp;$AW$1&amp;"P"&amp;$A16))</f>
        <v>0.54</v>
      </c>
      <c r="CK16" s="3">
        <f t="shared" si="17"/>
        <v>-35010.999999999993</v>
      </c>
      <c r="CL16" s="3"/>
      <c r="CM16" s="3">
        <f t="shared" si="18"/>
        <v>390511</v>
      </c>
      <c r="CN16" s="3"/>
      <c r="CO16" s="3">
        <f t="shared" si="19"/>
        <v>394127.99999999988</v>
      </c>
      <c r="CP16" s="3">
        <f t="shared" si="43"/>
        <v>749627.99999999988</v>
      </c>
      <c r="CQ16" s="3">
        <f t="shared" si="44"/>
        <v>288497</v>
      </c>
      <c r="CR16" s="3"/>
      <c r="CS16" s="3">
        <f t="shared" si="20"/>
        <v>17583</v>
      </c>
      <c r="CT16" s="3"/>
      <c r="CU16" s="3">
        <f t="shared" si="21"/>
        <v>5617</v>
      </c>
      <c r="CV16" s="3">
        <f t="shared" si="45"/>
        <v>311697</v>
      </c>
      <c r="CW16" s="3" t="e">
        <f t="shared" ca="1" si="46"/>
        <v>#NUM!</v>
      </c>
      <c r="CX16" s="85" t="e">
        <f t="shared" ca="1" si="73"/>
        <v>#NUM!</v>
      </c>
      <c r="CY16" s="3" t="e">
        <f t="shared" ca="1" si="47"/>
        <v>#NUM!</v>
      </c>
      <c r="CZ16" s="85" t="e">
        <f t="shared" ca="1" si="74"/>
        <v>#NUM!</v>
      </c>
      <c r="DA16" s="3">
        <f>IF(RTD("tos.rtd",,DA$2,"."&amp;$A$2&amp;$AS$1&amp;"C"&amp;$A16)="N/A",0,RTD("tos.rtd",,DA$2,"."&amp;$A$2&amp;$AS$1&amp;"C"&amp;$A16))</f>
        <v>0.01</v>
      </c>
      <c r="DB16" s="3">
        <f>IF(RTD("tos.rtd",,DB$2,"."&amp;$A$2&amp;$AS$1&amp;"P"&amp;$A16)="N/A",0,RTD("tos.rtd",,DB$2,"."&amp;$A$2&amp;$AS$1&amp;"P"&amp;$A16))</f>
        <v>3.02</v>
      </c>
      <c r="DC16" s="3">
        <f>IF(RTD("tos.rtd",,DC$2,"."&amp;$A$2&amp;$AS$1&amp;"C"&amp;$A16)="N/A",0,RTD("tos.rtd",,DC$2,"."&amp;$A$2&amp;$AS$1&amp;"C"&amp;$A16))</f>
        <v>0.01</v>
      </c>
      <c r="DD16" s="3">
        <f>IF(RTD("tos.rtd",,DD$2,"."&amp;$A$2&amp;$AS$1&amp;"P"&amp;$A16)="N/A",0,RTD("tos.rtd",,DD$2,"."&amp;$A$2&amp;$AS$1&amp;"P"&amp;$A16))</f>
        <v>3.12</v>
      </c>
      <c r="DE16" s="3">
        <f>IF(RTD("tos.rtd",,DE$2,"."&amp;$A$2&amp;$AS$1&amp;"C"&amp;$A16)="N/A",0,RTD("tos.rtd",,DE$2,"."&amp;$A$2&amp;$AS$1&amp;"C"&amp;$A16))</f>
        <v>0</v>
      </c>
      <c r="DF16" s="3">
        <f>IF(RTD("tos.rtd",,DF$2,"."&amp;$A$2&amp;$AS$1&amp;"P"&amp;$A16)="N/A",0,RTD("tos.rtd",,DF$2,"."&amp;$A$2&amp;$AS$1&amp;"P"&amp;$A16))</f>
        <v>2.96</v>
      </c>
      <c r="DG16" s="86">
        <f t="shared" si="48"/>
        <v>3.0299999999999727</v>
      </c>
      <c r="DH16" s="3">
        <f t="shared" si="22"/>
        <v>153</v>
      </c>
      <c r="DI16" s="3">
        <f t="shared" si="49"/>
        <v>-33.75</v>
      </c>
      <c r="DJ16" s="3">
        <f t="shared" si="50"/>
        <v>153</v>
      </c>
      <c r="DK16" s="3">
        <f t="shared" si="51"/>
        <v>90</v>
      </c>
      <c r="DL16" s="3">
        <f t="shared" si="52"/>
        <v>119.25</v>
      </c>
      <c r="DM16" s="3">
        <f t="shared" si="53"/>
        <v>243</v>
      </c>
      <c r="DN16" s="63" t="str">
        <f t="shared" si="54"/>
        <v>BUY</v>
      </c>
      <c r="DO16" s="63" t="str">
        <f t="shared" si="55"/>
        <v>SELL</v>
      </c>
      <c r="DP16" s="3">
        <f t="shared" si="56"/>
        <v>-100.395</v>
      </c>
      <c r="DQ16" s="3">
        <f t="shared" si="57"/>
        <v>273.33</v>
      </c>
      <c r="DR16" s="3" t="e">
        <f t="shared" ca="1" si="58"/>
        <v>#NUM!</v>
      </c>
      <c r="DS16" s="3">
        <f t="shared" si="59"/>
        <v>87.03</v>
      </c>
      <c r="DT16" s="3">
        <f t="shared" si="60"/>
        <v>153</v>
      </c>
      <c r="DU16" s="3">
        <f t="shared" si="61"/>
        <v>-90</v>
      </c>
      <c r="DV16" s="3">
        <f t="shared" si="62"/>
        <v>40599</v>
      </c>
      <c r="DW16" s="3">
        <f t="shared" si="23"/>
        <v>1236</v>
      </c>
      <c r="DX16" s="3" t="e">
        <f t="shared" ca="1" si="24"/>
        <v>#NUM!</v>
      </c>
      <c r="DY16" s="3" t="e">
        <f t="shared" ca="1" si="25"/>
        <v>#NUM!</v>
      </c>
      <c r="DZ16" s="3">
        <f t="shared" ca="1" si="26"/>
        <v>2.3800413421064873E-2</v>
      </c>
      <c r="EA16" s="3">
        <f t="shared" ca="1" si="27"/>
        <v>-2.3633865966301435E-2</v>
      </c>
      <c r="EB16" s="3">
        <f t="shared" ca="1" si="28"/>
        <v>2.3159990659542048E-2</v>
      </c>
      <c r="EC16" s="3">
        <f t="shared" ca="1" si="29"/>
        <v>-2.3258185204752261E-2</v>
      </c>
      <c r="EE16" s="59">
        <f t="shared" si="63"/>
        <v>0.30819999999999997</v>
      </c>
      <c r="EF16" s="59">
        <f t="shared" si="30"/>
        <v>0.37909999999999999</v>
      </c>
      <c r="EG16" s="59">
        <f t="shared" si="31"/>
        <v>0.1807</v>
      </c>
      <c r="EH16" s="59">
        <f t="shared" si="32"/>
        <v>0.182</v>
      </c>
      <c r="EI16" s="59">
        <f t="shared" si="33"/>
        <v>0.18579999999999999</v>
      </c>
      <c r="EJ16" s="59">
        <f t="shared" si="34"/>
        <v>0.185</v>
      </c>
      <c r="EL16" s="3" t="str">
        <f>RTD("tos.rtd",,EL$2,"."&amp;$A$2&amp;$AS$1&amp;"C"&amp;$A16)</f>
        <v>30.82%</v>
      </c>
      <c r="EM16" s="3" t="str">
        <f>RTD("tos.rtd",,EM$2,"."&amp;$A$2&amp;$AS$1&amp;"P"&amp;$A16)</f>
        <v>37.91%</v>
      </c>
      <c r="EN16" s="3" t="str">
        <f>RTD("tos.rtd",,EN$2,"."&amp;$A$2&amp;$AU$1&amp;"C"&amp;$A16)</f>
        <v>18.07%</v>
      </c>
      <c r="EO16" s="3" t="str">
        <f>RTD("tos.rtd",,EO$2,"."&amp;$A$2&amp;$AU$1&amp;"P"&amp;$A16)</f>
        <v>18.20%</v>
      </c>
      <c r="EP16" s="3" t="str">
        <f>RTD("tos.rtd",,EP$2,"."&amp;$A$2&amp;$AW$1&amp;"C"&amp;$A16)</f>
        <v>18.58%</v>
      </c>
      <c r="EQ16" s="3" t="str">
        <f>RTD("tos.rtd",,EQ$2,"."&amp;$A$2&amp;$AW$1&amp;"P"&amp;$A16)</f>
        <v>18.50%</v>
      </c>
      <c r="ET16" s="63" t="str">
        <f t="shared" ca="1" si="64"/>
        <v>570,00.00</v>
      </c>
      <c r="EU16" s="67">
        <v>561.22</v>
      </c>
      <c r="EV16" s="67" t="s">
        <v>147</v>
      </c>
      <c r="EW16" s="67">
        <v>483.11</v>
      </c>
      <c r="EX16" s="67" t="s">
        <v>148</v>
      </c>
      <c r="EY16" s="67">
        <v>5627.75</v>
      </c>
      <c r="EZ16" s="67" t="s">
        <v>149</v>
      </c>
      <c r="FA16" s="67">
        <v>19849.75</v>
      </c>
      <c r="FB16" s="67" t="s">
        <v>150</v>
      </c>
      <c r="FC16" s="67" t="s">
        <v>151</v>
      </c>
      <c r="FD16" s="67" t="s">
        <v>152</v>
      </c>
      <c r="FE16" s="67" t="s">
        <v>153</v>
      </c>
      <c r="FF16" s="67" t="s">
        <v>154</v>
      </c>
    </row>
    <row r="17" spans="1:162" s="63" customFormat="1" ht="13.5" thickBot="1" x14ac:dyDescent="0.25">
      <c r="A17" s="2">
        <f t="shared" si="65"/>
        <v>569</v>
      </c>
      <c r="B17" s="3">
        <f t="shared" si="9"/>
        <v>5496</v>
      </c>
      <c r="C17" s="3">
        <f t="shared" si="10"/>
        <v>987</v>
      </c>
      <c r="D17" s="3">
        <f t="shared" si="11"/>
        <v>4640</v>
      </c>
      <c r="E17" s="3">
        <f t="shared" si="12"/>
        <v>11123</v>
      </c>
      <c r="F17" s="4">
        <f t="shared" si="13"/>
        <v>5730.1933964760037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1574</v>
      </c>
      <c r="AN17" s="1">
        <v>4284</v>
      </c>
      <c r="AO17" s="1">
        <v>569</v>
      </c>
      <c r="AP17" s="1">
        <v>233911</v>
      </c>
      <c r="AQ17" s="1">
        <v>-26768</v>
      </c>
      <c r="AR17" s="1"/>
      <c r="AS17" s="6">
        <f>IF(RTD("tos.rtd",,AS$2,"."&amp;$A$2&amp;$AS$1&amp;"C"&amp;$A17)="N/A",0,RTD("tos.rtd",,AS$2,"."&amp;$A$2&amp;$AS$1&amp;"C"&amp;$A17))</f>
        <v>4914</v>
      </c>
      <c r="AT17" s="7">
        <f>-IF(RTD("tos.rtd",,AT$2,"."&amp;$A$2&amp;$AS$1&amp;"P"&amp;$A17)="N/A",0,RTD("tos.rtd",,AT$2,"."&amp;$A$2&amp;$AS$1&amp;"P"&amp;$A17))</f>
        <v>-582</v>
      </c>
      <c r="AU17" s="6">
        <f>IF(RTD("tos.rtd",,AU$2,"."&amp;$A$2&amp;$AU$1&amp;"C"&amp;$A17)="N/A",0,RTD("tos.rtd",,AU$2,"."&amp;$A$2&amp;$AU$1&amp;"C"&amp;$A17))</f>
        <v>896</v>
      </c>
      <c r="AV17" s="7">
        <f>-IF(RTD("tos.rtd",,AV$2,"."&amp;$A$2&amp;$AU$1&amp;"P"&amp;$A17)="N/A",0,RTD("tos.rtd",,AV$2,"."&amp;$A$2&amp;$AU$1&amp;"P"&amp;$A17))</f>
        <v>-91</v>
      </c>
      <c r="AW17" s="6">
        <f>IF(RTD("tos.rtd",,AW$2,"."&amp;$A$2&amp;$AW$1&amp;"C"&amp;$A17)="N/A",0,RTD("tos.rtd",,AW$2,"."&amp;$A$2&amp;$AW$1&amp;"C"&amp;$A17))</f>
        <v>2595</v>
      </c>
      <c r="AX17" s="7">
        <f>-IF(RTD("tos.rtd",,AX$2,"."&amp;$A$2&amp;$AW$1&amp;"P"&amp;$A17)="N/A",0,RTD("tos.rtd",,AX$2,"."&amp;$A$2&amp;$AW$1&amp;"P"&amp;$A17))</f>
        <v>-2045</v>
      </c>
      <c r="AY17" s="1">
        <f t="shared" si="66"/>
        <v>5687</v>
      </c>
      <c r="AZ17" s="8">
        <f t="shared" si="35"/>
        <v>569</v>
      </c>
      <c r="BA17" s="6">
        <f>IF(RTD("tos.rtd",,BA$2,"."&amp;$A$2&amp;$AS$1&amp;"C"&amp;$A17)="N/A",0,RTD("tos.rtd",,BA$2,"."&amp;$A$2&amp;$AS$1&amp;"C"&amp;$A17))</f>
        <v>233973</v>
      </c>
      <c r="BB17" s="7">
        <f>-IF(RTD("tos.rtd",,BB$2,"."&amp;$A$2&amp;$AS$1&amp;"P"&amp;$A17)="N/A",0,RTD("tos.rtd",,BB$2,"."&amp;$A$2&amp;$AS$1&amp;"P"&amp;$A17))</f>
        <v>-26773</v>
      </c>
      <c r="BC17" s="6">
        <f>IF(RTD("tos.rtd",,BC$2,"."&amp;$A$2&amp;$AU$1&amp;"C"&amp;$A17)="N/A",0,RTD("tos.rtd",,BC$2,"."&amp;$A$2&amp;$AU$1&amp;"C"&amp;$A17))</f>
        <v>2967</v>
      </c>
      <c r="BD17" s="7">
        <f>-IF(RTD("tos.rtd",,BD$2,"."&amp;$A$2&amp;$AU$1&amp;"P"&amp;$A17)="N/A",0,RTD("tos.rtd",,BD$2,"."&amp;$A$2&amp;$AU$1&amp;"P"&amp;$A17))</f>
        <v>-782</v>
      </c>
      <c r="BE17" s="6">
        <f>IF(RTD("tos.rtd",,BE$2,"."&amp;$A$2&amp;$AW$1&amp;"C"&amp;$A17)="N/A",0,RTD("tos.rtd",,BE$2,"."&amp;$A$2&amp;$AW$1&amp;"C"&amp;$A17))</f>
        <v>1383</v>
      </c>
      <c r="BF17" s="83">
        <f>-IF(RTD("tos.rtd",,BF$2,"."&amp;$A$2&amp;$AW$1&amp;"P"&amp;$A17)="N/A",0,RTD("tos.rtd",,BF$2,"."&amp;$A$2&amp;$AW$1&amp;"P"&amp;$A17))</f>
        <v>-888</v>
      </c>
      <c r="BG17" s="32" t="e">
        <f ca="1">+Hoja2!Y18</f>
        <v>#N/A</v>
      </c>
      <c r="BH17" s="7" t="e">
        <f t="shared" ca="1" si="36"/>
        <v>#N/A</v>
      </c>
      <c r="BI17" s="8" t="e">
        <f t="shared" ref="BI17" ca="1" si="126">IF(AND(BH17&lt;0,BH16&gt;0), "Cruce -", IF(AND(BH17&gt;0,BH16&lt;0),"Cruce +", ""))</f>
        <v>#N/A</v>
      </c>
      <c r="BJ17" s="3" t="e">
        <f ca="1">IF($BP$1=1,DX17,IF(RTD("tos.rtd",,BJ$2,"."&amp;$A$2&amp;$AS$1&amp;"C"&amp;$A17)="N/A",0,RTD("tos.rtd",,BJ$2,"."&amp;$A$2&amp;$AS$1&amp;"C"&amp;$A17)))</f>
        <v>#NUM!</v>
      </c>
      <c r="BK17" s="3" t="e">
        <f ca="1">IF($BP$1=1,DY17,-IF(RTD("tos.rtd",,BK$2,"."&amp;$A$2&amp;$AS$1&amp;"P"&amp;$A17)="N/A",0,RTD("tos.rtd",,BK$2,"."&amp;$A$2&amp;$AS$1&amp;"P"&amp;$A17)))</f>
        <v>#NUM!</v>
      </c>
      <c r="BL17" s="3">
        <f ca="1">IF($BP$1=1,DZ17,IF(RTD("tos.rtd",,BL$2,"."&amp;$A$2&amp;$AU$1&amp;"C"&amp;$A17)="N/A",0,RTD("tos.rtd",,BL$2,"."&amp;$A$2&amp;$AU$1&amp;"C"&amp;$A17)))</f>
        <v>2.3605323124807846E-2</v>
      </c>
      <c r="BM17" s="3">
        <f ca="1">IF($BP$1=1,EA17,-IF(RTD("tos.rtd",,BM$2,"."&amp;$A$2&amp;$AU$1&amp;"P"&amp;$A17)="N/A",0,RTD("tos.rtd",,BM$2,"."&amp;$A$2&amp;$AU$1&amp;"P"&amp;$A17)))</f>
        <v>-2.3478089021749166E-2</v>
      </c>
      <c r="BN17" s="3">
        <f ca="1">IF($BP$1=1,EB17,IF(RTD("tos.rtd",,BN$2,"."&amp;$A$2&amp;$AW$1&amp;"C"&amp;$A17)="N/A",0,RTD("tos.rtd",,BN$2,"."&amp;$A$2&amp;$AW$1&amp;"C"&amp;$A17)))</f>
        <v>2.301897275437035E-2</v>
      </c>
      <c r="BO17" s="3">
        <f ca="1">IF($BP$1=1,EC17,-IF(RTD("tos.rtd",,BO$2,"."&amp;$A$2&amp;$AW$1&amp;"P"&amp;$A17)="N/A",0,RTD("tos.rtd",,BO$2,"."&amp;$A$2&amp;$AW$1&amp;"P"&amp;$A17)))</f>
        <v>-2.3116718864440992E-2</v>
      </c>
      <c r="BQ17" s="3" t="e">
        <f t="shared" ca="1" si="37"/>
        <v>#NUM!</v>
      </c>
      <c r="BR17" s="3" t="e">
        <f t="shared" ca="1" si="68"/>
        <v>#NUM!</v>
      </c>
      <c r="BS17" s="3">
        <f t="shared" ca="1" si="38"/>
        <v>6112101.1021412043</v>
      </c>
      <c r="BT17" s="3" t="str">
        <f t="shared" ca="1" si="68"/>
        <v/>
      </c>
      <c r="BU17" s="3">
        <f t="shared" ca="1" si="39"/>
        <v>4005504.0041823797</v>
      </c>
      <c r="BV17" s="3" t="str">
        <f t="shared" ref="BV17" ca="1" si="127">IF(AND(BU17&lt;0,BU16&gt;0), "Cruce -", IF(AND(BU17&gt;0,BU16&lt;0),"Cruce +", ""))</f>
        <v/>
      </c>
      <c r="BX17" s="3" t="e">
        <f t="shared" ca="1" si="40"/>
        <v>#NUM!</v>
      </c>
      <c r="BY17" s="3" t="e">
        <f t="shared" ca="1" si="70"/>
        <v>#NUM!</v>
      </c>
      <c r="BZ17" s="3">
        <f t="shared" ca="1" si="41"/>
        <v>16611870.225162018</v>
      </c>
      <c r="CA17" s="3" t="str">
        <f t="shared" ca="1" si="71"/>
        <v/>
      </c>
      <c r="CB17" s="3">
        <f t="shared" ca="1" si="42"/>
        <v>3634882.0814475259</v>
      </c>
      <c r="CC17" s="3" t="str">
        <f t="shared" ca="1" si="72"/>
        <v/>
      </c>
      <c r="CD17" s="3">
        <f>IF(RTD("tos.rtd",,CD$2,"."&amp;$A$2&amp;$AS$1&amp;"C"&amp;$A17)="N/A",0,RTD("tos.rtd",,CD$2,"."&amp;$A$2&amp;$AS$1&amp;"C"&amp;$A17))</f>
        <v>0.03</v>
      </c>
      <c r="CE17" s="3">
        <f>-IF(RTD("tos.rtd",,CE$2,"."&amp;$A$2&amp;$AS$1&amp;"P"&amp;$A17)="N/A",0,RTD("tos.rtd",,CE$2,"."&amp;$A$2&amp;$AS$1&amp;"P"&amp;$A17))</f>
        <v>1</v>
      </c>
      <c r="CF17" s="3">
        <f>IF(RTD("tos.rtd",,CF$2,"."&amp;$A$2&amp;$AU$1&amp;"C"&amp;$A17)="N/A",0,RTD("tos.rtd",,CF$2,"."&amp;$A$2&amp;$AU$1&amp;"C"&amp;$A17))</f>
        <v>0.46</v>
      </c>
      <c r="CG17" s="3">
        <f>-IF(RTD("tos.rtd",,CG$2,"."&amp;$A$2&amp;$AU$1&amp;"P"&amp;$A17)="N/A",0,RTD("tos.rtd",,CG$2,"."&amp;$A$2&amp;$AU$1&amp;"P"&amp;$A17))</f>
        <v>0.54</v>
      </c>
      <c r="CH17" s="3">
        <f>IF(RTD("tos.rtd",,CH$2,"."&amp;$A$2&amp;$AW$1&amp;"C"&amp;$A17)="N/A",0,RTD("tos.rtd",,CH$2,"."&amp;$A$2&amp;$AW$1&amp;"C"&amp;$A17))</f>
        <v>0.48</v>
      </c>
      <c r="CI17" s="3">
        <f>-IF(RTD("tos.rtd",,CI$2,"."&amp;$A$2&amp;$AW$1&amp;"P"&amp;$A17)="N/A",0,RTD("tos.rtd",,CI$2,"."&amp;$A$2&amp;$AW$1&amp;"P"&amp;$A17))</f>
        <v>0.52</v>
      </c>
      <c r="CK17" s="3">
        <f t="shared" si="17"/>
        <v>-43458</v>
      </c>
      <c r="CL17" s="3"/>
      <c r="CM17" s="3">
        <f t="shared" si="18"/>
        <v>36302</v>
      </c>
      <c r="CN17" s="3"/>
      <c r="CO17" s="3">
        <f t="shared" si="19"/>
        <v>18219.999999999971</v>
      </c>
      <c r="CP17" s="3">
        <f t="shared" si="43"/>
        <v>11063.999999999971</v>
      </c>
      <c r="CQ17" s="3">
        <f t="shared" si="44"/>
        <v>207200</v>
      </c>
      <c r="CR17" s="3"/>
      <c r="CS17" s="3">
        <f t="shared" si="20"/>
        <v>2185</v>
      </c>
      <c r="CT17" s="3"/>
      <c r="CU17" s="3">
        <f t="shared" si="21"/>
        <v>495</v>
      </c>
      <c r="CV17" s="3">
        <f t="shared" si="45"/>
        <v>209880</v>
      </c>
      <c r="CW17" s="3" t="e">
        <f t="shared" ca="1" si="46"/>
        <v>#NUM!</v>
      </c>
      <c r="CX17" s="85" t="e">
        <f t="shared" ca="1" si="73"/>
        <v>#NUM!</v>
      </c>
      <c r="CY17" s="3" t="e">
        <f t="shared" ca="1" si="47"/>
        <v>#NUM!</v>
      </c>
      <c r="CZ17" s="85" t="e">
        <f t="shared" ca="1" si="74"/>
        <v>#NUM!</v>
      </c>
      <c r="DA17" s="3">
        <f>IF(RTD("tos.rtd",,DA$2,"."&amp;$A$2&amp;$AS$1&amp;"C"&amp;$A17)="N/A",0,RTD("tos.rtd",,DA$2,"."&amp;$A$2&amp;$AS$1&amp;"C"&amp;$A17))</f>
        <v>0.01</v>
      </c>
      <c r="DB17" s="3">
        <f>IF(RTD("tos.rtd",,DB$2,"."&amp;$A$2&amp;$AS$1&amp;"P"&amp;$A17)="N/A",0,RTD("tos.rtd",,DB$2,"."&amp;$A$2&amp;$AS$1&amp;"P"&amp;$A17))</f>
        <v>2.0299999999999998</v>
      </c>
      <c r="DC17" s="3">
        <f>IF(RTD("tos.rtd",,DC$2,"."&amp;$A$2&amp;$AS$1&amp;"C"&amp;$A17)="N/A",0,RTD("tos.rtd",,DC$2,"."&amp;$A$2&amp;$AS$1&amp;"C"&amp;$A17))</f>
        <v>0.02</v>
      </c>
      <c r="DD17" s="3">
        <f>IF(RTD("tos.rtd",,DD$2,"."&amp;$A$2&amp;$AS$1&amp;"P"&amp;$A17)="N/A",0,RTD("tos.rtd",,DD$2,"."&amp;$A$2&amp;$AS$1&amp;"P"&amp;$A17))</f>
        <v>2.08</v>
      </c>
      <c r="DE17" s="3">
        <f>IF(RTD("tos.rtd",,DE$2,"."&amp;$A$2&amp;$AS$1&amp;"C"&amp;$A17)="N/A",0,RTD("tos.rtd",,DE$2,"."&amp;$A$2&amp;$AS$1&amp;"C"&amp;$A17))</f>
        <v>0.01</v>
      </c>
      <c r="DF17" s="3">
        <f>IF(RTD("tos.rtd",,DF$2,"."&amp;$A$2&amp;$AS$1&amp;"P"&amp;$A17)="N/A",0,RTD("tos.rtd",,DF$2,"."&amp;$A$2&amp;$AS$1&amp;"P"&amp;$A17))</f>
        <v>1.98</v>
      </c>
      <c r="DG17" s="86">
        <f t="shared" si="48"/>
        <v>2.0299999999999727</v>
      </c>
      <c r="DH17" s="3">
        <f t="shared" si="22"/>
        <v>0</v>
      </c>
      <c r="DI17" s="3">
        <f t="shared" si="49"/>
        <v>-2.4999999999999889</v>
      </c>
      <c r="DJ17" s="3">
        <f t="shared" si="50"/>
        <v>-62</v>
      </c>
      <c r="DK17" s="3">
        <f t="shared" si="51"/>
        <v>0</v>
      </c>
      <c r="DL17" s="3">
        <f t="shared" si="52"/>
        <v>-2.4999999999999889</v>
      </c>
      <c r="DM17" s="3">
        <f t="shared" si="53"/>
        <v>-62</v>
      </c>
      <c r="DN17" s="63" t="str">
        <f t="shared" si="54"/>
        <v>SELL</v>
      </c>
      <c r="DO17" s="63" t="str">
        <f t="shared" si="55"/>
        <v>UNKNOWN</v>
      </c>
      <c r="DP17" s="3">
        <f t="shared" si="56"/>
        <v>-5.0749999999999771</v>
      </c>
      <c r="DQ17" s="3">
        <f t="shared" si="57"/>
        <v>-0.62</v>
      </c>
      <c r="DR17" s="3" t="e">
        <f t="shared" ca="1" si="58"/>
        <v>#NUM!</v>
      </c>
      <c r="DS17" s="3">
        <f t="shared" si="59"/>
        <v>-1.8599999999999999</v>
      </c>
      <c r="DT17" s="3">
        <f t="shared" si="60"/>
        <v>62</v>
      </c>
      <c r="DU17" s="3">
        <f t="shared" si="61"/>
        <v>-5</v>
      </c>
      <c r="DV17" s="3">
        <f t="shared" si="62"/>
        <v>1512</v>
      </c>
      <c r="DW17" s="3">
        <f t="shared" si="23"/>
        <v>4284</v>
      </c>
      <c r="DX17" s="3" t="e">
        <f t="shared" ca="1" si="24"/>
        <v>#NUM!</v>
      </c>
      <c r="DY17" s="3" t="e">
        <f t="shared" ca="1" si="25"/>
        <v>#NUM!</v>
      </c>
      <c r="DZ17" s="3">
        <f t="shared" ca="1" si="26"/>
        <v>2.3605323124807846E-2</v>
      </c>
      <c r="EA17" s="3">
        <f t="shared" ca="1" si="27"/>
        <v>-2.3478089021749166E-2</v>
      </c>
      <c r="EB17" s="3">
        <f t="shared" ca="1" si="28"/>
        <v>2.301897275437035E-2</v>
      </c>
      <c r="EC17" s="3">
        <f t="shared" ca="1" si="29"/>
        <v>-2.3116718864440992E-2</v>
      </c>
      <c r="EE17" s="59">
        <f t="shared" si="63"/>
        <v>0.25950000000000001</v>
      </c>
      <c r="EF17" s="59">
        <f t="shared" si="30"/>
        <v>0.25</v>
      </c>
      <c r="EG17" s="59">
        <f t="shared" si="31"/>
        <v>0.18329999999999999</v>
      </c>
      <c r="EH17" s="59">
        <f t="shared" si="32"/>
        <v>0.18429999999999999</v>
      </c>
      <c r="EI17" s="59">
        <f t="shared" si="33"/>
        <v>0.188</v>
      </c>
      <c r="EJ17" s="59">
        <f t="shared" si="34"/>
        <v>0.18720000000000001</v>
      </c>
      <c r="EL17" s="3" t="str">
        <f>RTD("tos.rtd",,EL$2,"."&amp;$A$2&amp;$AS$1&amp;"C"&amp;$A17)</f>
        <v>25.95%</v>
      </c>
      <c r="EM17" s="3" t="str">
        <f>RTD("tos.rtd",,EM$2,"."&amp;$A$2&amp;$AS$1&amp;"P"&amp;$A17)</f>
        <v>0.00%</v>
      </c>
      <c r="EN17" s="3" t="str">
        <f>RTD("tos.rtd",,EN$2,"."&amp;$A$2&amp;$AU$1&amp;"C"&amp;$A17)</f>
        <v>18.33%</v>
      </c>
      <c r="EO17" s="3" t="str">
        <f>RTD("tos.rtd",,EO$2,"."&amp;$A$2&amp;$AU$1&amp;"P"&amp;$A17)</f>
        <v>18.43%</v>
      </c>
      <c r="EP17" s="3" t="str">
        <f>RTD("tos.rtd",,EP$2,"."&amp;$A$2&amp;$AW$1&amp;"C"&amp;$A17)</f>
        <v>18.80%</v>
      </c>
      <c r="EQ17" s="3" t="str">
        <f>RTD("tos.rtd",,EQ$2,"."&amp;$A$2&amp;$AW$1&amp;"P"&amp;$A17)</f>
        <v>18.72%</v>
      </c>
      <c r="ET17" s="63" t="str">
        <f t="shared" ca="1" si="64"/>
        <v>569,00.00</v>
      </c>
      <c r="EU17" s="67">
        <v>561.19000000000005</v>
      </c>
      <c r="EV17" s="67" t="s">
        <v>155</v>
      </c>
      <c r="EW17" s="67">
        <v>483.13</v>
      </c>
      <c r="EX17" s="67" t="s">
        <v>156</v>
      </c>
      <c r="EY17" s="67">
        <v>5627.25</v>
      </c>
      <c r="EZ17" s="67" t="s">
        <v>157</v>
      </c>
      <c r="FA17" s="67">
        <v>19850.5</v>
      </c>
      <c r="FB17" s="67" t="s">
        <v>158</v>
      </c>
      <c r="FC17" s="67" t="s">
        <v>159</v>
      </c>
      <c r="FD17" s="67" t="s">
        <v>160</v>
      </c>
      <c r="FE17" s="67" t="s">
        <v>161</v>
      </c>
      <c r="FF17" s="67" t="s">
        <v>162</v>
      </c>
    </row>
    <row r="18" spans="1:162" s="63" customFormat="1" ht="13.5" thickBot="1" x14ac:dyDescent="0.25">
      <c r="A18" s="2">
        <f t="shared" si="65"/>
        <v>568</v>
      </c>
      <c r="B18" s="3">
        <f t="shared" si="9"/>
        <v>5935</v>
      </c>
      <c r="C18" s="3">
        <f t="shared" si="10"/>
        <v>2621</v>
      </c>
      <c r="D18" s="3">
        <f t="shared" si="11"/>
        <v>8280</v>
      </c>
      <c r="E18" s="3">
        <f t="shared" si="12"/>
        <v>16836</v>
      </c>
      <c r="F18" s="4">
        <f t="shared" si="13"/>
        <v>5720.1227578178741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27336</v>
      </c>
      <c r="AN18" s="1">
        <v>-11727</v>
      </c>
      <c r="AO18" s="1">
        <v>568</v>
      </c>
      <c r="AP18" s="1">
        <v>376765</v>
      </c>
      <c r="AQ18" s="1">
        <v>-130927</v>
      </c>
      <c r="AR18" s="1"/>
      <c r="AS18" s="6">
        <f>IF(RTD("tos.rtd",,AS$2,"."&amp;$A$2&amp;$AS$1&amp;"C"&amp;$A18)="N/A",0,RTD("tos.rtd",,AS$2,"."&amp;$A$2&amp;$AS$1&amp;"C"&amp;$A18))</f>
        <v>5598</v>
      </c>
      <c r="AT18" s="7">
        <f>-IF(RTD("tos.rtd",,AT$2,"."&amp;$A$2&amp;$AS$1&amp;"P"&amp;$A18)="N/A",0,RTD("tos.rtd",,AT$2,"."&amp;$A$2&amp;$AS$1&amp;"P"&amp;$A18))</f>
        <v>-337</v>
      </c>
      <c r="AU18" s="6">
        <f>IF(RTD("tos.rtd",,AU$2,"."&amp;$A$2&amp;$AU$1&amp;"C"&amp;$A18)="N/A",0,RTD("tos.rtd",,AU$2,"."&amp;$A$2&amp;$AU$1&amp;"C"&amp;$A18))</f>
        <v>2587</v>
      </c>
      <c r="AV18" s="7">
        <f>-IF(RTD("tos.rtd",,AV$2,"."&amp;$A$2&amp;$AU$1&amp;"P"&amp;$A18)="N/A",0,RTD("tos.rtd",,AV$2,"."&amp;$A$2&amp;$AU$1&amp;"P"&amp;$A18))</f>
        <v>-34</v>
      </c>
      <c r="AW18" s="6">
        <f>IF(RTD("tos.rtd",,AW$2,"."&amp;$A$2&amp;$AW$1&amp;"C"&amp;$A18)="N/A",0,RTD("tos.rtd",,AW$2,"."&amp;$A$2&amp;$AW$1&amp;"C"&amp;$A18))</f>
        <v>6079</v>
      </c>
      <c r="AX18" s="7">
        <f>-IF(RTD("tos.rtd",,AX$2,"."&amp;$A$2&amp;$AW$1&amp;"P"&amp;$A18)="N/A",0,RTD("tos.rtd",,AX$2,"."&amp;$A$2&amp;$AW$1&amp;"P"&amp;$A18))</f>
        <v>-2201</v>
      </c>
      <c r="AY18" s="1">
        <f t="shared" si="66"/>
        <v>11692</v>
      </c>
      <c r="AZ18" s="8">
        <f t="shared" si="35"/>
        <v>568</v>
      </c>
      <c r="BA18" s="6">
        <f>IF(RTD("tos.rtd",,BA$2,"."&amp;$A$2&amp;$AS$1&amp;"C"&amp;$A18)="N/A",0,RTD("tos.rtd",,BA$2,"."&amp;$A$2&amp;$AS$1&amp;"C"&amp;$A18))</f>
        <v>376906</v>
      </c>
      <c r="BB18" s="7">
        <f>-IF(RTD("tos.rtd",,BB$2,"."&amp;$A$2&amp;$AS$1&amp;"P"&amp;$A18)="N/A",0,RTD("tos.rtd",,BB$2,"."&amp;$A$2&amp;$AS$1&amp;"P"&amp;$A18))</f>
        <v>-130985</v>
      </c>
      <c r="BC18" s="6">
        <f>IF(RTD("tos.rtd",,BC$2,"."&amp;$A$2&amp;$AU$1&amp;"C"&amp;$A18)="N/A",0,RTD("tos.rtd",,BC$2,"."&amp;$A$2&amp;$AU$1&amp;"C"&amp;$A18))</f>
        <v>7761</v>
      </c>
      <c r="BD18" s="7">
        <f>-IF(RTD("tos.rtd",,BD$2,"."&amp;$A$2&amp;$AU$1&amp;"P"&amp;$A18)="N/A",0,RTD("tos.rtd",,BD$2,"."&amp;$A$2&amp;$AU$1&amp;"P"&amp;$A18))</f>
        <v>-5764</v>
      </c>
      <c r="BE18" s="6">
        <f>IF(RTD("tos.rtd",,BE$2,"."&amp;$A$2&amp;$AW$1&amp;"C"&amp;$A18)="N/A",0,RTD("tos.rtd",,BE$2,"."&amp;$A$2&amp;$AW$1&amp;"C"&amp;$A18))</f>
        <v>3193</v>
      </c>
      <c r="BF18" s="83">
        <f>-IF(RTD("tos.rtd",,BF$2,"."&amp;$A$2&amp;$AW$1&amp;"P"&amp;$A18)="N/A",0,RTD("tos.rtd",,BF$2,"."&amp;$A$2&amp;$AW$1&amp;"P"&amp;$A18))</f>
        <v>-1386</v>
      </c>
      <c r="BG18" s="32" t="e">
        <f ca="1">+Hoja2!Y19</f>
        <v>#N/A</v>
      </c>
      <c r="BH18" s="7" t="e">
        <f t="shared" ca="1" si="36"/>
        <v>#N/A</v>
      </c>
      <c r="BI18" s="8" t="e">
        <f t="shared" ref="BI18" ca="1" si="128">IF(AND(BH18&lt;0,BH17&gt;0), "Cruce -", IF(AND(BH18&gt;0,BH17&lt;0),"Cruce +", ""))</f>
        <v>#N/A</v>
      </c>
      <c r="BJ18" s="3" t="e">
        <f ca="1">IF($BP$1=1,DX18,IF(RTD("tos.rtd",,BJ$2,"."&amp;$A$2&amp;$AS$1&amp;"C"&amp;$A18)="N/A",0,RTD("tos.rtd",,BJ$2,"."&amp;$A$2&amp;$AS$1&amp;"C"&amp;$A18)))</f>
        <v>#NUM!</v>
      </c>
      <c r="BK18" s="3" t="e">
        <f ca="1">IF($BP$1=1,DY18,-IF(RTD("tos.rtd",,BK$2,"."&amp;$A$2&amp;$AS$1&amp;"P"&amp;$A18)="N/A",0,RTD("tos.rtd",,BK$2,"."&amp;$A$2&amp;$AS$1&amp;"P"&amp;$A18)))</f>
        <v>#NUM!</v>
      </c>
      <c r="BL18" s="3">
        <f ca="1">IF($BP$1=1,DZ18,IF(RTD("tos.rtd",,BL$2,"."&amp;$A$2&amp;$AU$1&amp;"C"&amp;$A18)="N/A",0,RTD("tos.rtd",,BL$2,"."&amp;$A$2&amp;$AU$1&amp;"C"&amp;$A18)))</f>
        <v>2.3353550819990063E-2</v>
      </c>
      <c r="BM18" s="3">
        <f ca="1">IF($BP$1=1,EA18,-IF(RTD("tos.rtd",,BM$2,"."&amp;$A$2&amp;$AU$1&amp;"P"&amp;$A18)="N/A",0,RTD("tos.rtd",,BM$2,"."&amp;$A$2&amp;$AU$1&amp;"P"&amp;$A18)))</f>
        <v>-2.3203656481809824E-2</v>
      </c>
      <c r="BN18" s="3">
        <f ca="1">IF($BP$1=1,EB18,IF(RTD("tos.rtd",,BN$2,"."&amp;$A$2&amp;$AW$1&amp;"C"&amp;$A18)="N/A",0,RTD("tos.rtd",,BN$2,"."&amp;$A$2&amp;$AW$1&amp;"C"&amp;$A18)))</f>
        <v>2.2789212451146557E-2</v>
      </c>
      <c r="BO18" s="3">
        <f ca="1">IF($BP$1=1,EC18,-IF(RTD("tos.rtd",,BO$2,"."&amp;$A$2&amp;$AW$1&amp;"P"&amp;$A18)="N/A",0,RTD("tos.rtd",,BO$2,"."&amp;$A$2&amp;$AW$1&amp;"P"&amp;$A18)))</f>
        <v>-2.290956375174721E-2</v>
      </c>
      <c r="BQ18" s="3" t="e">
        <f t="shared" ca="1" si="37"/>
        <v>#NUM!</v>
      </c>
      <c r="BR18" s="3" t="e">
        <f t="shared" ca="1" si="68"/>
        <v>#NUM!</v>
      </c>
      <c r="BS18" s="3">
        <f t="shared" ca="1" si="38"/>
        <v>19167303.454880401</v>
      </c>
      <c r="BT18" s="3" t="str">
        <f t="shared" ca="1" si="68"/>
        <v/>
      </c>
      <c r="BU18" s="3">
        <f t="shared" ca="1" si="39"/>
        <v>28323936.056141935</v>
      </c>
      <c r="BV18" s="3" t="str">
        <f t="shared" ref="BV18" ca="1" si="129">IF(AND(BU18&lt;0,BU17&gt;0), "Cruce -", IF(AND(BU18&gt;0,BU17&lt;0),"Cruce +", ""))</f>
        <v/>
      </c>
      <c r="BX18" s="3" t="e">
        <f t="shared" ca="1" si="40"/>
        <v>#NUM!</v>
      </c>
      <c r="BY18" s="3" t="e">
        <f t="shared" ca="1" si="70"/>
        <v>#NUM!</v>
      </c>
      <c r="BZ18" s="3">
        <f t="shared" ca="1" si="41"/>
        <v>15269443.319114737</v>
      </c>
      <c r="CA18" s="3" t="str">
        <f t="shared" ca="1" si="71"/>
        <v/>
      </c>
      <c r="CB18" s="3">
        <f t="shared" ca="1" si="42"/>
        <v>13183929.567049593</v>
      </c>
      <c r="CC18" s="3" t="str">
        <f t="shared" ca="1" si="72"/>
        <v/>
      </c>
      <c r="CD18" s="3">
        <f>IF(RTD("tos.rtd",,CD$2,"."&amp;$A$2&amp;$AS$1&amp;"C"&amp;$A18)="N/A",0,RTD("tos.rtd",,CD$2,"."&amp;$A$2&amp;$AS$1&amp;"C"&amp;$A18))</f>
        <v>0.06</v>
      </c>
      <c r="CE18" s="3">
        <f>-IF(RTD("tos.rtd",,CE$2,"."&amp;$A$2&amp;$AS$1&amp;"P"&amp;$A18)="N/A",0,RTD("tos.rtd",,CE$2,"."&amp;$A$2&amp;$AS$1&amp;"P"&amp;$A18))</f>
        <v>1</v>
      </c>
      <c r="CF18" s="3">
        <f>IF(RTD("tos.rtd",,CF$2,"."&amp;$A$2&amp;$AU$1&amp;"C"&amp;$A18)="N/A",0,RTD("tos.rtd",,CF$2,"."&amp;$A$2&amp;$AU$1&amp;"C"&amp;$A18))</f>
        <v>0.49</v>
      </c>
      <c r="CG18" s="3">
        <f>-IF(RTD("tos.rtd",,CG$2,"."&amp;$A$2&amp;$AU$1&amp;"P"&amp;$A18)="N/A",0,RTD("tos.rtd",,CG$2,"."&amp;$A$2&amp;$AU$1&amp;"P"&amp;$A18))</f>
        <v>0.51</v>
      </c>
      <c r="CH18" s="3">
        <f>IF(RTD("tos.rtd",,CH$2,"."&amp;$A$2&amp;$AW$1&amp;"C"&amp;$A18)="N/A",0,RTD("tos.rtd",,CH$2,"."&amp;$A$2&amp;$AW$1&amp;"C"&amp;$A18))</f>
        <v>0.5</v>
      </c>
      <c r="CI18" s="3">
        <f>-IF(RTD("tos.rtd",,CI$2,"."&amp;$A$2&amp;$AW$1&amp;"P"&amp;$A18)="N/A",0,RTD("tos.rtd",,CI$2,"."&amp;$A$2&amp;$AW$1&amp;"P"&amp;$A18))</f>
        <v>0.5</v>
      </c>
      <c r="CK18" s="3">
        <f t="shared" si="17"/>
        <v>-112</v>
      </c>
      <c r="CL18" s="3"/>
      <c r="CM18" s="3">
        <f t="shared" si="18"/>
        <v>125028.99999999999</v>
      </c>
      <c r="CN18" s="3"/>
      <c r="CO18" s="3">
        <f t="shared" si="19"/>
        <v>193900</v>
      </c>
      <c r="CP18" s="3">
        <f t="shared" si="43"/>
        <v>318817</v>
      </c>
      <c r="CQ18" s="3">
        <f t="shared" si="44"/>
        <v>245921</v>
      </c>
      <c r="CR18" s="3"/>
      <c r="CS18" s="3">
        <f t="shared" si="20"/>
        <v>1997</v>
      </c>
      <c r="CT18" s="3"/>
      <c r="CU18" s="3">
        <f t="shared" si="21"/>
        <v>1807</v>
      </c>
      <c r="CV18" s="3">
        <f t="shared" si="45"/>
        <v>249725</v>
      </c>
      <c r="CW18" s="3" t="e">
        <f t="shared" ca="1" si="46"/>
        <v>#NUM!</v>
      </c>
      <c r="CX18" s="85" t="e">
        <f t="shared" ca="1" si="73"/>
        <v>#NUM!</v>
      </c>
      <c r="CY18" s="3" t="e">
        <f t="shared" ca="1" si="47"/>
        <v>#NUM!</v>
      </c>
      <c r="CZ18" s="85" t="e">
        <f t="shared" ca="1" si="74"/>
        <v>#NUM!</v>
      </c>
      <c r="DA18" s="3">
        <f>IF(RTD("tos.rtd",,DA$2,"."&amp;$A$2&amp;$AS$1&amp;"C"&amp;$A18)="N/A",0,RTD("tos.rtd",,DA$2,"."&amp;$A$2&amp;$AS$1&amp;"C"&amp;$A18))</f>
        <v>0.02</v>
      </c>
      <c r="DB18" s="3">
        <f>IF(RTD("tos.rtd",,DB$2,"."&amp;$A$2&amp;$AS$1&amp;"P"&amp;$A18)="N/A",0,RTD("tos.rtd",,DB$2,"."&amp;$A$2&amp;$AS$1&amp;"P"&amp;$A18))</f>
        <v>0.99</v>
      </c>
      <c r="DC18" s="3">
        <f>IF(RTD("tos.rtd",,DC$2,"."&amp;$A$2&amp;$AS$1&amp;"C"&amp;$A18)="N/A",0,RTD("tos.rtd",,DC$2,"."&amp;$A$2&amp;$AS$1&amp;"C"&amp;$A18))</f>
        <v>0.02</v>
      </c>
      <c r="DD18" s="3">
        <f>IF(RTD("tos.rtd",,DD$2,"."&amp;$A$2&amp;$AS$1&amp;"P"&amp;$A18)="N/A",0,RTD("tos.rtd",,DD$2,"."&amp;$A$2&amp;$AS$1&amp;"P"&amp;$A18))</f>
        <v>1.0900000000000001</v>
      </c>
      <c r="DE18" s="3">
        <f>IF(RTD("tos.rtd",,DE$2,"."&amp;$A$2&amp;$AS$1&amp;"C"&amp;$A18)="N/A",0,RTD("tos.rtd",,DE$2,"."&amp;$A$2&amp;$AS$1&amp;"C"&amp;$A18))</f>
        <v>0.01</v>
      </c>
      <c r="DF18" s="3">
        <f>IF(RTD("tos.rtd",,DF$2,"."&amp;$A$2&amp;$AS$1&amp;"P"&amp;$A18)="N/A",0,RTD("tos.rtd",,DF$2,"."&amp;$A$2&amp;$AS$1&amp;"P"&amp;$A18))</f>
        <v>0.97</v>
      </c>
      <c r="DG18" s="86">
        <f t="shared" si="48"/>
        <v>1.0299999999999727</v>
      </c>
      <c r="DH18" s="3">
        <f t="shared" si="22"/>
        <v>141</v>
      </c>
      <c r="DI18" s="3">
        <f t="shared" si="49"/>
        <v>-9.6666666666666661</v>
      </c>
      <c r="DJ18" s="3">
        <f t="shared" si="50"/>
        <v>141</v>
      </c>
      <c r="DK18" s="3">
        <f t="shared" si="51"/>
        <v>58</v>
      </c>
      <c r="DL18" s="3">
        <f t="shared" si="52"/>
        <v>131.33333333333334</v>
      </c>
      <c r="DM18" s="3">
        <f t="shared" si="53"/>
        <v>199</v>
      </c>
      <c r="DN18" s="63" t="str">
        <f t="shared" si="54"/>
        <v>BUY</v>
      </c>
      <c r="DO18" s="63" t="str">
        <f t="shared" si="55"/>
        <v>SELL</v>
      </c>
      <c r="DP18" s="3">
        <f t="shared" si="56"/>
        <v>-6.7499999999999982</v>
      </c>
      <c r="DQ18" s="3">
        <f t="shared" si="57"/>
        <v>60.24</v>
      </c>
      <c r="DR18" s="3" t="e">
        <f t="shared" ca="1" si="58"/>
        <v>#NUM!</v>
      </c>
      <c r="DS18" s="3">
        <f t="shared" si="59"/>
        <v>66.459999999999994</v>
      </c>
      <c r="DT18" s="3">
        <f t="shared" si="60"/>
        <v>141</v>
      </c>
      <c r="DU18" s="3">
        <f t="shared" si="61"/>
        <v>-58</v>
      </c>
      <c r="DV18" s="3">
        <f t="shared" si="62"/>
        <v>27477</v>
      </c>
      <c r="DW18" s="3">
        <f t="shared" si="23"/>
        <v>-11669</v>
      </c>
      <c r="DX18" s="3" t="e">
        <f t="shared" ca="1" si="24"/>
        <v>#NUM!</v>
      </c>
      <c r="DY18" s="3" t="e">
        <f t="shared" ca="1" si="25"/>
        <v>#NUM!</v>
      </c>
      <c r="DZ18" s="3">
        <f t="shared" ca="1" si="26"/>
        <v>2.3353550819990063E-2</v>
      </c>
      <c r="EA18" s="3">
        <f t="shared" ca="1" si="27"/>
        <v>-2.3203656481809824E-2</v>
      </c>
      <c r="EB18" s="3">
        <f t="shared" ca="1" si="28"/>
        <v>2.2789212451146557E-2</v>
      </c>
      <c r="EC18" s="3">
        <f t="shared" ca="1" si="29"/>
        <v>-2.290956375174721E-2</v>
      </c>
      <c r="EE18" s="59">
        <f t="shared" si="63"/>
        <v>0.15060000000000001</v>
      </c>
      <c r="EF18" s="59">
        <f t="shared" si="30"/>
        <v>0.25</v>
      </c>
      <c r="EG18" s="59">
        <f t="shared" si="31"/>
        <v>0.1857</v>
      </c>
      <c r="EH18" s="59">
        <f t="shared" si="32"/>
        <v>0.18690000000000001</v>
      </c>
      <c r="EI18" s="59">
        <f t="shared" si="33"/>
        <v>0.1903</v>
      </c>
      <c r="EJ18" s="59">
        <f t="shared" si="34"/>
        <v>0.1893</v>
      </c>
      <c r="EL18" s="3" t="str">
        <f>RTD("tos.rtd",,EL$2,"."&amp;$A$2&amp;$AS$1&amp;"C"&amp;$A18)</f>
        <v>15.06%</v>
      </c>
      <c r="EM18" s="3" t="str">
        <f>RTD("tos.rtd",,EM$2,"."&amp;$A$2&amp;$AS$1&amp;"P"&amp;$A18)</f>
        <v>0.00%</v>
      </c>
      <c r="EN18" s="3" t="str">
        <f>RTD("tos.rtd",,EN$2,"."&amp;$A$2&amp;$AU$1&amp;"C"&amp;$A18)</f>
        <v>18.57%</v>
      </c>
      <c r="EO18" s="3" t="str">
        <f>RTD("tos.rtd",,EO$2,"."&amp;$A$2&amp;$AU$1&amp;"P"&amp;$A18)</f>
        <v>18.69%</v>
      </c>
      <c r="EP18" s="3" t="str">
        <f>RTD("tos.rtd",,EP$2,"."&amp;$A$2&amp;$AW$1&amp;"C"&amp;$A18)</f>
        <v>19.03%</v>
      </c>
      <c r="EQ18" s="3" t="str">
        <f>RTD("tos.rtd",,EQ$2,"."&amp;$A$2&amp;$AW$1&amp;"P"&amp;$A18)</f>
        <v>18.93%</v>
      </c>
      <c r="ET18" s="63" t="str">
        <f t="shared" ca="1" si="64"/>
        <v>568,00.00</v>
      </c>
      <c r="EU18" s="67">
        <v>560.92999999999995</v>
      </c>
      <c r="EV18" s="67" t="s">
        <v>163</v>
      </c>
      <c r="EW18" s="67">
        <v>482.88</v>
      </c>
      <c r="EX18" s="67" t="s">
        <v>164</v>
      </c>
      <c r="EY18" s="67">
        <v>5624.75</v>
      </c>
      <c r="EZ18" s="67" t="s">
        <v>165</v>
      </c>
      <c r="FA18" s="67">
        <v>19841</v>
      </c>
      <c r="FB18" s="67" t="s">
        <v>166</v>
      </c>
      <c r="FC18" s="67" t="s">
        <v>167</v>
      </c>
      <c r="FD18" s="67" t="s">
        <v>168</v>
      </c>
      <c r="FE18" s="67" t="s">
        <v>169</v>
      </c>
      <c r="FF18" s="67" t="s">
        <v>170</v>
      </c>
    </row>
    <row r="19" spans="1:162" s="63" customFormat="1" ht="13.5" thickBot="1" x14ac:dyDescent="0.25">
      <c r="A19" s="2">
        <f t="shared" si="65"/>
        <v>567</v>
      </c>
      <c r="B19" s="3">
        <f t="shared" si="9"/>
        <v>4803</v>
      </c>
      <c r="C19" s="3">
        <f t="shared" si="10"/>
        <v>2664</v>
      </c>
      <c r="D19" s="3">
        <f t="shared" si="11"/>
        <v>5835</v>
      </c>
      <c r="E19" s="3">
        <f t="shared" si="12"/>
        <v>13302</v>
      </c>
      <c r="F19" s="4">
        <f t="shared" si="13"/>
        <v>5710.0521191597436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-1689</v>
      </c>
      <c r="AN19" s="1">
        <v>1085</v>
      </c>
      <c r="AO19" s="1">
        <v>567</v>
      </c>
      <c r="AP19" s="1">
        <v>392692</v>
      </c>
      <c r="AQ19" s="1">
        <v>-239669</v>
      </c>
      <c r="AR19" s="1"/>
      <c r="AS19" s="6">
        <f>IF(RTD("tos.rtd",,AS$2,"."&amp;$A$2&amp;$AS$1&amp;"C"&amp;$A19)="N/A",0,RTD("tos.rtd",,AS$2,"."&amp;$A$2&amp;$AS$1&amp;"C"&amp;$A19))</f>
        <v>4572</v>
      </c>
      <c r="AT19" s="7">
        <f>-IF(RTD("tos.rtd",,AT$2,"."&amp;$A$2&amp;$AS$1&amp;"P"&amp;$A19)="N/A",0,RTD("tos.rtd",,AT$2,"."&amp;$A$2&amp;$AS$1&amp;"P"&amp;$A19))</f>
        <v>-231</v>
      </c>
      <c r="AU19" s="6">
        <f>IF(RTD("tos.rtd",,AU$2,"."&amp;$A$2&amp;$AU$1&amp;"C"&amp;$A19)="N/A",0,RTD("tos.rtd",,AU$2,"."&amp;$A$2&amp;$AU$1&amp;"C"&amp;$A19))</f>
        <v>2615</v>
      </c>
      <c r="AV19" s="7">
        <f>-IF(RTD("tos.rtd",,AV$2,"."&amp;$A$2&amp;$AU$1&amp;"P"&amp;$A19)="N/A",0,RTD("tos.rtd",,AV$2,"."&amp;$A$2&amp;$AU$1&amp;"P"&amp;$A19))</f>
        <v>-49</v>
      </c>
      <c r="AW19" s="6">
        <f>IF(RTD("tos.rtd",,AW$2,"."&amp;$A$2&amp;$AW$1&amp;"C"&amp;$A19)="N/A",0,RTD("tos.rtd",,AW$2,"."&amp;$A$2&amp;$AW$1&amp;"C"&amp;$A19))</f>
        <v>3532</v>
      </c>
      <c r="AX19" s="7">
        <f>-IF(RTD("tos.rtd",,AX$2,"."&amp;$A$2&amp;$AW$1&amp;"P"&amp;$A19)="N/A",0,RTD("tos.rtd",,AX$2,"."&amp;$A$2&amp;$AW$1&amp;"P"&amp;$A19))</f>
        <v>-2303</v>
      </c>
      <c r="AY19" s="1">
        <f t="shared" si="66"/>
        <v>8136</v>
      </c>
      <c r="AZ19" s="8">
        <f t="shared" si="35"/>
        <v>567</v>
      </c>
      <c r="BA19" s="6">
        <f>IF(RTD("tos.rtd",,BA$2,"."&amp;$A$2&amp;$AS$1&amp;"C"&amp;$A19)="N/A",0,RTD("tos.rtd",,BA$2,"."&amp;$A$2&amp;$AS$1&amp;"C"&amp;$A19))</f>
        <v>393544</v>
      </c>
      <c r="BB19" s="7">
        <f>-IF(RTD("tos.rtd",,BB$2,"."&amp;$A$2&amp;$AS$1&amp;"P"&amp;$A19)="N/A",0,RTD("tos.rtd",,BB$2,"."&amp;$A$2&amp;$AS$1&amp;"P"&amp;$A19))</f>
        <v>-239831</v>
      </c>
      <c r="BC19" s="6">
        <f>IF(RTD("tos.rtd",,BC$2,"."&amp;$A$2&amp;$AU$1&amp;"C"&amp;$A19)="N/A",0,RTD("tos.rtd",,BC$2,"."&amp;$A$2&amp;$AU$1&amp;"C"&amp;$A19))</f>
        <v>9294</v>
      </c>
      <c r="BD19" s="7">
        <f>-IF(RTD("tos.rtd",,BD$2,"."&amp;$A$2&amp;$AU$1&amp;"P"&amp;$A19)="N/A",0,RTD("tos.rtd",,BD$2,"."&amp;$A$2&amp;$AU$1&amp;"P"&amp;$A19))</f>
        <v>-8952</v>
      </c>
      <c r="BE19" s="6">
        <f>IF(RTD("tos.rtd",,BE$2,"."&amp;$A$2&amp;$AW$1&amp;"C"&amp;$A19)="N/A",0,RTD("tos.rtd",,BE$2,"."&amp;$A$2&amp;$AW$1&amp;"C"&amp;$A19))</f>
        <v>2051</v>
      </c>
      <c r="BF19" s="83">
        <f>-IF(RTD("tos.rtd",,BF$2,"."&amp;$A$2&amp;$AW$1&amp;"P"&amp;$A19)="N/A",0,RTD("tos.rtd",,BF$2,"."&amp;$A$2&amp;$AW$1&amp;"P"&amp;$A19))</f>
        <v>-1910</v>
      </c>
      <c r="BG19" s="32" t="e">
        <f ca="1">+Hoja2!Y20</f>
        <v>#N/A</v>
      </c>
      <c r="BH19" s="7" t="e">
        <f t="shared" ca="1" si="36"/>
        <v>#N/A</v>
      </c>
      <c r="BI19" s="8" t="e">
        <f t="shared" ref="BI19" ca="1" si="130">IF(AND(BH19&lt;0,BH18&gt;0), "Cruce -", IF(AND(BH19&gt;0,BH18&lt;0),"Cruce +", ""))</f>
        <v>#N/A</v>
      </c>
      <c r="BJ19" s="3" t="e">
        <f ca="1">IF($BP$1=1,DX19,IF(RTD("tos.rtd",,BJ$2,"."&amp;$A$2&amp;$AS$1&amp;"C"&amp;$A19)="N/A",0,RTD("tos.rtd",,BJ$2,"."&amp;$A$2&amp;$AS$1&amp;"C"&amp;$A19)))</f>
        <v>#NUM!</v>
      </c>
      <c r="BK19" s="3" t="e">
        <f ca="1">IF($BP$1=1,DY19,-IF(RTD("tos.rtd",,BK$2,"."&amp;$A$2&amp;$AS$1&amp;"P"&amp;$A19)="N/A",0,RTD("tos.rtd",,BK$2,"."&amp;$A$2&amp;$AS$1&amp;"P"&amp;$A19)))</f>
        <v>#NUM!</v>
      </c>
      <c r="BL19" s="3">
        <f ca="1">IF($BP$1=1,DZ19,IF(RTD("tos.rtd",,BL$2,"."&amp;$A$2&amp;$AU$1&amp;"C"&amp;$A19)="N/A",0,RTD("tos.rtd",,BL$2,"."&amp;$A$2&amp;$AU$1&amp;"C"&amp;$A19)))</f>
        <v>2.297907164422637E-2</v>
      </c>
      <c r="BM19" s="3">
        <f ca="1">IF($BP$1=1,EA19,-IF(RTD("tos.rtd",,BM$2,"."&amp;$A$2&amp;$AU$1&amp;"P"&amp;$A19)="N/A",0,RTD("tos.rtd",,BM$2,"."&amp;$A$2&amp;$AU$1&amp;"P"&amp;$A19)))</f>
        <v>-2.2869981439696097E-2</v>
      </c>
      <c r="BN19" s="3">
        <f ca="1">IF($BP$1=1,EB19,IF(RTD("tos.rtd",,BN$2,"."&amp;$A$2&amp;$AW$1&amp;"C"&amp;$A19)="N/A",0,RTD("tos.rtd",,BN$2,"."&amp;$A$2&amp;$AW$1&amp;"C"&amp;$A19)))</f>
        <v>2.250201979099338E-2</v>
      </c>
      <c r="BO19" s="3">
        <f ca="1">IF($BP$1=1,EC19,-IF(RTD("tos.rtd",,BO$2,"."&amp;$A$2&amp;$AW$1&amp;"P"&amp;$A19)="N/A",0,RTD("tos.rtd",,BO$2,"."&amp;$A$2&amp;$AW$1&amp;"P"&amp;$A19)))</f>
        <v>-2.2643044485587235E-2</v>
      </c>
      <c r="BQ19" s="3" t="e">
        <f t="shared" ca="1" si="37"/>
        <v>#NUM!</v>
      </c>
      <c r="BR19" s="3" t="e">
        <f t="shared" ca="1" si="68"/>
        <v>#NUM!</v>
      </c>
      <c r="BS19" s="3">
        <f t="shared" ca="1" si="38"/>
        <v>18956085.547536008</v>
      </c>
      <c r="BT19" s="3" t="str">
        <f t="shared" ca="1" si="68"/>
        <v/>
      </c>
      <c r="BU19" s="3">
        <f t="shared" ca="1" si="39"/>
        <v>8785429.7070340272</v>
      </c>
      <c r="BV19" s="3" t="str">
        <f t="shared" ref="BV19" ca="1" si="131">IF(AND(BU19&lt;0,BU18&gt;0), "Cruce -", IF(AND(BU19&gt;0,BU18&lt;0),"Cruce +", ""))</f>
        <v/>
      </c>
      <c r="BX19" s="3" t="e">
        <f t="shared" ca="1" si="40"/>
        <v>#NUM!</v>
      </c>
      <c r="BY19" s="3" t="e">
        <f t="shared" ca="1" si="70"/>
        <v>#NUM!</v>
      </c>
      <c r="BZ19" s="3">
        <f t="shared" ca="1" si="41"/>
        <v>2840189.1287025735</v>
      </c>
      <c r="CA19" s="3" t="str">
        <f t="shared" ca="1" si="71"/>
        <v/>
      </c>
      <c r="CB19" s="3">
        <f t="shared" ca="1" si="42"/>
        <v>933321.2713711001</v>
      </c>
      <c r="CC19" s="3" t="str">
        <f t="shared" ca="1" si="72"/>
        <v/>
      </c>
      <c r="CD19" s="3">
        <f>IF(RTD("tos.rtd",,CD$2,"."&amp;$A$2&amp;$AS$1&amp;"C"&amp;$A19)="N/A",0,RTD("tos.rtd",,CD$2,"."&amp;$A$2&amp;$AS$1&amp;"C"&amp;$A19))</f>
        <v>0.48</v>
      </c>
      <c r="CE19" s="3">
        <f>-IF(RTD("tos.rtd",,CE$2,"."&amp;$A$2&amp;$AS$1&amp;"P"&amp;$A19)="N/A",0,RTD("tos.rtd",,CE$2,"."&amp;$A$2&amp;$AS$1&amp;"P"&amp;$A19))</f>
        <v>0.52</v>
      </c>
      <c r="CF19" s="3">
        <f>IF(RTD("tos.rtd",,CF$2,"."&amp;$A$2&amp;$AU$1&amp;"C"&amp;$A19)="N/A",0,RTD("tos.rtd",,CF$2,"."&amp;$A$2&amp;$AU$1&amp;"C"&amp;$A19))</f>
        <v>0.51</v>
      </c>
      <c r="CG19" s="3">
        <f>-IF(RTD("tos.rtd",,CG$2,"."&amp;$A$2&amp;$AU$1&amp;"P"&amp;$A19)="N/A",0,RTD("tos.rtd",,CG$2,"."&amp;$A$2&amp;$AU$1&amp;"P"&amp;$A19))</f>
        <v>0.49</v>
      </c>
      <c r="CH19" s="3">
        <f>IF(RTD("tos.rtd",,CH$2,"."&amp;$A$2&amp;$AW$1&amp;"C"&amp;$A19)="N/A",0,RTD("tos.rtd",,CH$2,"."&amp;$A$2&amp;$AW$1&amp;"C"&amp;$A19))</f>
        <v>0.52</v>
      </c>
      <c r="CI19" s="3">
        <f>-IF(RTD("tos.rtd",,CI$2,"."&amp;$A$2&amp;$AW$1&amp;"P"&amp;$A19)="N/A",0,RTD("tos.rtd",,CI$2,"."&amp;$A$2&amp;$AW$1&amp;"P"&amp;$A19))</f>
        <v>0.48</v>
      </c>
      <c r="CK19" s="3">
        <f t="shared" si="17"/>
        <v>207444</v>
      </c>
      <c r="CL19" s="3"/>
      <c r="CM19" s="3">
        <f t="shared" si="18"/>
        <v>130964</v>
      </c>
      <c r="CN19" s="3"/>
      <c r="CO19" s="3">
        <f t="shared" si="19"/>
        <v>73120</v>
      </c>
      <c r="CP19" s="3">
        <f t="shared" si="43"/>
        <v>411528</v>
      </c>
      <c r="CQ19" s="3">
        <f t="shared" si="44"/>
        <v>153713</v>
      </c>
      <c r="CR19" s="3"/>
      <c r="CS19" s="3">
        <f t="shared" si="20"/>
        <v>342</v>
      </c>
      <c r="CT19" s="3"/>
      <c r="CU19" s="3">
        <f t="shared" si="21"/>
        <v>141</v>
      </c>
      <c r="CV19" s="3">
        <f t="shared" si="45"/>
        <v>154196</v>
      </c>
      <c r="CW19" s="3" t="e">
        <f t="shared" ca="1" si="46"/>
        <v>#NUM!</v>
      </c>
      <c r="CX19" s="85" t="e">
        <f t="shared" ca="1" si="73"/>
        <v>#NUM!</v>
      </c>
      <c r="CY19" s="3" t="e">
        <f t="shared" ca="1" si="47"/>
        <v>#NUM!</v>
      </c>
      <c r="CZ19" s="85" t="e">
        <f t="shared" ca="1" si="74"/>
        <v>#NUM!</v>
      </c>
      <c r="DA19" s="3">
        <f>IF(RTD("tos.rtd",,DA$2,"."&amp;$A$2&amp;$AS$1&amp;"C"&amp;$A19)="N/A",0,RTD("tos.rtd",,DA$2,"."&amp;$A$2&amp;$AS$1&amp;"C"&amp;$A19))</f>
        <v>0.21</v>
      </c>
      <c r="DB19" s="3">
        <f>IF(RTD("tos.rtd",,DB$2,"."&amp;$A$2&amp;$AS$1&amp;"P"&amp;$A19)="N/A",0,RTD("tos.rtd",,DB$2,"."&amp;$A$2&amp;$AS$1&amp;"P"&amp;$A19))</f>
        <v>0.25</v>
      </c>
      <c r="DC19" s="3">
        <f>IF(RTD("tos.rtd",,DC$2,"."&amp;$A$2&amp;$AS$1&amp;"C"&amp;$A19)="N/A",0,RTD("tos.rtd",,DC$2,"."&amp;$A$2&amp;$AS$1&amp;"C"&amp;$A19))</f>
        <v>0.24</v>
      </c>
      <c r="DD19" s="3">
        <f>IF(RTD("tos.rtd",,DD$2,"."&amp;$A$2&amp;$AS$1&amp;"P"&amp;$A19)="N/A",0,RTD("tos.rtd",,DD$2,"."&amp;$A$2&amp;$AS$1&amp;"P"&amp;$A19))</f>
        <v>0.26</v>
      </c>
      <c r="DE19" s="3">
        <f>IF(RTD("tos.rtd",,DE$2,"."&amp;$A$2&amp;$AS$1&amp;"C"&amp;$A19)="N/A",0,RTD("tos.rtd",,DE$2,"."&amp;$A$2&amp;$AS$1&amp;"C"&amp;$A19))</f>
        <v>0.22</v>
      </c>
      <c r="DF19" s="3">
        <f>IF(RTD("tos.rtd",,DF$2,"."&amp;$A$2&amp;$AS$1&amp;"P"&amp;$A19)="N/A",0,RTD("tos.rtd",,DF$2,"."&amp;$A$2&amp;$AS$1&amp;"P"&amp;$A19))</f>
        <v>0.24</v>
      </c>
      <c r="DG19" s="86">
        <f t="shared" si="48"/>
        <v>2.9999999999972715E-2</v>
      </c>
      <c r="DH19" s="3">
        <f t="shared" si="22"/>
        <v>-426.00000000000057</v>
      </c>
      <c r="DI19" s="3">
        <f t="shared" si="49"/>
        <v>-81</v>
      </c>
      <c r="DJ19" s="3">
        <f t="shared" si="50"/>
        <v>-852</v>
      </c>
      <c r="DK19" s="3">
        <f t="shared" si="51"/>
        <v>0</v>
      </c>
      <c r="DL19" s="3">
        <f t="shared" si="52"/>
        <v>-507.00000000000057</v>
      </c>
      <c r="DM19" s="3">
        <f t="shared" si="53"/>
        <v>-852</v>
      </c>
      <c r="DN19" s="63" t="str">
        <f t="shared" si="54"/>
        <v>SELL</v>
      </c>
      <c r="DO19" s="63" t="str">
        <f t="shared" si="55"/>
        <v>UNKNOWN</v>
      </c>
      <c r="DP19" s="3">
        <f t="shared" si="56"/>
        <v>-109.71000000000012</v>
      </c>
      <c r="DQ19" s="3">
        <f t="shared" si="57"/>
        <v>-178.92</v>
      </c>
      <c r="DR19" s="3" t="e">
        <f t="shared" ca="1" si="58"/>
        <v>#NUM!</v>
      </c>
      <c r="DS19" s="3">
        <f t="shared" si="59"/>
        <v>-408.96</v>
      </c>
      <c r="DT19" s="3">
        <f t="shared" si="60"/>
        <v>852</v>
      </c>
      <c r="DU19" s="3">
        <f t="shared" si="61"/>
        <v>-162</v>
      </c>
      <c r="DV19" s="3">
        <f t="shared" si="62"/>
        <v>-2541</v>
      </c>
      <c r="DW19" s="3">
        <f t="shared" si="23"/>
        <v>1085</v>
      </c>
      <c r="DX19" s="3" t="e">
        <f t="shared" ca="1" si="24"/>
        <v>#NUM!</v>
      </c>
      <c r="DY19" s="3" t="e">
        <f t="shared" ca="1" si="25"/>
        <v>#NUM!</v>
      </c>
      <c r="DZ19" s="3">
        <f t="shared" ca="1" si="26"/>
        <v>2.297907164422637E-2</v>
      </c>
      <c r="EA19" s="3">
        <f t="shared" ca="1" si="27"/>
        <v>-2.2869981439696097E-2</v>
      </c>
      <c r="EB19" s="3">
        <f t="shared" ca="1" si="28"/>
        <v>2.250201979099338E-2</v>
      </c>
      <c r="EC19" s="3">
        <f t="shared" ca="1" si="29"/>
        <v>-2.2643044485587235E-2</v>
      </c>
      <c r="EE19" s="59">
        <f t="shared" si="63"/>
        <v>0.14299999999999999</v>
      </c>
      <c r="EF19" s="59">
        <f t="shared" si="30"/>
        <v>0.13769999999999999</v>
      </c>
      <c r="EG19" s="59">
        <f t="shared" si="31"/>
        <v>0.1885</v>
      </c>
      <c r="EH19" s="59">
        <f t="shared" si="32"/>
        <v>0.18940000000000001</v>
      </c>
      <c r="EI19" s="59">
        <f t="shared" si="33"/>
        <v>0.1925</v>
      </c>
      <c r="EJ19" s="59">
        <f t="shared" si="34"/>
        <v>0.1913</v>
      </c>
      <c r="EL19" s="3" t="str">
        <f>RTD("tos.rtd",,EL$2,"."&amp;$A$2&amp;$AS$1&amp;"C"&amp;$A19)</f>
        <v>14.30%</v>
      </c>
      <c r="EM19" s="3" t="str">
        <f>RTD("tos.rtd",,EM$2,"."&amp;$A$2&amp;$AS$1&amp;"P"&amp;$A19)</f>
        <v>13.77%</v>
      </c>
      <c r="EN19" s="3" t="str">
        <f>RTD("tos.rtd",,EN$2,"."&amp;$A$2&amp;$AU$1&amp;"C"&amp;$A19)</f>
        <v>18.85%</v>
      </c>
      <c r="EO19" s="3" t="str">
        <f>RTD("tos.rtd",,EO$2,"."&amp;$A$2&amp;$AU$1&amp;"P"&amp;$A19)</f>
        <v>18.94%</v>
      </c>
      <c r="EP19" s="3" t="str">
        <f>RTD("tos.rtd",,EP$2,"."&amp;$A$2&amp;$AW$1&amp;"C"&amp;$A19)</f>
        <v>19.25%</v>
      </c>
      <c r="EQ19" s="3" t="str">
        <f>RTD("tos.rtd",,EQ$2,"."&amp;$A$2&amp;$AW$1&amp;"P"&amp;$A19)</f>
        <v>19.13%</v>
      </c>
      <c r="ET19" s="63" t="str">
        <f t="shared" ca="1" si="64"/>
        <v>567,00.00</v>
      </c>
      <c r="EU19" s="67">
        <v>560.9</v>
      </c>
      <c r="EV19" s="67" t="s">
        <v>171</v>
      </c>
      <c r="EW19" s="67">
        <v>482.81</v>
      </c>
      <c r="EX19" s="67" t="s">
        <v>172</v>
      </c>
      <c r="EY19" s="67">
        <v>5624</v>
      </c>
      <c r="EZ19" s="67" t="s">
        <v>173</v>
      </c>
      <c r="FA19" s="67">
        <v>19838</v>
      </c>
      <c r="FB19" s="67" t="s">
        <v>174</v>
      </c>
      <c r="FC19" s="67" t="s">
        <v>175</v>
      </c>
      <c r="FD19" s="67" t="s">
        <v>176</v>
      </c>
      <c r="FE19" s="67" t="s">
        <v>177</v>
      </c>
      <c r="FF19" s="67" t="s">
        <v>178</v>
      </c>
    </row>
    <row r="20" spans="1:162" s="63" customFormat="1" ht="13.5" thickBot="1" x14ac:dyDescent="0.25">
      <c r="A20" s="2">
        <f t="shared" si="65"/>
        <v>566</v>
      </c>
      <c r="B20" s="3">
        <f t="shared" si="9"/>
        <v>6304</v>
      </c>
      <c r="C20" s="3">
        <f t="shared" si="10"/>
        <v>1379</v>
      </c>
      <c r="D20" s="3">
        <f t="shared" si="11"/>
        <v>6544</v>
      </c>
      <c r="E20" s="3">
        <f t="shared" si="12"/>
        <v>14227</v>
      </c>
      <c r="F20" s="4">
        <f t="shared" si="13"/>
        <v>5699.981480501614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-44093</v>
      </c>
      <c r="AN20" s="1">
        <v>32521</v>
      </c>
      <c r="AO20" s="1">
        <v>566</v>
      </c>
      <c r="AP20" s="1">
        <v>351223</v>
      </c>
      <c r="AQ20" s="1">
        <v>-332531</v>
      </c>
      <c r="AR20" s="1"/>
      <c r="AS20" s="6">
        <f>IF(RTD("tos.rtd",,AS$2,"."&amp;$A$2&amp;$AS$1&amp;"C"&amp;$A20)="N/A",0,RTD("tos.rtd",,AS$2,"."&amp;$A$2&amp;$AS$1&amp;"C"&amp;$A20))</f>
        <v>5843</v>
      </c>
      <c r="AT20" s="7">
        <f>-IF(RTD("tos.rtd",,AT$2,"."&amp;$A$2&amp;$AS$1&amp;"P"&amp;$A20)="N/A",0,RTD("tos.rtd",,AT$2,"."&amp;$A$2&amp;$AS$1&amp;"P"&amp;$A20))</f>
        <v>-461</v>
      </c>
      <c r="AU20" s="6">
        <f>IF(RTD("tos.rtd",,AU$2,"."&amp;$A$2&amp;$AU$1&amp;"C"&amp;$A20)="N/A",0,RTD("tos.rtd",,AU$2,"."&amp;$A$2&amp;$AU$1&amp;"C"&amp;$A20))</f>
        <v>994</v>
      </c>
      <c r="AV20" s="7">
        <f>-IF(RTD("tos.rtd",,AV$2,"."&amp;$A$2&amp;$AU$1&amp;"P"&amp;$A20)="N/A",0,RTD("tos.rtd",,AV$2,"."&amp;$A$2&amp;$AU$1&amp;"P"&amp;$A20))</f>
        <v>-385</v>
      </c>
      <c r="AW20" s="6">
        <f>IF(RTD("tos.rtd",,AW$2,"."&amp;$A$2&amp;$AW$1&amp;"C"&amp;$A20)="N/A",0,RTD("tos.rtd",,AW$2,"."&amp;$A$2&amp;$AW$1&amp;"C"&amp;$A20))</f>
        <v>4730</v>
      </c>
      <c r="AX20" s="7">
        <f>-IF(RTD("tos.rtd",,AX$2,"."&amp;$A$2&amp;$AW$1&amp;"P"&amp;$A20)="N/A",0,RTD("tos.rtd",,AX$2,"."&amp;$A$2&amp;$AW$1&amp;"P"&amp;$A20))</f>
        <v>-1814</v>
      </c>
      <c r="AY20" s="1">
        <f t="shared" si="66"/>
        <v>8907</v>
      </c>
      <c r="AZ20" s="8">
        <f t="shared" si="35"/>
        <v>566</v>
      </c>
      <c r="BA20" s="6">
        <f>IF(RTD("tos.rtd",,BA$2,"."&amp;$A$2&amp;$AS$1&amp;"C"&amp;$A20)="N/A",0,RTD("tos.rtd",,BA$2,"."&amp;$A$2&amp;$AS$1&amp;"C"&amp;$A20))</f>
        <v>351502</v>
      </c>
      <c r="BB20" s="7">
        <f>-IF(RTD("tos.rtd",,BB$2,"."&amp;$A$2&amp;$AS$1&amp;"P"&amp;$A20)="N/A",0,RTD("tos.rtd",,BB$2,"."&amp;$A$2&amp;$AS$1&amp;"P"&amp;$A20))</f>
        <v>-332945</v>
      </c>
      <c r="BC20" s="6">
        <f>IF(RTD("tos.rtd",,BC$2,"."&amp;$A$2&amp;$AU$1&amp;"C"&amp;$A20)="N/A",0,RTD("tos.rtd",,BC$2,"."&amp;$A$2&amp;$AU$1&amp;"C"&amp;$A20))</f>
        <v>5968</v>
      </c>
      <c r="BD20" s="7">
        <f>-IF(RTD("tos.rtd",,BD$2,"."&amp;$A$2&amp;$AU$1&amp;"P"&amp;$A20)="N/A",0,RTD("tos.rtd",,BD$2,"."&amp;$A$2&amp;$AU$1&amp;"P"&amp;$A20))</f>
        <v>-6636</v>
      </c>
      <c r="BE20" s="6">
        <f>IF(RTD("tos.rtd",,BE$2,"."&amp;$A$2&amp;$AW$1&amp;"C"&amp;$A20)="N/A",0,RTD("tos.rtd",,BE$2,"."&amp;$A$2&amp;$AW$1&amp;"C"&amp;$A20))</f>
        <v>3107</v>
      </c>
      <c r="BF20" s="83">
        <f>-IF(RTD("tos.rtd",,BF$2,"."&amp;$A$2&amp;$AW$1&amp;"P"&amp;$A20)="N/A",0,RTD("tos.rtd",,BF$2,"."&amp;$A$2&amp;$AW$1&amp;"P"&amp;$A20))</f>
        <v>-2928</v>
      </c>
      <c r="BG20" s="32" t="e">
        <f ca="1">+Hoja2!Y21</f>
        <v>#N/A</v>
      </c>
      <c r="BH20" s="7" t="e">
        <f t="shared" ca="1" si="36"/>
        <v>#N/A</v>
      </c>
      <c r="BI20" s="8" t="e">
        <f t="shared" ref="BI20" ca="1" si="132">IF(AND(BH20&lt;0,BH19&gt;0), "Cruce -", IF(AND(BH20&gt;0,BH19&lt;0),"Cruce +", ""))</f>
        <v>#N/A</v>
      </c>
      <c r="BJ20" s="3" t="e">
        <f ca="1">IF($BP$1=1,DX20,IF(RTD("tos.rtd",,BJ$2,"."&amp;$A$2&amp;$AS$1&amp;"C"&amp;$A20)="N/A",0,RTD("tos.rtd",,BJ$2,"."&amp;$A$2&amp;$AS$1&amp;"C"&amp;$A20)))</f>
        <v>#NUM!</v>
      </c>
      <c r="BK20" s="3" t="e">
        <f ca="1">IF($BP$1=1,DY20,-IF(RTD("tos.rtd",,BK$2,"."&amp;$A$2&amp;$AS$1&amp;"P"&amp;$A20)="N/A",0,RTD("tos.rtd",,BK$2,"."&amp;$A$2&amp;$AS$1&amp;"P"&amp;$A20)))</f>
        <v>#NUM!</v>
      </c>
      <c r="BL20" s="3">
        <f ca="1">IF($BP$1=1,DZ20,IF(RTD("tos.rtd",,BL$2,"."&amp;$A$2&amp;$AU$1&amp;"C"&amp;$A20)="N/A",0,RTD("tos.rtd",,BL$2,"."&amp;$A$2&amp;$AU$1&amp;"C"&amp;$A20)))</f>
        <v>2.255467822762176E-2</v>
      </c>
      <c r="BM20" s="3">
        <f ca="1">IF($BP$1=1,EA20,-IF(RTD("tos.rtd",,BM$2,"."&amp;$A$2&amp;$AU$1&amp;"P"&amp;$A20)="N/A",0,RTD("tos.rtd",,BM$2,"."&amp;$A$2&amp;$AU$1&amp;"P"&amp;$A20)))</f>
        <v>-2.2473060128913203E-2</v>
      </c>
      <c r="BN20" s="3">
        <f ca="1">IF($BP$1=1,EB20,IF(RTD("tos.rtd",,BN$2,"."&amp;$A$2&amp;$AW$1&amp;"C"&amp;$A20)="N/A",0,RTD("tos.rtd",,BN$2,"."&amp;$A$2&amp;$AW$1&amp;"C"&amp;$A20)))</f>
        <v>2.215238459949561E-2</v>
      </c>
      <c r="BO20" s="3">
        <f ca="1">IF($BP$1=1,EC20,-IF(RTD("tos.rtd",,BO$2,"."&amp;$A$2&amp;$AW$1&amp;"P"&amp;$A20)="N/A",0,RTD("tos.rtd",,BO$2,"."&amp;$A$2&amp;$AW$1&amp;"P"&amp;$A20)))</f>
        <v>-2.2288694534802218E-2</v>
      </c>
      <c r="BQ20" s="3" t="e">
        <f t="shared" ca="1" si="37"/>
        <v>#NUM!</v>
      </c>
      <c r="BR20" s="3" t="e">
        <f t="shared" ca="1" si="68"/>
        <v>#NUM!</v>
      </c>
      <c r="BS20" s="3">
        <f t="shared" ca="1" si="38"/>
        <v>4425542.0878284313</v>
      </c>
      <c r="BT20" s="3" t="str">
        <f t="shared" ca="1" si="68"/>
        <v/>
      </c>
      <c r="BU20" s="3">
        <f t="shared" ca="1" si="39"/>
        <v>20685334.619144097</v>
      </c>
      <c r="BV20" s="3" t="str">
        <f t="shared" ref="BV20" ca="1" si="133">IF(AND(BU20&lt;0,BU19&gt;0), "Cruce -", IF(AND(BU20&gt;0,BU19&lt;0),"Cruce +", ""))</f>
        <v/>
      </c>
      <c r="BX20" s="3" t="e">
        <f t="shared" ca="1" si="40"/>
        <v>#NUM!</v>
      </c>
      <c r="BY20" s="3" t="e">
        <f t="shared" ca="1" si="70"/>
        <v>#NUM!</v>
      </c>
      <c r="BZ20" s="3">
        <f t="shared" ca="1" si="41"/>
        <v>-4669103.8157397509</v>
      </c>
      <c r="CA20" s="3" t="str">
        <f t="shared" ca="1" si="71"/>
        <v>Cruce -</v>
      </c>
      <c r="CB20" s="3">
        <f t="shared" ca="1" si="42"/>
        <v>1146360.3295287713</v>
      </c>
      <c r="CC20" s="3" t="str">
        <f t="shared" ca="1" si="72"/>
        <v/>
      </c>
      <c r="CD20" s="3">
        <f>IF(RTD("tos.rtd",,CD$2,"."&amp;$A$2&amp;$AS$1&amp;"C"&amp;$A20)="N/A",0,RTD("tos.rtd",,CD$2,"."&amp;$A$2&amp;$AS$1&amp;"C"&amp;$A20))</f>
        <v>0.86</v>
      </c>
      <c r="CE20" s="3">
        <f>-IF(RTD("tos.rtd",,CE$2,"."&amp;$A$2&amp;$AS$1&amp;"P"&amp;$A20)="N/A",0,RTD("tos.rtd",,CE$2,"."&amp;$A$2&amp;$AS$1&amp;"P"&amp;$A20))</f>
        <v>0.11</v>
      </c>
      <c r="CF20" s="3">
        <f>IF(RTD("tos.rtd",,CF$2,"."&amp;$A$2&amp;$AU$1&amp;"C"&amp;$A20)="N/A",0,RTD("tos.rtd",,CF$2,"."&amp;$A$2&amp;$AU$1&amp;"C"&amp;$A20))</f>
        <v>0.54</v>
      </c>
      <c r="CG20" s="3">
        <f>-IF(RTD("tos.rtd",,CG$2,"."&amp;$A$2&amp;$AU$1&amp;"P"&amp;$A20)="N/A",0,RTD("tos.rtd",,CG$2,"."&amp;$A$2&amp;$AU$1&amp;"P"&amp;$A20))</f>
        <v>0.46</v>
      </c>
      <c r="CH20" s="3">
        <f>IF(RTD("tos.rtd",,CH$2,"."&amp;$A$2&amp;$AW$1&amp;"C"&amp;$A20)="N/A",0,RTD("tos.rtd",,CH$2,"."&amp;$A$2&amp;$AW$1&amp;"C"&amp;$A20))</f>
        <v>0.54</v>
      </c>
      <c r="CI20" s="3">
        <f>-IF(RTD("tos.rtd",,CI$2,"."&amp;$A$2&amp;$AW$1&amp;"P"&amp;$A20)="N/A",0,RTD("tos.rtd",,CI$2,"."&amp;$A$2&amp;$AW$1&amp;"P"&amp;$A20))</f>
        <v>0.46</v>
      </c>
      <c r="CK20" s="3">
        <f t="shared" si="17"/>
        <v>497426.99999999994</v>
      </c>
      <c r="CL20" s="3"/>
      <c r="CM20" s="3">
        <f t="shared" si="18"/>
        <v>35966</v>
      </c>
      <c r="CN20" s="3"/>
      <c r="CO20" s="3">
        <f t="shared" si="19"/>
        <v>171976.00000000003</v>
      </c>
      <c r="CP20" s="3">
        <f t="shared" si="43"/>
        <v>705369</v>
      </c>
      <c r="CQ20" s="3">
        <f t="shared" si="44"/>
        <v>18557</v>
      </c>
      <c r="CR20" s="3"/>
      <c r="CS20" s="3">
        <f t="shared" si="20"/>
        <v>-668</v>
      </c>
      <c r="CT20" s="3"/>
      <c r="CU20" s="3">
        <f t="shared" si="21"/>
        <v>179</v>
      </c>
      <c r="CV20" s="3">
        <f t="shared" si="45"/>
        <v>18068</v>
      </c>
      <c r="CW20" s="3" t="e">
        <f t="shared" ca="1" si="46"/>
        <v>#NUM!</v>
      </c>
      <c r="CX20" s="85" t="e">
        <f t="shared" ca="1" si="73"/>
        <v>#NUM!</v>
      </c>
      <c r="CY20" s="3" t="e">
        <f t="shared" ca="1" si="47"/>
        <v>#NUM!</v>
      </c>
      <c r="CZ20" s="85" t="e">
        <f t="shared" ca="1" si="74"/>
        <v>#NUM!</v>
      </c>
      <c r="DA20" s="3">
        <f>IF(RTD("tos.rtd",,DA$2,"."&amp;$A$2&amp;$AS$1&amp;"C"&amp;$A20)="N/A",0,RTD("tos.rtd",,DA$2,"."&amp;$A$2&amp;$AS$1&amp;"C"&amp;$A20))</f>
        <v>1.02</v>
      </c>
      <c r="DB20" s="3">
        <f>IF(RTD("tos.rtd",,DB$2,"."&amp;$A$2&amp;$AS$1&amp;"P"&amp;$A20)="N/A",0,RTD("tos.rtd",,DB$2,"."&amp;$A$2&amp;$AS$1&amp;"P"&amp;$A20))</f>
        <v>0.04</v>
      </c>
      <c r="DC20" s="3">
        <f>IF(RTD("tos.rtd",,DC$2,"."&amp;$A$2&amp;$AS$1&amp;"C"&amp;$A20)="N/A",0,RTD("tos.rtd",,DC$2,"."&amp;$A$2&amp;$AS$1&amp;"C"&amp;$A20))</f>
        <v>1.08</v>
      </c>
      <c r="DD20" s="3">
        <f>IF(RTD("tos.rtd",,DD$2,"."&amp;$A$2&amp;$AS$1&amp;"P"&amp;$A20)="N/A",0,RTD("tos.rtd",,DD$2,"."&amp;$A$2&amp;$AS$1&amp;"P"&amp;$A20))</f>
        <v>0.05</v>
      </c>
      <c r="DE20" s="3">
        <f>IF(RTD("tos.rtd",,DE$2,"."&amp;$A$2&amp;$AS$1&amp;"C"&amp;$A20)="N/A",0,RTD("tos.rtd",,DE$2,"."&amp;$A$2&amp;$AS$1&amp;"C"&amp;$A20))</f>
        <v>0.99</v>
      </c>
      <c r="DF20" s="3">
        <f>IF(RTD("tos.rtd",,DF$2,"."&amp;$A$2&amp;$AS$1&amp;"P"&amp;$A20)="N/A",0,RTD("tos.rtd",,DF$2,"."&amp;$A$2&amp;$AS$1&amp;"P"&amp;$A20))</f>
        <v>0.04</v>
      </c>
      <c r="DG20" s="86">
        <f t="shared" si="48"/>
        <v>-0.97000000000002728</v>
      </c>
      <c r="DH20" s="3">
        <f t="shared" si="22"/>
        <v>93</v>
      </c>
      <c r="DI20" s="3">
        <f t="shared" si="49"/>
        <v>0</v>
      </c>
      <c r="DJ20" s="3">
        <f t="shared" si="50"/>
        <v>-279</v>
      </c>
      <c r="DK20" s="3">
        <f t="shared" si="51"/>
        <v>414</v>
      </c>
      <c r="DL20" s="3">
        <f t="shared" si="52"/>
        <v>93</v>
      </c>
      <c r="DM20" s="3">
        <f t="shared" si="53"/>
        <v>135</v>
      </c>
      <c r="DN20" s="63" t="str">
        <f t="shared" si="54"/>
        <v>SELL</v>
      </c>
      <c r="DO20" s="63" t="str">
        <f t="shared" si="55"/>
        <v>SELL</v>
      </c>
      <c r="DP20" s="3">
        <f t="shared" si="56"/>
        <v>94.86</v>
      </c>
      <c r="DQ20" s="3">
        <f t="shared" si="57"/>
        <v>-268.02</v>
      </c>
      <c r="DR20" s="3" t="e">
        <f t="shared" ca="1" si="58"/>
        <v>#NUM!</v>
      </c>
      <c r="DS20" s="3">
        <f t="shared" si="59"/>
        <v>-194.4</v>
      </c>
      <c r="DT20" s="3">
        <f t="shared" si="60"/>
        <v>279</v>
      </c>
      <c r="DU20" s="3">
        <f t="shared" si="61"/>
        <v>-414</v>
      </c>
      <c r="DV20" s="3">
        <f t="shared" si="62"/>
        <v>-44372</v>
      </c>
      <c r="DW20" s="3">
        <f t="shared" si="23"/>
        <v>32935</v>
      </c>
      <c r="DX20" s="3" t="e">
        <f t="shared" ca="1" si="24"/>
        <v>#NUM!</v>
      </c>
      <c r="DY20" s="3" t="e">
        <f t="shared" ca="1" si="25"/>
        <v>#NUM!</v>
      </c>
      <c r="DZ20" s="3">
        <f t="shared" ca="1" si="26"/>
        <v>2.255467822762176E-2</v>
      </c>
      <c r="EA20" s="3">
        <f t="shared" ca="1" si="27"/>
        <v>-2.2473060128913203E-2</v>
      </c>
      <c r="EB20" s="3">
        <f t="shared" ca="1" si="28"/>
        <v>2.215238459949561E-2</v>
      </c>
      <c r="EC20" s="3">
        <f t="shared" ca="1" si="29"/>
        <v>-2.2288694534802218E-2</v>
      </c>
      <c r="EE20" s="59">
        <f t="shared" si="63"/>
        <v>0.21029999999999999</v>
      </c>
      <c r="EF20" s="59">
        <f t="shared" si="30"/>
        <v>0.18870000000000001</v>
      </c>
      <c r="EG20" s="59">
        <f t="shared" si="31"/>
        <v>0.19120000000000001</v>
      </c>
      <c r="EH20" s="59">
        <f t="shared" si="32"/>
        <v>0.19189999999999999</v>
      </c>
      <c r="EI20" s="59">
        <f t="shared" si="33"/>
        <v>0.19470000000000001</v>
      </c>
      <c r="EJ20" s="59">
        <f t="shared" si="34"/>
        <v>0.19350000000000001</v>
      </c>
      <c r="EL20" s="3" t="str">
        <f>RTD("tos.rtd",,EL$2,"."&amp;$A$2&amp;$AS$1&amp;"C"&amp;$A20)</f>
        <v>21.03%</v>
      </c>
      <c r="EM20" s="3" t="str">
        <f>RTD("tos.rtd",,EM$2,"."&amp;$A$2&amp;$AS$1&amp;"P"&amp;$A20)</f>
        <v>18.87%</v>
      </c>
      <c r="EN20" s="3" t="str">
        <f>RTD("tos.rtd",,EN$2,"."&amp;$A$2&amp;$AU$1&amp;"C"&amp;$A20)</f>
        <v>19.12%</v>
      </c>
      <c r="EO20" s="3" t="str">
        <f>RTD("tos.rtd",,EO$2,"."&amp;$A$2&amp;$AU$1&amp;"P"&amp;$A20)</f>
        <v>19.19%</v>
      </c>
      <c r="EP20" s="3" t="str">
        <f>RTD("tos.rtd",,EP$2,"."&amp;$A$2&amp;$AW$1&amp;"C"&amp;$A20)</f>
        <v>19.47%</v>
      </c>
      <c r="EQ20" s="3" t="str">
        <f>RTD("tos.rtd",,EQ$2,"."&amp;$A$2&amp;$AW$1&amp;"P"&amp;$A20)</f>
        <v>19.35%</v>
      </c>
      <c r="ET20" s="63" t="str">
        <f t="shared" ca="1" si="64"/>
        <v>566,00.00</v>
      </c>
      <c r="EU20" s="67">
        <v>560.80999999999995</v>
      </c>
      <c r="EV20" s="67" t="s">
        <v>179</v>
      </c>
      <c r="EW20" s="67">
        <v>482.73</v>
      </c>
      <c r="EX20" s="67" t="s">
        <v>180</v>
      </c>
      <c r="EY20" s="67">
        <v>5623.25</v>
      </c>
      <c r="EZ20" s="67" t="s">
        <v>181</v>
      </c>
      <c r="FA20" s="67">
        <v>19835</v>
      </c>
      <c r="FB20" s="67" t="s">
        <v>182</v>
      </c>
      <c r="FC20" s="67" t="s">
        <v>183</v>
      </c>
      <c r="FD20" s="67" t="s">
        <v>184</v>
      </c>
      <c r="FE20" s="67" t="s">
        <v>185</v>
      </c>
      <c r="FF20" s="67" t="s">
        <v>186</v>
      </c>
    </row>
    <row r="21" spans="1:162" s="63" customFormat="1" ht="13.5" thickBot="1" x14ac:dyDescent="0.25">
      <c r="A21" s="2">
        <f t="shared" si="65"/>
        <v>565</v>
      </c>
      <c r="B21" s="33">
        <f t="shared" si="9"/>
        <v>15862</v>
      </c>
      <c r="C21" s="33">
        <f t="shared" si="10"/>
        <v>6466</v>
      </c>
      <c r="D21" s="33">
        <f t="shared" si="11"/>
        <v>29314</v>
      </c>
      <c r="E21" s="33">
        <f t="shared" si="12"/>
        <v>51642</v>
      </c>
      <c r="F21" s="34">
        <f t="shared" si="13"/>
        <v>5689.9108418434835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-1148</v>
      </c>
      <c r="AN21" s="12">
        <v>15877</v>
      </c>
      <c r="AO21" s="12">
        <v>565</v>
      </c>
      <c r="AP21" s="12">
        <v>295223</v>
      </c>
      <c r="AQ21" s="12">
        <v>-398863</v>
      </c>
      <c r="AR21" s="12"/>
      <c r="AS21" s="13">
        <f>IF(RTD("tos.rtd",,AS$2,"."&amp;$A$2&amp;$AS$1&amp;"C"&amp;$A21)="N/A",0,RTD("tos.rtd",,AS$2,"."&amp;$A$2&amp;$AS$1&amp;"C"&amp;$A21))</f>
        <v>14009</v>
      </c>
      <c r="AT21" s="29">
        <f>-IF(RTD("tos.rtd",,AT$2,"."&amp;$A$2&amp;$AS$1&amp;"P"&amp;$A21)="N/A",0,RTD("tos.rtd",,AT$2,"."&amp;$A$2&amp;$AS$1&amp;"P"&amp;$A21))</f>
        <v>-1853</v>
      </c>
      <c r="AU21" s="13">
        <f>IF(RTD("tos.rtd",,AU$2,"."&amp;$A$2&amp;$AU$1&amp;"C"&amp;$A21)="N/A",0,RTD("tos.rtd",,AU$2,"."&amp;$A$2&amp;$AU$1&amp;"C"&amp;$A21))</f>
        <v>5573</v>
      </c>
      <c r="AV21" s="29">
        <f>-IF(RTD("tos.rtd",,AV$2,"."&amp;$A$2&amp;$AU$1&amp;"P"&amp;$A21)="N/A",0,RTD("tos.rtd",,AV$2,"."&amp;$A$2&amp;$AU$1&amp;"P"&amp;$A21))</f>
        <v>-893</v>
      </c>
      <c r="AW21" s="13">
        <f>IF(RTD("tos.rtd",,AW$2,"."&amp;$A$2&amp;$AW$1&amp;"C"&amp;$A21)="N/A",0,RTD("tos.rtd",,AW$2,"."&amp;$A$2&amp;$AW$1&amp;"C"&amp;$A21))</f>
        <v>20201</v>
      </c>
      <c r="AX21" s="29">
        <f>-IF(RTD("tos.rtd",,AX$2,"."&amp;$A$2&amp;$AW$1&amp;"P"&amp;$A21)="N/A",0,RTD("tos.rtd",,AX$2,"."&amp;$A$2&amp;$AW$1&amp;"P"&amp;$A21))</f>
        <v>-9113</v>
      </c>
      <c r="AY21" s="1">
        <f t="shared" si="66"/>
        <v>27924</v>
      </c>
      <c r="AZ21" s="8">
        <f t="shared" si="35"/>
        <v>565</v>
      </c>
      <c r="BA21" s="13">
        <f>IF(RTD("tos.rtd",,BA$2,"."&amp;$A$2&amp;$AS$1&amp;"C"&amp;$A21)="N/A",0,RTD("tos.rtd",,BA$2,"."&amp;$A$2&amp;$AS$1&amp;"C"&amp;$A21))</f>
        <v>295300</v>
      </c>
      <c r="BB21" s="29">
        <f>-IF(RTD("tos.rtd",,BB$2,"."&amp;$A$2&amp;$AS$1&amp;"P"&amp;$A21)="N/A",0,RTD("tos.rtd",,BB$2,"."&amp;$A$2&amp;$AS$1&amp;"P"&amp;$A21))</f>
        <v>-399251</v>
      </c>
      <c r="BC21" s="13">
        <f>IF(RTD("tos.rtd",,BC$2,"."&amp;$A$2&amp;$AU$1&amp;"C"&amp;$A21)="N/A",0,RTD("tos.rtd",,BC$2,"."&amp;$A$2&amp;$AU$1&amp;"C"&amp;$A21))</f>
        <v>13059</v>
      </c>
      <c r="BD21" s="29">
        <f>-IF(RTD("tos.rtd",,BD$2,"."&amp;$A$2&amp;$AU$1&amp;"P"&amp;$A21)="N/A",0,RTD("tos.rtd",,BD$2,"."&amp;$A$2&amp;$AU$1&amp;"P"&amp;$A21))</f>
        <v>-13681</v>
      </c>
      <c r="BE21" s="13">
        <f>IF(RTD("tos.rtd",,BE$2,"."&amp;$A$2&amp;$AW$1&amp;"C"&amp;$A21)="N/A",0,RTD("tos.rtd",,BE$2,"."&amp;$A$2&amp;$AW$1&amp;"C"&amp;$A21))</f>
        <v>11344</v>
      </c>
      <c r="BF21" s="12">
        <f>-IF(RTD("tos.rtd",,BF$2,"."&amp;$A$2&amp;$AW$1&amp;"P"&amp;$A21)="N/A",0,RTD("tos.rtd",,BF$2,"."&amp;$A$2&amp;$AW$1&amp;"P"&amp;$A21))</f>
        <v>-8325</v>
      </c>
      <c r="BG21" s="100" t="e">
        <f ca="1">+Hoja2!Y22</f>
        <v>#N/A</v>
      </c>
      <c r="BH21" s="29" t="e">
        <f t="shared" ca="1" si="36"/>
        <v>#N/A</v>
      </c>
      <c r="BI21" s="8" t="e">
        <f t="shared" ref="BI21" ca="1" si="134">IF(AND(BH21&lt;0,BH20&gt;0), "Cruce -", IF(AND(BH21&gt;0,BH20&lt;0),"Cruce +", ""))</f>
        <v>#N/A</v>
      </c>
      <c r="BJ21" s="3" t="e">
        <f ca="1">IF($BP$1=1,DX21,IF(RTD("tos.rtd",,BJ$2,"."&amp;$A$2&amp;$AS$1&amp;"C"&amp;$A21)="N/A",0,RTD("tos.rtd",,BJ$2,"."&amp;$A$2&amp;$AS$1&amp;"C"&amp;$A21)))</f>
        <v>#NUM!</v>
      </c>
      <c r="BK21" s="3" t="e">
        <f ca="1">IF($BP$1=1,DY21,-IF(RTD("tos.rtd",,BK$2,"."&amp;$A$2&amp;$AS$1&amp;"P"&amp;$A21)="N/A",0,RTD("tos.rtd",,BK$2,"."&amp;$A$2&amp;$AS$1&amp;"P"&amp;$A21)))</f>
        <v>#NUM!</v>
      </c>
      <c r="BL21" s="3">
        <f ca="1">IF($BP$1=1,DZ21,IF(RTD("tos.rtd",,BL$2,"."&amp;$A$2&amp;$AU$1&amp;"C"&amp;$A21)="N/A",0,RTD("tos.rtd",,BL$2,"."&amp;$A$2&amp;$AU$1&amp;"C"&amp;$A21)))</f>
        <v>2.2132768532736279E-2</v>
      </c>
      <c r="BM21" s="3">
        <f ca="1">IF($BP$1=1,EA21,-IF(RTD("tos.rtd",,BM$2,"."&amp;$A$2&amp;$AU$1&amp;"P"&amp;$A21)="N/A",0,RTD("tos.rtd",,BM$2,"."&amp;$A$2&amp;$AU$1&amp;"P"&amp;$A21)))</f>
        <v>-2.2010216729790151E-2</v>
      </c>
      <c r="BN21" s="3">
        <f ca="1">IF($BP$1=1,EB21,IF(RTD("tos.rtd",,BN$2,"."&amp;$A$2&amp;$AW$1&amp;"C"&amp;$A21)="N/A",0,RTD("tos.rtd",,BN$2,"."&amp;$A$2&amp;$AW$1&amp;"C"&amp;$A21)))</f>
        <v>2.1747432708070859E-2</v>
      </c>
      <c r="BO21" s="3">
        <f ca="1">IF($BP$1=1,EC21,-IF(RTD("tos.rtd",,BO$2,"."&amp;$A$2&amp;$AW$1&amp;"P"&amp;$A21)="N/A",0,RTD("tos.rtd",,BO$2,"."&amp;$A$2&amp;$AW$1&amp;"P"&amp;$A21)))</f>
        <v>-2.1878044719176537E-2</v>
      </c>
      <c r="BQ21" s="3" t="e">
        <f t="shared" ca="1" si="37"/>
        <v>#NUM!</v>
      </c>
      <c r="BR21" s="3" t="e">
        <f t="shared" ca="1" si="68"/>
        <v>#NUM!</v>
      </c>
      <c r="BS21" s="3">
        <f t="shared" ca="1" si="38"/>
        <v>33331922.684784204</v>
      </c>
      <c r="BT21" s="3" t="str">
        <f t="shared" ca="1" si="68"/>
        <v/>
      </c>
      <c r="BU21" s="3">
        <f t="shared" ca="1" si="39"/>
        <v>77131601.095125556</v>
      </c>
      <c r="BV21" s="3" t="str">
        <f t="shared" ref="BV21" ca="1" si="135">IF(AND(BU21&lt;0,BU20&gt;0), "Cruce -", IF(AND(BU21&gt;0,BU20&lt;0),"Cruce +", ""))</f>
        <v/>
      </c>
      <c r="BX21" s="3" t="e">
        <f t="shared" ca="1" si="40"/>
        <v>#NUM!</v>
      </c>
      <c r="BY21" s="3" t="e">
        <f t="shared" ca="1" si="70"/>
        <v>#NUM!</v>
      </c>
      <c r="BZ21" s="3">
        <f t="shared" ca="1" si="41"/>
        <v>-3886374.9071142375</v>
      </c>
      <c r="CA21" s="3" t="str">
        <f t="shared" ca="1" si="71"/>
        <v/>
      </c>
      <c r="CB21" s="3">
        <f t="shared" ca="1" si="42"/>
        <v>20755754.824359745</v>
      </c>
      <c r="CC21" s="3" t="str">
        <f t="shared" ca="1" si="72"/>
        <v/>
      </c>
      <c r="CD21" s="3">
        <f>IF(RTD("tos.rtd",,CD$2,"."&amp;$A$2&amp;$AS$1&amp;"C"&amp;$A21)="N/A",0,RTD("tos.rtd",,CD$2,"."&amp;$A$2&amp;$AS$1&amp;"C"&amp;$A21))</f>
        <v>1</v>
      </c>
      <c r="CE21" s="3">
        <f>-IF(RTD("tos.rtd",,CE$2,"."&amp;$A$2&amp;$AS$1&amp;"P"&amp;$A21)="N/A",0,RTD("tos.rtd",,CE$2,"."&amp;$A$2&amp;$AS$1&amp;"P"&amp;$A21))</f>
        <v>0.05</v>
      </c>
      <c r="CF21" s="3">
        <f>IF(RTD("tos.rtd",,CF$2,"."&amp;$A$2&amp;$AU$1&amp;"C"&amp;$A21)="N/A",0,RTD("tos.rtd",,CF$2,"."&amp;$A$2&amp;$AU$1&amp;"C"&amp;$A21))</f>
        <v>0.56999999999999995</v>
      </c>
      <c r="CG21" s="3">
        <f>-IF(RTD("tos.rtd",,CG$2,"."&amp;$A$2&amp;$AU$1&amp;"P"&amp;$A21)="N/A",0,RTD("tos.rtd",,CG$2,"."&amp;$A$2&amp;$AU$1&amp;"P"&amp;$A21))</f>
        <v>0.43</v>
      </c>
      <c r="CH21" s="3">
        <f>IF(RTD("tos.rtd",,CH$2,"."&amp;$A$2&amp;$AW$1&amp;"C"&amp;$A21)="N/A",0,RTD("tos.rtd",,CH$2,"."&amp;$A$2&amp;$AW$1&amp;"C"&amp;$A21))</f>
        <v>0.56000000000000005</v>
      </c>
      <c r="CI21" s="3">
        <f>-IF(RTD("tos.rtd",,CI$2,"."&amp;$A$2&amp;$AW$1&amp;"P"&amp;$A21)="N/A",0,RTD("tos.rtd",,CI$2,"."&amp;$A$2&amp;$AW$1&amp;"P"&amp;$A21))</f>
        <v>0.44</v>
      </c>
      <c r="CK21" s="3">
        <f t="shared" si="17"/>
        <v>1391635</v>
      </c>
      <c r="CL21" s="3"/>
      <c r="CM21" s="3">
        <f t="shared" si="18"/>
        <v>279261.99999999994</v>
      </c>
      <c r="CN21" s="3"/>
      <c r="CO21" s="3">
        <f t="shared" si="19"/>
        <v>730284.00000000023</v>
      </c>
      <c r="CP21" s="3">
        <f t="shared" si="43"/>
        <v>2401181</v>
      </c>
      <c r="CQ21" s="3">
        <f t="shared" si="44"/>
        <v>-103951</v>
      </c>
      <c r="CR21" s="3"/>
      <c r="CS21" s="3">
        <f t="shared" si="20"/>
        <v>-622</v>
      </c>
      <c r="CT21" s="3"/>
      <c r="CU21" s="3">
        <f t="shared" si="21"/>
        <v>3019</v>
      </c>
      <c r="CV21" s="3">
        <f t="shared" si="45"/>
        <v>-101554</v>
      </c>
      <c r="CW21" s="3" t="e">
        <f t="shared" ca="1" si="46"/>
        <v>#NUM!</v>
      </c>
      <c r="CX21" s="85" t="e">
        <f t="shared" ca="1" si="73"/>
        <v>#NUM!</v>
      </c>
      <c r="CY21" s="3" t="e">
        <f t="shared" ca="1" si="47"/>
        <v>#NUM!</v>
      </c>
      <c r="CZ21" s="85" t="e">
        <f t="shared" ca="1" si="74"/>
        <v>#NUM!</v>
      </c>
      <c r="DA21" s="3">
        <f>IF(RTD("tos.rtd",,DA$2,"."&amp;$A$2&amp;$AS$1&amp;"C"&amp;$A21)="N/A",0,RTD("tos.rtd",,DA$2,"."&amp;$A$2&amp;$AS$1&amp;"C"&amp;$A21))</f>
        <v>1.97</v>
      </c>
      <c r="DB21" s="3">
        <f>IF(RTD("tos.rtd",,DB$2,"."&amp;$A$2&amp;$AS$1&amp;"P"&amp;$A21)="N/A",0,RTD("tos.rtd",,DB$2,"."&amp;$A$2&amp;$AS$1&amp;"P"&amp;$A21))</f>
        <v>0.02</v>
      </c>
      <c r="DC21" s="3">
        <f>IF(RTD("tos.rtd",,DC$2,"."&amp;$A$2&amp;$AS$1&amp;"C"&amp;$A21)="N/A",0,RTD("tos.rtd",,DC$2,"."&amp;$A$2&amp;$AS$1&amp;"C"&amp;$A21))</f>
        <v>2</v>
      </c>
      <c r="DD21" s="3">
        <f>IF(RTD("tos.rtd",,DD$2,"."&amp;$A$2&amp;$AS$1&amp;"P"&amp;$A21)="N/A",0,RTD("tos.rtd",,DD$2,"."&amp;$A$2&amp;$AS$1&amp;"P"&amp;$A21))</f>
        <v>0.03</v>
      </c>
      <c r="DE21" s="3">
        <f>IF(RTD("tos.rtd",,DE$2,"."&amp;$A$2&amp;$AS$1&amp;"C"&amp;$A21)="N/A",0,RTD("tos.rtd",,DE$2,"."&amp;$A$2&amp;$AS$1&amp;"C"&amp;$A21))</f>
        <v>1.94</v>
      </c>
      <c r="DF21" s="3">
        <f>IF(RTD("tos.rtd",,DF$2,"."&amp;$A$2&amp;$AS$1&amp;"P"&amp;$A21)="N/A",0,RTD("tos.rtd",,DF$2,"."&amp;$A$2&amp;$AS$1&amp;"P"&amp;$A21))</f>
        <v>0.02</v>
      </c>
      <c r="DG21" s="86">
        <f t="shared" si="48"/>
        <v>-1.9700000000000273</v>
      </c>
      <c r="DH21" s="3">
        <f t="shared" si="22"/>
        <v>38.5</v>
      </c>
      <c r="DI21" s="3">
        <f t="shared" si="49"/>
        <v>0</v>
      </c>
      <c r="DJ21" s="3">
        <f t="shared" si="50"/>
        <v>0</v>
      </c>
      <c r="DK21" s="3">
        <f t="shared" si="51"/>
        <v>388</v>
      </c>
      <c r="DL21" s="3">
        <f t="shared" si="52"/>
        <v>38.5</v>
      </c>
      <c r="DM21" s="3">
        <f t="shared" si="53"/>
        <v>388</v>
      </c>
      <c r="DN21" s="63" t="str">
        <f t="shared" si="54"/>
        <v>UNKNOWN</v>
      </c>
      <c r="DO21" s="63" t="str">
        <f t="shared" si="55"/>
        <v>SELL</v>
      </c>
      <c r="DP21" s="3">
        <f t="shared" si="56"/>
        <v>75.844999999999999</v>
      </c>
      <c r="DQ21" s="3">
        <f t="shared" si="57"/>
        <v>7.76</v>
      </c>
      <c r="DR21" s="3" t="e">
        <f t="shared" ca="1" si="58"/>
        <v>#NUM!</v>
      </c>
      <c r="DS21" s="3">
        <f t="shared" si="59"/>
        <v>19.400000000000002</v>
      </c>
      <c r="DT21" s="3">
        <f t="shared" si="60"/>
        <v>77</v>
      </c>
      <c r="DU21" s="3">
        <f t="shared" si="61"/>
        <v>-388</v>
      </c>
      <c r="DV21" s="3">
        <f t="shared" si="62"/>
        <v>-1148</v>
      </c>
      <c r="DW21" s="3">
        <f t="shared" si="23"/>
        <v>16265</v>
      </c>
      <c r="DX21" s="3" t="e">
        <f t="shared" ca="1" si="24"/>
        <v>#NUM!</v>
      </c>
      <c r="DY21" s="3" t="e">
        <f t="shared" ca="1" si="25"/>
        <v>#NUM!</v>
      </c>
      <c r="DZ21" s="3">
        <f t="shared" ca="1" si="26"/>
        <v>2.2132768532736279E-2</v>
      </c>
      <c r="EA21" s="3">
        <f t="shared" ca="1" si="27"/>
        <v>-2.2010216729790151E-2</v>
      </c>
      <c r="EB21" s="3">
        <f t="shared" ca="1" si="28"/>
        <v>2.1747432708070859E-2</v>
      </c>
      <c r="EC21" s="3">
        <f t="shared" ca="1" si="29"/>
        <v>-2.1878044719176537E-2</v>
      </c>
      <c r="EE21" s="59">
        <f t="shared" si="63"/>
        <v>0.25</v>
      </c>
      <c r="EF21" s="59">
        <f t="shared" si="30"/>
        <v>0.28120000000000001</v>
      </c>
      <c r="EG21" s="59">
        <f t="shared" si="31"/>
        <v>0.19339999999999999</v>
      </c>
      <c r="EH21" s="59">
        <f t="shared" si="32"/>
        <v>0.19450000000000001</v>
      </c>
      <c r="EI21" s="59">
        <f t="shared" si="33"/>
        <v>0.19689999999999999</v>
      </c>
      <c r="EJ21" s="59">
        <f t="shared" si="34"/>
        <v>0.19570000000000001</v>
      </c>
      <c r="EL21" s="3" t="str">
        <f>RTD("tos.rtd",,EL$2,"."&amp;$A$2&amp;$AS$1&amp;"C"&amp;$A21)</f>
        <v>0.00%</v>
      </c>
      <c r="EM21" s="3" t="str">
        <f>RTD("tos.rtd",,EM$2,"."&amp;$A$2&amp;$AS$1&amp;"P"&amp;$A21)</f>
        <v>28.12%</v>
      </c>
      <c r="EN21" s="3" t="str">
        <f>RTD("tos.rtd",,EN$2,"."&amp;$A$2&amp;$AU$1&amp;"C"&amp;$A21)</f>
        <v>19.34%</v>
      </c>
      <c r="EO21" s="3" t="str">
        <f>RTD("tos.rtd",,EO$2,"."&amp;$A$2&amp;$AU$1&amp;"P"&amp;$A21)</f>
        <v>19.45%</v>
      </c>
      <c r="EP21" s="3" t="str">
        <f>RTD("tos.rtd",,EP$2,"."&amp;$A$2&amp;$AW$1&amp;"C"&amp;$A21)</f>
        <v>19.69%</v>
      </c>
      <c r="EQ21" s="3" t="str">
        <f>RTD("tos.rtd",,EQ$2,"."&amp;$A$2&amp;$AW$1&amp;"P"&amp;$A21)</f>
        <v>19.57%</v>
      </c>
      <c r="ET21" s="63" t="str">
        <f t="shared" ca="1" si="64"/>
        <v>565,00.00</v>
      </c>
      <c r="EU21" s="67">
        <v>560.95000000000005</v>
      </c>
      <c r="EV21" s="67" t="s">
        <v>187</v>
      </c>
      <c r="EW21" s="67">
        <v>482.81</v>
      </c>
      <c r="EX21" s="67" t="s">
        <v>188</v>
      </c>
      <c r="EY21" s="67">
        <v>5624</v>
      </c>
      <c r="EZ21" s="67" t="s">
        <v>189</v>
      </c>
      <c r="FA21" s="67">
        <v>19837.5</v>
      </c>
      <c r="FB21" s="67" t="s">
        <v>190</v>
      </c>
      <c r="FC21" s="67" t="s">
        <v>191</v>
      </c>
      <c r="FD21" s="67" t="s">
        <v>192</v>
      </c>
      <c r="FE21" s="67" t="s">
        <v>193</v>
      </c>
      <c r="FF21" s="67" t="s">
        <v>194</v>
      </c>
    </row>
    <row r="22" spans="1:162" s="63" customFormat="1" ht="13.5" thickBot="1" x14ac:dyDescent="0.25">
      <c r="A22" s="2">
        <f t="shared" si="65"/>
        <v>564</v>
      </c>
      <c r="B22" s="3">
        <f t="shared" si="9"/>
        <v>6390</v>
      </c>
      <c r="C22" s="3">
        <f t="shared" si="10"/>
        <v>1575</v>
      </c>
      <c r="D22" s="3">
        <f t="shared" si="11"/>
        <v>4503</v>
      </c>
      <c r="E22" s="3">
        <f t="shared" si="12"/>
        <v>12468</v>
      </c>
      <c r="F22" s="14">
        <f t="shared" si="13"/>
        <v>5679.8402031853539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1515</v>
      </c>
      <c r="AN22" s="1">
        <v>-16363</v>
      </c>
      <c r="AO22" s="1">
        <v>564</v>
      </c>
      <c r="AP22" s="1">
        <v>98825</v>
      </c>
      <c r="AQ22" s="1">
        <v>-295469</v>
      </c>
      <c r="AR22" s="1"/>
      <c r="AS22" s="6">
        <f>IF(RTD("tos.rtd",,AS$2,"."&amp;$A$2&amp;$AS$1&amp;"C"&amp;$A22)="N/A",0,RTD("tos.rtd",,AS$2,"."&amp;$A$2&amp;$AS$1&amp;"C"&amp;$A22))</f>
        <v>4923</v>
      </c>
      <c r="AT22" s="7">
        <f>-IF(RTD("tos.rtd",,AT$2,"."&amp;$A$2&amp;$AS$1&amp;"P"&amp;$A22)="N/A",0,RTD("tos.rtd",,AT$2,"."&amp;$A$2&amp;$AS$1&amp;"P"&amp;$A22))</f>
        <v>-1467</v>
      </c>
      <c r="AU22" s="6">
        <f>IF(RTD("tos.rtd",,AU$2,"."&amp;$A$2&amp;$AU$1&amp;"C"&amp;$A22)="N/A",0,RTD("tos.rtd",,AU$2,"."&amp;$A$2&amp;$AU$1&amp;"C"&amp;$A22))</f>
        <v>1123</v>
      </c>
      <c r="AV22" s="7">
        <f>-IF(RTD("tos.rtd",,AV$2,"."&amp;$A$2&amp;$AU$1&amp;"P"&amp;$A22)="N/A",0,RTD("tos.rtd",,AV$2,"."&amp;$A$2&amp;$AU$1&amp;"P"&amp;$A22))</f>
        <v>-452</v>
      </c>
      <c r="AW22" s="6">
        <f>IF(RTD("tos.rtd",,AW$2,"."&amp;$A$2&amp;$AW$1&amp;"C"&amp;$A22)="N/A",0,RTD("tos.rtd",,AW$2,"."&amp;$A$2&amp;$AW$1&amp;"C"&amp;$A22))</f>
        <v>3143</v>
      </c>
      <c r="AX22" s="7">
        <f>-IF(RTD("tos.rtd",,AX$2,"."&amp;$A$2&amp;$AW$1&amp;"P"&amp;$A22)="N/A",0,RTD("tos.rtd",,AX$2,"."&amp;$A$2&amp;$AW$1&amp;"P"&amp;$A22))</f>
        <v>-1360</v>
      </c>
      <c r="AY22" s="1">
        <f t="shared" si="66"/>
        <v>5910</v>
      </c>
      <c r="AZ22" s="8">
        <f t="shared" si="35"/>
        <v>564</v>
      </c>
      <c r="BA22" s="6">
        <f>IF(RTD("tos.rtd",,BA$2,"."&amp;$A$2&amp;$AS$1&amp;"C"&amp;$A22)="N/A",0,RTD("tos.rtd",,BA$2,"."&amp;$A$2&amp;$AS$1&amp;"C"&amp;$A22))</f>
        <v>98828</v>
      </c>
      <c r="BB22" s="7">
        <f>-IF(RTD("tos.rtd",,BB$2,"."&amp;$A$2&amp;$AS$1&amp;"P"&amp;$A22)="N/A",0,RTD("tos.rtd",,BB$2,"."&amp;$A$2&amp;$AS$1&amp;"P"&amp;$A22))</f>
        <v>-295581</v>
      </c>
      <c r="BC22" s="6">
        <f>IF(RTD("tos.rtd",,BC$2,"."&amp;$A$2&amp;$AU$1&amp;"C"&amp;$A22)="N/A",0,RTD("tos.rtd",,BC$2,"."&amp;$A$2&amp;$AU$1&amp;"C"&amp;$A22))</f>
        <v>3004</v>
      </c>
      <c r="BD22" s="7">
        <f>-IF(RTD("tos.rtd",,BD$2,"."&amp;$A$2&amp;$AU$1&amp;"P"&amp;$A22)="N/A",0,RTD("tos.rtd",,BD$2,"."&amp;$A$2&amp;$AU$1&amp;"P"&amp;$A22))</f>
        <v>-6298</v>
      </c>
      <c r="BE22" s="6">
        <f>IF(RTD("tos.rtd",,BE$2,"."&amp;$A$2&amp;$AW$1&amp;"C"&amp;$A22)="N/A",0,RTD("tos.rtd",,BE$2,"."&amp;$A$2&amp;$AW$1&amp;"C"&amp;$A22))</f>
        <v>1183</v>
      </c>
      <c r="BF22" s="83">
        <f>-IF(RTD("tos.rtd",,BF$2,"."&amp;$A$2&amp;$AW$1&amp;"P"&amp;$A22)="N/A",0,RTD("tos.rtd",,BF$2,"."&amp;$A$2&amp;$AW$1&amp;"P"&amp;$A22))</f>
        <v>-1123</v>
      </c>
      <c r="BG22" s="32" t="e">
        <f ca="1">+Hoja2!Y23</f>
        <v>#N/A</v>
      </c>
      <c r="BH22" s="7" t="e">
        <f t="shared" ca="1" si="36"/>
        <v>#N/A</v>
      </c>
      <c r="BI22" s="8" t="e">
        <f t="shared" ref="BI22" ca="1" si="136">IF(AND(BH22&lt;0,BH21&gt;0), "Cruce -", IF(AND(BH22&gt;0,BH21&lt;0),"Cruce +", ""))</f>
        <v>#N/A</v>
      </c>
      <c r="BJ22" s="3" t="e">
        <f ca="1">IF($BP$1=1,DX22,IF(RTD("tos.rtd",,BJ$2,"."&amp;$A$2&amp;$AS$1&amp;"C"&amp;$A22)="N/A",0,RTD("tos.rtd",,BJ$2,"."&amp;$A$2&amp;$AS$1&amp;"C"&amp;$A22)))</f>
        <v>#NUM!</v>
      </c>
      <c r="BK22" s="3" t="e">
        <f ca="1">IF($BP$1=1,DY22,-IF(RTD("tos.rtd",,BK$2,"."&amp;$A$2&amp;$AS$1&amp;"P"&amp;$A22)="N/A",0,RTD("tos.rtd",,BK$2,"."&amp;$A$2&amp;$AS$1&amp;"P"&amp;$A22)))</f>
        <v>#NUM!</v>
      </c>
      <c r="BL22" s="3">
        <f ca="1">IF($BP$1=1,DZ22,IF(RTD("tos.rtd",,BL$2,"."&amp;$A$2&amp;$AU$1&amp;"C"&amp;$A22)="N/A",0,RTD("tos.rtd",,BL$2,"."&amp;$A$2&amp;$AU$1&amp;"C"&amp;$A22)))</f>
        <v>2.1596523863360112E-2</v>
      </c>
      <c r="BM22" s="3">
        <f ca="1">IF($BP$1=1,EA22,-IF(RTD("tos.rtd",,BM$2,"."&amp;$A$2&amp;$AU$1&amp;"P"&amp;$A22)="N/A",0,RTD("tos.rtd",,BM$2,"."&amp;$A$2&amp;$AU$1&amp;"P"&amp;$A22)))</f>
        <v>-2.1512277404422072E-2</v>
      </c>
      <c r="BN22" s="3">
        <f ca="1">IF($BP$1=1,EB22,IF(RTD("tos.rtd",,BN$2,"."&amp;$A$2&amp;$AW$1&amp;"C"&amp;$A22)="N/A",0,RTD("tos.rtd",,BN$2,"."&amp;$A$2&amp;$AW$1&amp;"C"&amp;$A22)))</f>
        <v>2.1294157157351928E-2</v>
      </c>
      <c r="BO22" s="3">
        <f ca="1">IF($BP$1=1,EC22,-IF(RTD("tos.rtd",,BO$2,"."&amp;$A$2&amp;$AW$1&amp;"P"&amp;$A22)="N/A",0,RTD("tos.rtd",,BO$2,"."&amp;$A$2&amp;$AW$1&amp;"P"&amp;$A22)))</f>
        <v>-2.1418264763687501E-2</v>
      </c>
      <c r="BQ22" s="3" t="e">
        <f t="shared" ca="1" si="37"/>
        <v>#NUM!</v>
      </c>
      <c r="BR22" s="3" t="e">
        <f t="shared" ca="1" si="68"/>
        <v>#NUM!</v>
      </c>
      <c r="BS22" s="3">
        <f t="shared" ca="1" si="38"/>
        <v>4670530.934007559</v>
      </c>
      <c r="BT22" s="3" t="str">
        <f t="shared" ca="1" si="68"/>
        <v/>
      </c>
      <c r="BU22" s="3">
        <f t="shared" ca="1" si="39"/>
        <v>12150579.057952784</v>
      </c>
      <c r="BV22" s="3" t="str">
        <f t="shared" ref="BV22" ca="1" si="137">IF(AND(BU22&lt;0,BU21&gt;0), "Cruce -", IF(AND(BU22&gt;0,BU21&lt;0),"Cruce +", ""))</f>
        <v/>
      </c>
      <c r="BX22" s="3" t="e">
        <f t="shared" ca="1" si="40"/>
        <v>#NUM!</v>
      </c>
      <c r="BY22" s="3" t="e">
        <f t="shared" ca="1" si="70"/>
        <v>#NUM!</v>
      </c>
      <c r="BZ22" s="3">
        <f t="shared" ca="1" si="41"/>
        <v>-22697410.753453419</v>
      </c>
      <c r="CA22" s="3" t="str">
        <f t="shared" ca="1" si="71"/>
        <v/>
      </c>
      <c r="CB22" s="3">
        <f t="shared" ca="1" si="42"/>
        <v>365904.67870217375</v>
      </c>
      <c r="CC22" s="3" t="str">
        <f t="shared" ca="1" si="72"/>
        <v/>
      </c>
      <c r="CD22" s="3">
        <f>IF(RTD("tos.rtd",,CD$2,"."&amp;$A$2&amp;$AS$1&amp;"C"&amp;$A22)="N/A",0,RTD("tos.rtd",,CD$2,"."&amp;$A$2&amp;$AS$1&amp;"C"&amp;$A22))</f>
        <v>1</v>
      </c>
      <c r="CE22" s="3">
        <f>-IF(RTD("tos.rtd",,CE$2,"."&amp;$A$2&amp;$AS$1&amp;"P"&amp;$A22)="N/A",0,RTD("tos.rtd",,CE$2,"."&amp;$A$2&amp;$AS$1&amp;"P"&amp;$A22))</f>
        <v>0.03</v>
      </c>
      <c r="CF22" s="3">
        <f>IF(RTD("tos.rtd",,CF$2,"."&amp;$A$2&amp;$AU$1&amp;"C"&amp;$A22)="N/A",0,RTD("tos.rtd",,CF$2,"."&amp;$A$2&amp;$AU$1&amp;"C"&amp;$A22))</f>
        <v>0.59</v>
      </c>
      <c r="CG22" s="3">
        <f>-IF(RTD("tos.rtd",,CG$2,"."&amp;$A$2&amp;$AU$1&amp;"P"&amp;$A22)="N/A",0,RTD("tos.rtd",,CG$2,"."&amp;$A$2&amp;$AU$1&amp;"P"&amp;$A22))</f>
        <v>0.41</v>
      </c>
      <c r="CH22" s="3">
        <f>IF(RTD("tos.rtd",,CH$2,"."&amp;$A$2&amp;$AW$1&amp;"C"&amp;$A22)="N/A",0,RTD("tos.rtd",,CH$2,"."&amp;$A$2&amp;$AW$1&amp;"C"&amp;$A22))</f>
        <v>0.56999999999999995</v>
      </c>
      <c r="CI22" s="3">
        <f>-IF(RTD("tos.rtd",,CI$2,"."&amp;$A$2&amp;$AW$1&amp;"P"&amp;$A22)="N/A",0,RTD("tos.rtd",,CI$2,"."&amp;$A$2&amp;$AW$1&amp;"P"&amp;$A22))</f>
        <v>0.43</v>
      </c>
      <c r="CK22" s="3">
        <f t="shared" si="17"/>
        <v>487899</v>
      </c>
      <c r="CL22" s="3"/>
      <c r="CM22" s="3">
        <f t="shared" si="18"/>
        <v>47725</v>
      </c>
      <c r="CN22" s="3"/>
      <c r="CO22" s="3">
        <f t="shared" si="19"/>
        <v>120670.99999999997</v>
      </c>
      <c r="CP22" s="3">
        <f t="shared" si="43"/>
        <v>656295</v>
      </c>
      <c r="CQ22" s="3">
        <f t="shared" si="44"/>
        <v>-196753</v>
      </c>
      <c r="CR22" s="3"/>
      <c r="CS22" s="3">
        <f t="shared" si="20"/>
        <v>-3294</v>
      </c>
      <c r="CT22" s="3"/>
      <c r="CU22" s="3">
        <f t="shared" si="21"/>
        <v>60</v>
      </c>
      <c r="CV22" s="3">
        <f t="shared" si="45"/>
        <v>-199987</v>
      </c>
      <c r="CW22" s="3" t="e">
        <f t="shared" ca="1" si="46"/>
        <v>#NUM!</v>
      </c>
      <c r="CX22" s="85" t="e">
        <f t="shared" ca="1" si="73"/>
        <v>#NUM!</v>
      </c>
      <c r="CY22" s="3" t="e">
        <f t="shared" ca="1" si="47"/>
        <v>#NUM!</v>
      </c>
      <c r="CZ22" s="85" t="e">
        <f t="shared" ca="1" si="74"/>
        <v>#NUM!</v>
      </c>
      <c r="DA22" s="3">
        <f>IF(RTD("tos.rtd",,DA$2,"."&amp;$A$2&amp;$AS$1&amp;"C"&amp;$A22)="N/A",0,RTD("tos.rtd",,DA$2,"."&amp;$A$2&amp;$AS$1&amp;"C"&amp;$A22))</f>
        <v>2.89</v>
      </c>
      <c r="DB22" s="3">
        <f>IF(RTD("tos.rtd",,DB$2,"."&amp;$A$2&amp;$AS$1&amp;"P"&amp;$A22)="N/A",0,RTD("tos.rtd",,DB$2,"."&amp;$A$2&amp;$AS$1&amp;"P"&amp;$A22))</f>
        <v>0.01</v>
      </c>
      <c r="DC22" s="3">
        <f>IF(RTD("tos.rtd",,DC$2,"."&amp;$A$2&amp;$AS$1&amp;"C"&amp;$A22)="N/A",0,RTD("tos.rtd",,DC$2,"."&amp;$A$2&amp;$AS$1&amp;"C"&amp;$A22))</f>
        <v>3.01</v>
      </c>
      <c r="DD22" s="3">
        <f>IF(RTD("tos.rtd",,DD$2,"."&amp;$A$2&amp;$AS$1&amp;"P"&amp;$A22)="N/A",0,RTD("tos.rtd",,DD$2,"."&amp;$A$2&amp;$AS$1&amp;"P"&amp;$A22))</f>
        <v>0.02</v>
      </c>
      <c r="DE22" s="3">
        <f>IF(RTD("tos.rtd",,DE$2,"."&amp;$A$2&amp;$AS$1&amp;"C"&amp;$A22)="N/A",0,RTD("tos.rtd",,DE$2,"."&amp;$A$2&amp;$AS$1&amp;"C"&amp;$A22))</f>
        <v>2.93</v>
      </c>
      <c r="DF22" s="3">
        <f>IF(RTD("tos.rtd",,DF$2,"."&amp;$A$2&amp;$AS$1&amp;"P"&amp;$A22)="N/A",0,RTD("tos.rtd",,DF$2,"."&amp;$A$2&amp;$AS$1&amp;"P"&amp;$A22))</f>
        <v>0.01</v>
      </c>
      <c r="DG22" s="86">
        <f t="shared" si="48"/>
        <v>-2.9700000000000273</v>
      </c>
      <c r="DH22" s="3">
        <f t="shared" si="22"/>
        <v>-1.5000000000000084</v>
      </c>
      <c r="DI22" s="3">
        <f t="shared" si="49"/>
        <v>0</v>
      </c>
      <c r="DJ22" s="3">
        <f t="shared" si="50"/>
        <v>-3</v>
      </c>
      <c r="DK22" s="3">
        <f t="shared" si="51"/>
        <v>112</v>
      </c>
      <c r="DL22" s="3">
        <f t="shared" si="52"/>
        <v>-1.5000000000000084</v>
      </c>
      <c r="DM22" s="3">
        <f t="shared" si="53"/>
        <v>109</v>
      </c>
      <c r="DN22" s="63" t="str">
        <f t="shared" si="54"/>
        <v>SELL</v>
      </c>
      <c r="DO22" s="63" t="str">
        <f t="shared" si="55"/>
        <v>SELL</v>
      </c>
      <c r="DP22" s="3">
        <f t="shared" si="56"/>
        <v>-4.3350000000000248</v>
      </c>
      <c r="DQ22" s="3">
        <f t="shared" si="57"/>
        <v>-7.55</v>
      </c>
      <c r="DR22" s="3" t="e">
        <f t="shared" ca="1" si="58"/>
        <v>#NUM!</v>
      </c>
      <c r="DS22" s="3">
        <f t="shared" si="59"/>
        <v>0.35999999999999988</v>
      </c>
      <c r="DT22" s="3">
        <f t="shared" si="60"/>
        <v>3</v>
      </c>
      <c r="DU22" s="3">
        <f t="shared" si="61"/>
        <v>-112</v>
      </c>
      <c r="DV22" s="3">
        <f t="shared" si="62"/>
        <v>1512</v>
      </c>
      <c r="DW22" s="3">
        <f t="shared" si="23"/>
        <v>-16251</v>
      </c>
      <c r="DX22" s="3" t="e">
        <f t="shared" ca="1" si="24"/>
        <v>#NUM!</v>
      </c>
      <c r="DY22" s="3" t="e">
        <f t="shared" ca="1" si="25"/>
        <v>#NUM!</v>
      </c>
      <c r="DZ22" s="3">
        <f t="shared" ca="1" si="26"/>
        <v>2.1596523863360112E-2</v>
      </c>
      <c r="EA22" s="3">
        <f t="shared" ca="1" si="27"/>
        <v>-2.1512277404422072E-2</v>
      </c>
      <c r="EB22" s="3">
        <f t="shared" ca="1" si="28"/>
        <v>2.1294157157351928E-2</v>
      </c>
      <c r="EC22" s="3">
        <f t="shared" ca="1" si="29"/>
        <v>-2.1418264763687501E-2</v>
      </c>
      <c r="EE22" s="59">
        <f t="shared" si="63"/>
        <v>0.25</v>
      </c>
      <c r="EF22" s="59">
        <f t="shared" si="30"/>
        <v>0.35799999999999998</v>
      </c>
      <c r="EG22" s="59">
        <f t="shared" si="31"/>
        <v>0.19620000000000001</v>
      </c>
      <c r="EH22" s="59">
        <f t="shared" si="32"/>
        <v>0.19700000000000001</v>
      </c>
      <c r="EI22" s="59">
        <f t="shared" si="33"/>
        <v>0.1991</v>
      </c>
      <c r="EJ22" s="59">
        <f t="shared" si="34"/>
        <v>0.19789999999999999</v>
      </c>
      <c r="EL22" s="3" t="str">
        <f>RTD("tos.rtd",,EL$2,"."&amp;$A$2&amp;$AS$1&amp;"C"&amp;$A22)</f>
        <v>0.00%</v>
      </c>
      <c r="EM22" s="3" t="str">
        <f>RTD("tos.rtd",,EM$2,"."&amp;$A$2&amp;$AS$1&amp;"P"&amp;$A22)</f>
        <v>35.80%</v>
      </c>
      <c r="EN22" s="3" t="str">
        <f>RTD("tos.rtd",,EN$2,"."&amp;$A$2&amp;$AU$1&amp;"C"&amp;$A22)</f>
        <v>19.62%</v>
      </c>
      <c r="EO22" s="3" t="str">
        <f>RTD("tos.rtd",,EO$2,"."&amp;$A$2&amp;$AU$1&amp;"P"&amp;$A22)</f>
        <v>19.70%</v>
      </c>
      <c r="EP22" s="3" t="str">
        <f>RTD("tos.rtd",,EP$2,"."&amp;$A$2&amp;$AW$1&amp;"C"&amp;$A22)</f>
        <v>19.91%</v>
      </c>
      <c r="EQ22" s="3" t="str">
        <f>RTD("tos.rtd",,EQ$2,"."&amp;$A$2&amp;$AW$1&amp;"P"&amp;$A22)</f>
        <v>19.79%</v>
      </c>
      <c r="ET22" s="63" t="str">
        <f t="shared" ca="1" si="64"/>
        <v>564,00.00</v>
      </c>
      <c r="EU22" s="67">
        <v>560.86</v>
      </c>
      <c r="EV22" s="67" t="s">
        <v>195</v>
      </c>
      <c r="EW22" s="67">
        <v>482.73</v>
      </c>
      <c r="EX22" s="67" t="s">
        <v>196</v>
      </c>
      <c r="EY22" s="67">
        <v>5623.5</v>
      </c>
      <c r="EZ22" s="67" t="s">
        <v>197</v>
      </c>
      <c r="FA22" s="67">
        <v>19834.25</v>
      </c>
      <c r="FB22" s="67" t="s">
        <v>198</v>
      </c>
      <c r="FC22" s="67" t="s">
        <v>199</v>
      </c>
      <c r="FD22" s="67" t="s">
        <v>200</v>
      </c>
      <c r="FE22" s="67" t="s">
        <v>201</v>
      </c>
      <c r="FF22" s="67" t="s">
        <v>202</v>
      </c>
    </row>
    <row r="23" spans="1:162" s="63" customFormat="1" ht="13.5" thickBot="1" x14ac:dyDescent="0.25">
      <c r="A23" s="2">
        <f t="shared" si="65"/>
        <v>563</v>
      </c>
      <c r="B23" s="3">
        <f t="shared" ref="B23:B29" si="138">+IF($A$1="ABS",AS23-AT23,AS23+AT23)</f>
        <v>8312</v>
      </c>
      <c r="C23" s="3">
        <f t="shared" ref="C23:C29" si="139">+IF($A$1="ABS",AU23-AV23,AU23+AV23)</f>
        <v>1362</v>
      </c>
      <c r="D23" s="3">
        <f t="shared" ref="D23:D29" si="140">+IF($A$1="ABS",AW23-AX23,AW23+AX23)</f>
        <v>5793</v>
      </c>
      <c r="E23" s="3">
        <f t="shared" ref="E23:E29" si="141">SUM(B23:D23)</f>
        <v>15467</v>
      </c>
      <c r="F23" s="4">
        <f t="shared" ref="F23:F29" si="142">+$F$3/$A$3*A23</f>
        <v>5669.7695645272233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1479</v>
      </c>
      <c r="AN23" s="1">
        <v>-5230</v>
      </c>
      <c r="AO23" s="1">
        <v>563</v>
      </c>
      <c r="AP23" s="1">
        <v>48430</v>
      </c>
      <c r="AQ23" s="1">
        <v>-228343</v>
      </c>
      <c r="AR23" s="1"/>
      <c r="AS23" s="6">
        <f>IF(RTD("tos.rtd",,AS$2,"."&amp;$A$2&amp;$AS$1&amp;"C"&amp;$A23)="N/A",0,RTD("tos.rtd",,AS$2,"."&amp;$A$2&amp;$AS$1&amp;"C"&amp;$A23))</f>
        <v>6098</v>
      </c>
      <c r="AT23" s="7">
        <f>-IF(RTD("tos.rtd",,AT$2,"."&amp;$A$2&amp;$AS$1&amp;"P"&amp;$A23)="N/A",0,RTD("tos.rtd",,AT$2,"."&amp;$A$2&amp;$AS$1&amp;"P"&amp;$A23))</f>
        <v>-2214</v>
      </c>
      <c r="AU23" s="6">
        <f>IF(RTD("tos.rtd",,AU$2,"."&amp;$A$2&amp;$AU$1&amp;"C"&amp;$A23)="N/A",0,RTD("tos.rtd",,AU$2,"."&amp;$A$2&amp;$AU$1&amp;"C"&amp;$A23))</f>
        <v>918</v>
      </c>
      <c r="AV23" s="7">
        <f>-IF(RTD("tos.rtd",,AV$2,"."&amp;$A$2&amp;$AU$1&amp;"P"&amp;$A23)="N/A",0,RTD("tos.rtd",,AV$2,"."&amp;$A$2&amp;$AU$1&amp;"P"&amp;$A23))</f>
        <v>-444</v>
      </c>
      <c r="AW23" s="6">
        <f>IF(RTD("tos.rtd",,AW$2,"."&amp;$A$2&amp;$AW$1&amp;"C"&amp;$A23)="N/A",0,RTD("tos.rtd",,AW$2,"."&amp;$A$2&amp;$AW$1&amp;"C"&amp;$A23))</f>
        <v>4223</v>
      </c>
      <c r="AX23" s="7">
        <f>-IF(RTD("tos.rtd",,AX$2,"."&amp;$A$2&amp;$AW$1&amp;"P"&amp;$A23)="N/A",0,RTD("tos.rtd",,AX$2,"."&amp;$A$2&amp;$AW$1&amp;"P"&amp;$A23))</f>
        <v>-1570</v>
      </c>
      <c r="AY23" s="1">
        <f t="shared" ref="AY23:AY29" si="143">SUM(AS23:AX23)</f>
        <v>7011</v>
      </c>
      <c r="AZ23" s="8">
        <f t="shared" si="35"/>
        <v>563</v>
      </c>
      <c r="BA23" s="6">
        <f>IF(RTD("tos.rtd",,BA$2,"."&amp;$A$2&amp;$AS$1&amp;"C"&amp;$A23)="N/A",0,RTD("tos.rtd",,BA$2,"."&amp;$A$2&amp;$AS$1&amp;"C"&amp;$A23))</f>
        <v>48432</v>
      </c>
      <c r="BB23" s="7">
        <f>-IF(RTD("tos.rtd",,BB$2,"."&amp;$A$2&amp;$AS$1&amp;"P"&amp;$A23)="N/A",0,RTD("tos.rtd",,BB$2,"."&amp;$A$2&amp;$AS$1&amp;"P"&amp;$A23))</f>
        <v>-228513</v>
      </c>
      <c r="BC23" s="6">
        <f>IF(RTD("tos.rtd",,BC$2,"."&amp;$A$2&amp;$AU$1&amp;"C"&amp;$A23)="N/A",0,RTD("tos.rtd",,BC$2,"."&amp;$A$2&amp;$AU$1&amp;"C"&amp;$A23))</f>
        <v>1403</v>
      </c>
      <c r="BD23" s="7">
        <f>-IF(RTD("tos.rtd",,BD$2,"."&amp;$A$2&amp;$AU$1&amp;"P"&amp;$A23)="N/A",0,RTD("tos.rtd",,BD$2,"."&amp;$A$2&amp;$AU$1&amp;"P"&amp;$A23))</f>
        <v>-3074</v>
      </c>
      <c r="BE23" s="6">
        <f>IF(RTD("tos.rtd",,BE$2,"."&amp;$A$2&amp;$AW$1&amp;"C"&amp;$A23)="N/A",0,RTD("tos.rtd",,BE$2,"."&amp;$A$2&amp;$AW$1&amp;"C"&amp;$A23))</f>
        <v>1136</v>
      </c>
      <c r="BF23" s="83">
        <f>-IF(RTD("tos.rtd",,BF$2,"."&amp;$A$2&amp;$AW$1&amp;"P"&amp;$A23)="N/A",0,RTD("tos.rtd",,BF$2,"."&amp;$A$2&amp;$AW$1&amp;"P"&amp;$A23))</f>
        <v>-840</v>
      </c>
      <c r="BG23" s="32" t="e">
        <f ca="1">+Hoja2!Y24</f>
        <v>#N/A</v>
      </c>
      <c r="BH23" s="7" t="e">
        <f t="shared" ca="1" si="36"/>
        <v>#N/A</v>
      </c>
      <c r="BI23" s="8" t="e">
        <f t="shared" ref="BI23" ca="1" si="144">IF(AND(BH23&lt;0,BH22&gt;0), "Cruce -", IF(AND(BH23&gt;0,BH22&lt;0),"Cruce +", ""))</f>
        <v>#N/A</v>
      </c>
      <c r="BJ23" s="3" t="e">
        <f ca="1">IF($BP$1=1,DX23,IF(RTD("tos.rtd",,BJ$2,"."&amp;$A$2&amp;$AS$1&amp;"C"&amp;$A23)="N/A",0,RTD("tos.rtd",,BJ$2,"."&amp;$A$2&amp;$AS$1&amp;"C"&amp;$A23)))</f>
        <v>#NUM!</v>
      </c>
      <c r="BK23" s="3" t="e">
        <f ca="1">IF($BP$1=1,DY23,-IF(RTD("tos.rtd",,BK$2,"."&amp;$A$2&amp;$AS$1&amp;"P"&amp;$A23)="N/A",0,RTD("tos.rtd",,BK$2,"."&amp;$A$2&amp;$AS$1&amp;"P"&amp;$A23)))</f>
        <v>#NUM!</v>
      </c>
      <c r="BL23" s="3">
        <f ca="1">IF($BP$1=1,DZ23,IF(RTD("tos.rtd",,BL$2,"."&amp;$A$2&amp;$AU$1&amp;"C"&amp;$A23)="N/A",0,RTD("tos.rtd",,BL$2,"."&amp;$A$2&amp;$AU$1&amp;"C"&amp;$A23)))</f>
        <v>2.1024628601995436E-2</v>
      </c>
      <c r="BM23" s="3">
        <f ca="1">IF($BP$1=1,EA23,-IF(RTD("tos.rtd",,BM$2,"."&amp;$A$2&amp;$AU$1&amp;"P"&amp;$A23)="N/A",0,RTD("tos.rtd",,BM$2,"."&amp;$A$2&amp;$AU$1&amp;"P"&amp;$A23)))</f>
        <v>-2.0955564139211066E-2</v>
      </c>
      <c r="BN23" s="3">
        <f ca="1">IF($BP$1=1,EB23,IF(RTD("tos.rtd",,BN$2,"."&amp;$A$2&amp;$AW$1&amp;"C"&amp;$A23)="N/A",0,RTD("tos.rtd",,BN$2,"."&amp;$A$2&amp;$AW$1&amp;"C"&amp;$A23)))</f>
        <v>2.077995758858265E-2</v>
      </c>
      <c r="BO23" s="3">
        <f ca="1">IF($BP$1=1,EC23,-IF(RTD("tos.rtd",,BO$2,"."&amp;$A$2&amp;$AW$1&amp;"P"&amp;$A23)="N/A",0,RTD("tos.rtd",,BO$2,"."&amp;$A$2&amp;$AW$1&amp;"P"&amp;$A23)))</f>
        <v>-2.0926098455632536E-2</v>
      </c>
      <c r="BQ23" s="3" t="e">
        <f t="shared" ref="BQ23:BQ29" ca="1" si="145">+$A$3*$A$3*AS23*BJ23-$A$3*$A$3*AT23*BK23</f>
        <v>#NUM!</v>
      </c>
      <c r="BR23" s="3" t="e">
        <f t="shared" ca="1" si="68"/>
        <v>#NUM!</v>
      </c>
      <c r="BS23" s="3">
        <f t="shared" ref="BS23:BS29" ca="1" si="146">+$A$3*$A$3*AU23*BL23-$A$3*$A$3*AV23*BM23</f>
        <v>3213372.8269251906</v>
      </c>
      <c r="BT23" s="3" t="str">
        <f t="shared" ca="1" si="68"/>
        <v/>
      </c>
      <c r="BU23" s="3">
        <f t="shared" ref="BU23:BU29" ca="1" si="147">+$A$3*$A$3*AW23*BN23-$A$3*$A$3*AX23*BO23</f>
        <v>17647809.763308756</v>
      </c>
      <c r="BV23" s="3" t="str">
        <f t="shared" ref="BV23" ca="1" si="148">IF(AND(BU23&lt;0,BU22&gt;0), "Cruce -", IF(AND(BU23&gt;0,BU22&lt;0),"Cruce +", ""))</f>
        <v/>
      </c>
      <c r="BX23" s="3" t="e">
        <f t="shared" ref="BX23:BX29" ca="1" si="149">+$A$3*$A$3*BA23*BJ23-$A$3*$A$3*BB23*BK23</f>
        <v>#NUM!</v>
      </c>
      <c r="BY23" s="3" t="e">
        <f t="shared" ca="1" si="70"/>
        <v>#NUM!</v>
      </c>
      <c r="BZ23" s="3">
        <f t="shared" ref="BZ23:BZ29" ca="1" si="150">+$A$3*$A$3*BC23*BL23-$A$3*$A$3*BD23*BM23</f>
        <v>-11225159.790430546</v>
      </c>
      <c r="CA23" s="3" t="str">
        <f t="shared" ca="1" si="71"/>
        <v/>
      </c>
      <c r="CB23" s="3">
        <f t="shared" ref="CB23:CB29" ca="1" si="151">+$A$3*$A$3*BE23*BN23-$A$3*$A$3*BF23*BO23</f>
        <v>1937765.7013571979</v>
      </c>
      <c r="CC23" s="3" t="str">
        <f t="shared" ca="1" si="72"/>
        <v/>
      </c>
      <c r="CD23" s="3">
        <f>IF(RTD("tos.rtd",,CD$2,"."&amp;$A$2&amp;$AS$1&amp;"C"&amp;$A23)="N/A",0,RTD("tos.rtd",,CD$2,"."&amp;$A$2&amp;$AS$1&amp;"C"&amp;$A23))</f>
        <v>1</v>
      </c>
      <c r="CE23" s="3">
        <f>-IF(RTD("tos.rtd",,CE$2,"."&amp;$A$2&amp;$AS$1&amp;"P"&amp;$A23)="N/A",0,RTD("tos.rtd",,CE$2,"."&amp;$A$2&amp;$AS$1&amp;"P"&amp;$A23))</f>
        <v>0.02</v>
      </c>
      <c r="CF23" s="3">
        <f>IF(RTD("tos.rtd",,CF$2,"."&amp;$A$2&amp;$AU$1&amp;"C"&amp;$A23)="N/A",0,RTD("tos.rtd",,CF$2,"."&amp;$A$2&amp;$AU$1&amp;"C"&amp;$A23))</f>
        <v>0.61</v>
      </c>
      <c r="CG23" s="3">
        <f>-IF(RTD("tos.rtd",,CG$2,"."&amp;$A$2&amp;$AU$1&amp;"P"&amp;$A23)="N/A",0,RTD("tos.rtd",,CG$2,"."&amp;$A$2&amp;$AU$1&amp;"P"&amp;$A23))</f>
        <v>0.39</v>
      </c>
      <c r="CH23" s="3">
        <f>IF(RTD("tos.rtd",,CH$2,"."&amp;$A$2&amp;$AW$1&amp;"C"&amp;$A23)="N/A",0,RTD("tos.rtd",,CH$2,"."&amp;$A$2&amp;$AW$1&amp;"C"&amp;$A23))</f>
        <v>0.59</v>
      </c>
      <c r="CI23" s="3">
        <f>-IF(RTD("tos.rtd",,CI$2,"."&amp;$A$2&amp;$AW$1&amp;"P"&amp;$A23)="N/A",0,RTD("tos.rtd",,CI$2,"."&amp;$A$2&amp;$AW$1&amp;"P"&amp;$A23))</f>
        <v>0.41</v>
      </c>
      <c r="CK23" s="3">
        <f t="shared" ref="CK23:CK29" si="152">+AS23*CD23*100+AT23*CE23*100</f>
        <v>605372</v>
      </c>
      <c r="CL23" s="3"/>
      <c r="CM23" s="3">
        <f t="shared" ref="CM23:CM29" si="153">+AU23*CF23*100+AV23*CG23*100</f>
        <v>38682</v>
      </c>
      <c r="CN23" s="3"/>
      <c r="CO23" s="3">
        <f t="shared" ref="CO23:CO29" si="154">+AW23*CH23*100+AX23*CI23*100</f>
        <v>184786.99999999997</v>
      </c>
      <c r="CP23" s="3">
        <f t="shared" ref="CP23:CP29" si="155">+CK23+CM23+CO23</f>
        <v>828841</v>
      </c>
      <c r="CQ23" s="3">
        <f t="shared" ref="CQ23:CQ29" si="156">+BA23+BB23</f>
        <v>-180081</v>
      </c>
      <c r="CR23" s="3"/>
      <c r="CS23" s="3">
        <f t="shared" ref="CS23:CS29" si="157">+BC23+BD23</f>
        <v>-1671</v>
      </c>
      <c r="CT23" s="3"/>
      <c r="CU23" s="3">
        <f t="shared" ref="CU23:CU29" si="158">+BE23+BF23</f>
        <v>296</v>
      </c>
      <c r="CV23" s="3">
        <f t="shared" ref="CV23:CV29" si="159">+CQ23+CS23+CU23</f>
        <v>-181456</v>
      </c>
      <c r="CW23" s="3" t="e">
        <f t="shared" ref="CW23:CW29" ca="1" si="160">+BQ23+BS23+BU23</f>
        <v>#NUM!</v>
      </c>
      <c r="CX23" s="85" t="e">
        <f t="shared" ca="1" si="73"/>
        <v>#NUM!</v>
      </c>
      <c r="CY23" s="3" t="e">
        <f t="shared" ref="CY23:CY29" ca="1" si="161">+BX23+BZ23+CB23</f>
        <v>#NUM!</v>
      </c>
      <c r="CZ23" s="85" t="e">
        <f t="shared" ca="1" si="74"/>
        <v>#NUM!</v>
      </c>
      <c r="DA23" s="3">
        <f>IF(RTD("tos.rtd",,DA$2,"."&amp;$A$2&amp;$AS$1&amp;"C"&amp;$A23)="N/A",0,RTD("tos.rtd",,DA$2,"."&amp;$A$2&amp;$AS$1&amp;"C"&amp;$A23))</f>
        <v>3.89</v>
      </c>
      <c r="DB23" s="3">
        <f>IF(RTD("tos.rtd",,DB$2,"."&amp;$A$2&amp;$AS$1&amp;"P"&amp;$A23)="N/A",0,RTD("tos.rtd",,DB$2,"."&amp;$A$2&amp;$AS$1&amp;"P"&amp;$A23))</f>
        <v>0.01</v>
      </c>
      <c r="DC23" s="3">
        <f>IF(RTD("tos.rtd",,DC$2,"."&amp;$A$2&amp;$AS$1&amp;"C"&amp;$A23)="N/A",0,RTD("tos.rtd",,DC$2,"."&amp;$A$2&amp;$AS$1&amp;"C"&amp;$A23))</f>
        <v>3.99</v>
      </c>
      <c r="DD23" s="3">
        <f>IF(RTD("tos.rtd",,DD$2,"."&amp;$A$2&amp;$AS$1&amp;"P"&amp;$A23)="N/A",0,RTD("tos.rtd",,DD$2,"."&amp;$A$2&amp;$AS$1&amp;"P"&amp;$A23))</f>
        <v>0.02</v>
      </c>
      <c r="DE23" s="3">
        <f>IF(RTD("tos.rtd",,DE$2,"."&amp;$A$2&amp;$AS$1&amp;"C"&amp;$A23)="N/A",0,RTD("tos.rtd",,DE$2,"."&amp;$A$2&amp;$AS$1&amp;"C"&amp;$A23))</f>
        <v>3.93</v>
      </c>
      <c r="DF23" s="3">
        <f>IF(RTD("tos.rtd",,DF$2,"."&amp;$A$2&amp;$AS$1&amp;"P"&amp;$A23)="N/A",0,RTD("tos.rtd",,DF$2,"."&amp;$A$2&amp;$AS$1&amp;"P"&amp;$A23))</f>
        <v>0.01</v>
      </c>
      <c r="DG23" s="86">
        <f t="shared" si="48"/>
        <v>-3.9700000000000273</v>
      </c>
      <c r="DH23" s="3">
        <f t="shared" ref="DH23:DH29" si="162">((DA23-DE23)/(DC23-DE23))*(BA23-AP23)</f>
        <v>-1.3333333333333333</v>
      </c>
      <c r="DI23" s="3">
        <f t="shared" ref="DI23:DI29" si="163">((DB23-DF23)/(DD23-DF23))*(BB23-AQ23)</f>
        <v>0</v>
      </c>
      <c r="DJ23" s="3">
        <f t="shared" ref="DJ23:DJ29" si="164">IF(DA23&gt;=(DE23+(DC23-DE23)*0.6),(BA23-AP23),IF(DA23&lt;=(DE23+(DC23-DE23)*0.4),-(BA23-AP23),0))</f>
        <v>-2</v>
      </c>
      <c r="DK23" s="3">
        <f t="shared" si="51"/>
        <v>170</v>
      </c>
      <c r="DL23" s="3">
        <f t="shared" si="52"/>
        <v>-1.3333333333333333</v>
      </c>
      <c r="DM23" s="3">
        <f t="shared" si="53"/>
        <v>168</v>
      </c>
      <c r="DN23" s="63" t="str">
        <f t="shared" si="54"/>
        <v>SELL</v>
      </c>
      <c r="DO23" s="63" t="str">
        <f t="shared" si="55"/>
        <v>SELL</v>
      </c>
      <c r="DP23" s="3">
        <f t="shared" si="56"/>
        <v>-5.1866666666666665</v>
      </c>
      <c r="DQ23" s="3">
        <f t="shared" si="57"/>
        <v>-6.08</v>
      </c>
      <c r="DR23" s="3" t="e">
        <f t="shared" ca="1" si="58"/>
        <v>#NUM!</v>
      </c>
      <c r="DS23" s="3">
        <f t="shared" si="59"/>
        <v>1.4</v>
      </c>
      <c r="DT23" s="3">
        <f t="shared" si="60"/>
        <v>2</v>
      </c>
      <c r="DU23" s="3">
        <f t="shared" si="61"/>
        <v>-170</v>
      </c>
      <c r="DV23" s="3">
        <f t="shared" si="62"/>
        <v>1477</v>
      </c>
      <c r="DW23" s="3">
        <f t="shared" si="23"/>
        <v>-5060</v>
      </c>
      <c r="DX23" s="3" t="e">
        <f t="shared" ca="1" si="24"/>
        <v>#NUM!</v>
      </c>
      <c r="DY23" s="3" t="e">
        <f t="shared" ca="1" si="25"/>
        <v>#NUM!</v>
      </c>
      <c r="DZ23" s="3">
        <f t="shared" ca="1" si="26"/>
        <v>2.1024628601995436E-2</v>
      </c>
      <c r="EA23" s="3">
        <f t="shared" ca="1" si="27"/>
        <v>-2.0955564139211066E-2</v>
      </c>
      <c r="EB23" s="3">
        <f t="shared" ca="1" si="28"/>
        <v>2.077995758858265E-2</v>
      </c>
      <c r="EC23" s="3">
        <f t="shared" ca="1" si="29"/>
        <v>-2.0926098455632536E-2</v>
      </c>
      <c r="EE23" s="59">
        <f t="shared" ref="EE23:EE29" si="165">IFERROR(VALUE(IF(OR(EL23="--",EL23="0.00%"),$EE$1,EL23)),$EE$1)</f>
        <v>0.25</v>
      </c>
      <c r="EF23" s="59">
        <f t="shared" ref="EF23:EF29" si="166">IFERROR(VALUE(IF(OR(EM23="--",EM23="0.00%"),$EE$1,EM23)),$EE$1)</f>
        <v>0.45789999999999997</v>
      </c>
      <c r="EG23" s="59">
        <f t="shared" ref="EG23:EG29" si="167">IFERROR(VALUE(IF(OR(EN23="--",EN23="0.00%"),$EE$1,EN23)),$EE$1)</f>
        <v>0.19900000000000001</v>
      </c>
      <c r="EH23" s="59">
        <f t="shared" ref="EH23:EH29" si="168">IFERROR(VALUE(IF(OR(EO23="--",EO23="0.00%"),$EE$1,EO23)),$EE$1)</f>
        <v>0.19969999999999999</v>
      </c>
      <c r="EI23" s="59">
        <f t="shared" ref="EI23:EI29" si="169">IFERROR(VALUE(IF(OR(EP23="--",EP23="0.00%"),$EE$1,EP23)),$EE$1)</f>
        <v>0.20150000000000001</v>
      </c>
      <c r="EJ23" s="59">
        <f t="shared" ref="EJ23:EJ29" si="170">IFERROR(VALUE(IF(OR(EQ23="--",EQ23="0.00%"),$EE$1,EQ23)),$EE$1)</f>
        <v>0.2</v>
      </c>
      <c r="EL23" s="3" t="str">
        <f>RTD("tos.rtd",,EL$2,"."&amp;$A$2&amp;$AS$1&amp;"C"&amp;$A23)</f>
        <v>--</v>
      </c>
      <c r="EM23" s="3" t="str">
        <f>RTD("tos.rtd",,EM$2,"."&amp;$A$2&amp;$AS$1&amp;"P"&amp;$A23)</f>
        <v>45.79%</v>
      </c>
      <c r="EN23" s="3" t="str">
        <f>RTD("tos.rtd",,EN$2,"."&amp;$A$2&amp;$AU$1&amp;"C"&amp;$A23)</f>
        <v>19.90%</v>
      </c>
      <c r="EO23" s="3" t="str">
        <f>RTD("tos.rtd",,EO$2,"."&amp;$A$2&amp;$AU$1&amp;"P"&amp;$A23)</f>
        <v>19.97%</v>
      </c>
      <c r="EP23" s="3" t="str">
        <f>RTD("tos.rtd",,EP$2,"."&amp;$A$2&amp;$AW$1&amp;"C"&amp;$A23)</f>
        <v>20.15%</v>
      </c>
      <c r="EQ23" s="3" t="str">
        <f>RTD("tos.rtd",,EQ$2,"."&amp;$A$2&amp;$AW$1&amp;"P"&amp;$A23)</f>
        <v>20.00%</v>
      </c>
      <c r="ET23" s="63" t="str">
        <f t="shared" ca="1" si="64"/>
        <v>563,00.00</v>
      </c>
      <c r="EU23" s="67">
        <v>560.84</v>
      </c>
      <c r="EV23" s="67" t="s">
        <v>203</v>
      </c>
      <c r="EW23" s="67">
        <v>482.75</v>
      </c>
      <c r="EX23" s="67" t="s">
        <v>204</v>
      </c>
      <c r="EY23" s="67">
        <v>5623.25</v>
      </c>
      <c r="EZ23" s="67" t="s">
        <v>205</v>
      </c>
      <c r="FA23" s="67">
        <v>19835.5</v>
      </c>
      <c r="FB23" s="67" t="s">
        <v>206</v>
      </c>
      <c r="FC23" s="67" t="s">
        <v>207</v>
      </c>
      <c r="FD23" s="67" t="s">
        <v>208</v>
      </c>
      <c r="FE23" s="67" t="s">
        <v>209</v>
      </c>
      <c r="FF23" s="67" t="s">
        <v>210</v>
      </c>
    </row>
    <row r="24" spans="1:162" s="63" customFormat="1" ht="13.5" thickBot="1" x14ac:dyDescent="0.25">
      <c r="A24" s="2">
        <f t="shared" si="65"/>
        <v>562</v>
      </c>
      <c r="B24" s="3">
        <f t="shared" si="138"/>
        <v>9647</v>
      </c>
      <c r="C24" s="3">
        <f t="shared" si="139"/>
        <v>2557</v>
      </c>
      <c r="D24" s="3">
        <f t="shared" si="140"/>
        <v>7816</v>
      </c>
      <c r="E24" s="3">
        <f t="shared" si="141"/>
        <v>20020</v>
      </c>
      <c r="F24" s="4">
        <f t="shared" si="142"/>
        <v>5659.6989258690937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-1546</v>
      </c>
      <c r="AN24" s="1">
        <v>31909</v>
      </c>
      <c r="AO24" s="1">
        <v>562</v>
      </c>
      <c r="AP24" s="1">
        <v>22834</v>
      </c>
      <c r="AQ24" s="1">
        <v>-150122</v>
      </c>
      <c r="AR24" s="1"/>
      <c r="AS24" s="6">
        <f>IF(RTD("tos.rtd",,AS$2,"."&amp;$A$2&amp;$AS$1&amp;"C"&amp;$A24)="N/A",0,RTD("tos.rtd",,AS$2,"."&amp;$A$2&amp;$AS$1&amp;"C"&amp;$A24))</f>
        <v>6888</v>
      </c>
      <c r="AT24" s="7">
        <f>-IF(RTD("tos.rtd",,AT$2,"."&amp;$A$2&amp;$AS$1&amp;"P"&amp;$A24)="N/A",0,RTD("tos.rtd",,AT$2,"."&amp;$A$2&amp;$AS$1&amp;"P"&amp;$A24))</f>
        <v>-2759</v>
      </c>
      <c r="AU24" s="6">
        <f>IF(RTD("tos.rtd",,AU$2,"."&amp;$A$2&amp;$AU$1&amp;"C"&amp;$A24)="N/A",0,RTD("tos.rtd",,AU$2,"."&amp;$A$2&amp;$AU$1&amp;"C"&amp;$A24))</f>
        <v>2106</v>
      </c>
      <c r="AV24" s="7">
        <f>-IF(RTD("tos.rtd",,AV$2,"."&amp;$A$2&amp;$AU$1&amp;"P"&amp;$A24)="N/A",0,RTD("tos.rtd",,AV$2,"."&amp;$A$2&amp;$AU$1&amp;"P"&amp;$A24))</f>
        <v>-451</v>
      </c>
      <c r="AW24" s="6">
        <f>IF(RTD("tos.rtd",,AW$2,"."&amp;$A$2&amp;$AW$1&amp;"C"&amp;$A24)="N/A",0,RTD("tos.rtd",,AW$2,"."&amp;$A$2&amp;$AW$1&amp;"C"&amp;$A24))</f>
        <v>5250</v>
      </c>
      <c r="AX24" s="7">
        <f>-IF(RTD("tos.rtd",,AX$2,"."&amp;$A$2&amp;$AW$1&amp;"P"&amp;$A24)="N/A",0,RTD("tos.rtd",,AX$2,"."&amp;$A$2&amp;$AW$1&amp;"P"&amp;$A24))</f>
        <v>-2566</v>
      </c>
      <c r="AY24" s="1">
        <f t="shared" si="143"/>
        <v>8468</v>
      </c>
      <c r="AZ24" s="8">
        <f t="shared" si="35"/>
        <v>562</v>
      </c>
      <c r="BA24" s="6">
        <f>IF(RTD("tos.rtd",,BA$2,"."&amp;$A$2&amp;$AS$1&amp;"C"&amp;$A24)="N/A",0,RTD("tos.rtd",,BA$2,"."&amp;$A$2&amp;$AS$1&amp;"C"&amp;$A24))</f>
        <v>22837</v>
      </c>
      <c r="BB24" s="7">
        <f>-IF(RTD("tos.rtd",,BB$2,"."&amp;$A$2&amp;$AS$1&amp;"P"&amp;$A24)="N/A",0,RTD("tos.rtd",,BB$2,"."&amp;$A$2&amp;$AS$1&amp;"P"&amp;$A24))</f>
        <v>-150178</v>
      </c>
      <c r="BC24" s="6">
        <f>IF(RTD("tos.rtd",,BC$2,"."&amp;$A$2&amp;$AU$1&amp;"C"&amp;$A24)="N/A",0,RTD("tos.rtd",,BC$2,"."&amp;$A$2&amp;$AU$1&amp;"C"&amp;$A24))</f>
        <v>1290</v>
      </c>
      <c r="BD24" s="7">
        <f>-IF(RTD("tos.rtd",,BD$2,"."&amp;$A$2&amp;$AU$1&amp;"P"&amp;$A24)="N/A",0,RTD("tos.rtd",,BD$2,"."&amp;$A$2&amp;$AU$1&amp;"P"&amp;$A24))</f>
        <v>-7047</v>
      </c>
      <c r="BE24" s="6">
        <f>IF(RTD("tos.rtd",,BE$2,"."&amp;$A$2&amp;$AW$1&amp;"C"&amp;$A24)="N/A",0,RTD("tos.rtd",,BE$2,"."&amp;$A$2&amp;$AW$1&amp;"C"&amp;$A24))</f>
        <v>1253</v>
      </c>
      <c r="BF24" s="83">
        <f>-IF(RTD("tos.rtd",,BF$2,"."&amp;$A$2&amp;$AW$1&amp;"P"&amp;$A24)="N/A",0,RTD("tos.rtd",,BF$2,"."&amp;$A$2&amp;$AW$1&amp;"P"&amp;$A24))</f>
        <v>-879</v>
      </c>
      <c r="BG24" s="32" t="e">
        <f ca="1">+Hoja2!Y25</f>
        <v>#N/A</v>
      </c>
      <c r="BH24" s="7" t="e">
        <f t="shared" ca="1" si="36"/>
        <v>#N/A</v>
      </c>
      <c r="BI24" s="8" t="e">
        <f t="shared" ref="BI24" ca="1" si="171">IF(AND(BH24&lt;0,BH23&gt;0), "Cruce -", IF(AND(BH24&gt;0,BH23&lt;0),"Cruce +", ""))</f>
        <v>#N/A</v>
      </c>
      <c r="BJ24" s="3" t="e">
        <f ca="1">IF($BP$1=1,DX24,IF(RTD("tos.rtd",,BJ$2,"."&amp;$A$2&amp;$AS$1&amp;"C"&amp;$A24)="N/A",0,RTD("tos.rtd",,BJ$2,"."&amp;$A$2&amp;$AS$1&amp;"C"&amp;$A24)))</f>
        <v>#NUM!</v>
      </c>
      <c r="BK24" s="3" t="e">
        <f ca="1">IF($BP$1=1,DY24,-IF(RTD("tos.rtd",,BK$2,"."&amp;$A$2&amp;$AS$1&amp;"P"&amp;$A24)="N/A",0,RTD("tos.rtd",,BK$2,"."&amp;$A$2&amp;$AS$1&amp;"P"&amp;$A24)))</f>
        <v>#NUM!</v>
      </c>
      <c r="BL24" s="3">
        <f ca="1">IF($BP$1=1,DZ24,IF(RTD("tos.rtd",,BL$2,"."&amp;$A$2&amp;$AU$1&amp;"C"&amp;$A24)="N/A",0,RTD("tos.rtd",,BL$2,"."&amp;$A$2&amp;$AU$1&amp;"C"&amp;$A24)))</f>
        <v>2.0433856782425465E-2</v>
      </c>
      <c r="BM24" s="3">
        <f ca="1">IF($BP$1=1,EA24,-IF(RTD("tos.rtd",,BM$2,"."&amp;$A$2&amp;$AU$1&amp;"P"&amp;$A24)="N/A",0,RTD("tos.rtd",,BM$2,"."&amp;$A$2&amp;$AU$1&amp;"P"&amp;$A24)))</f>
        <v>-2.0397101160354404E-2</v>
      </c>
      <c r="BN24" s="3">
        <f ca="1">IF($BP$1=1,EB24,IF(RTD("tos.rtd",,BN$2,"."&amp;$A$2&amp;$AW$1&amp;"C"&amp;$A24)="N/A",0,RTD("tos.rtd",,BN$2,"."&amp;$A$2&amp;$AW$1&amp;"C"&amp;$A24)))</f>
        <v>2.0269429187293651E-2</v>
      </c>
      <c r="BO24" s="3">
        <f ca="1">IF($BP$1=1,EC24,-IF(RTD("tos.rtd",,BO$2,"."&amp;$A$2&amp;$AW$1&amp;"P"&amp;$A24)="N/A",0,RTD("tos.rtd",,BO$2,"."&amp;$A$2&amp;$AW$1&amp;"P"&amp;$A24)))</f>
        <v>-2.0378769883200976E-2</v>
      </c>
      <c r="BQ24" s="3" t="e">
        <f t="shared" ca="1" si="145"/>
        <v>#NUM!</v>
      </c>
      <c r="BR24" s="3" t="e">
        <f t="shared" ca="1" si="68"/>
        <v>#NUM!</v>
      </c>
      <c r="BS24" s="3">
        <f t="shared" ca="1" si="146"/>
        <v>10876303.834310256</v>
      </c>
      <c r="BT24" s="3" t="str">
        <f t="shared" ca="1" si="68"/>
        <v/>
      </c>
      <c r="BU24" s="3">
        <f t="shared" ca="1" si="147"/>
        <v>17397972.827900488</v>
      </c>
      <c r="BV24" s="3" t="str">
        <f t="shared" ref="BV24" ca="1" si="172">IF(AND(BU24&lt;0,BU23&gt;0), "Cruce -", IF(AND(BU24&gt;0,BU23&lt;0),"Cruce +", ""))</f>
        <v/>
      </c>
      <c r="BX24" s="3" t="e">
        <f t="shared" ca="1" si="149"/>
        <v>#NUM!</v>
      </c>
      <c r="BY24" s="3" t="e">
        <f t="shared" ca="1" si="70"/>
        <v>#NUM!</v>
      </c>
      <c r="BZ24" s="3">
        <f t="shared" ca="1" si="150"/>
        <v>-37731966.682520553</v>
      </c>
      <c r="CA24" s="3" t="str">
        <f t="shared" ca="1" si="71"/>
        <v/>
      </c>
      <c r="CB24" s="3">
        <f t="shared" ca="1" si="151"/>
        <v>2405979.9657780835</v>
      </c>
      <c r="CC24" s="3" t="str">
        <f t="shared" ca="1" si="72"/>
        <v/>
      </c>
      <c r="CD24" s="3">
        <f>IF(RTD("tos.rtd",,CD$2,"."&amp;$A$2&amp;$AS$1&amp;"C"&amp;$A24)="N/A",0,RTD("tos.rtd",,CD$2,"."&amp;$A$2&amp;$AS$1&amp;"C"&amp;$A24))</f>
        <v>0.98</v>
      </c>
      <c r="CE24" s="3">
        <f>-IF(RTD("tos.rtd",,CE$2,"."&amp;$A$2&amp;$AS$1&amp;"P"&amp;$A24)="N/A",0,RTD("tos.rtd",,CE$2,"."&amp;$A$2&amp;$AS$1&amp;"P"&amp;$A24))</f>
        <v>0.02</v>
      </c>
      <c r="CF24" s="3">
        <f>IF(RTD("tos.rtd",,CF$2,"."&amp;$A$2&amp;$AU$1&amp;"C"&amp;$A24)="N/A",0,RTD("tos.rtd",,CF$2,"."&amp;$A$2&amp;$AU$1&amp;"C"&amp;$A24))</f>
        <v>0.64</v>
      </c>
      <c r="CG24" s="3">
        <f>-IF(RTD("tos.rtd",,CG$2,"."&amp;$A$2&amp;$AU$1&amp;"P"&amp;$A24)="N/A",0,RTD("tos.rtd",,CG$2,"."&amp;$A$2&amp;$AU$1&amp;"P"&amp;$A24))</f>
        <v>0.36</v>
      </c>
      <c r="CH24" s="3">
        <f>IF(RTD("tos.rtd",,CH$2,"."&amp;$A$2&amp;$AW$1&amp;"C"&amp;$A24)="N/A",0,RTD("tos.rtd",,CH$2,"."&amp;$A$2&amp;$AW$1&amp;"C"&amp;$A24))</f>
        <v>0.61</v>
      </c>
      <c r="CI24" s="3">
        <f>-IF(RTD("tos.rtd",,CI$2,"."&amp;$A$2&amp;$AW$1&amp;"P"&amp;$A24)="N/A",0,RTD("tos.rtd",,CI$2,"."&amp;$A$2&amp;$AW$1&amp;"P"&amp;$A24))</f>
        <v>0.39</v>
      </c>
      <c r="CK24" s="3">
        <f t="shared" si="152"/>
        <v>669506</v>
      </c>
      <c r="CL24" s="3"/>
      <c r="CM24" s="3">
        <f t="shared" si="153"/>
        <v>118548</v>
      </c>
      <c r="CN24" s="3"/>
      <c r="CO24" s="3">
        <f t="shared" si="154"/>
        <v>220176</v>
      </c>
      <c r="CP24" s="3">
        <f t="shared" si="155"/>
        <v>1008230</v>
      </c>
      <c r="CQ24" s="3">
        <f t="shared" si="156"/>
        <v>-127341</v>
      </c>
      <c r="CR24" s="3"/>
      <c r="CS24" s="3">
        <f t="shared" si="157"/>
        <v>-5757</v>
      </c>
      <c r="CT24" s="3"/>
      <c r="CU24" s="3">
        <f t="shared" si="158"/>
        <v>374</v>
      </c>
      <c r="CV24" s="3">
        <f t="shared" si="159"/>
        <v>-132724</v>
      </c>
      <c r="CW24" s="3" t="e">
        <f t="shared" ca="1" si="160"/>
        <v>#NUM!</v>
      </c>
      <c r="CX24" s="85" t="e">
        <f t="shared" ca="1" si="73"/>
        <v>#NUM!</v>
      </c>
      <c r="CY24" s="3" t="e">
        <f t="shared" ca="1" si="161"/>
        <v>#NUM!</v>
      </c>
      <c r="CZ24" s="85" t="e">
        <f t="shared" ca="1" si="74"/>
        <v>#NUM!</v>
      </c>
      <c r="DA24" s="3">
        <f>IF(RTD("tos.rtd",,DA$2,"."&amp;$A$2&amp;$AS$1&amp;"C"&amp;$A24)="N/A",0,RTD("tos.rtd",,DA$2,"."&amp;$A$2&amp;$AS$1&amp;"C"&amp;$A24))</f>
        <v>4.91</v>
      </c>
      <c r="DB24" s="3">
        <f>IF(RTD("tos.rtd",,DB$2,"."&amp;$A$2&amp;$AS$1&amp;"P"&amp;$A24)="N/A",0,RTD("tos.rtd",,DB$2,"."&amp;$A$2&amp;$AS$1&amp;"P"&amp;$A24))</f>
        <v>0.02</v>
      </c>
      <c r="DC24" s="3">
        <f>IF(RTD("tos.rtd",,DC$2,"."&amp;$A$2&amp;$AS$1&amp;"C"&amp;$A24)="N/A",0,RTD("tos.rtd",,DC$2,"."&amp;$A$2&amp;$AS$1&amp;"C"&amp;$A24))</f>
        <v>5.04</v>
      </c>
      <c r="DD24" s="3">
        <f>IF(RTD("tos.rtd",,DD$2,"."&amp;$A$2&amp;$AS$1&amp;"P"&amp;$A24)="N/A",0,RTD("tos.rtd",,DD$2,"."&amp;$A$2&amp;$AS$1&amp;"P"&amp;$A24))</f>
        <v>0.02</v>
      </c>
      <c r="DE24" s="3">
        <f>IF(RTD("tos.rtd",,DE$2,"."&amp;$A$2&amp;$AS$1&amp;"C"&amp;$A24)="N/A",0,RTD("tos.rtd",,DE$2,"."&amp;$A$2&amp;$AS$1&amp;"C"&amp;$A24))</f>
        <v>4.9400000000000004</v>
      </c>
      <c r="DF24" s="3">
        <f>IF(RTD("tos.rtd",,DF$2,"."&amp;$A$2&amp;$AS$1&amp;"P"&amp;$A24)="N/A",0,RTD("tos.rtd",,DF$2,"."&amp;$A$2&amp;$AS$1&amp;"P"&amp;$A24))</f>
        <v>0.01</v>
      </c>
      <c r="DG24" s="86">
        <f t="shared" si="48"/>
        <v>-4.9700000000000273</v>
      </c>
      <c r="DH24" s="3">
        <f t="shared" si="162"/>
        <v>-0.90000000000001057</v>
      </c>
      <c r="DI24" s="3">
        <f t="shared" si="163"/>
        <v>-56</v>
      </c>
      <c r="DJ24" s="3">
        <f t="shared" si="164"/>
        <v>-3</v>
      </c>
      <c r="DK24" s="3">
        <f t="shared" si="51"/>
        <v>-56</v>
      </c>
      <c r="DL24" s="3">
        <f t="shared" si="52"/>
        <v>-56.900000000000013</v>
      </c>
      <c r="DM24" s="3">
        <f t="shared" si="53"/>
        <v>-59</v>
      </c>
      <c r="DN24" s="63" t="str">
        <f t="shared" si="54"/>
        <v>SELL</v>
      </c>
      <c r="DO24" s="63" t="str">
        <f t="shared" si="55"/>
        <v>BUY</v>
      </c>
      <c r="DP24" s="3">
        <f t="shared" si="56"/>
        <v>-5.5390000000000521</v>
      </c>
      <c r="DQ24" s="3">
        <f t="shared" si="57"/>
        <v>-15.850000000000001</v>
      </c>
      <c r="DR24" s="3" t="e">
        <f t="shared" ca="1" si="58"/>
        <v>#NUM!</v>
      </c>
      <c r="DS24" s="3">
        <f t="shared" si="59"/>
        <v>-4.0600000000000005</v>
      </c>
      <c r="DT24" s="3">
        <f t="shared" si="60"/>
        <v>3</v>
      </c>
      <c r="DU24" s="3">
        <f t="shared" si="61"/>
        <v>-56</v>
      </c>
      <c r="DV24" s="3">
        <f t="shared" si="62"/>
        <v>-1549</v>
      </c>
      <c r="DW24" s="3">
        <f t="shared" si="23"/>
        <v>31853</v>
      </c>
      <c r="DX24" s="3" t="e">
        <f t="shared" ca="1" si="24"/>
        <v>#NUM!</v>
      </c>
      <c r="DY24" s="3" t="e">
        <f t="shared" ca="1" si="25"/>
        <v>#NUM!</v>
      </c>
      <c r="DZ24" s="3">
        <f t="shared" ca="1" si="26"/>
        <v>2.0433856782425465E-2</v>
      </c>
      <c r="EA24" s="3">
        <f t="shared" ca="1" si="27"/>
        <v>-2.0397101160354404E-2</v>
      </c>
      <c r="EB24" s="3">
        <f t="shared" ca="1" si="28"/>
        <v>2.0269429187293651E-2</v>
      </c>
      <c r="EC24" s="3">
        <f t="shared" ca="1" si="29"/>
        <v>-2.0378769883200976E-2</v>
      </c>
      <c r="EE24" s="59">
        <f t="shared" si="165"/>
        <v>0.57430000000000003</v>
      </c>
      <c r="EF24" s="59">
        <f t="shared" si="166"/>
        <v>0.5554</v>
      </c>
      <c r="EG24" s="59">
        <f t="shared" si="167"/>
        <v>0.20169999999999999</v>
      </c>
      <c r="EH24" s="59">
        <f t="shared" si="168"/>
        <v>0.2021</v>
      </c>
      <c r="EI24" s="59">
        <f t="shared" si="169"/>
        <v>0.20349999999999999</v>
      </c>
      <c r="EJ24" s="59">
        <f t="shared" si="170"/>
        <v>0.20230000000000001</v>
      </c>
      <c r="EL24" s="3" t="str">
        <f>RTD("tos.rtd",,EL$2,"."&amp;$A$2&amp;$AS$1&amp;"C"&amp;$A24)</f>
        <v>57.43%</v>
      </c>
      <c r="EM24" s="3" t="str">
        <f>RTD("tos.rtd",,EM$2,"."&amp;$A$2&amp;$AS$1&amp;"P"&amp;$A24)</f>
        <v>55.54%</v>
      </c>
      <c r="EN24" s="3" t="str">
        <f>RTD("tos.rtd",,EN$2,"."&amp;$A$2&amp;$AU$1&amp;"C"&amp;$A24)</f>
        <v>20.17%</v>
      </c>
      <c r="EO24" s="3" t="str">
        <f>RTD("tos.rtd",,EO$2,"."&amp;$A$2&amp;$AU$1&amp;"P"&amp;$A24)</f>
        <v>20.21%</v>
      </c>
      <c r="EP24" s="3" t="str">
        <f>RTD("tos.rtd",,EP$2,"."&amp;$A$2&amp;$AW$1&amp;"C"&amp;$A24)</f>
        <v>20.35%</v>
      </c>
      <c r="EQ24" s="3" t="str">
        <f>RTD("tos.rtd",,EQ$2,"."&amp;$A$2&amp;$AW$1&amp;"P"&amp;$A24)</f>
        <v>20.23%</v>
      </c>
      <c r="ET24" s="63" t="str">
        <f t="shared" ca="1" si="64"/>
        <v>562,00.00</v>
      </c>
      <c r="EU24" s="67">
        <v>560.74</v>
      </c>
      <c r="EV24" s="67" t="s">
        <v>211</v>
      </c>
      <c r="EW24" s="67">
        <v>482.68</v>
      </c>
      <c r="EX24" s="67" t="s">
        <v>212</v>
      </c>
      <c r="EY24" s="67">
        <v>5622.5</v>
      </c>
      <c r="EZ24" s="67" t="s">
        <v>213</v>
      </c>
      <c r="FA24" s="67">
        <v>19832.5</v>
      </c>
      <c r="FB24" s="67" t="s">
        <v>214</v>
      </c>
      <c r="FC24" s="67" t="s">
        <v>215</v>
      </c>
      <c r="FD24" s="67" t="s">
        <v>216</v>
      </c>
      <c r="FE24" s="67" t="s">
        <v>217</v>
      </c>
      <c r="FF24" s="67" t="s">
        <v>218</v>
      </c>
    </row>
    <row r="25" spans="1:162" s="63" customFormat="1" ht="13.5" thickBot="1" x14ac:dyDescent="0.25">
      <c r="A25" s="2">
        <f t="shared" si="65"/>
        <v>561</v>
      </c>
      <c r="B25" s="3">
        <f t="shared" si="138"/>
        <v>10569</v>
      </c>
      <c r="C25" s="3">
        <f t="shared" si="139"/>
        <v>2685</v>
      </c>
      <c r="D25" s="3">
        <f t="shared" si="140"/>
        <v>5219</v>
      </c>
      <c r="E25" s="3">
        <f t="shared" si="141"/>
        <v>18473</v>
      </c>
      <c r="F25" s="4">
        <f t="shared" si="142"/>
        <v>5649.6282872109632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-1271</v>
      </c>
      <c r="AN25" s="1">
        <v>9923</v>
      </c>
      <c r="AO25" s="1">
        <v>561</v>
      </c>
      <c r="AP25" s="1">
        <v>7587</v>
      </c>
      <c r="AQ25" s="1">
        <v>-102111</v>
      </c>
      <c r="AR25" s="1"/>
      <c r="AS25" s="6">
        <f>IF(RTD("tos.rtd",,AS$2,"."&amp;$A$2&amp;$AS$1&amp;"C"&amp;$A25)="N/A",0,RTD("tos.rtd",,AS$2,"."&amp;$A$2&amp;$AS$1&amp;"C"&amp;$A25))</f>
        <v>5061</v>
      </c>
      <c r="AT25" s="7">
        <f>-IF(RTD("tos.rtd",,AT$2,"."&amp;$A$2&amp;$AS$1&amp;"P"&amp;$A25)="N/A",0,RTD("tos.rtd",,AT$2,"."&amp;$A$2&amp;$AS$1&amp;"P"&amp;$A25))</f>
        <v>-5508</v>
      </c>
      <c r="AU25" s="6">
        <f>IF(RTD("tos.rtd",,AU$2,"."&amp;$A$2&amp;$AU$1&amp;"C"&amp;$A25)="N/A",0,RTD("tos.rtd",,AU$2,"."&amp;$A$2&amp;$AU$1&amp;"C"&amp;$A25))</f>
        <v>1494</v>
      </c>
      <c r="AV25" s="7">
        <f>-IF(RTD("tos.rtd",,AV$2,"."&amp;$A$2&amp;$AU$1&amp;"P"&amp;$A25)="N/A",0,RTD("tos.rtd",,AV$2,"."&amp;$A$2&amp;$AU$1&amp;"P"&amp;$A25))</f>
        <v>-1191</v>
      </c>
      <c r="AW25" s="6">
        <f>IF(RTD("tos.rtd",,AW$2,"."&amp;$A$2&amp;$AW$1&amp;"C"&amp;$A25)="N/A",0,RTD("tos.rtd",,AW$2,"."&amp;$A$2&amp;$AW$1&amp;"C"&amp;$A25))</f>
        <v>3968</v>
      </c>
      <c r="AX25" s="7">
        <f>-IF(RTD("tos.rtd",,AX$2,"."&amp;$A$2&amp;$AW$1&amp;"P"&amp;$A25)="N/A",0,RTD("tos.rtd",,AX$2,"."&amp;$A$2&amp;$AW$1&amp;"P"&amp;$A25))</f>
        <v>-1251</v>
      </c>
      <c r="AY25" s="1">
        <f t="shared" si="143"/>
        <v>2573</v>
      </c>
      <c r="AZ25" s="8">
        <f t="shared" si="35"/>
        <v>561</v>
      </c>
      <c r="BA25" s="6">
        <f>IF(RTD("tos.rtd",,BA$2,"."&amp;$A$2&amp;$AS$1&amp;"C"&amp;$A25)="N/A",0,RTD("tos.rtd",,BA$2,"."&amp;$A$2&amp;$AS$1&amp;"C"&amp;$A25))</f>
        <v>7590</v>
      </c>
      <c r="BB25" s="7">
        <f>-IF(RTD("tos.rtd",,BB$2,"."&amp;$A$2&amp;$AS$1&amp;"P"&amp;$A25)="N/A",0,RTD("tos.rtd",,BB$2,"."&amp;$A$2&amp;$AS$1&amp;"P"&amp;$A25))</f>
        <v>-102112</v>
      </c>
      <c r="BC25" s="6">
        <f>IF(RTD("tos.rtd",,BC$2,"."&amp;$A$2&amp;$AU$1&amp;"C"&amp;$A25)="N/A",0,RTD("tos.rtd",,BC$2,"."&amp;$A$2&amp;$AU$1&amp;"C"&amp;$A25))</f>
        <v>599</v>
      </c>
      <c r="BD25" s="7">
        <f>-IF(RTD("tos.rtd",,BD$2,"."&amp;$A$2&amp;$AU$1&amp;"P"&amp;$A25)="N/A",0,RTD("tos.rtd",,BD$2,"."&amp;$A$2&amp;$AU$1&amp;"P"&amp;$A25))</f>
        <v>-2733</v>
      </c>
      <c r="BE25" s="6">
        <f>IF(RTD("tos.rtd",,BE$2,"."&amp;$A$2&amp;$AW$1&amp;"C"&amp;$A25)="N/A",0,RTD("tos.rtd",,BE$2,"."&amp;$A$2&amp;$AW$1&amp;"C"&amp;$A25))</f>
        <v>1330</v>
      </c>
      <c r="BF25" s="83">
        <f>-IF(RTD("tos.rtd",,BF$2,"."&amp;$A$2&amp;$AW$1&amp;"P"&amp;$A25)="N/A",0,RTD("tos.rtd",,BF$2,"."&amp;$A$2&amp;$AW$1&amp;"P"&amp;$A25))</f>
        <v>-769</v>
      </c>
      <c r="BG25" s="32" t="e">
        <f ca="1">+Hoja2!Y26</f>
        <v>#N/A</v>
      </c>
      <c r="BH25" s="7" t="e">
        <f t="shared" ca="1" si="36"/>
        <v>#N/A</v>
      </c>
      <c r="BI25" s="8" t="e">
        <f t="shared" ref="BI25" ca="1" si="173">IF(AND(BH25&lt;0,BH24&gt;0), "Cruce -", IF(AND(BH25&gt;0,BH24&lt;0),"Cruce +", ""))</f>
        <v>#N/A</v>
      </c>
      <c r="BJ25" s="3" t="e">
        <f ca="1">IF($BP$1=1,DX25,IF(RTD("tos.rtd",,BJ$2,"."&amp;$A$2&amp;$AS$1&amp;"C"&amp;$A25)="N/A",0,RTD("tos.rtd",,BJ$2,"."&amp;$A$2&amp;$AS$1&amp;"C"&amp;$A25)))</f>
        <v>#NUM!</v>
      </c>
      <c r="BK25" s="3" t="e">
        <f ca="1">IF($BP$1=1,DY25,-IF(RTD("tos.rtd",,BK$2,"."&amp;$A$2&amp;$AS$1&amp;"P"&amp;$A25)="N/A",0,RTD("tos.rtd",,BK$2,"."&amp;$A$2&amp;$AS$1&amp;"P"&amp;$A25)))</f>
        <v>#NUM!</v>
      </c>
      <c r="BL25" s="3">
        <f ca="1">IF($BP$1=1,DZ25,IF(RTD("tos.rtd",,BL$2,"."&amp;$A$2&amp;$AU$1&amp;"C"&amp;$A25)="N/A",0,RTD("tos.rtd",,BL$2,"."&amp;$A$2&amp;$AU$1&amp;"C"&amp;$A25)))</f>
        <v>1.984597416687689E-2</v>
      </c>
      <c r="BM25" s="3">
        <f ca="1">IF($BP$1=1,EA25,-IF(RTD("tos.rtd",,BM$2,"."&amp;$A$2&amp;$AU$1&amp;"P"&amp;$A25)="N/A",0,RTD("tos.rtd",,BM$2,"."&amp;$A$2&amp;$AU$1&amp;"P"&amp;$A25)))</f>
        <v>-1.9795007599337291E-2</v>
      </c>
      <c r="BN25" s="3">
        <f ca="1">IF($BP$1=1,EB25,IF(RTD("tos.rtd",,BN$2,"."&amp;$A$2&amp;$AW$1&amp;"C"&amp;$A25)="N/A",0,RTD("tos.rtd",,BN$2,"."&amp;$A$2&amp;$AW$1&amp;"C"&amp;$A25)))</f>
        <v>1.9685392607219011E-2</v>
      </c>
      <c r="BO25" s="3">
        <f ca="1">IF($BP$1=1,EC25,-IF(RTD("tos.rtd",,BO$2,"."&amp;$A$2&amp;$AW$1&amp;"P"&amp;$A25)="N/A",0,RTD("tos.rtd",,BO$2,"."&amp;$A$2&amp;$AW$1&amp;"P"&amp;$A25)))</f>
        <v>-1.9820461118262044E-2</v>
      </c>
      <c r="BQ25" s="3" t="e">
        <f t="shared" ca="1" si="145"/>
        <v>#NUM!</v>
      </c>
      <c r="BR25" s="3" t="e">
        <f t="shared" ca="1" si="68"/>
        <v>#NUM!</v>
      </c>
      <c r="BS25" s="3">
        <f t="shared" ca="1" si="146"/>
        <v>1952527.6330478778</v>
      </c>
      <c r="BT25" s="3" t="str">
        <f t="shared" ca="1" si="68"/>
        <v/>
      </c>
      <c r="BU25" s="3">
        <f t="shared" ca="1" si="147"/>
        <v>17138771.234404001</v>
      </c>
      <c r="BV25" s="3" t="str">
        <f t="shared" ref="BV25" ca="1" si="174">IF(AND(BU25&lt;0,BU24&gt;0), "Cruce -", IF(AND(BU25&gt;0,BU24&lt;0),"Cruce +", ""))</f>
        <v/>
      </c>
      <c r="BX25" s="3" t="e">
        <f t="shared" ca="1" si="149"/>
        <v>#NUM!</v>
      </c>
      <c r="BY25" s="3" t="e">
        <f t="shared" ca="1" si="70"/>
        <v>#NUM!</v>
      </c>
      <c r="BZ25" s="3">
        <f t="shared" ca="1" si="150"/>
        <v>-13569263.19660854</v>
      </c>
      <c r="CA25" s="3" t="str">
        <f t="shared" ca="1" si="71"/>
        <v/>
      </c>
      <c r="CB25" s="3">
        <f t="shared" ca="1" si="151"/>
        <v>3516600.9853643524</v>
      </c>
      <c r="CC25" s="3" t="str">
        <f t="shared" ca="1" si="72"/>
        <v/>
      </c>
      <c r="CD25" s="3">
        <f>IF(RTD("tos.rtd",,CD$2,"."&amp;$A$2&amp;$AS$1&amp;"C"&amp;$A25)="N/A",0,RTD("tos.rtd",,CD$2,"."&amp;$A$2&amp;$AS$1&amp;"C"&amp;$A25))</f>
        <v>0.99</v>
      </c>
      <c r="CE25" s="3">
        <f>-IF(RTD("tos.rtd",,CE$2,"."&amp;$A$2&amp;$AS$1&amp;"P"&amp;$A25)="N/A",0,RTD("tos.rtd",,CE$2,"."&amp;$A$2&amp;$AS$1&amp;"P"&amp;$A25))</f>
        <v>0.01</v>
      </c>
      <c r="CF25" s="3">
        <f>IF(RTD("tos.rtd",,CF$2,"."&amp;$A$2&amp;$AU$1&amp;"C"&amp;$A25)="N/A",0,RTD("tos.rtd",,CF$2,"."&amp;$A$2&amp;$AU$1&amp;"C"&amp;$A25))</f>
        <v>0.66</v>
      </c>
      <c r="CG25" s="3">
        <f>-IF(RTD("tos.rtd",,CG$2,"."&amp;$A$2&amp;$AU$1&amp;"P"&amp;$A25)="N/A",0,RTD("tos.rtd",,CG$2,"."&amp;$A$2&amp;$AU$1&amp;"P"&amp;$A25))</f>
        <v>0.34</v>
      </c>
      <c r="CH25" s="3">
        <f>IF(RTD("tos.rtd",,CH$2,"."&amp;$A$2&amp;$AW$1&amp;"C"&amp;$A25)="N/A",0,RTD("tos.rtd",,CH$2,"."&amp;$A$2&amp;$AW$1&amp;"C"&amp;$A25))</f>
        <v>0.62</v>
      </c>
      <c r="CI25" s="3">
        <f>-IF(RTD("tos.rtd",,CI$2,"."&amp;$A$2&amp;$AW$1&amp;"P"&amp;$A25)="N/A",0,RTD("tos.rtd",,CI$2,"."&amp;$A$2&amp;$AW$1&amp;"P"&amp;$A25))</f>
        <v>0.38</v>
      </c>
      <c r="CK25" s="3">
        <f t="shared" si="152"/>
        <v>495531.00000000006</v>
      </c>
      <c r="CL25" s="3"/>
      <c r="CM25" s="3">
        <f t="shared" si="153"/>
        <v>58110.000000000007</v>
      </c>
      <c r="CN25" s="3"/>
      <c r="CO25" s="3">
        <f t="shared" si="154"/>
        <v>198478</v>
      </c>
      <c r="CP25" s="3">
        <f t="shared" si="155"/>
        <v>752119.00000000012</v>
      </c>
      <c r="CQ25" s="3">
        <f t="shared" si="156"/>
        <v>-94522</v>
      </c>
      <c r="CR25" s="3"/>
      <c r="CS25" s="3">
        <f t="shared" si="157"/>
        <v>-2134</v>
      </c>
      <c r="CT25" s="3"/>
      <c r="CU25" s="3">
        <f t="shared" si="158"/>
        <v>561</v>
      </c>
      <c r="CV25" s="3">
        <f t="shared" si="159"/>
        <v>-96095</v>
      </c>
      <c r="CW25" s="3" t="e">
        <f t="shared" ca="1" si="160"/>
        <v>#NUM!</v>
      </c>
      <c r="CX25" s="85" t="e">
        <f t="shared" ca="1" si="73"/>
        <v>#NUM!</v>
      </c>
      <c r="CY25" s="3" t="e">
        <f t="shared" ca="1" si="161"/>
        <v>#NUM!</v>
      </c>
      <c r="CZ25" s="85" t="e">
        <f t="shared" ca="1" si="74"/>
        <v>#NUM!</v>
      </c>
      <c r="DA25" s="3">
        <f>IF(RTD("tos.rtd",,DA$2,"."&amp;$A$2&amp;$AS$1&amp;"C"&amp;$A25)="N/A",0,RTD("tos.rtd",,DA$2,"."&amp;$A$2&amp;$AS$1&amp;"C"&amp;$A25))</f>
        <v>5.91</v>
      </c>
      <c r="DB25" s="3">
        <f>IF(RTD("tos.rtd",,DB$2,"."&amp;$A$2&amp;$AS$1&amp;"P"&amp;$A25)="N/A",0,RTD("tos.rtd",,DB$2,"."&amp;$A$2&amp;$AS$1&amp;"P"&amp;$A25))</f>
        <v>0.01</v>
      </c>
      <c r="DC25" s="3">
        <f>IF(RTD("tos.rtd",,DC$2,"."&amp;$A$2&amp;$AS$1&amp;"C"&amp;$A25)="N/A",0,RTD("tos.rtd",,DC$2,"."&amp;$A$2&amp;$AS$1&amp;"C"&amp;$A25))</f>
        <v>6.07</v>
      </c>
      <c r="DD25" s="3">
        <f>IF(RTD("tos.rtd",,DD$2,"."&amp;$A$2&amp;$AS$1&amp;"P"&amp;$A25)="N/A",0,RTD("tos.rtd",,DD$2,"."&amp;$A$2&amp;$AS$1&amp;"P"&amp;$A25))</f>
        <v>0.01</v>
      </c>
      <c r="DE25" s="3">
        <f>IF(RTD("tos.rtd",,DE$2,"."&amp;$A$2&amp;$AS$1&amp;"C"&amp;$A25)="N/A",0,RTD("tos.rtd",,DE$2,"."&amp;$A$2&amp;$AS$1&amp;"C"&amp;$A25))</f>
        <v>5.88</v>
      </c>
      <c r="DF25" s="3">
        <f>IF(RTD("tos.rtd",,DF$2,"."&amp;$A$2&amp;$AS$1&amp;"P"&amp;$A25)="N/A",0,RTD("tos.rtd",,DF$2,"."&amp;$A$2&amp;$AS$1&amp;"P"&amp;$A25))</f>
        <v>0</v>
      </c>
      <c r="DG25" s="86">
        <f t="shared" si="48"/>
        <v>-5.9700000000000273</v>
      </c>
      <c r="DH25" s="3">
        <f t="shared" si="162"/>
        <v>0.47368421052631876</v>
      </c>
      <c r="DI25" s="3">
        <f t="shared" si="163"/>
        <v>-1</v>
      </c>
      <c r="DJ25" s="3">
        <f t="shared" si="164"/>
        <v>-3</v>
      </c>
      <c r="DK25" s="3">
        <f t="shared" si="51"/>
        <v>-1</v>
      </c>
      <c r="DL25" s="3">
        <f t="shared" si="52"/>
        <v>-0.52631578947368118</v>
      </c>
      <c r="DM25" s="3">
        <f t="shared" si="53"/>
        <v>-4</v>
      </c>
      <c r="DN25" s="63" t="str">
        <f t="shared" si="54"/>
        <v>SELL</v>
      </c>
      <c r="DO25" s="63" t="str">
        <f t="shared" si="55"/>
        <v>BUY</v>
      </c>
      <c r="DP25" s="3">
        <f t="shared" si="56"/>
        <v>2.7894736842105443</v>
      </c>
      <c r="DQ25" s="3">
        <f t="shared" si="57"/>
        <v>-17.740000000000002</v>
      </c>
      <c r="DR25" s="3" t="e">
        <f t="shared" ca="1" si="58"/>
        <v>#NUM!</v>
      </c>
      <c r="DS25" s="3">
        <f t="shared" si="59"/>
        <v>-2.9799999999999995</v>
      </c>
      <c r="DT25" s="3">
        <f t="shared" si="60"/>
        <v>3</v>
      </c>
      <c r="DU25" s="3">
        <f t="shared" si="61"/>
        <v>-1</v>
      </c>
      <c r="DV25" s="3">
        <f t="shared" si="62"/>
        <v>-1274</v>
      </c>
      <c r="DW25" s="3">
        <f t="shared" si="23"/>
        <v>9922</v>
      </c>
      <c r="DX25" s="3" t="e">
        <f t="shared" ca="1" si="24"/>
        <v>#NUM!</v>
      </c>
      <c r="DY25" s="3" t="e">
        <f t="shared" ca="1" si="25"/>
        <v>#NUM!</v>
      </c>
      <c r="DZ25" s="3">
        <f t="shared" ca="1" si="26"/>
        <v>1.984597416687689E-2</v>
      </c>
      <c r="EA25" s="3">
        <f t="shared" ca="1" si="27"/>
        <v>-1.9795007599337291E-2</v>
      </c>
      <c r="EB25" s="3">
        <f t="shared" ca="1" si="28"/>
        <v>1.9685392607219011E-2</v>
      </c>
      <c r="EC25" s="3">
        <f t="shared" ca="1" si="29"/>
        <v>-1.9820461118262044E-2</v>
      </c>
      <c r="EE25" s="59">
        <f t="shared" si="165"/>
        <v>0.55189999999999995</v>
      </c>
      <c r="EF25" s="59">
        <f t="shared" si="166"/>
        <v>0.5635</v>
      </c>
      <c r="EG25" s="59">
        <f t="shared" si="167"/>
        <v>0.2041</v>
      </c>
      <c r="EH25" s="59">
        <f t="shared" si="168"/>
        <v>0.20469999999999999</v>
      </c>
      <c r="EI25" s="59">
        <f t="shared" si="169"/>
        <v>0.20599999999999999</v>
      </c>
      <c r="EJ25" s="59">
        <f t="shared" si="170"/>
        <v>0.2044</v>
      </c>
      <c r="EL25" s="3" t="str">
        <f>RTD("tos.rtd",,EL$2,"."&amp;$A$2&amp;$AS$1&amp;"C"&amp;$A25)</f>
        <v>55.19%</v>
      </c>
      <c r="EM25" s="3" t="str">
        <f>RTD("tos.rtd",,EM$2,"."&amp;$A$2&amp;$AS$1&amp;"P"&amp;$A25)</f>
        <v>56.35%</v>
      </c>
      <c r="EN25" s="3" t="str">
        <f>RTD("tos.rtd",,EN$2,"."&amp;$A$2&amp;$AU$1&amp;"C"&amp;$A25)</f>
        <v>20.41%</v>
      </c>
      <c r="EO25" s="3" t="str">
        <f>RTD("tos.rtd",,EO$2,"."&amp;$A$2&amp;$AU$1&amp;"P"&amp;$A25)</f>
        <v>20.47%</v>
      </c>
      <c r="EP25" s="3" t="str">
        <f>RTD("tos.rtd",,EP$2,"."&amp;$A$2&amp;$AW$1&amp;"C"&amp;$A25)</f>
        <v>20.60%</v>
      </c>
      <c r="EQ25" s="3" t="str">
        <f>RTD("tos.rtd",,EQ$2,"."&amp;$A$2&amp;$AW$1&amp;"P"&amp;$A25)</f>
        <v>20.44%</v>
      </c>
      <c r="ET25" s="63" t="str">
        <f t="shared" ca="1" si="64"/>
        <v>561,00.00</v>
      </c>
      <c r="EU25" s="67">
        <v>560.77</v>
      </c>
      <c r="EV25" s="67" t="s">
        <v>219</v>
      </c>
      <c r="EW25" s="67">
        <v>482.72</v>
      </c>
      <c r="EX25" s="67" t="s">
        <v>220</v>
      </c>
      <c r="EY25" s="67">
        <v>5622.75</v>
      </c>
      <c r="EZ25" s="67" t="s">
        <v>221</v>
      </c>
      <c r="FA25" s="67">
        <v>19834</v>
      </c>
      <c r="FB25" s="67" t="s">
        <v>222</v>
      </c>
      <c r="FC25" s="67" t="s">
        <v>223</v>
      </c>
      <c r="FD25" s="67" t="s">
        <v>224</v>
      </c>
      <c r="FE25" s="67" t="s">
        <v>225</v>
      </c>
      <c r="FF25" s="67" t="s">
        <v>226</v>
      </c>
    </row>
    <row r="26" spans="1:162" s="63" customFormat="1" ht="13.5" thickBot="1" x14ac:dyDescent="0.25">
      <c r="A26" s="2">
        <f t="shared" si="65"/>
        <v>560</v>
      </c>
      <c r="B26" s="3">
        <f t="shared" si="138"/>
        <v>20134</v>
      </c>
      <c r="C26" s="3">
        <f t="shared" si="139"/>
        <v>14691</v>
      </c>
      <c r="D26" s="3">
        <f t="shared" si="140"/>
        <v>30263</v>
      </c>
      <c r="E26" s="3">
        <f t="shared" si="141"/>
        <v>65088</v>
      </c>
      <c r="F26" s="4">
        <f t="shared" si="142"/>
        <v>5639.5576485528336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1385</v>
      </c>
      <c r="AN26" s="1">
        <v>36329</v>
      </c>
      <c r="AO26" s="1">
        <v>560</v>
      </c>
      <c r="AP26" s="1">
        <v>18685</v>
      </c>
      <c r="AQ26" s="1">
        <v>-235175</v>
      </c>
      <c r="AR26" s="1"/>
      <c r="AS26" s="6">
        <f>IF(RTD("tos.rtd",,AS$2,"."&amp;$A$2&amp;$AS$1&amp;"C"&amp;$A26)="N/A",0,RTD("tos.rtd",,AS$2,"."&amp;$A$2&amp;$AS$1&amp;"C"&amp;$A26))</f>
        <v>11847</v>
      </c>
      <c r="AT26" s="7">
        <f>-IF(RTD("tos.rtd",,AT$2,"."&amp;$A$2&amp;$AS$1&amp;"P"&amp;$A26)="N/A",0,RTD("tos.rtd",,AT$2,"."&amp;$A$2&amp;$AS$1&amp;"P"&amp;$A26))</f>
        <v>-8287</v>
      </c>
      <c r="AU26" s="6">
        <f>IF(RTD("tos.rtd",,AU$2,"."&amp;$A$2&amp;$AU$1&amp;"C"&amp;$A26)="N/A",0,RTD("tos.rtd",,AU$2,"."&amp;$A$2&amp;$AU$1&amp;"C"&amp;$A26))</f>
        <v>9887</v>
      </c>
      <c r="AV26" s="7">
        <f>-IF(RTD("tos.rtd",,AV$2,"."&amp;$A$2&amp;$AU$1&amp;"P"&amp;$A26)="N/A",0,RTD("tos.rtd",,AV$2,"."&amp;$A$2&amp;$AU$1&amp;"P"&amp;$A26))</f>
        <v>-4804</v>
      </c>
      <c r="AW26" s="6">
        <f>IF(RTD("tos.rtd",,AW$2,"."&amp;$A$2&amp;$AW$1&amp;"C"&amp;$A26)="N/A",0,RTD("tos.rtd",,AW$2,"."&amp;$A$2&amp;$AW$1&amp;"C"&amp;$A26))</f>
        <v>12659</v>
      </c>
      <c r="AX26" s="7">
        <f>-IF(RTD("tos.rtd",,AX$2,"."&amp;$A$2&amp;$AW$1&amp;"P"&amp;$A26)="N/A",0,RTD("tos.rtd",,AX$2,"."&amp;$A$2&amp;$AW$1&amp;"P"&amp;$A26))</f>
        <v>-17604</v>
      </c>
      <c r="AY26" s="1">
        <f t="shared" si="143"/>
        <v>3698</v>
      </c>
      <c r="AZ26" s="8">
        <f t="shared" si="35"/>
        <v>560</v>
      </c>
      <c r="BA26" s="6">
        <f>IF(RTD("tos.rtd",,BA$2,"."&amp;$A$2&amp;$AS$1&amp;"C"&amp;$A26)="N/A",0,RTD("tos.rtd",,BA$2,"."&amp;$A$2&amp;$AS$1&amp;"C"&amp;$A26))</f>
        <v>18701</v>
      </c>
      <c r="BB26" s="7">
        <f>-IF(RTD("tos.rtd",,BB$2,"."&amp;$A$2&amp;$AS$1&amp;"P"&amp;$A26)="N/A",0,RTD("tos.rtd",,BB$2,"."&amp;$A$2&amp;$AS$1&amp;"P"&amp;$A26))</f>
        <v>-235204</v>
      </c>
      <c r="BC26" s="6">
        <f>IF(RTD("tos.rtd",,BC$2,"."&amp;$A$2&amp;$AU$1&amp;"C"&amp;$A26)="N/A",0,RTD("tos.rtd",,BC$2,"."&amp;$A$2&amp;$AU$1&amp;"C"&amp;$A26))</f>
        <v>3116</v>
      </c>
      <c r="BD26" s="7">
        <f>-IF(RTD("tos.rtd",,BD$2,"."&amp;$A$2&amp;$AU$1&amp;"P"&amp;$A26)="N/A",0,RTD("tos.rtd",,BD$2,"."&amp;$A$2&amp;$AU$1&amp;"P"&amp;$A26))</f>
        <v>-38579</v>
      </c>
      <c r="BE26" s="6">
        <f>IF(RTD("tos.rtd",,BE$2,"."&amp;$A$2&amp;$AW$1&amp;"C"&amp;$A26)="N/A",0,RTD("tos.rtd",,BE$2,"."&amp;$A$2&amp;$AW$1&amp;"C"&amp;$A26))</f>
        <v>3075</v>
      </c>
      <c r="BF26" s="83">
        <f>-IF(RTD("tos.rtd",,BF$2,"."&amp;$A$2&amp;$AW$1&amp;"P"&amp;$A26)="N/A",0,RTD("tos.rtd",,BF$2,"."&amp;$A$2&amp;$AW$1&amp;"P"&amp;$A26))</f>
        <v>-26455</v>
      </c>
      <c r="BG26" s="32" t="e">
        <f ca="1">+Hoja2!Y27</f>
        <v>#N/A</v>
      </c>
      <c r="BH26" s="7" t="e">
        <f t="shared" ca="1" si="36"/>
        <v>#N/A</v>
      </c>
      <c r="BI26" s="8" t="e">
        <f t="shared" ref="BI26" ca="1" si="175">IF(AND(BH26&lt;0,BH25&gt;0), "Cruce -", IF(AND(BH26&gt;0,BH25&lt;0),"Cruce +", ""))</f>
        <v>#N/A</v>
      </c>
      <c r="BJ26" s="3" t="e">
        <f ca="1">IF($BP$1=1,DX26,IF(RTD("tos.rtd",,BJ$2,"."&amp;$A$2&amp;$AS$1&amp;"C"&amp;$A26)="N/A",0,RTD("tos.rtd",,BJ$2,"."&amp;$A$2&amp;$AS$1&amp;"C"&amp;$A26)))</f>
        <v>#NUM!</v>
      </c>
      <c r="BK26" s="3" t="e">
        <f ca="1">IF($BP$1=1,DY26,-IF(RTD("tos.rtd",,BK$2,"."&amp;$A$2&amp;$AS$1&amp;"P"&amp;$A26)="N/A",0,RTD("tos.rtd",,BK$2,"."&amp;$A$2&amp;$AS$1&amp;"P"&amp;$A26)))</f>
        <v>#NUM!</v>
      </c>
      <c r="BL26" s="3">
        <f ca="1">IF($BP$1=1,DZ26,IF(RTD("tos.rtd",,BL$2,"."&amp;$A$2&amp;$AU$1&amp;"C"&amp;$A26)="N/A",0,RTD("tos.rtd",,BL$2,"."&amp;$A$2&amp;$AU$1&amp;"C"&amp;$A26)))</f>
        <v>1.9213977031170924E-2</v>
      </c>
      <c r="BM26" s="3">
        <f ca="1">IF($BP$1=1,EA26,-IF(RTD("tos.rtd",,BM$2,"."&amp;$A$2&amp;$AU$1&amp;"P"&amp;$A26)="N/A",0,RTD("tos.rtd",,BM$2,"."&amp;$A$2&amp;$AU$1&amp;"P"&amp;$A26)))</f>
        <v>-1.9136299612515003E-2</v>
      </c>
      <c r="BN26" s="3">
        <f ca="1">IF($BP$1=1,EB26,IF(RTD("tos.rtd",,BN$2,"."&amp;$A$2&amp;$AW$1&amp;"C"&amp;$A26)="N/A",0,RTD("tos.rtd",,BN$2,"."&amp;$A$2&amp;$AW$1&amp;"C"&amp;$A26)))</f>
        <v>1.9097665074743704E-2</v>
      </c>
      <c r="BO26" s="3">
        <f ca="1">IF($BP$1=1,EC26,-IF(RTD("tos.rtd",,BO$2,"."&amp;$A$2&amp;$AW$1&amp;"P"&amp;$A26)="N/A",0,RTD("tos.rtd",,BO$2,"."&amp;$A$2&amp;$AW$1&amp;"P"&amp;$A26)))</f>
        <v>-1.9221774842660144E-2</v>
      </c>
      <c r="BQ26" s="3" t="e">
        <f t="shared" ca="1" si="145"/>
        <v>#NUM!</v>
      </c>
      <c r="BR26" s="3" t="e">
        <f t="shared" ca="1" si="68"/>
        <v>#NUM!</v>
      </c>
      <c r="BS26" s="3">
        <f t="shared" ca="1" si="146"/>
        <v>31514741.559463043</v>
      </c>
      <c r="BT26" s="3" t="str">
        <f t="shared" ca="1" si="68"/>
        <v/>
      </c>
      <c r="BU26" s="3">
        <f t="shared" ca="1" si="147"/>
        <v>-31059874.590214416</v>
      </c>
      <c r="BV26" s="3" t="str">
        <f t="shared" ref="BV26" ca="1" si="176">IF(AND(BU26&lt;0,BU25&gt;0), "Cruce -", IF(AND(BU26&gt;0,BU25&lt;0),"Cruce +", ""))</f>
        <v>Cruce -</v>
      </c>
      <c r="BX26" s="3" t="e">
        <f t="shared" ca="1" si="149"/>
        <v>#NUM!</v>
      </c>
      <c r="BY26" s="3" t="e">
        <f t="shared" ca="1" si="70"/>
        <v>#NUM!</v>
      </c>
      <c r="BZ26" s="3">
        <f t="shared" ca="1" si="150"/>
        <v>-218071378.48656544</v>
      </c>
      <c r="CA26" s="3" t="str">
        <f t="shared" ca="1" si="71"/>
        <v/>
      </c>
      <c r="CB26" s="3">
        <f t="shared" ca="1" si="151"/>
        <v>-144586185.78058481</v>
      </c>
      <c r="CC26" s="3" t="str">
        <f t="shared" ca="1" si="72"/>
        <v>Cruce -</v>
      </c>
      <c r="CD26" s="3">
        <f>IF(RTD("tos.rtd",,CD$2,"."&amp;$A$2&amp;$AS$1&amp;"C"&amp;$A26)="N/A",0,RTD("tos.rtd",,CD$2,"."&amp;$A$2&amp;$AS$1&amp;"C"&amp;$A26))</f>
        <v>1</v>
      </c>
      <c r="CE26" s="3">
        <f>-IF(RTD("tos.rtd",,CE$2,"."&amp;$A$2&amp;$AS$1&amp;"P"&amp;$A26)="N/A",0,RTD("tos.rtd",,CE$2,"."&amp;$A$2&amp;$AS$1&amp;"P"&amp;$A26))</f>
        <v>0.01</v>
      </c>
      <c r="CF26" s="3">
        <f>IF(RTD("tos.rtd",,CF$2,"."&amp;$A$2&amp;$AU$1&amp;"C"&amp;$A26)="N/A",0,RTD("tos.rtd",,CF$2,"."&amp;$A$2&amp;$AU$1&amp;"C"&amp;$A26))</f>
        <v>0.68</v>
      </c>
      <c r="CG26" s="3">
        <f>-IF(RTD("tos.rtd",,CG$2,"."&amp;$A$2&amp;$AU$1&amp;"P"&amp;$A26)="N/A",0,RTD("tos.rtd",,CG$2,"."&amp;$A$2&amp;$AU$1&amp;"P"&amp;$A26))</f>
        <v>0.32</v>
      </c>
      <c r="CH26" s="3">
        <f>IF(RTD("tos.rtd",,CH$2,"."&amp;$A$2&amp;$AW$1&amp;"C"&amp;$A26)="N/A",0,RTD("tos.rtd",,CH$2,"."&amp;$A$2&amp;$AW$1&amp;"C"&amp;$A26))</f>
        <v>0.64</v>
      </c>
      <c r="CI26" s="3">
        <f>-IF(RTD("tos.rtd",,CI$2,"."&amp;$A$2&amp;$AW$1&amp;"P"&amp;$A26)="N/A",0,RTD("tos.rtd",,CI$2,"."&amp;$A$2&amp;$AW$1&amp;"P"&amp;$A26))</f>
        <v>0.36</v>
      </c>
      <c r="CK26" s="3">
        <f t="shared" si="152"/>
        <v>1176413</v>
      </c>
      <c r="CL26" s="3"/>
      <c r="CM26" s="3">
        <f t="shared" si="153"/>
        <v>518588.00000000012</v>
      </c>
      <c r="CN26" s="3"/>
      <c r="CO26" s="3">
        <f t="shared" si="154"/>
        <v>176432</v>
      </c>
      <c r="CP26" s="3">
        <f t="shared" si="155"/>
        <v>1871433</v>
      </c>
      <c r="CQ26" s="3">
        <f t="shared" si="156"/>
        <v>-216503</v>
      </c>
      <c r="CR26" s="3"/>
      <c r="CS26" s="3">
        <f t="shared" si="157"/>
        <v>-35463</v>
      </c>
      <c r="CT26" s="3"/>
      <c r="CU26" s="3">
        <f t="shared" si="158"/>
        <v>-23380</v>
      </c>
      <c r="CV26" s="3">
        <f t="shared" si="159"/>
        <v>-275346</v>
      </c>
      <c r="CW26" s="3" t="e">
        <f t="shared" ca="1" si="160"/>
        <v>#NUM!</v>
      </c>
      <c r="CX26" s="85" t="e">
        <f t="shared" ca="1" si="73"/>
        <v>#NUM!</v>
      </c>
      <c r="CY26" s="3" t="e">
        <f t="shared" ca="1" si="161"/>
        <v>#NUM!</v>
      </c>
      <c r="CZ26" s="85" t="e">
        <f t="shared" ca="1" si="74"/>
        <v>#NUM!</v>
      </c>
      <c r="DA26" s="3">
        <f>IF(RTD("tos.rtd",,DA$2,"."&amp;$A$2&amp;$AS$1&amp;"C"&amp;$A26)="N/A",0,RTD("tos.rtd",,DA$2,"."&amp;$A$2&amp;$AS$1&amp;"C"&amp;$A26))</f>
        <v>6.88</v>
      </c>
      <c r="DB26" s="3">
        <f>IF(RTD("tos.rtd",,DB$2,"."&amp;$A$2&amp;$AS$1&amp;"P"&amp;$A26)="N/A",0,RTD("tos.rtd",,DB$2,"."&amp;$A$2&amp;$AS$1&amp;"P"&amp;$A26))</f>
        <v>0.01</v>
      </c>
      <c r="DC26" s="3">
        <f>IF(RTD("tos.rtd",,DC$2,"."&amp;$A$2&amp;$AS$1&amp;"C"&amp;$A26)="N/A",0,RTD("tos.rtd",,DC$2,"."&amp;$A$2&amp;$AS$1&amp;"C"&amp;$A26))</f>
        <v>7.01</v>
      </c>
      <c r="DD26" s="3">
        <f>IF(RTD("tos.rtd",,DD$2,"."&amp;$A$2&amp;$AS$1&amp;"P"&amp;$A26)="N/A",0,RTD("tos.rtd",,DD$2,"."&amp;$A$2&amp;$AS$1&amp;"P"&amp;$A26))</f>
        <v>0.01</v>
      </c>
      <c r="DE26" s="3">
        <f>IF(RTD("tos.rtd",,DE$2,"."&amp;$A$2&amp;$AS$1&amp;"C"&amp;$A26)="N/A",0,RTD("tos.rtd",,DE$2,"."&amp;$A$2&amp;$AS$1&amp;"C"&amp;$A26))</f>
        <v>6.89</v>
      </c>
      <c r="DF26" s="3">
        <f>IF(RTD("tos.rtd",,DF$2,"."&amp;$A$2&amp;$AS$1&amp;"P"&amp;$A26)="N/A",0,RTD("tos.rtd",,DF$2,"."&amp;$A$2&amp;$AS$1&amp;"P"&amp;$A26))</f>
        <v>0</v>
      </c>
      <c r="DG26" s="86">
        <f t="shared" si="48"/>
        <v>-6.9700000000000273</v>
      </c>
      <c r="DH26" s="3">
        <f t="shared" si="162"/>
        <v>-1.3333333333333037</v>
      </c>
      <c r="DI26" s="3">
        <f t="shared" si="163"/>
        <v>-29</v>
      </c>
      <c r="DJ26" s="3">
        <f t="shared" si="164"/>
        <v>-16</v>
      </c>
      <c r="DK26" s="3">
        <f t="shared" si="51"/>
        <v>-29</v>
      </c>
      <c r="DL26" s="3">
        <f t="shared" si="52"/>
        <v>-30.333333333333304</v>
      </c>
      <c r="DM26" s="3">
        <f t="shared" si="53"/>
        <v>-45</v>
      </c>
      <c r="DN26" s="63" t="str">
        <f t="shared" si="54"/>
        <v>SELL</v>
      </c>
      <c r="DO26" s="63" t="str">
        <f t="shared" si="55"/>
        <v>BUY</v>
      </c>
      <c r="DP26" s="3">
        <f t="shared" si="56"/>
        <v>-9.4633333333331286</v>
      </c>
      <c r="DQ26" s="3">
        <f t="shared" si="57"/>
        <v>-110.37</v>
      </c>
      <c r="DR26" s="3" t="e">
        <f t="shared" ca="1" si="58"/>
        <v>#NUM!</v>
      </c>
      <c r="DS26" s="3">
        <f t="shared" si="59"/>
        <v>-16.29</v>
      </c>
      <c r="DT26" s="3">
        <f t="shared" si="60"/>
        <v>16</v>
      </c>
      <c r="DU26" s="3">
        <f t="shared" si="61"/>
        <v>-29</v>
      </c>
      <c r="DV26" s="3">
        <f t="shared" si="62"/>
        <v>1369</v>
      </c>
      <c r="DW26" s="3">
        <f t="shared" si="23"/>
        <v>36300</v>
      </c>
      <c r="DX26" s="3" t="e">
        <f t="shared" ca="1" si="24"/>
        <v>#NUM!</v>
      </c>
      <c r="DY26" s="3" t="e">
        <f t="shared" ca="1" si="25"/>
        <v>#NUM!</v>
      </c>
      <c r="DZ26" s="3">
        <f t="shared" ca="1" si="26"/>
        <v>1.9213977031170924E-2</v>
      </c>
      <c r="EA26" s="3">
        <f t="shared" ca="1" si="27"/>
        <v>-1.9136299612515003E-2</v>
      </c>
      <c r="EB26" s="3">
        <f t="shared" ca="1" si="28"/>
        <v>1.9097665074743704E-2</v>
      </c>
      <c r="EC26" s="3">
        <f t="shared" ca="1" si="29"/>
        <v>-1.9221774842660144E-2</v>
      </c>
      <c r="EE26" s="59">
        <f t="shared" si="165"/>
        <v>0.25</v>
      </c>
      <c r="EF26" s="59">
        <f t="shared" si="166"/>
        <v>0.64700000000000002</v>
      </c>
      <c r="EG26" s="59">
        <f t="shared" si="167"/>
        <v>0.20680000000000001</v>
      </c>
      <c r="EH26" s="59">
        <f t="shared" si="168"/>
        <v>0.20780000000000001</v>
      </c>
      <c r="EI26" s="59">
        <f t="shared" si="169"/>
        <v>0.20830000000000001</v>
      </c>
      <c r="EJ26" s="59">
        <f t="shared" si="170"/>
        <v>0.20669999999999999</v>
      </c>
      <c r="EL26" s="3" t="str">
        <f>RTD("tos.rtd",,EL$2,"."&amp;$A$2&amp;$AS$1&amp;"C"&amp;$A26)</f>
        <v>--</v>
      </c>
      <c r="EM26" s="3" t="str">
        <f>RTD("tos.rtd",,EM$2,"."&amp;$A$2&amp;$AS$1&amp;"P"&amp;$A26)</f>
        <v>64.70%</v>
      </c>
      <c r="EN26" s="3" t="str">
        <f>RTD("tos.rtd",,EN$2,"."&amp;$A$2&amp;$AU$1&amp;"C"&amp;$A26)</f>
        <v>20.68%</v>
      </c>
      <c r="EO26" s="3" t="str">
        <f>RTD("tos.rtd",,EO$2,"."&amp;$A$2&amp;$AU$1&amp;"P"&amp;$A26)</f>
        <v>20.78%</v>
      </c>
      <c r="EP26" s="3" t="str">
        <f>RTD("tos.rtd",,EP$2,"."&amp;$A$2&amp;$AW$1&amp;"C"&amp;$A26)</f>
        <v>20.83%</v>
      </c>
      <c r="EQ26" s="3" t="str">
        <f>RTD("tos.rtd",,EQ$2,"."&amp;$A$2&amp;$AW$1&amp;"P"&amp;$A26)</f>
        <v>20.67%</v>
      </c>
      <c r="ET26" s="63" t="str">
        <f t="shared" ca="1" si="64"/>
        <v>560,00.00</v>
      </c>
      <c r="EU26" s="67">
        <v>560.66999999999996</v>
      </c>
      <c r="EV26" s="67" t="s">
        <v>227</v>
      </c>
      <c r="EW26" s="67">
        <v>482.61</v>
      </c>
      <c r="EX26" s="67" t="s">
        <v>228</v>
      </c>
      <c r="EY26" s="67">
        <v>5622</v>
      </c>
      <c r="EZ26" s="67" t="s">
        <v>229</v>
      </c>
      <c r="FA26" s="67">
        <v>19830.5</v>
      </c>
      <c r="FB26" s="67" t="s">
        <v>230</v>
      </c>
      <c r="FC26" s="67" t="s">
        <v>231</v>
      </c>
      <c r="FD26" s="67" t="s">
        <v>232</v>
      </c>
      <c r="FE26" s="67" t="s">
        <v>233</v>
      </c>
      <c r="FF26" s="67" t="s">
        <v>234</v>
      </c>
    </row>
    <row r="27" spans="1:162" s="63" customFormat="1" ht="13.5" thickBot="1" x14ac:dyDescent="0.25">
      <c r="A27" s="2">
        <f t="shared" si="65"/>
        <v>559</v>
      </c>
      <c r="B27" s="3">
        <f t="shared" si="138"/>
        <v>12306</v>
      </c>
      <c r="C27" s="3">
        <f t="shared" si="139"/>
        <v>1244</v>
      </c>
      <c r="D27" s="3">
        <f t="shared" si="140"/>
        <v>5107</v>
      </c>
      <c r="E27" s="3">
        <f t="shared" si="141"/>
        <v>18657</v>
      </c>
      <c r="F27" s="4">
        <f t="shared" si="142"/>
        <v>5629.4870098947031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3338</v>
      </c>
      <c r="AN27" s="1">
        <v>-1136</v>
      </c>
      <c r="AO27" s="1">
        <v>559</v>
      </c>
      <c r="AP27" s="1">
        <v>9003</v>
      </c>
      <c r="AQ27" s="1">
        <v>-66309</v>
      </c>
      <c r="AR27" s="1"/>
      <c r="AS27" s="6">
        <f>IF(RTD("tos.rtd",,AS$2,"."&amp;$A$2&amp;$AS$1&amp;"C"&amp;$A27)="N/A",0,RTD("tos.rtd",,AS$2,"."&amp;$A$2&amp;$AS$1&amp;"C"&amp;$A27))</f>
        <v>7271</v>
      </c>
      <c r="AT27" s="7">
        <f>-IF(RTD("tos.rtd",,AT$2,"."&amp;$A$2&amp;$AS$1&amp;"P"&amp;$A27)="N/A",0,RTD("tos.rtd",,AT$2,"."&amp;$A$2&amp;$AS$1&amp;"P"&amp;$A27))</f>
        <v>-5035</v>
      </c>
      <c r="AU27" s="6">
        <f>IF(RTD("tos.rtd",,AU$2,"."&amp;$A$2&amp;$AU$1&amp;"C"&amp;$A27)="N/A",0,RTD("tos.rtd",,AU$2,"."&amp;$A$2&amp;$AU$1&amp;"C"&amp;$A27))</f>
        <v>740</v>
      </c>
      <c r="AV27" s="7">
        <f>-IF(RTD("tos.rtd",,AV$2,"."&amp;$A$2&amp;$AU$1&amp;"P"&amp;$A27)="N/A",0,RTD("tos.rtd",,AV$2,"."&amp;$A$2&amp;$AU$1&amp;"P"&amp;$A27))</f>
        <v>-504</v>
      </c>
      <c r="AW27" s="6">
        <f>IF(RTD("tos.rtd",,AW$2,"."&amp;$A$2&amp;$AW$1&amp;"C"&amp;$A27)="N/A",0,RTD("tos.rtd",,AW$2,"."&amp;$A$2&amp;$AW$1&amp;"C"&amp;$A27))</f>
        <v>3635</v>
      </c>
      <c r="AX27" s="7">
        <f>-IF(RTD("tos.rtd",,AX$2,"."&amp;$A$2&amp;$AW$1&amp;"P"&amp;$A27)="N/A",0,RTD("tos.rtd",,AX$2,"."&amp;$A$2&amp;$AW$1&amp;"P"&amp;$A27))</f>
        <v>-1472</v>
      </c>
      <c r="AY27" s="1">
        <f t="shared" si="143"/>
        <v>4635</v>
      </c>
      <c r="AZ27" s="8">
        <f t="shared" si="35"/>
        <v>559</v>
      </c>
      <c r="BA27" s="6">
        <f>IF(RTD("tos.rtd",,BA$2,"."&amp;$A$2&amp;$AS$1&amp;"C"&amp;$A27)="N/A",0,RTD("tos.rtd",,BA$2,"."&amp;$A$2&amp;$AS$1&amp;"C"&amp;$A27))</f>
        <v>9007</v>
      </c>
      <c r="BB27" s="7">
        <f>-IF(RTD("tos.rtd",,BB$2,"."&amp;$A$2&amp;$AS$1&amp;"P"&amp;$A27)="N/A",0,RTD("tos.rtd",,BB$2,"."&amp;$A$2&amp;$AS$1&amp;"P"&amp;$A27))</f>
        <v>-66309</v>
      </c>
      <c r="BC27" s="6">
        <f>IF(RTD("tos.rtd",,BC$2,"."&amp;$A$2&amp;$AU$1&amp;"C"&amp;$A27)="N/A",0,RTD("tos.rtd",,BC$2,"."&amp;$A$2&amp;$AU$1&amp;"C"&amp;$A27))</f>
        <v>207</v>
      </c>
      <c r="BD27" s="7">
        <f>-IF(RTD("tos.rtd",,BD$2,"."&amp;$A$2&amp;$AU$1&amp;"P"&amp;$A27)="N/A",0,RTD("tos.rtd",,BD$2,"."&amp;$A$2&amp;$AU$1&amp;"P"&amp;$A27))</f>
        <v>-1855</v>
      </c>
      <c r="BE27" s="6">
        <f>IF(RTD("tos.rtd",,BE$2,"."&amp;$A$2&amp;$AW$1&amp;"C"&amp;$A27)="N/A",0,RTD("tos.rtd",,BE$2,"."&amp;$A$2&amp;$AW$1&amp;"C"&amp;$A27))</f>
        <v>259</v>
      </c>
      <c r="BF27" s="83">
        <f>-IF(RTD("tos.rtd",,BF$2,"."&amp;$A$2&amp;$AW$1&amp;"P"&amp;$A27)="N/A",0,RTD("tos.rtd",,BF$2,"."&amp;$A$2&amp;$AW$1&amp;"P"&amp;$A27))</f>
        <v>-1146</v>
      </c>
      <c r="BG27" s="32" t="e">
        <f ca="1">+Hoja2!Y28</f>
        <v>#N/A</v>
      </c>
      <c r="BH27" s="7" t="e">
        <f t="shared" ca="1" si="36"/>
        <v>#N/A</v>
      </c>
      <c r="BI27" s="8" t="e">
        <f t="shared" ref="BI27" ca="1" si="177">IF(AND(BH27&lt;0,BH26&gt;0), "Cruce -", IF(AND(BH27&gt;0,BH26&lt;0),"Cruce +", ""))</f>
        <v>#N/A</v>
      </c>
      <c r="BJ27" s="3" t="e">
        <f ca="1">IF($BP$1=1,DX27,IF(RTD("tos.rtd",,BJ$2,"."&amp;$A$2&amp;$AS$1&amp;"C"&amp;$A27)="N/A",0,RTD("tos.rtd",,BJ$2,"."&amp;$A$2&amp;$AS$1&amp;"C"&amp;$A27)))</f>
        <v>#NUM!</v>
      </c>
      <c r="BK27" s="3" t="e">
        <f ca="1">IF($BP$1=1,DY27,-IF(RTD("tos.rtd",,BK$2,"."&amp;$A$2&amp;$AS$1&amp;"P"&amp;$A27)="N/A",0,RTD("tos.rtd",,BK$2,"."&amp;$A$2&amp;$AS$1&amp;"P"&amp;$A27)))</f>
        <v>#NUM!</v>
      </c>
      <c r="BL27" s="3">
        <f ca="1">IF($BP$1=1,DZ27,IF(RTD("tos.rtd",,BL$2,"."&amp;$A$2&amp;$AU$1&amp;"C"&amp;$A27)="N/A",0,RTD("tos.rtd",,BL$2,"."&amp;$A$2&amp;$AU$1&amp;"C"&amp;$A27)))</f>
        <v>1.8564005454575563E-2</v>
      </c>
      <c r="BM27" s="3">
        <f ca="1">IF($BP$1=1,EA27,-IF(RTD("tos.rtd",,BM$2,"."&amp;$A$2&amp;$AU$1&amp;"P"&amp;$A27)="N/A",0,RTD("tos.rtd",,BM$2,"."&amp;$A$2&amp;$AU$1&amp;"P"&amp;$A27)))</f>
        <v>-1.8549863442999814E-2</v>
      </c>
      <c r="BN27" s="3">
        <f ca="1">IF($BP$1=1,EB27,IF(RTD("tos.rtd",,BN$2,"."&amp;$A$2&amp;$AW$1&amp;"C"&amp;$A27)="N/A",0,RTD("tos.rtd",,BN$2,"."&amp;$A$2&amp;$AW$1&amp;"C"&amp;$A27)))</f>
        <v>1.8500503736055038E-2</v>
      </c>
      <c r="BO27" s="3">
        <f ca="1">IF($BP$1=1,EC27,-IF(RTD("tos.rtd",,BO$2,"."&amp;$A$2&amp;$AW$1&amp;"P"&amp;$A27)="N/A",0,RTD("tos.rtd",,BO$2,"."&amp;$A$2&amp;$AW$1&amp;"P"&amp;$A27)))</f>
        <v>-1.8620748368869195E-2</v>
      </c>
      <c r="BQ27" s="3" t="e">
        <f t="shared" ca="1" si="145"/>
        <v>#NUM!</v>
      </c>
      <c r="BR27" s="3" t="e">
        <f t="shared" ca="1" si="68"/>
        <v>#NUM!</v>
      </c>
      <c r="BS27" s="3">
        <f t="shared" ca="1" si="146"/>
        <v>1410619.310554157</v>
      </c>
      <c r="BT27" s="3" t="str">
        <f t="shared" ca="1" si="68"/>
        <v/>
      </c>
      <c r="BU27" s="3">
        <f t="shared" ca="1" si="147"/>
        <v>12806634.475866623</v>
      </c>
      <c r="BV27" s="3" t="str">
        <f t="shared" ref="BV27" ca="1" si="178">IF(AND(BU27&lt;0,BU26&gt;0), "Cruce -", IF(AND(BU27&gt;0,BU26&lt;0),"Cruce +", ""))</f>
        <v>Cruce +</v>
      </c>
      <c r="BX27" s="3" t="e">
        <f t="shared" ca="1" si="149"/>
        <v>#NUM!</v>
      </c>
      <c r="BY27" s="3" t="e">
        <f t="shared" ca="1" si="70"/>
        <v>#NUM!</v>
      </c>
      <c r="BZ27" s="3">
        <f t="shared" ca="1" si="150"/>
        <v>-9825993.9798155837</v>
      </c>
      <c r="CA27" s="3" t="str">
        <f t="shared" ca="1" si="71"/>
        <v/>
      </c>
      <c r="CB27" s="3">
        <f t="shared" ca="1" si="151"/>
        <v>-5319355.7482477892</v>
      </c>
      <c r="CC27" s="3" t="str">
        <f t="shared" ca="1" si="72"/>
        <v/>
      </c>
      <c r="CD27" s="3">
        <f>IF(RTD("tos.rtd",,CD$2,"."&amp;$A$2&amp;$AS$1&amp;"C"&amp;$A27)="N/A",0,RTD("tos.rtd",,CD$2,"."&amp;$A$2&amp;$AS$1&amp;"C"&amp;$A27))</f>
        <v>0.99</v>
      </c>
      <c r="CE27" s="3">
        <f>-IF(RTD("tos.rtd",,CE$2,"."&amp;$A$2&amp;$AS$1&amp;"P"&amp;$A27)="N/A",0,RTD("tos.rtd",,CE$2,"."&amp;$A$2&amp;$AS$1&amp;"P"&amp;$A27))</f>
        <v>0.01</v>
      </c>
      <c r="CF27" s="3">
        <f>IF(RTD("tos.rtd",,CF$2,"."&amp;$A$2&amp;$AU$1&amp;"C"&amp;$A27)="N/A",0,RTD("tos.rtd",,CF$2,"."&amp;$A$2&amp;$AU$1&amp;"C"&amp;$A27))</f>
        <v>0.7</v>
      </c>
      <c r="CG27" s="3">
        <f>-IF(RTD("tos.rtd",,CG$2,"."&amp;$A$2&amp;$AU$1&amp;"P"&amp;$A27)="N/A",0,RTD("tos.rtd",,CG$2,"."&amp;$A$2&amp;$AU$1&amp;"P"&amp;$A27))</f>
        <v>0.3</v>
      </c>
      <c r="CH27" s="3">
        <f>IF(RTD("tos.rtd",,CH$2,"."&amp;$A$2&amp;$AW$1&amp;"C"&amp;$A27)="N/A",0,RTD("tos.rtd",,CH$2,"."&amp;$A$2&amp;$AW$1&amp;"C"&amp;$A27))</f>
        <v>0.65</v>
      </c>
      <c r="CI27" s="3">
        <f>-IF(RTD("tos.rtd",,CI$2,"."&amp;$A$2&amp;$AW$1&amp;"P"&amp;$A27)="N/A",0,RTD("tos.rtd",,CI$2,"."&amp;$A$2&amp;$AW$1&amp;"P"&amp;$A27))</f>
        <v>0.35</v>
      </c>
      <c r="CK27" s="3">
        <f t="shared" si="152"/>
        <v>714794</v>
      </c>
      <c r="CL27" s="3"/>
      <c r="CM27" s="3">
        <f t="shared" si="153"/>
        <v>36680</v>
      </c>
      <c r="CN27" s="3"/>
      <c r="CO27" s="3">
        <f t="shared" si="154"/>
        <v>184755</v>
      </c>
      <c r="CP27" s="3">
        <f t="shared" si="155"/>
        <v>936229</v>
      </c>
      <c r="CQ27" s="3">
        <f t="shared" si="156"/>
        <v>-57302</v>
      </c>
      <c r="CR27" s="3"/>
      <c r="CS27" s="3">
        <f t="shared" si="157"/>
        <v>-1648</v>
      </c>
      <c r="CT27" s="3"/>
      <c r="CU27" s="3">
        <f t="shared" si="158"/>
        <v>-887</v>
      </c>
      <c r="CV27" s="3">
        <f t="shared" si="159"/>
        <v>-59837</v>
      </c>
      <c r="CW27" s="3" t="e">
        <f t="shared" ca="1" si="160"/>
        <v>#NUM!</v>
      </c>
      <c r="CX27" s="85" t="e">
        <f t="shared" ca="1" si="73"/>
        <v>#NUM!</v>
      </c>
      <c r="CY27" s="3" t="e">
        <f t="shared" ca="1" si="161"/>
        <v>#NUM!</v>
      </c>
      <c r="CZ27" s="85" t="e">
        <f t="shared" ca="1" si="74"/>
        <v>#NUM!</v>
      </c>
      <c r="DA27" s="3">
        <f>IF(RTD("tos.rtd",,DA$2,"."&amp;$A$2&amp;$AS$1&amp;"C"&amp;$A27)="N/A",0,RTD("tos.rtd",,DA$2,"."&amp;$A$2&amp;$AS$1&amp;"C"&amp;$A27))</f>
        <v>7.92</v>
      </c>
      <c r="DB27" s="3">
        <f>IF(RTD("tos.rtd",,DB$2,"."&amp;$A$2&amp;$AS$1&amp;"P"&amp;$A27)="N/A",0,RTD("tos.rtd",,DB$2,"."&amp;$A$2&amp;$AS$1&amp;"P"&amp;$A27))</f>
        <v>0.01</v>
      </c>
      <c r="DC27" s="3">
        <f>IF(RTD("tos.rtd",,DC$2,"."&amp;$A$2&amp;$AS$1&amp;"C"&amp;$A27)="N/A",0,RTD("tos.rtd",,DC$2,"."&amp;$A$2&amp;$AS$1&amp;"C"&amp;$A27))</f>
        <v>8.09</v>
      </c>
      <c r="DD27" s="3">
        <f>IF(RTD("tos.rtd",,DD$2,"."&amp;$A$2&amp;$AS$1&amp;"P"&amp;$A27)="N/A",0,RTD("tos.rtd",,DD$2,"."&amp;$A$2&amp;$AS$1&amp;"P"&amp;$A27))</f>
        <v>0.01</v>
      </c>
      <c r="DE27" s="3">
        <f>IF(RTD("tos.rtd",,DE$2,"."&amp;$A$2&amp;$AS$1&amp;"C"&amp;$A27)="N/A",0,RTD("tos.rtd",,DE$2,"."&amp;$A$2&amp;$AS$1&amp;"C"&amp;$A27))</f>
        <v>7.88</v>
      </c>
      <c r="DF27" s="3">
        <f>IF(RTD("tos.rtd",,DF$2,"."&amp;$A$2&amp;$AS$1&amp;"P"&amp;$A27)="N/A",0,RTD("tos.rtd",,DF$2,"."&amp;$A$2&amp;$AS$1&amp;"P"&amp;$A27))</f>
        <v>0</v>
      </c>
      <c r="DG27" s="86">
        <f t="shared" si="48"/>
        <v>-7.9700000000000273</v>
      </c>
      <c r="DH27" s="3">
        <f t="shared" si="162"/>
        <v>0.76190476190476275</v>
      </c>
      <c r="DI27" s="3">
        <f t="shared" si="163"/>
        <v>0</v>
      </c>
      <c r="DJ27" s="3">
        <f t="shared" si="164"/>
        <v>-4</v>
      </c>
      <c r="DK27" s="3">
        <f t="shared" si="51"/>
        <v>0</v>
      </c>
      <c r="DL27" s="3">
        <f t="shared" si="52"/>
        <v>0.76190476190476275</v>
      </c>
      <c r="DM27" s="3">
        <f t="shared" si="53"/>
        <v>-4</v>
      </c>
      <c r="DN27" s="63" t="str">
        <f t="shared" si="54"/>
        <v>SELL</v>
      </c>
      <c r="DO27" s="63" t="str">
        <f t="shared" si="55"/>
        <v>UNKNOWN</v>
      </c>
      <c r="DP27" s="3">
        <f t="shared" si="56"/>
        <v>6.0342857142857209</v>
      </c>
      <c r="DQ27" s="3">
        <f t="shared" si="57"/>
        <v>-31.68</v>
      </c>
      <c r="DR27" s="3" t="e">
        <f t="shared" ca="1" si="58"/>
        <v>#NUM!</v>
      </c>
      <c r="DS27" s="3">
        <f t="shared" si="59"/>
        <v>-3.96</v>
      </c>
      <c r="DT27" s="3">
        <f t="shared" si="60"/>
        <v>4</v>
      </c>
      <c r="DU27" s="3">
        <f t="shared" si="61"/>
        <v>0</v>
      </c>
      <c r="DV27" s="3">
        <f t="shared" si="62"/>
        <v>3334</v>
      </c>
      <c r="DW27" s="3">
        <f t="shared" si="23"/>
        <v>-1136</v>
      </c>
      <c r="DX27" s="3" t="e">
        <f t="shared" ca="1" si="24"/>
        <v>#NUM!</v>
      </c>
      <c r="DY27" s="3" t="e">
        <f t="shared" ca="1" si="25"/>
        <v>#NUM!</v>
      </c>
      <c r="DZ27" s="3">
        <f t="shared" ca="1" si="26"/>
        <v>1.8564005454575563E-2</v>
      </c>
      <c r="EA27" s="3">
        <f t="shared" ca="1" si="27"/>
        <v>-1.8549863442999814E-2</v>
      </c>
      <c r="EB27" s="3">
        <f t="shared" ca="1" si="28"/>
        <v>1.8500503736055038E-2</v>
      </c>
      <c r="EC27" s="3">
        <f t="shared" ca="1" si="29"/>
        <v>-1.8620748368869195E-2</v>
      </c>
      <c r="EE27" s="59">
        <f t="shared" si="165"/>
        <v>0.82289999999999996</v>
      </c>
      <c r="EF27" s="59">
        <f t="shared" si="166"/>
        <v>0.72950000000000004</v>
      </c>
      <c r="EG27" s="59">
        <f t="shared" si="167"/>
        <v>0.20960000000000001</v>
      </c>
      <c r="EH27" s="59">
        <f t="shared" si="168"/>
        <v>0.20979999999999999</v>
      </c>
      <c r="EI27" s="59">
        <f t="shared" si="169"/>
        <v>0.21049999999999999</v>
      </c>
      <c r="EJ27" s="59">
        <f t="shared" si="170"/>
        <v>0.20880000000000001</v>
      </c>
      <c r="EL27" s="3" t="str">
        <f>RTD("tos.rtd",,EL$2,"."&amp;$A$2&amp;$AS$1&amp;"C"&amp;$A27)</f>
        <v>82.29%</v>
      </c>
      <c r="EM27" s="3" t="str">
        <f>RTD("tos.rtd",,EM$2,"."&amp;$A$2&amp;$AS$1&amp;"P"&amp;$A27)</f>
        <v>72.95%</v>
      </c>
      <c r="EN27" s="3" t="str">
        <f>RTD("tos.rtd",,EN$2,"."&amp;$A$2&amp;$AU$1&amp;"C"&amp;$A27)</f>
        <v>20.96%</v>
      </c>
      <c r="EO27" s="3" t="str">
        <f>RTD("tos.rtd",,EO$2,"."&amp;$A$2&amp;$AU$1&amp;"P"&amp;$A27)</f>
        <v>20.98%</v>
      </c>
      <c r="EP27" s="3" t="str">
        <f>RTD("tos.rtd",,EP$2,"."&amp;$A$2&amp;$AW$1&amp;"C"&amp;$A27)</f>
        <v>21.05%</v>
      </c>
      <c r="EQ27" s="3" t="str">
        <f>RTD("tos.rtd",,EQ$2,"."&amp;$A$2&amp;$AW$1&amp;"P"&amp;$A27)</f>
        <v>20.88%</v>
      </c>
      <c r="ET27" s="63" t="str">
        <f t="shared" ca="1" si="64"/>
        <v>559,00.00</v>
      </c>
      <c r="EU27" s="67">
        <v>560.53</v>
      </c>
      <c r="EV27" s="67" t="s">
        <v>235</v>
      </c>
      <c r="EW27" s="67">
        <v>482.42</v>
      </c>
      <c r="EX27" s="67" t="s">
        <v>236</v>
      </c>
      <c r="EY27" s="67">
        <v>5620.5</v>
      </c>
      <c r="EZ27" s="67" t="s">
        <v>237</v>
      </c>
      <c r="FA27" s="67">
        <v>19822</v>
      </c>
      <c r="FB27" s="67" t="s">
        <v>238</v>
      </c>
      <c r="FC27" s="67" t="s">
        <v>239</v>
      </c>
      <c r="FD27" s="67" t="s">
        <v>240</v>
      </c>
      <c r="FE27" s="67" t="s">
        <v>241</v>
      </c>
      <c r="FF27" s="67" t="s">
        <v>242</v>
      </c>
    </row>
    <row r="28" spans="1:162" s="63" customFormat="1" ht="13.5" thickBot="1" x14ac:dyDescent="0.25">
      <c r="A28" s="2">
        <f t="shared" si="65"/>
        <v>558</v>
      </c>
      <c r="B28" s="3">
        <f t="shared" si="138"/>
        <v>11525</v>
      </c>
      <c r="C28" s="3">
        <f t="shared" si="139"/>
        <v>1477</v>
      </c>
      <c r="D28" s="3">
        <f t="shared" si="140"/>
        <v>14080</v>
      </c>
      <c r="E28" s="3">
        <f t="shared" si="141"/>
        <v>27082</v>
      </c>
      <c r="F28" s="4">
        <f t="shared" si="142"/>
        <v>5619.4163712365735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1327</v>
      </c>
      <c r="AN28" s="1">
        <v>10721</v>
      </c>
      <c r="AO28" s="1">
        <v>558</v>
      </c>
      <c r="AP28" s="1">
        <v>6458</v>
      </c>
      <c r="AQ28" s="1">
        <v>-71387</v>
      </c>
      <c r="AR28" s="1"/>
      <c r="AS28" s="6">
        <f>IF(RTD("tos.rtd",,AS$2,"."&amp;$A$2&amp;$AS$1&amp;"C"&amp;$A28)="N/A",0,RTD("tos.rtd",,AS$2,"."&amp;$A$2&amp;$AS$1&amp;"C"&amp;$A28))</f>
        <v>5875</v>
      </c>
      <c r="AT28" s="7">
        <f>-IF(RTD("tos.rtd",,AT$2,"."&amp;$A$2&amp;$AS$1&amp;"P"&amp;$A28)="N/A",0,RTD("tos.rtd",,AT$2,"."&amp;$A$2&amp;$AS$1&amp;"P"&amp;$A28))</f>
        <v>-5650</v>
      </c>
      <c r="AU28" s="6">
        <f>IF(RTD("tos.rtd",,AU$2,"."&amp;$A$2&amp;$AU$1&amp;"C"&amp;$A28)="N/A",0,RTD("tos.rtd",,AU$2,"."&amp;$A$2&amp;$AU$1&amp;"C"&amp;$A28))</f>
        <v>1019</v>
      </c>
      <c r="AV28" s="7">
        <f>-IF(RTD("tos.rtd",,AV$2,"."&amp;$A$2&amp;$AU$1&amp;"P"&amp;$A28)="N/A",0,RTD("tos.rtd",,AV$2,"."&amp;$A$2&amp;$AU$1&amp;"P"&amp;$A28))</f>
        <v>-458</v>
      </c>
      <c r="AW28" s="6">
        <f>IF(RTD("tos.rtd",,AW$2,"."&amp;$A$2&amp;$AW$1&amp;"C"&amp;$A28)="N/A",0,RTD("tos.rtd",,AW$2,"."&amp;$A$2&amp;$AW$1&amp;"C"&amp;$A28))</f>
        <v>11200</v>
      </c>
      <c r="AX28" s="7">
        <f>-IF(RTD("tos.rtd",,AX$2,"."&amp;$A$2&amp;$AW$1&amp;"P"&amp;$A28)="N/A",0,RTD("tos.rtd",,AX$2,"."&amp;$A$2&amp;$AW$1&amp;"P"&amp;$A28))</f>
        <v>-2880</v>
      </c>
      <c r="AY28" s="1">
        <f t="shared" si="143"/>
        <v>9106</v>
      </c>
      <c r="AZ28" s="8">
        <f t="shared" si="35"/>
        <v>558</v>
      </c>
      <c r="BA28" s="6">
        <f>IF(RTD("tos.rtd",,BA$2,"."&amp;$A$2&amp;$AS$1&amp;"C"&amp;$A28)="N/A",0,RTD("tos.rtd",,BA$2,"."&amp;$A$2&amp;$AS$1&amp;"C"&amp;$A28))</f>
        <v>6462</v>
      </c>
      <c r="BB28" s="7">
        <f>-IF(RTD("tos.rtd",,BB$2,"."&amp;$A$2&amp;$AS$1&amp;"P"&amp;$A28)="N/A",0,RTD("tos.rtd",,BB$2,"."&amp;$A$2&amp;$AS$1&amp;"P"&amp;$A28))</f>
        <v>-71387</v>
      </c>
      <c r="BC28" s="6">
        <f>IF(RTD("tos.rtd",,BC$2,"."&amp;$A$2&amp;$AU$1&amp;"C"&amp;$A28)="N/A",0,RTD("tos.rtd",,BC$2,"."&amp;$A$2&amp;$AU$1&amp;"C"&amp;$A28))</f>
        <v>229</v>
      </c>
      <c r="BD28" s="7">
        <f>-IF(RTD("tos.rtd",,BD$2,"."&amp;$A$2&amp;$AU$1&amp;"P"&amp;$A28)="N/A",0,RTD("tos.rtd",,BD$2,"."&amp;$A$2&amp;$AU$1&amp;"P"&amp;$A28))</f>
        <v>-1112</v>
      </c>
      <c r="BE28" s="6">
        <f>IF(RTD("tos.rtd",,BE$2,"."&amp;$A$2&amp;$AW$1&amp;"C"&amp;$A28)="N/A",0,RTD("tos.rtd",,BE$2,"."&amp;$A$2&amp;$AW$1&amp;"C"&amp;$A28))</f>
        <v>446</v>
      </c>
      <c r="BF28" s="83">
        <f>-IF(RTD("tos.rtd",,BF$2,"."&amp;$A$2&amp;$AW$1&amp;"P"&amp;$A28)="N/A",0,RTD("tos.rtd",,BF$2,"."&amp;$A$2&amp;$AW$1&amp;"P"&amp;$A28))</f>
        <v>-1076</v>
      </c>
      <c r="BG28" s="32" t="e">
        <f ca="1">+Hoja2!Y29</f>
        <v>#N/A</v>
      </c>
      <c r="BH28" s="7" t="e">
        <f t="shared" ca="1" si="36"/>
        <v>#N/A</v>
      </c>
      <c r="BI28" s="8" t="e">
        <f t="shared" ref="BI28" ca="1" si="179">IF(AND(BH28&lt;0,BH27&gt;0), "Cruce -", IF(AND(BH28&gt;0,BH27&lt;0),"Cruce +", ""))</f>
        <v>#N/A</v>
      </c>
      <c r="BJ28" s="3" t="e">
        <f ca="1">IF($BP$1=1,DX28,IF(RTD("tos.rtd",,BJ$2,"."&amp;$A$2&amp;$AS$1&amp;"C"&amp;$A28)="N/A",0,RTD("tos.rtd",,BJ$2,"."&amp;$A$2&amp;$AS$1&amp;"C"&amp;$A28)))</f>
        <v>#NUM!</v>
      </c>
      <c r="BK28" s="3" t="e">
        <f ca="1">IF($BP$1=1,DY28,-IF(RTD("tos.rtd",,BK$2,"."&amp;$A$2&amp;$AS$1&amp;"P"&amp;$A28)="N/A",0,RTD("tos.rtd",,BK$2,"."&amp;$A$2&amp;$AS$1&amp;"P"&amp;$A28)))</f>
        <v>#NUM!</v>
      </c>
      <c r="BL28" s="3">
        <f ca="1">IF($BP$1=1,DZ28,IF(RTD("tos.rtd",,BL$2,"."&amp;$A$2&amp;$AU$1&amp;"C"&amp;$A28)="N/A",0,RTD("tos.rtd",,BL$2,"."&amp;$A$2&amp;$AU$1&amp;"C"&amp;$A28)))</f>
        <v>1.7922242927318109E-2</v>
      </c>
      <c r="BM28" s="3">
        <f ca="1">IF($BP$1=1,EA28,-IF(RTD("tos.rtd",,BM$2,"."&amp;$A$2&amp;$AU$1&amp;"P"&amp;$A28)="N/A",0,RTD("tos.rtd",,BM$2,"."&amp;$A$2&amp;$AU$1&amp;"P"&amp;$A28)))</f>
        <v>-1.790949699612714E-2</v>
      </c>
      <c r="BN28" s="3">
        <f ca="1">IF($BP$1=1,EB28,IF(RTD("tos.rtd",,BN$2,"."&amp;$A$2&amp;$AW$1&amp;"C"&amp;$A28)="N/A",0,RTD("tos.rtd",,BN$2,"."&amp;$A$2&amp;$AW$1&amp;"C"&amp;$A28)))</f>
        <v>1.7890402981404891E-2</v>
      </c>
      <c r="BO28" s="3">
        <f ca="1">IF($BP$1=1,EC28,-IF(RTD("tos.rtd",,BO$2,"."&amp;$A$2&amp;$AW$1&amp;"P"&amp;$A28)="N/A",0,RTD("tos.rtd",,BO$2,"."&amp;$A$2&amp;$AW$1&amp;"P"&amp;$A28)))</f>
        <v>-1.8005415030373003E-2</v>
      </c>
      <c r="BQ28" s="3" t="e">
        <f t="shared" ca="1" si="145"/>
        <v>#NUM!</v>
      </c>
      <c r="BR28" s="3" t="e">
        <f t="shared" ca="1" si="68"/>
        <v>#NUM!</v>
      </c>
      <c r="BS28" s="3">
        <f t="shared" ca="1" si="146"/>
        <v>3233906.5159990955</v>
      </c>
      <c r="BT28" s="3" t="str">
        <f t="shared" ca="1" si="68"/>
        <v/>
      </c>
      <c r="BU28" s="3">
        <f t="shared" ca="1" si="147"/>
        <v>47741503.072531939</v>
      </c>
      <c r="BV28" s="3" t="str">
        <f t="shared" ref="BV28" ca="1" si="180">IF(AND(BU28&lt;0,BU27&gt;0), "Cruce -", IF(AND(BU28&gt;0,BU27&lt;0),"Cruce +", ""))</f>
        <v/>
      </c>
      <c r="BX28" s="3" t="e">
        <f t="shared" ca="1" si="149"/>
        <v>#NUM!</v>
      </c>
      <c r="BY28" s="3" t="e">
        <f t="shared" ca="1" si="70"/>
        <v>#NUM!</v>
      </c>
      <c r="BZ28" s="3">
        <f t="shared" ca="1" si="150"/>
        <v>-5082578.3954224065</v>
      </c>
      <c r="CA28" s="3" t="str">
        <f t="shared" ca="1" si="71"/>
        <v/>
      </c>
      <c r="CB28" s="3">
        <f t="shared" ca="1" si="151"/>
        <v>-3662885.2705695541</v>
      </c>
      <c r="CC28" s="3" t="str">
        <f t="shared" ca="1" si="72"/>
        <v/>
      </c>
      <c r="CD28" s="3">
        <f>IF(RTD("tos.rtd",,CD$2,"."&amp;$A$2&amp;$AS$1&amp;"C"&amp;$A28)="N/A",0,RTD("tos.rtd",,CD$2,"."&amp;$A$2&amp;$AS$1&amp;"C"&amp;$A28))</f>
        <v>1</v>
      </c>
      <c r="CE28" s="3">
        <f>-IF(RTD("tos.rtd",,CE$2,"."&amp;$A$2&amp;$AS$1&amp;"P"&amp;$A28)="N/A",0,RTD("tos.rtd",,CE$2,"."&amp;$A$2&amp;$AS$1&amp;"P"&amp;$A28))</f>
        <v>0</v>
      </c>
      <c r="CF28" s="3">
        <f>IF(RTD("tos.rtd",,CF$2,"."&amp;$A$2&amp;$AU$1&amp;"C"&amp;$A28)="N/A",0,RTD("tos.rtd",,CF$2,"."&amp;$A$2&amp;$AU$1&amp;"C"&amp;$A28))</f>
        <v>0.72</v>
      </c>
      <c r="CG28" s="3">
        <f>-IF(RTD("tos.rtd",,CG$2,"."&amp;$A$2&amp;$AU$1&amp;"P"&amp;$A28)="N/A",0,RTD("tos.rtd",,CG$2,"."&amp;$A$2&amp;$AU$1&amp;"P"&amp;$A28))</f>
        <v>0.28000000000000003</v>
      </c>
      <c r="CH28" s="3">
        <f>IF(RTD("tos.rtd",,CH$2,"."&amp;$A$2&amp;$AW$1&amp;"C"&amp;$A28)="N/A",0,RTD("tos.rtd",,CH$2,"."&amp;$A$2&amp;$AW$1&amp;"C"&amp;$A28))</f>
        <v>0.67</v>
      </c>
      <c r="CI28" s="3">
        <f>-IF(RTD("tos.rtd",,CI$2,"."&amp;$A$2&amp;$AW$1&amp;"P"&amp;$A28)="N/A",0,RTD("tos.rtd",,CI$2,"."&amp;$A$2&amp;$AW$1&amp;"P"&amp;$A28))</f>
        <v>0.33</v>
      </c>
      <c r="CK28" s="3">
        <f t="shared" si="152"/>
        <v>587500</v>
      </c>
      <c r="CL28" s="3"/>
      <c r="CM28" s="3">
        <f t="shared" si="153"/>
        <v>60544</v>
      </c>
      <c r="CN28" s="3"/>
      <c r="CO28" s="3">
        <f t="shared" si="154"/>
        <v>655360</v>
      </c>
      <c r="CP28" s="3">
        <f t="shared" si="155"/>
        <v>1303404</v>
      </c>
      <c r="CQ28" s="3">
        <f t="shared" si="156"/>
        <v>-64925</v>
      </c>
      <c r="CR28" s="3"/>
      <c r="CS28" s="3">
        <f t="shared" si="157"/>
        <v>-883</v>
      </c>
      <c r="CT28" s="3"/>
      <c r="CU28" s="3">
        <f t="shared" si="158"/>
        <v>-630</v>
      </c>
      <c r="CV28" s="3">
        <f t="shared" si="159"/>
        <v>-66438</v>
      </c>
      <c r="CW28" s="3" t="e">
        <f t="shared" ca="1" si="160"/>
        <v>#NUM!</v>
      </c>
      <c r="CX28" s="85" t="e">
        <f t="shared" ca="1" si="73"/>
        <v>#NUM!</v>
      </c>
      <c r="CY28" s="3" t="e">
        <f t="shared" ca="1" si="161"/>
        <v>#NUM!</v>
      </c>
      <c r="CZ28" s="85" t="e">
        <f t="shared" ca="1" si="74"/>
        <v>#NUM!</v>
      </c>
      <c r="DA28" s="3">
        <f>IF(RTD("tos.rtd",,DA$2,"."&amp;$A$2&amp;$AS$1&amp;"C"&amp;$A28)="N/A",0,RTD("tos.rtd",,DA$2,"."&amp;$A$2&amp;$AS$1&amp;"C"&amp;$A28))</f>
        <v>8.93</v>
      </c>
      <c r="DB28" s="3">
        <f>IF(RTD("tos.rtd",,DB$2,"."&amp;$A$2&amp;$AS$1&amp;"P"&amp;$A28)="N/A",0,RTD("tos.rtd",,DB$2,"."&amp;$A$2&amp;$AS$1&amp;"P"&amp;$A28))</f>
        <v>0.01</v>
      </c>
      <c r="DC28" s="3">
        <f>IF(RTD("tos.rtd",,DC$2,"."&amp;$A$2&amp;$AS$1&amp;"C"&amp;$A28)="N/A",0,RTD("tos.rtd",,DC$2,"."&amp;$A$2&amp;$AS$1&amp;"C"&amp;$A28))</f>
        <v>9.0399999999999991</v>
      </c>
      <c r="DD28" s="3">
        <f>IF(RTD("tos.rtd",,DD$2,"."&amp;$A$2&amp;$AS$1&amp;"P"&amp;$A28)="N/A",0,RTD("tos.rtd",,DD$2,"."&amp;$A$2&amp;$AS$1&amp;"P"&amp;$A28))</f>
        <v>0.01</v>
      </c>
      <c r="DE28" s="3">
        <f>IF(RTD("tos.rtd",,DE$2,"."&amp;$A$2&amp;$AS$1&amp;"C"&amp;$A28)="N/A",0,RTD("tos.rtd",,DE$2,"."&amp;$A$2&amp;$AS$1&amp;"C"&amp;$A28))</f>
        <v>8.8699999999999992</v>
      </c>
      <c r="DF28" s="3">
        <f>IF(RTD("tos.rtd",,DF$2,"."&amp;$A$2&amp;$AS$1&amp;"P"&amp;$A28)="N/A",0,RTD("tos.rtd",,DF$2,"."&amp;$A$2&amp;$AS$1&amp;"P"&amp;$A28))</f>
        <v>0</v>
      </c>
      <c r="DG28" s="86">
        <f t="shared" si="48"/>
        <v>-8.9700000000000273</v>
      </c>
      <c r="DH28" s="3">
        <f t="shared" si="162"/>
        <v>1.4117647058823652</v>
      </c>
      <c r="DI28" s="3">
        <f t="shared" si="163"/>
        <v>0</v>
      </c>
      <c r="DJ28" s="3">
        <f t="shared" si="164"/>
        <v>-4</v>
      </c>
      <c r="DK28" s="3">
        <f t="shared" si="51"/>
        <v>0</v>
      </c>
      <c r="DL28" s="3">
        <f t="shared" si="52"/>
        <v>1.4117647058823652</v>
      </c>
      <c r="DM28" s="3">
        <f t="shared" si="53"/>
        <v>-4</v>
      </c>
      <c r="DN28" s="63" t="str">
        <f t="shared" si="54"/>
        <v>SELL</v>
      </c>
      <c r="DO28" s="63" t="str">
        <f t="shared" si="55"/>
        <v>UNKNOWN</v>
      </c>
      <c r="DP28" s="3">
        <f t="shared" si="56"/>
        <v>12.60705882352952</v>
      </c>
      <c r="DQ28" s="3">
        <f t="shared" si="57"/>
        <v>-35.72</v>
      </c>
      <c r="DR28" s="3" t="e">
        <f t="shared" ca="1" si="58"/>
        <v>#NUM!</v>
      </c>
      <c r="DS28" s="3">
        <f t="shared" si="59"/>
        <v>-4</v>
      </c>
      <c r="DT28" s="3">
        <f t="shared" si="60"/>
        <v>4</v>
      </c>
      <c r="DU28" s="3">
        <f t="shared" si="61"/>
        <v>0</v>
      </c>
      <c r="DV28" s="3">
        <f t="shared" si="62"/>
        <v>1323</v>
      </c>
      <c r="DW28" s="3">
        <f t="shared" si="23"/>
        <v>10721</v>
      </c>
      <c r="DX28" s="3" t="e">
        <f t="shared" ca="1" si="24"/>
        <v>#NUM!</v>
      </c>
      <c r="DY28" s="3" t="e">
        <f t="shared" ca="1" si="25"/>
        <v>#NUM!</v>
      </c>
      <c r="DZ28" s="3">
        <f t="shared" ca="1" si="26"/>
        <v>1.7922242927318109E-2</v>
      </c>
      <c r="EA28" s="3">
        <f t="shared" ca="1" si="27"/>
        <v>-1.790949699612714E-2</v>
      </c>
      <c r="EB28" s="3">
        <f t="shared" ca="1" si="28"/>
        <v>1.7890402981404891E-2</v>
      </c>
      <c r="EC28" s="3">
        <f t="shared" ca="1" si="29"/>
        <v>-1.8005415030373003E-2</v>
      </c>
      <c r="EE28" s="59">
        <f t="shared" si="165"/>
        <v>0.25</v>
      </c>
      <c r="EF28" s="59">
        <f t="shared" si="166"/>
        <v>0.81130000000000002</v>
      </c>
      <c r="EG28" s="59">
        <f t="shared" si="167"/>
        <v>0.2122</v>
      </c>
      <c r="EH28" s="59">
        <f t="shared" si="168"/>
        <v>0.21240000000000001</v>
      </c>
      <c r="EI28" s="59">
        <f t="shared" si="169"/>
        <v>0.2127</v>
      </c>
      <c r="EJ28" s="59">
        <f t="shared" si="170"/>
        <v>0.2109</v>
      </c>
      <c r="EL28" s="3" t="str">
        <f>RTD("tos.rtd",,EL$2,"."&amp;$A$2&amp;$AS$1&amp;"C"&amp;$A28)</f>
        <v>--</v>
      </c>
      <c r="EM28" s="3" t="str">
        <f>RTD("tos.rtd",,EM$2,"."&amp;$A$2&amp;$AS$1&amp;"P"&amp;$A28)</f>
        <v>81.13%</v>
      </c>
      <c r="EN28" s="3" t="str">
        <f>RTD("tos.rtd",,EN$2,"."&amp;$A$2&amp;$AU$1&amp;"C"&amp;$A28)</f>
        <v>21.22%</v>
      </c>
      <c r="EO28" s="3" t="str">
        <f>RTD("tos.rtd",,EO$2,"."&amp;$A$2&amp;$AU$1&amp;"P"&amp;$A28)</f>
        <v>21.24%</v>
      </c>
      <c r="EP28" s="3" t="str">
        <f>RTD("tos.rtd",,EP$2,"."&amp;$A$2&amp;$AW$1&amp;"C"&amp;$A28)</f>
        <v>21.27%</v>
      </c>
      <c r="EQ28" s="3" t="str">
        <f>RTD("tos.rtd",,EQ$2,"."&amp;$A$2&amp;$AW$1&amp;"P"&amp;$A28)</f>
        <v>21.09%</v>
      </c>
      <c r="ET28" s="63" t="str">
        <f t="shared" ca="1" si="64"/>
        <v>558,00.00</v>
      </c>
      <c r="EU28" s="67">
        <v>560.27</v>
      </c>
      <c r="EV28" s="67" t="s">
        <v>243</v>
      </c>
      <c r="EW28" s="67">
        <v>482.18</v>
      </c>
      <c r="EX28" s="67" t="s">
        <v>244</v>
      </c>
      <c r="EY28" s="67">
        <v>5618</v>
      </c>
      <c r="EZ28" s="67" t="s">
        <v>245</v>
      </c>
      <c r="FA28" s="67">
        <v>19812.5</v>
      </c>
      <c r="FB28" s="67" t="s">
        <v>246</v>
      </c>
      <c r="FC28" s="67" t="s">
        <v>247</v>
      </c>
      <c r="FD28" s="67" t="s">
        <v>248</v>
      </c>
      <c r="FE28" s="67" t="s">
        <v>249</v>
      </c>
      <c r="FF28" s="67" t="s">
        <v>250</v>
      </c>
    </row>
    <row r="29" spans="1:162" s="63" customFormat="1" ht="13.5" thickBot="1" x14ac:dyDescent="0.25">
      <c r="A29" s="2">
        <f t="shared" si="65"/>
        <v>557</v>
      </c>
      <c r="B29" s="3">
        <f t="shared" si="138"/>
        <v>7014</v>
      </c>
      <c r="C29" s="3">
        <f t="shared" si="139"/>
        <v>2617</v>
      </c>
      <c r="D29" s="3">
        <f t="shared" si="140"/>
        <v>12010</v>
      </c>
      <c r="E29" s="3">
        <f t="shared" si="141"/>
        <v>21641</v>
      </c>
      <c r="F29" s="4">
        <f t="shared" si="142"/>
        <v>5609.3457325784429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432</v>
      </c>
      <c r="AN29" s="1">
        <v>-7230</v>
      </c>
      <c r="AO29" s="1">
        <v>557</v>
      </c>
      <c r="AP29" s="1">
        <v>2738</v>
      </c>
      <c r="AQ29" s="1">
        <v>-49547</v>
      </c>
      <c r="AR29" s="1"/>
      <c r="AS29" s="6">
        <f>IF(RTD("tos.rtd",,AS$2,"."&amp;$A$2&amp;$AS$1&amp;"C"&amp;$A29)="N/A",0,RTD("tos.rtd",,AS$2,"."&amp;$A$2&amp;$AS$1&amp;"C"&amp;$A29))</f>
        <v>2327</v>
      </c>
      <c r="AT29" s="7">
        <f>-IF(RTD("tos.rtd",,AT$2,"."&amp;$A$2&amp;$AS$1&amp;"P"&amp;$A29)="N/A",0,RTD("tos.rtd",,AT$2,"."&amp;$A$2&amp;$AS$1&amp;"P"&amp;$A29))</f>
        <v>-4687</v>
      </c>
      <c r="AU29" s="6">
        <f>IF(RTD("tos.rtd",,AU$2,"."&amp;$A$2&amp;$AU$1&amp;"C"&amp;$A29)="N/A",0,RTD("tos.rtd",,AU$2,"."&amp;$A$2&amp;$AU$1&amp;"C"&amp;$A29))</f>
        <v>1309</v>
      </c>
      <c r="AV29" s="7">
        <f>-IF(RTD("tos.rtd",,AV$2,"."&amp;$A$2&amp;$AU$1&amp;"P"&amp;$A29)="N/A",0,RTD("tos.rtd",,AV$2,"."&amp;$A$2&amp;$AU$1&amp;"P"&amp;$A29))</f>
        <v>-1308</v>
      </c>
      <c r="AW29" s="6">
        <f>IF(RTD("tos.rtd",,AW$2,"."&amp;$A$2&amp;$AW$1&amp;"C"&amp;$A29)="N/A",0,RTD("tos.rtd",,AW$2,"."&amp;$A$2&amp;$AW$1&amp;"C"&amp;$A29))</f>
        <v>2393</v>
      </c>
      <c r="AX29" s="7">
        <f>-IF(RTD("tos.rtd",,AX$2,"."&amp;$A$2&amp;$AW$1&amp;"P"&amp;$A29)="N/A",0,RTD("tos.rtd",,AX$2,"."&amp;$A$2&amp;$AW$1&amp;"P"&amp;$A29))</f>
        <v>-9617</v>
      </c>
      <c r="AY29" s="1">
        <f t="shared" si="143"/>
        <v>-9583</v>
      </c>
      <c r="AZ29" s="8">
        <f t="shared" si="35"/>
        <v>557</v>
      </c>
      <c r="BA29" s="6">
        <f>IF(RTD("tos.rtd",,BA$2,"."&amp;$A$2&amp;$AS$1&amp;"C"&amp;$A29)="N/A",0,RTD("tos.rtd",,BA$2,"."&amp;$A$2&amp;$AS$1&amp;"C"&amp;$A29))</f>
        <v>2748</v>
      </c>
      <c r="BB29" s="7">
        <f>-IF(RTD("tos.rtd",,BB$2,"."&amp;$A$2&amp;$AS$1&amp;"P"&amp;$A29)="N/A",0,RTD("tos.rtd",,BB$2,"."&amp;$A$2&amp;$AS$1&amp;"P"&amp;$A29))</f>
        <v>-49548</v>
      </c>
      <c r="BC29" s="6">
        <f>IF(RTD("tos.rtd",,BC$2,"."&amp;$A$2&amp;$AU$1&amp;"C"&amp;$A29)="N/A",0,RTD("tos.rtd",,BC$2,"."&amp;$A$2&amp;$AU$1&amp;"C"&amp;$A29))</f>
        <v>351</v>
      </c>
      <c r="BD29" s="7">
        <f>-IF(RTD("tos.rtd",,BD$2,"."&amp;$A$2&amp;$AU$1&amp;"P"&amp;$A29)="N/A",0,RTD("tos.rtd",,BD$2,"."&amp;$A$2&amp;$AU$1&amp;"P"&amp;$A29))</f>
        <v>-4119</v>
      </c>
      <c r="BE29" s="6">
        <f>IF(RTD("tos.rtd",,BE$2,"."&amp;$A$2&amp;$AW$1&amp;"C"&amp;$A29)="N/A",0,RTD("tos.rtd",,BE$2,"."&amp;$A$2&amp;$AW$1&amp;"C"&amp;$A29))</f>
        <v>168</v>
      </c>
      <c r="BF29" s="83">
        <f>-IF(RTD("tos.rtd",,BF$2,"."&amp;$A$2&amp;$AW$1&amp;"P"&amp;$A29)="N/A",0,RTD("tos.rtd",,BF$2,"."&amp;$A$2&amp;$AW$1&amp;"P"&amp;$A29))</f>
        <v>-512</v>
      </c>
      <c r="BG29" s="32" t="e">
        <f ca="1">+Hoja2!Y30</f>
        <v>#N/A</v>
      </c>
      <c r="BH29" s="7" t="e">
        <f t="shared" ca="1" si="36"/>
        <v>#N/A</v>
      </c>
      <c r="BI29" s="8" t="e">
        <f t="shared" ref="BI29" ca="1" si="181">IF(AND(BH29&lt;0,BH28&gt;0), "Cruce -", IF(AND(BH29&gt;0,BH28&lt;0),"Cruce +", ""))</f>
        <v>#N/A</v>
      </c>
      <c r="BJ29" s="3" t="e">
        <f ca="1">IF($BP$1=1,DX29,IF(RTD("tos.rtd",,BJ$2,"."&amp;$A$2&amp;$AS$1&amp;"C"&amp;$A29)="N/A",0,RTD("tos.rtd",,BJ$2,"."&amp;$A$2&amp;$AS$1&amp;"C"&amp;$A29)))</f>
        <v>#NUM!</v>
      </c>
      <c r="BK29" s="3" t="e">
        <f ca="1">IF($BP$1=1,DY29,-IF(RTD("tos.rtd",,BK$2,"."&amp;$A$2&amp;$AS$1&amp;"P"&amp;$A29)="N/A",0,RTD("tos.rtd",,BK$2,"."&amp;$A$2&amp;$AS$1&amp;"P"&amp;$A29)))</f>
        <v>#NUM!</v>
      </c>
      <c r="BL29" s="3">
        <f ca="1">IF($BP$1=1,DZ29,IF(RTD("tos.rtd",,BL$2,"."&amp;$A$2&amp;$AU$1&amp;"C"&amp;$A29)="N/A",0,RTD("tos.rtd",,BL$2,"."&amp;$A$2&amp;$AU$1&amp;"C"&amp;$A29)))</f>
        <v>1.7277510471843834E-2</v>
      </c>
      <c r="BM29" s="3">
        <f ca="1">IF($BP$1=1,EA29,-IF(RTD("tos.rtd",,BM$2,"."&amp;$A$2&amp;$AU$1&amp;"P"&amp;$A29)="N/A",0,RTD("tos.rtd",,BM$2,"."&amp;$A$2&amp;$AU$1&amp;"P"&amp;$A29)))</f>
        <v>-1.7266127990566264E-2</v>
      </c>
      <c r="BN29" s="3">
        <f ca="1">IF($BP$1=1,EB29,IF(RTD("tos.rtd",,BN$2,"."&amp;$A$2&amp;$AW$1&amp;"C"&amp;$A29)="N/A",0,RTD("tos.rtd",,BN$2,"."&amp;$A$2&amp;$AW$1&amp;"C"&amp;$A29)))</f>
        <v>1.7254754858829383E-2</v>
      </c>
      <c r="BO29" s="3">
        <f ca="1">IF($BP$1=1,EC29,-IF(RTD("tos.rtd",,BO$2,"."&amp;$A$2&amp;$AW$1&amp;"P"&amp;$A29)="N/A",0,RTD("tos.rtd",,BO$2,"."&amp;$A$2&amp;$AW$1&amp;"P"&amp;$A29)))</f>
        <v>-1.7368905377541918E-2</v>
      </c>
      <c r="BQ29" s="3" t="e">
        <f t="shared" ca="1" si="145"/>
        <v>#NUM!</v>
      </c>
      <c r="BR29" s="3" t="e">
        <f t="shared" ca="1" si="68"/>
        <v>#NUM!</v>
      </c>
      <c r="BS29" s="3">
        <f t="shared" ca="1" si="146"/>
        <v>10339.855333318003</v>
      </c>
      <c r="BT29" s="3" t="str">
        <f t="shared" ca="1" si="68"/>
        <v/>
      </c>
      <c r="BU29" s="3">
        <f t="shared" ca="1" si="147"/>
        <v>-40421721.30851347</v>
      </c>
      <c r="BV29" s="3" t="str">
        <f t="shared" ref="BV29" ca="1" si="182">IF(AND(BU29&lt;0,BU28&gt;0), "Cruce -", IF(AND(BU29&gt;0,BU28&lt;0),"Cruce +", ""))</f>
        <v>Cruce -</v>
      </c>
      <c r="BX29" s="3" t="e">
        <f t="shared" ca="1" si="149"/>
        <v>#NUM!</v>
      </c>
      <c r="BY29" s="3" t="e">
        <f t="shared" ca="1" si="70"/>
        <v>#NUM!</v>
      </c>
      <c r="BZ29" s="3">
        <f t="shared" ca="1" si="150"/>
        <v>-20912181.460712377</v>
      </c>
      <c r="CA29" s="3" t="str">
        <f t="shared" ca="1" si="71"/>
        <v/>
      </c>
      <c r="CB29" s="3">
        <f t="shared" ca="1" si="151"/>
        <v>-1926827.1088312196</v>
      </c>
      <c r="CC29" s="3" t="str">
        <f t="shared" ca="1" si="72"/>
        <v/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</v>
      </c>
      <c r="CF29" s="3">
        <f>IF(RTD("tos.rtd",,CF$2,"."&amp;$A$2&amp;$AU$1&amp;"C"&amp;$A29)="N/A",0,RTD("tos.rtd",,CF$2,"."&amp;$A$2&amp;$AU$1&amp;"C"&amp;$A29))</f>
        <v>0.74</v>
      </c>
      <c r="CG29" s="3">
        <f>-IF(RTD("tos.rtd",,CG$2,"."&amp;$A$2&amp;$AU$1&amp;"P"&amp;$A29)="N/A",0,RTD("tos.rtd",,CG$2,"."&amp;$A$2&amp;$AU$1&amp;"P"&amp;$A29))</f>
        <v>0.26</v>
      </c>
      <c r="CH29" s="3">
        <f>IF(RTD("tos.rtd",,CH$2,"."&amp;$A$2&amp;$AW$1&amp;"C"&amp;$A29)="N/A",0,RTD("tos.rtd",,CH$2,"."&amp;$A$2&amp;$AW$1&amp;"C"&amp;$A29))</f>
        <v>0.68</v>
      </c>
      <c r="CI29" s="3">
        <f>-IF(RTD("tos.rtd",,CI$2,"."&amp;$A$2&amp;$AW$1&amp;"P"&amp;$A29)="N/A",0,RTD("tos.rtd",,CI$2,"."&amp;$A$2&amp;$AW$1&amp;"P"&amp;$A29))</f>
        <v>0.32</v>
      </c>
      <c r="CK29" s="3">
        <f t="shared" si="152"/>
        <v>232700</v>
      </c>
      <c r="CL29" s="3"/>
      <c r="CM29" s="3">
        <f t="shared" si="153"/>
        <v>62858</v>
      </c>
      <c r="CN29" s="3"/>
      <c r="CO29" s="3">
        <f t="shared" si="154"/>
        <v>-145020</v>
      </c>
      <c r="CP29" s="3">
        <f t="shared" si="155"/>
        <v>150538</v>
      </c>
      <c r="CQ29" s="3">
        <f t="shared" si="156"/>
        <v>-46800</v>
      </c>
      <c r="CR29" s="3"/>
      <c r="CS29" s="3">
        <f t="shared" si="157"/>
        <v>-3768</v>
      </c>
      <c r="CT29" s="3"/>
      <c r="CU29" s="3">
        <f t="shared" si="158"/>
        <v>-344</v>
      </c>
      <c r="CV29" s="3">
        <f t="shared" si="159"/>
        <v>-50912</v>
      </c>
      <c r="CW29" s="3" t="e">
        <f t="shared" ca="1" si="160"/>
        <v>#NUM!</v>
      </c>
      <c r="CX29" s="85" t="e">
        <f t="shared" ca="1" si="73"/>
        <v>#NUM!</v>
      </c>
      <c r="CY29" s="3" t="e">
        <f t="shared" ca="1" si="161"/>
        <v>#NUM!</v>
      </c>
      <c r="CZ29" s="85" t="e">
        <f t="shared" ca="1" si="74"/>
        <v>#NUM!</v>
      </c>
      <c r="DA29" s="3">
        <f>IF(RTD("tos.rtd",,DA$2,"."&amp;$A$2&amp;$AS$1&amp;"C"&amp;$A29)="N/A",0,RTD("tos.rtd",,DA$2,"."&amp;$A$2&amp;$AS$1&amp;"C"&amp;$A29))</f>
        <v>10</v>
      </c>
      <c r="DB29" s="3">
        <f>IF(RTD("tos.rtd",,DB$2,"."&amp;$A$2&amp;$AS$1&amp;"P"&amp;$A29)="N/A",0,RTD("tos.rtd",,DB$2,"."&amp;$A$2&amp;$AS$1&amp;"P"&amp;$A29))</f>
        <v>0.01</v>
      </c>
      <c r="DC29" s="3">
        <f>IF(RTD("tos.rtd",,DC$2,"."&amp;$A$2&amp;$AS$1&amp;"C"&amp;$A29)="N/A",0,RTD("tos.rtd",,DC$2,"."&amp;$A$2&amp;$AS$1&amp;"C"&amp;$A29))</f>
        <v>10.050000000000001</v>
      </c>
      <c r="DD29" s="3">
        <f>IF(RTD("tos.rtd",,DD$2,"."&amp;$A$2&amp;$AS$1&amp;"P"&amp;$A29)="N/A",0,RTD("tos.rtd",,DD$2,"."&amp;$A$2&amp;$AS$1&amp;"P"&amp;$A29))</f>
        <v>0.01</v>
      </c>
      <c r="DE29" s="3">
        <f>IF(RTD("tos.rtd",,DE$2,"."&amp;$A$2&amp;$AS$1&amp;"C"&amp;$A29)="N/A",0,RTD("tos.rtd",,DE$2,"."&amp;$A$2&amp;$AS$1&amp;"C"&amp;$A29))</f>
        <v>9.8699999999999992</v>
      </c>
      <c r="DF29" s="3">
        <f>IF(RTD("tos.rtd",,DF$2,"."&amp;$A$2&amp;$AS$1&amp;"P"&amp;$A29)="N/A",0,RTD("tos.rtd",,DF$2,"."&amp;$A$2&amp;$AS$1&amp;"P"&amp;$A29))</f>
        <v>0</v>
      </c>
      <c r="DG29" s="86">
        <f t="shared" si="48"/>
        <v>-9.9700000000000273</v>
      </c>
      <c r="DH29" s="3">
        <f t="shared" si="162"/>
        <v>7.2222222222222054</v>
      </c>
      <c r="DI29" s="3">
        <f t="shared" si="163"/>
        <v>-1</v>
      </c>
      <c r="DJ29" s="3">
        <f t="shared" si="164"/>
        <v>10</v>
      </c>
      <c r="DK29" s="3">
        <f t="shared" si="51"/>
        <v>-1</v>
      </c>
      <c r="DL29" s="3">
        <f t="shared" si="52"/>
        <v>6.2222222222222054</v>
      </c>
      <c r="DM29" s="3">
        <f t="shared" si="53"/>
        <v>9</v>
      </c>
      <c r="DN29" s="63" t="str">
        <f t="shared" si="54"/>
        <v>BUY</v>
      </c>
      <c r="DO29" s="63" t="str">
        <f t="shared" si="55"/>
        <v>BUY</v>
      </c>
      <c r="DP29" s="3">
        <f t="shared" si="56"/>
        <v>72.212222222222053</v>
      </c>
      <c r="DQ29" s="3">
        <f t="shared" si="57"/>
        <v>99.99</v>
      </c>
      <c r="DR29" s="3" t="e">
        <f t="shared" ca="1" si="58"/>
        <v>#NUM!</v>
      </c>
      <c r="DS29" s="3">
        <f t="shared" si="59"/>
        <v>10</v>
      </c>
      <c r="DT29" s="3">
        <f t="shared" si="60"/>
        <v>10</v>
      </c>
      <c r="DU29" s="3">
        <f t="shared" si="61"/>
        <v>-1</v>
      </c>
      <c r="DV29" s="3">
        <f t="shared" si="62"/>
        <v>442</v>
      </c>
      <c r="DW29" s="3">
        <f t="shared" si="23"/>
        <v>-7231</v>
      </c>
      <c r="DX29" s="3" t="e">
        <f t="shared" ca="1" si="24"/>
        <v>#NUM!</v>
      </c>
      <c r="DY29" s="3" t="e">
        <f t="shared" ca="1" si="25"/>
        <v>#NUM!</v>
      </c>
      <c r="DZ29" s="3">
        <f t="shared" ca="1" si="26"/>
        <v>1.7277510471843834E-2</v>
      </c>
      <c r="EA29" s="3">
        <f t="shared" ca="1" si="27"/>
        <v>-1.7266127990566264E-2</v>
      </c>
      <c r="EB29" s="3">
        <f t="shared" ca="1" si="28"/>
        <v>1.7254754858829383E-2</v>
      </c>
      <c r="EC29" s="3">
        <f t="shared" ca="1" si="29"/>
        <v>-1.7368905377541918E-2</v>
      </c>
      <c r="EE29" s="59">
        <f t="shared" si="165"/>
        <v>0.25</v>
      </c>
      <c r="EF29" s="59">
        <f t="shared" si="166"/>
        <v>0.89239999999999997</v>
      </c>
      <c r="EG29" s="59">
        <f t="shared" si="167"/>
        <v>0.21479999999999999</v>
      </c>
      <c r="EH29" s="59">
        <f t="shared" si="168"/>
        <v>0.215</v>
      </c>
      <c r="EI29" s="59">
        <f t="shared" si="169"/>
        <v>0.2152</v>
      </c>
      <c r="EJ29" s="59">
        <f t="shared" si="170"/>
        <v>0.2132</v>
      </c>
      <c r="EL29" s="3" t="str">
        <f>RTD("tos.rtd",,EL$2,"."&amp;$A$2&amp;$AS$1&amp;"C"&amp;$A29)</f>
        <v>--</v>
      </c>
      <c r="EM29" s="3" t="str">
        <f>RTD("tos.rtd",,EM$2,"."&amp;$A$2&amp;$AS$1&amp;"P"&amp;$A29)</f>
        <v>89.24%</v>
      </c>
      <c r="EN29" s="3" t="str">
        <f>RTD("tos.rtd",,EN$2,"."&amp;$A$2&amp;$AU$1&amp;"C"&amp;$A29)</f>
        <v>21.48%</v>
      </c>
      <c r="EO29" s="3" t="str">
        <f>RTD("tos.rtd",,EO$2,"."&amp;$A$2&amp;$AU$1&amp;"P"&amp;$A29)</f>
        <v>21.50%</v>
      </c>
      <c r="EP29" s="3" t="str">
        <f>RTD("tos.rtd",,EP$2,"."&amp;$A$2&amp;$AW$1&amp;"C"&amp;$A29)</f>
        <v>21.52%</v>
      </c>
      <c r="EQ29" s="3" t="str">
        <f>RTD("tos.rtd",,EQ$2,"."&amp;$A$2&amp;$AW$1&amp;"P"&amp;$A29)</f>
        <v>21.32%</v>
      </c>
      <c r="ET29" s="63" t="str">
        <f t="shared" ca="1" si="64"/>
        <v>557,00.00</v>
      </c>
      <c r="EU29" s="67">
        <v>560.39</v>
      </c>
      <c r="EV29" s="67" t="s">
        <v>251</v>
      </c>
      <c r="EW29" s="67">
        <v>482.27</v>
      </c>
      <c r="EX29" s="67" t="s">
        <v>252</v>
      </c>
      <c r="EY29" s="67">
        <v>5619.5</v>
      </c>
      <c r="EZ29" s="67" t="s">
        <v>253</v>
      </c>
      <c r="FA29" s="67">
        <v>19816</v>
      </c>
      <c r="FB29" s="67" t="s">
        <v>254</v>
      </c>
      <c r="FC29" s="67" t="s">
        <v>255</v>
      </c>
      <c r="FD29" s="67" t="s">
        <v>256</v>
      </c>
      <c r="FE29" s="67" t="s">
        <v>257</v>
      </c>
      <c r="FF29" s="67" t="s">
        <v>258</v>
      </c>
    </row>
    <row r="30" spans="1:162" s="63" customFormat="1" ht="13.5" thickBot="1" x14ac:dyDescent="0.25">
      <c r="A30" s="2">
        <f t="shared" si="65"/>
        <v>556</v>
      </c>
      <c r="B30" s="3">
        <f t="shared" si="9"/>
        <v>6582</v>
      </c>
      <c r="C30" s="3">
        <f t="shared" si="10"/>
        <v>1654</v>
      </c>
      <c r="D30" s="3">
        <f t="shared" si="11"/>
        <v>3004</v>
      </c>
      <c r="E30" s="3">
        <f t="shared" si="12"/>
        <v>11240</v>
      </c>
      <c r="F30" s="4">
        <f t="shared" si="13"/>
        <v>5599.2750939203133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746</v>
      </c>
      <c r="AN30" s="1">
        <v>1044</v>
      </c>
      <c r="AO30" s="1">
        <v>556</v>
      </c>
      <c r="AP30" s="1">
        <v>2518</v>
      </c>
      <c r="AQ30" s="1">
        <v>-25892</v>
      </c>
      <c r="AR30" s="1"/>
      <c r="AS30" s="6">
        <f>IF(RTD("tos.rtd",,AS$2,"."&amp;$A$2&amp;$AS$1&amp;"C"&amp;$A30)="N/A",0,RTD("tos.rtd",,AS$2,"."&amp;$A$2&amp;$AS$1&amp;"C"&amp;$A30))</f>
        <v>3461</v>
      </c>
      <c r="AT30" s="7">
        <f>-IF(RTD("tos.rtd",,AT$2,"."&amp;$A$2&amp;$AS$1&amp;"P"&amp;$A30)="N/A",0,RTD("tos.rtd",,AT$2,"."&amp;$A$2&amp;$AS$1&amp;"P"&amp;$A30))</f>
        <v>-3121</v>
      </c>
      <c r="AU30" s="6">
        <f>IF(RTD("tos.rtd",,AU$2,"."&amp;$A$2&amp;$AU$1&amp;"C"&amp;$A30)="N/A",0,RTD("tos.rtd",,AU$2,"."&amp;$A$2&amp;$AU$1&amp;"C"&amp;$A30))</f>
        <v>1221</v>
      </c>
      <c r="AV30" s="7">
        <f>-IF(RTD("tos.rtd",,AV$2,"."&amp;$A$2&amp;$AU$1&amp;"P"&amp;$A30)="N/A",0,RTD("tos.rtd",,AV$2,"."&amp;$A$2&amp;$AU$1&amp;"P"&amp;$A30))</f>
        <v>-433</v>
      </c>
      <c r="AW30" s="6">
        <f>IF(RTD("tos.rtd",,AW$2,"."&amp;$A$2&amp;$AW$1&amp;"C"&amp;$A30)="N/A",0,RTD("tos.rtd",,AW$2,"."&amp;$A$2&amp;$AW$1&amp;"C"&amp;$A30))</f>
        <v>1617</v>
      </c>
      <c r="AX30" s="7">
        <f>-IF(RTD("tos.rtd",,AX$2,"."&amp;$A$2&amp;$AW$1&amp;"P"&amp;$A30)="N/A",0,RTD("tos.rtd",,AX$2,"."&amp;$A$2&amp;$AW$1&amp;"P"&amp;$A30))</f>
        <v>-1387</v>
      </c>
      <c r="AY30" s="1">
        <f t="shared" si="66"/>
        <v>1358</v>
      </c>
      <c r="AZ30" s="8">
        <f t="shared" si="35"/>
        <v>556</v>
      </c>
      <c r="BA30" s="6">
        <f>IF(RTD("tos.rtd",,BA$2,"."&amp;$A$2&amp;$AS$1&amp;"C"&amp;$A30)="N/A",0,RTD("tos.rtd",,BA$2,"."&amp;$A$2&amp;$AS$1&amp;"C"&amp;$A30))</f>
        <v>2518</v>
      </c>
      <c r="BB30" s="7">
        <f>-IF(RTD("tos.rtd",,BB$2,"."&amp;$A$2&amp;$AS$1&amp;"P"&amp;$A30)="N/A",0,RTD("tos.rtd",,BB$2,"."&amp;$A$2&amp;$AS$1&amp;"P"&amp;$A30))</f>
        <v>-25892</v>
      </c>
      <c r="BC30" s="6">
        <f>IF(RTD("tos.rtd",,BC$2,"."&amp;$A$2&amp;$AU$1&amp;"C"&amp;$A30)="N/A",0,RTD("tos.rtd",,BC$2,"."&amp;$A$2&amp;$AU$1&amp;"C"&amp;$A30))</f>
        <v>317</v>
      </c>
      <c r="BD30" s="7">
        <f>-IF(RTD("tos.rtd",,BD$2,"."&amp;$A$2&amp;$AU$1&amp;"P"&amp;$A30)="N/A",0,RTD("tos.rtd",,BD$2,"."&amp;$A$2&amp;$AU$1&amp;"P"&amp;$A30))</f>
        <v>-1850</v>
      </c>
      <c r="BE30" s="6">
        <f>IF(RTD("tos.rtd",,BE$2,"."&amp;$A$2&amp;$AW$1&amp;"C"&amp;$A30)="N/A",0,RTD("tos.rtd",,BE$2,"."&amp;$A$2&amp;$AW$1&amp;"C"&amp;$A30))</f>
        <v>119</v>
      </c>
      <c r="BF30" s="83">
        <f>-IF(RTD("tos.rtd",,BF$2,"."&amp;$A$2&amp;$AW$1&amp;"P"&amp;$A30)="N/A",0,RTD("tos.rtd",,BF$2,"."&amp;$A$2&amp;$AW$1&amp;"P"&amp;$A30))</f>
        <v>-778</v>
      </c>
      <c r="BG30" s="32" t="e">
        <f ca="1">+Hoja2!Y31</f>
        <v>#N/A</v>
      </c>
      <c r="BH30" s="7" t="e">
        <f t="shared" ca="1" si="36"/>
        <v>#N/A</v>
      </c>
      <c r="BI30" s="8" t="e">
        <f t="shared" ref="BI30" ca="1" si="183">IF(AND(BH30&lt;0,BH29&gt;0), "Cruce -", IF(AND(BH30&gt;0,BH29&lt;0),"Cruce +", ""))</f>
        <v>#N/A</v>
      </c>
      <c r="BJ30" s="3" t="e">
        <f ca="1">IF($BP$1=1,DX30,IF(RTD("tos.rtd",,BJ$2,"."&amp;$A$2&amp;$AS$1&amp;"C"&amp;$A30)="N/A",0,RTD("tos.rtd",,BJ$2,"."&amp;$A$2&amp;$AS$1&amp;"C"&amp;$A30)))</f>
        <v>#NUM!</v>
      </c>
      <c r="BK30" s="3" t="e">
        <f ca="1">IF($BP$1=1,DY30,-IF(RTD("tos.rtd",,BK$2,"."&amp;$A$2&amp;$AS$1&amp;"P"&amp;$A30)="N/A",0,RTD("tos.rtd",,BK$2,"."&amp;$A$2&amp;$AS$1&amp;"P"&amp;$A30)))</f>
        <v>#NUM!</v>
      </c>
      <c r="BL30" s="3">
        <f ca="1">IF($BP$1=1,DZ30,IF(RTD("tos.rtd",,BL$2,"."&amp;$A$2&amp;$AU$1&amp;"C"&amp;$A30)="N/A",0,RTD("tos.rtd",,BL$2,"."&amp;$A$2&amp;$AU$1&amp;"C"&amp;$A30)))</f>
        <v>1.6653819297903445E-2</v>
      </c>
      <c r="BM30" s="3">
        <f ca="1">IF($BP$1=1,EA30,-IF(RTD("tos.rtd",,BM$2,"."&amp;$A$2&amp;$AU$1&amp;"P"&amp;$A30)="N/A",0,RTD("tos.rtd",,BM$2,"."&amp;$A$2&amp;$AU$1&amp;"P"&amp;$A30)))</f>
        <v>-1.6623614583449502E-2</v>
      </c>
      <c r="BN30" s="3">
        <f ca="1">IF($BP$1=1,EB30,IF(RTD("tos.rtd",,BN$2,"."&amp;$A$2&amp;$AW$1&amp;"C"&amp;$A30)="N/A",0,RTD("tos.rtd",,BN$2,"."&amp;$A$2&amp;$AW$1&amp;"C"&amp;$A30)))</f>
        <v>1.6633677132339288E-2</v>
      </c>
      <c r="BO30" s="3">
        <f ca="1">IF($BP$1=1,EC30,-IF(RTD("tos.rtd",,BO$2,"."&amp;$A$2&amp;$AW$1&amp;"P"&amp;$A30)="N/A",0,RTD("tos.rtd",,BO$2,"."&amp;$A$2&amp;$AW$1&amp;"P"&amp;$A30)))</f>
        <v>-1.673967309854622E-2</v>
      </c>
      <c r="BQ30" s="3" t="e">
        <f t="shared" ca="1" si="37"/>
        <v>#NUM!</v>
      </c>
      <c r="BR30" s="3" t="e">
        <f t="shared" ca="1" si="68"/>
        <v>#NUM!</v>
      </c>
      <c r="BS30" s="3">
        <f t="shared" ca="1" si="38"/>
        <v>4222725.2878919598</v>
      </c>
      <c r="BT30" s="3" t="str">
        <f t="shared" ca="1" si="68"/>
        <v/>
      </c>
      <c r="BU30" s="3">
        <f t="shared" ca="1" si="39"/>
        <v>1182545.8682180317</v>
      </c>
      <c r="BV30" s="3" t="str">
        <f t="shared" ref="BV30" ca="1" si="184">IF(AND(BU30&lt;0,BU29&gt;0), "Cruce -", IF(AND(BU30&gt;0,BU29&lt;0),"Cruce +", ""))</f>
        <v>Cruce +</v>
      </c>
      <c r="BX30" s="3" t="e">
        <f t="shared" ca="1" si="40"/>
        <v>#NUM!</v>
      </c>
      <c r="BY30" s="3" t="e">
        <f t="shared" ca="1" si="70"/>
        <v>#NUM!</v>
      </c>
      <c r="BZ30" s="3">
        <f t="shared" ca="1" si="41"/>
        <v>-8188881.2074723709</v>
      </c>
      <c r="CA30" s="3" t="str">
        <f t="shared" ca="1" si="71"/>
        <v/>
      </c>
      <c r="CB30" s="3">
        <f t="shared" ca="1" si="42"/>
        <v>-3550167.4829968223</v>
      </c>
      <c r="CC30" s="3" t="str">
        <f t="shared" ca="1" si="72"/>
        <v/>
      </c>
      <c r="CD30" s="3">
        <f>IF(RTD("tos.rtd",,CD$2,"."&amp;$A$2&amp;$AS$1&amp;"C"&amp;$A30)="N/A",0,RTD("tos.rtd",,CD$2,"."&amp;$A$2&amp;$AS$1&amp;"C"&amp;$A30))</f>
        <v>0.99</v>
      </c>
      <c r="CE30" s="3">
        <f>-IF(RTD("tos.rtd",,CE$2,"."&amp;$A$2&amp;$AS$1&amp;"P"&amp;$A30)="N/A",0,RTD("tos.rtd",,CE$2,"."&amp;$A$2&amp;$AS$1&amp;"P"&amp;$A30))</f>
        <v>0</v>
      </c>
      <c r="CF30" s="3">
        <f>IF(RTD("tos.rtd",,CF$2,"."&amp;$A$2&amp;$AU$1&amp;"C"&amp;$A30)="N/A",0,RTD("tos.rtd",,CF$2,"."&amp;$A$2&amp;$AU$1&amp;"C"&amp;$A30))</f>
        <v>0.75</v>
      </c>
      <c r="CG30" s="3">
        <f>-IF(RTD("tos.rtd",,CG$2,"."&amp;$A$2&amp;$AU$1&amp;"P"&amp;$A30)="N/A",0,RTD("tos.rtd",,CG$2,"."&amp;$A$2&amp;$AU$1&amp;"P"&amp;$A30))</f>
        <v>0.25</v>
      </c>
      <c r="CH30" s="3">
        <f>IF(RTD("tos.rtd",,CH$2,"."&amp;$A$2&amp;$AW$1&amp;"C"&amp;$A30)="N/A",0,RTD("tos.rtd",,CH$2,"."&amp;$A$2&amp;$AW$1&amp;"C"&amp;$A30))</f>
        <v>0.69</v>
      </c>
      <c r="CI30" s="3">
        <f>-IF(RTD("tos.rtd",,CI$2,"."&amp;$A$2&amp;$AW$1&amp;"P"&amp;$A30)="N/A",0,RTD("tos.rtd",,CI$2,"."&amp;$A$2&amp;$AW$1&amp;"P"&amp;$A30))</f>
        <v>0.3</v>
      </c>
      <c r="CK30" s="3">
        <f t="shared" si="17"/>
        <v>342639</v>
      </c>
      <c r="CL30" s="3"/>
      <c r="CM30" s="3">
        <f t="shared" si="18"/>
        <v>80750</v>
      </c>
      <c r="CN30" s="3"/>
      <c r="CO30" s="3">
        <f t="shared" si="19"/>
        <v>69963</v>
      </c>
      <c r="CP30" s="3">
        <f t="shared" si="43"/>
        <v>493352</v>
      </c>
      <c r="CQ30" s="3">
        <f t="shared" si="44"/>
        <v>-23374</v>
      </c>
      <c r="CR30" s="3"/>
      <c r="CS30" s="3">
        <f t="shared" si="20"/>
        <v>-1533</v>
      </c>
      <c r="CT30" s="3"/>
      <c r="CU30" s="3">
        <f t="shared" si="21"/>
        <v>-659</v>
      </c>
      <c r="CV30" s="3">
        <f t="shared" si="45"/>
        <v>-25566</v>
      </c>
      <c r="CW30" s="3" t="e">
        <f t="shared" ca="1" si="46"/>
        <v>#NUM!</v>
      </c>
      <c r="CX30" s="85" t="e">
        <f t="shared" ca="1" si="73"/>
        <v>#NUM!</v>
      </c>
      <c r="CY30" s="3" t="e">
        <f t="shared" ca="1" si="47"/>
        <v>#NUM!</v>
      </c>
      <c r="CZ30" s="85" t="e">
        <f t="shared" ca="1" si="74"/>
        <v>#NUM!</v>
      </c>
      <c r="DA30" s="3">
        <f>IF(RTD("tos.rtd",,DA$2,"."&amp;$A$2&amp;$AS$1&amp;"C"&amp;$A30)="N/A",0,RTD("tos.rtd",,DA$2,"."&amp;$A$2&amp;$AS$1&amp;"C"&amp;$A30))</f>
        <v>10.97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11.09</v>
      </c>
      <c r="DD30" s="3">
        <f>IF(RTD("tos.rtd",,DD$2,"."&amp;$A$2&amp;$AS$1&amp;"P"&amp;$A30)="N/A",0,RTD("tos.rtd",,DD$2,"."&amp;$A$2&amp;$AS$1&amp;"P"&amp;$A30))</f>
        <v>0.01</v>
      </c>
      <c r="DE30" s="3">
        <f>IF(RTD("tos.rtd",,DE$2,"."&amp;$A$2&amp;$AS$1&amp;"C"&amp;$A30)="N/A",0,RTD("tos.rtd",,DE$2,"."&amp;$A$2&amp;$AS$1&amp;"C"&amp;$A30))</f>
        <v>10.87</v>
      </c>
      <c r="DF30" s="3">
        <f>IF(RTD("tos.rtd",,DF$2,"."&amp;$A$2&amp;$AS$1&amp;"P"&amp;$A30)="N/A",0,RTD("tos.rtd",,DF$2,"."&amp;$A$2&amp;$AS$1&amp;"P"&amp;$A30))</f>
        <v>0</v>
      </c>
      <c r="DG30" s="86">
        <f t="shared" si="48"/>
        <v>-10.970000000000027</v>
      </c>
      <c r="DH30" s="3">
        <f t="shared" si="22"/>
        <v>0</v>
      </c>
      <c r="DI30" s="3">
        <f t="shared" si="49"/>
        <v>0</v>
      </c>
      <c r="DJ30" s="3">
        <f t="shared" si="50"/>
        <v>0</v>
      </c>
      <c r="DK30" s="3">
        <f t="shared" si="51"/>
        <v>0</v>
      </c>
      <c r="DL30" s="3">
        <f t="shared" si="52"/>
        <v>0</v>
      </c>
      <c r="DM30" s="3">
        <f t="shared" si="53"/>
        <v>0</v>
      </c>
      <c r="DN30" s="63" t="str">
        <f t="shared" si="54"/>
        <v>UNKNOWN</v>
      </c>
      <c r="DO30" s="63" t="str">
        <f t="shared" si="55"/>
        <v>UNKNOWN</v>
      </c>
      <c r="DP30" s="3">
        <f t="shared" si="56"/>
        <v>0</v>
      </c>
      <c r="DQ30" s="3">
        <f t="shared" si="57"/>
        <v>0</v>
      </c>
      <c r="DR30" s="3" t="e">
        <f t="shared" ca="1" si="58"/>
        <v>#NUM!</v>
      </c>
      <c r="DS30" s="3">
        <f t="shared" si="59"/>
        <v>0</v>
      </c>
      <c r="DT30" s="3">
        <f t="shared" si="60"/>
        <v>0</v>
      </c>
      <c r="DU30" s="3">
        <f t="shared" si="61"/>
        <v>0</v>
      </c>
      <c r="DV30" s="3">
        <f t="shared" si="62"/>
        <v>746</v>
      </c>
      <c r="DW30" s="3">
        <f t="shared" si="23"/>
        <v>1044</v>
      </c>
      <c r="DX30" s="3" t="e">
        <f t="shared" ca="1" si="24"/>
        <v>#NUM!</v>
      </c>
      <c r="DY30" s="3" t="e">
        <f t="shared" ca="1" si="25"/>
        <v>#NUM!</v>
      </c>
      <c r="DZ30" s="3">
        <f t="shared" ca="1" si="26"/>
        <v>1.6653819297903445E-2</v>
      </c>
      <c r="EA30" s="3">
        <f t="shared" ca="1" si="27"/>
        <v>-1.6623614583449502E-2</v>
      </c>
      <c r="EB30" s="3">
        <f t="shared" ca="1" si="28"/>
        <v>1.6633677132339288E-2</v>
      </c>
      <c r="EC30" s="3">
        <f t="shared" ca="1" si="29"/>
        <v>-1.673967309854622E-2</v>
      </c>
      <c r="EE30" s="59">
        <f t="shared" si="63"/>
        <v>1.0390999999999999</v>
      </c>
      <c r="EF30" s="59">
        <f t="shared" si="30"/>
        <v>0.97299999999999998</v>
      </c>
      <c r="EG30" s="59">
        <f t="shared" si="31"/>
        <v>0.217</v>
      </c>
      <c r="EH30" s="59">
        <f t="shared" si="32"/>
        <v>0.21759999999999999</v>
      </c>
      <c r="EI30" s="59">
        <f t="shared" si="33"/>
        <v>0.21740000000000001</v>
      </c>
      <c r="EJ30" s="59">
        <f t="shared" si="34"/>
        <v>0.21529999999999999</v>
      </c>
      <c r="EL30" s="3" t="str">
        <f>RTD("tos.rtd",,EL$2,"."&amp;$A$2&amp;$AS$1&amp;"C"&amp;$A30)</f>
        <v>103.91%</v>
      </c>
      <c r="EM30" s="3" t="str">
        <f>RTD("tos.rtd",,EM$2,"."&amp;$A$2&amp;$AS$1&amp;"P"&amp;$A30)</f>
        <v>97.30%</v>
      </c>
      <c r="EN30" s="3" t="str">
        <f>RTD("tos.rtd",,EN$2,"."&amp;$A$2&amp;$AU$1&amp;"C"&amp;$A30)</f>
        <v>21.70%</v>
      </c>
      <c r="EO30" s="3" t="str">
        <f>RTD("tos.rtd",,EO$2,"."&amp;$A$2&amp;$AU$1&amp;"P"&amp;$A30)</f>
        <v>21.76%</v>
      </c>
      <c r="EP30" s="3" t="str">
        <f>RTD("tos.rtd",,EP$2,"."&amp;$A$2&amp;$AW$1&amp;"C"&amp;$A30)</f>
        <v>21.74%</v>
      </c>
      <c r="EQ30" s="3" t="str">
        <f>RTD("tos.rtd",,EQ$2,"."&amp;$A$2&amp;$AW$1&amp;"P"&amp;$A30)</f>
        <v>21.53%</v>
      </c>
      <c r="ET30" s="63" t="str">
        <f t="shared" ca="1" si="64"/>
        <v>556,00.00</v>
      </c>
      <c r="EU30" s="67">
        <v>560.30999999999995</v>
      </c>
      <c r="EV30" s="67" t="s">
        <v>259</v>
      </c>
      <c r="EW30" s="67">
        <v>482.21</v>
      </c>
      <c r="EX30" s="67" t="s">
        <v>260</v>
      </c>
      <c r="EY30" s="67">
        <v>5618.5</v>
      </c>
      <c r="EZ30" s="67" t="s">
        <v>261</v>
      </c>
      <c r="FA30" s="67">
        <v>19813</v>
      </c>
      <c r="FB30" s="67" t="s">
        <v>262</v>
      </c>
      <c r="FC30" s="67" t="s">
        <v>263</v>
      </c>
      <c r="FD30" s="67" t="s">
        <v>264</v>
      </c>
      <c r="FE30" s="67" t="s">
        <v>265</v>
      </c>
      <c r="FF30" s="67" t="s">
        <v>266</v>
      </c>
    </row>
    <row r="31" spans="1:162" s="63" customFormat="1" ht="13.5" thickBot="1" x14ac:dyDescent="0.25">
      <c r="A31" s="2">
        <f t="shared" si="65"/>
        <v>555</v>
      </c>
      <c r="B31" s="3">
        <f t="shared" si="9"/>
        <v>15554</v>
      </c>
      <c r="C31" s="3">
        <f t="shared" si="10"/>
        <v>13409</v>
      </c>
      <c r="D31" s="3">
        <f t="shared" si="11"/>
        <v>45033</v>
      </c>
      <c r="E31" s="3">
        <f t="shared" si="12"/>
        <v>73996</v>
      </c>
      <c r="F31" s="4">
        <f t="shared" si="13"/>
        <v>5589.2044552621828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1543</v>
      </c>
      <c r="AN31" s="1">
        <v>12253</v>
      </c>
      <c r="AO31" s="1">
        <v>555</v>
      </c>
      <c r="AP31" s="1">
        <v>4860</v>
      </c>
      <c r="AQ31" s="1">
        <v>-70178</v>
      </c>
      <c r="AR31" s="1"/>
      <c r="AS31" s="6">
        <f>IF(RTD("tos.rtd",,AS$2,"."&amp;$A$2&amp;$AS$1&amp;"C"&amp;$A31)="N/A",0,RTD("tos.rtd",,AS$2,"."&amp;$A$2&amp;$AS$1&amp;"C"&amp;$A31))</f>
        <v>5760</v>
      </c>
      <c r="AT31" s="7">
        <f>-IF(RTD("tos.rtd",,AT$2,"."&amp;$A$2&amp;$AS$1&amp;"P"&amp;$A31)="N/A",0,RTD("tos.rtd",,AT$2,"."&amp;$A$2&amp;$AS$1&amp;"P"&amp;$A31))</f>
        <v>-9794</v>
      </c>
      <c r="AU31" s="6">
        <f>IF(RTD("tos.rtd",,AU$2,"."&amp;$A$2&amp;$AU$1&amp;"C"&amp;$A31)="N/A",0,RTD("tos.rtd",,AU$2,"."&amp;$A$2&amp;$AU$1&amp;"C"&amp;$A31))</f>
        <v>11455</v>
      </c>
      <c r="AV31" s="7">
        <f>-IF(RTD("tos.rtd",,AV$2,"."&amp;$A$2&amp;$AU$1&amp;"P"&amp;$A31)="N/A",0,RTD("tos.rtd",,AV$2,"."&amp;$A$2&amp;$AU$1&amp;"P"&amp;$A31))</f>
        <v>-1954</v>
      </c>
      <c r="AW31" s="6">
        <f>IF(RTD("tos.rtd",,AW$2,"."&amp;$A$2&amp;$AW$1&amp;"C"&amp;$A31)="N/A",0,RTD("tos.rtd",,AW$2,"."&amp;$A$2&amp;$AW$1&amp;"C"&amp;$A31))</f>
        <v>9058</v>
      </c>
      <c r="AX31" s="7">
        <f>-IF(RTD("tos.rtd",,AX$2,"."&amp;$A$2&amp;$AW$1&amp;"P"&amp;$A31)="N/A",0,RTD("tos.rtd",,AX$2,"."&amp;$A$2&amp;$AW$1&amp;"P"&amp;$A31))</f>
        <v>-35975</v>
      </c>
      <c r="AY31" s="1">
        <f t="shared" si="66"/>
        <v>-21450</v>
      </c>
      <c r="AZ31" s="8">
        <f t="shared" si="35"/>
        <v>555</v>
      </c>
      <c r="BA31" s="6">
        <f>IF(RTD("tos.rtd",,BA$2,"."&amp;$A$2&amp;$AS$1&amp;"C"&amp;$A31)="N/A",0,RTD("tos.rtd",,BA$2,"."&amp;$A$2&amp;$AS$1&amp;"C"&amp;$A31))</f>
        <v>4861</v>
      </c>
      <c r="BB31" s="7">
        <f>-IF(RTD("tos.rtd",,BB$2,"."&amp;$A$2&amp;$AS$1&amp;"P"&amp;$A31)="N/A",0,RTD("tos.rtd",,BB$2,"."&amp;$A$2&amp;$AS$1&amp;"P"&amp;$A31))</f>
        <v>-70180</v>
      </c>
      <c r="BC31" s="6">
        <f>IF(RTD("tos.rtd",,BC$2,"."&amp;$A$2&amp;$AU$1&amp;"C"&amp;$A31)="N/A",0,RTD("tos.rtd",,BC$2,"."&amp;$A$2&amp;$AU$1&amp;"C"&amp;$A31))</f>
        <v>980</v>
      </c>
      <c r="BD31" s="7">
        <f>-IF(RTD("tos.rtd",,BD$2,"."&amp;$A$2&amp;$AU$1&amp;"P"&amp;$A31)="N/A",0,RTD("tos.rtd",,BD$2,"."&amp;$A$2&amp;$AU$1&amp;"P"&amp;$A31))</f>
        <v>-19582</v>
      </c>
      <c r="BE31" s="6">
        <f>IF(RTD("tos.rtd",,BE$2,"."&amp;$A$2&amp;$AW$1&amp;"C"&amp;$A31)="N/A",0,RTD("tos.rtd",,BE$2,"."&amp;$A$2&amp;$AW$1&amp;"C"&amp;$A31))</f>
        <v>791</v>
      </c>
      <c r="BF31" s="83">
        <f>-IF(RTD("tos.rtd",,BF$2,"."&amp;$A$2&amp;$AW$1&amp;"P"&amp;$A31)="N/A",0,RTD("tos.rtd",,BF$2,"."&amp;$A$2&amp;$AW$1&amp;"P"&amp;$A31))</f>
        <v>-19876</v>
      </c>
      <c r="BG31" s="32" t="e">
        <f ca="1">+Hoja2!Y32</f>
        <v>#N/A</v>
      </c>
      <c r="BH31" s="7" t="e">
        <f t="shared" ca="1" si="36"/>
        <v>#N/A</v>
      </c>
      <c r="BI31" s="8" t="e">
        <f t="shared" ref="BI31" ca="1" si="185">IF(AND(BH31&lt;0,BH30&gt;0), "Cruce -", IF(AND(BH31&gt;0,BH30&lt;0),"Cruce +", ""))</f>
        <v>#N/A</v>
      </c>
      <c r="BJ31" s="3" t="e">
        <f ca="1">IF($BP$1=1,DX31,IF(RTD("tos.rtd",,BJ$2,"."&amp;$A$2&amp;$AS$1&amp;"C"&amp;$A31)="N/A",0,RTD("tos.rtd",,BJ$2,"."&amp;$A$2&amp;$AS$1&amp;"C"&amp;$A31)))</f>
        <v>#NUM!</v>
      </c>
      <c r="BK31" s="3" t="e">
        <f ca="1">IF($BP$1=1,DY31,-IF(RTD("tos.rtd",,BK$2,"."&amp;$A$2&amp;$AS$1&amp;"P"&amp;$A31)="N/A",0,RTD("tos.rtd",,BK$2,"."&amp;$A$2&amp;$AS$1&amp;"P"&amp;$A31)))</f>
        <v>#NUM!</v>
      </c>
      <c r="BL31" s="3">
        <f ca="1">IF($BP$1=1,DZ31,IF(RTD("tos.rtd",,BL$2,"."&amp;$A$2&amp;$AU$1&amp;"C"&amp;$A31)="N/A",0,RTD("tos.rtd",,BL$2,"."&amp;$A$2&amp;$AU$1&amp;"C"&amp;$A31)))</f>
        <v>1.6011709283313809E-2</v>
      </c>
      <c r="BM31" s="3">
        <f ca="1">IF($BP$1=1,EA31,-IF(RTD("tos.rtd",,BM$2,"."&amp;$A$2&amp;$AU$1&amp;"P"&amp;$A31)="N/A",0,RTD("tos.rtd",,BM$2,"."&amp;$A$2&amp;$AU$1&amp;"P"&amp;$A31)))</f>
        <v>-1.6016109870916596E-2</v>
      </c>
      <c r="BN31" s="3">
        <f ca="1">IF($BP$1=1,EB31,IF(RTD("tos.rtd",,BN$2,"."&amp;$A$2&amp;$AW$1&amp;"C"&amp;$A31)="N/A",0,RTD("tos.rtd",,BN$2,"."&amp;$A$2&amp;$AW$1&amp;"C"&amp;$A31)))</f>
        <v>1.6011709283313809E-2</v>
      </c>
      <c r="BO31" s="3">
        <f ca="1">IF($BP$1=1,EC31,-IF(RTD("tos.rtd",,BO$2,"."&amp;$A$2&amp;$AW$1&amp;"P"&amp;$A31)="N/A",0,RTD("tos.rtd",,BO$2,"."&amp;$A$2&amp;$AW$1&amp;"P"&amp;$A31)))</f>
        <v>-1.6095413851491332E-2</v>
      </c>
      <c r="BQ31" s="3" t="e">
        <f t="shared" ca="1" si="37"/>
        <v>#NUM!</v>
      </c>
      <c r="BR31" s="3" t="e">
        <f t="shared" ca="1" si="68"/>
        <v>#NUM!</v>
      </c>
      <c r="BS31" s="3">
        <f t="shared" ca="1" si="38"/>
        <v>48899298.100789152</v>
      </c>
      <c r="BT31" s="3" t="str">
        <f t="shared" ca="1" si="68"/>
        <v/>
      </c>
      <c r="BU31" s="3">
        <f t="shared" ca="1" si="39"/>
        <v>-139510963.65440658</v>
      </c>
      <c r="BV31" s="3" t="str">
        <f t="shared" ref="BV31" ca="1" si="186">IF(AND(BU31&lt;0,BU30&gt;0), "Cruce -", IF(AND(BU31&gt;0,BU30&lt;0),"Cruce +", ""))</f>
        <v>Cruce -</v>
      </c>
      <c r="BX31" s="3" t="e">
        <f t="shared" ca="1" si="40"/>
        <v>#NUM!</v>
      </c>
      <c r="BY31" s="3" t="e">
        <f t="shared" ca="1" si="70"/>
        <v>#NUM!</v>
      </c>
      <c r="BZ31" s="3">
        <f t="shared" ca="1" si="41"/>
        <v>-95773007.458822042</v>
      </c>
      <c r="CA31" s="3" t="str">
        <f t="shared" ca="1" si="71"/>
        <v/>
      </c>
      <c r="CB31" s="3">
        <f t="shared" ca="1" si="42"/>
        <v>-98766137.557942361</v>
      </c>
      <c r="CC31" s="3" t="str">
        <f t="shared" ca="1" si="72"/>
        <v/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</v>
      </c>
      <c r="CF31" s="3">
        <f>IF(RTD("tos.rtd",,CF$2,"."&amp;$A$2&amp;$AU$1&amp;"C"&amp;$A31)="N/A",0,RTD("tos.rtd",,CF$2,"."&amp;$A$2&amp;$AU$1&amp;"C"&amp;$A31))</f>
        <v>0.77</v>
      </c>
      <c r="CG31" s="3">
        <f>-IF(RTD("tos.rtd",,CG$2,"."&amp;$A$2&amp;$AU$1&amp;"P"&amp;$A31)="N/A",0,RTD("tos.rtd",,CG$2,"."&amp;$A$2&amp;$AU$1&amp;"P"&amp;$A31))</f>
        <v>0.23</v>
      </c>
      <c r="CH31" s="3">
        <f>IF(RTD("tos.rtd",,CH$2,"."&amp;$A$2&amp;$AW$1&amp;"C"&amp;$A31)="N/A",0,RTD("tos.rtd",,CH$2,"."&amp;$A$2&amp;$AW$1&amp;"C"&amp;$A31))</f>
        <v>0.71</v>
      </c>
      <c r="CI31" s="3">
        <f>-IF(RTD("tos.rtd",,CI$2,"."&amp;$A$2&amp;$AW$1&amp;"P"&amp;$A31)="N/A",0,RTD("tos.rtd",,CI$2,"."&amp;$A$2&amp;$AW$1&amp;"P"&amp;$A31))</f>
        <v>0.28999999999999998</v>
      </c>
      <c r="CK31" s="3">
        <f t="shared" si="17"/>
        <v>576000</v>
      </c>
      <c r="CL31" s="3"/>
      <c r="CM31" s="3">
        <f t="shared" si="18"/>
        <v>837093</v>
      </c>
      <c r="CN31" s="3"/>
      <c r="CO31" s="3">
        <f t="shared" si="19"/>
        <v>-400157.00000000012</v>
      </c>
      <c r="CP31" s="3">
        <f t="shared" si="43"/>
        <v>1012935.9999999999</v>
      </c>
      <c r="CQ31" s="3">
        <f t="shared" si="44"/>
        <v>-65319</v>
      </c>
      <c r="CR31" s="3"/>
      <c r="CS31" s="3">
        <f t="shared" si="20"/>
        <v>-18602</v>
      </c>
      <c r="CT31" s="3"/>
      <c r="CU31" s="3">
        <f t="shared" si="21"/>
        <v>-19085</v>
      </c>
      <c r="CV31" s="3">
        <f t="shared" si="45"/>
        <v>-103006</v>
      </c>
      <c r="CW31" s="3" t="e">
        <f t="shared" ca="1" si="46"/>
        <v>#NUM!</v>
      </c>
      <c r="CX31" s="85" t="e">
        <f t="shared" ca="1" si="73"/>
        <v>#NUM!</v>
      </c>
      <c r="CY31" s="3" t="e">
        <f t="shared" ca="1" si="47"/>
        <v>#NUM!</v>
      </c>
      <c r="CZ31" s="85" t="e">
        <f t="shared" ca="1" si="74"/>
        <v>#NUM!</v>
      </c>
      <c r="DA31" s="3">
        <f>IF(RTD("tos.rtd",,DA$2,"."&amp;$A$2&amp;$AS$1&amp;"C"&amp;$A31)="N/A",0,RTD("tos.rtd",,DA$2,"."&amp;$A$2&amp;$AS$1&amp;"C"&amp;$A31))</f>
        <v>11.87</v>
      </c>
      <c r="DB31" s="3">
        <f>IF(RTD("tos.rtd",,DB$2,"."&amp;$A$2&amp;$AS$1&amp;"P"&amp;$A31)="N/A",0,RTD("tos.rtd",,DB$2,"."&amp;$A$2&amp;$AS$1&amp;"P"&amp;$A31))</f>
        <v>0.01</v>
      </c>
      <c r="DC31" s="3">
        <f>IF(RTD("tos.rtd",,DC$2,"."&amp;$A$2&amp;$AS$1&amp;"C"&amp;$A31)="N/A",0,RTD("tos.rtd",,DC$2,"."&amp;$A$2&amp;$AS$1&amp;"C"&amp;$A31))</f>
        <v>12.04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11.88</v>
      </c>
      <c r="DF31" s="3">
        <f>IF(RTD("tos.rtd",,DF$2,"."&amp;$A$2&amp;$AS$1&amp;"P"&amp;$A31)="N/A",0,RTD("tos.rtd",,DF$2,"."&amp;$A$2&amp;$AS$1&amp;"P"&amp;$A31))</f>
        <v>0</v>
      </c>
      <c r="DG31" s="86">
        <f t="shared" si="48"/>
        <v>-11.970000000000027</v>
      </c>
      <c r="DH31" s="3">
        <f t="shared" si="22"/>
        <v>-6.2500000000010408E-2</v>
      </c>
      <c r="DI31" s="3">
        <f t="shared" si="49"/>
        <v>-2</v>
      </c>
      <c r="DJ31" s="3">
        <f t="shared" si="50"/>
        <v>-1</v>
      </c>
      <c r="DK31" s="3">
        <f t="shared" si="51"/>
        <v>-2</v>
      </c>
      <c r="DL31" s="3">
        <f t="shared" si="52"/>
        <v>-2.0625000000000102</v>
      </c>
      <c r="DM31" s="3">
        <f t="shared" si="53"/>
        <v>-3</v>
      </c>
      <c r="DN31" s="63" t="str">
        <f t="shared" si="54"/>
        <v>SELL</v>
      </c>
      <c r="DO31" s="63" t="str">
        <f t="shared" si="55"/>
        <v>BUY</v>
      </c>
      <c r="DP31" s="3">
        <f t="shared" si="56"/>
        <v>-0.76187500000012354</v>
      </c>
      <c r="DQ31" s="3">
        <f t="shared" si="57"/>
        <v>-11.889999999999999</v>
      </c>
      <c r="DR31" s="3" t="e">
        <f t="shared" ca="1" si="58"/>
        <v>#NUM!</v>
      </c>
      <c r="DS31" s="3">
        <f t="shared" si="59"/>
        <v>-1</v>
      </c>
      <c r="DT31" s="3">
        <f t="shared" si="60"/>
        <v>1</v>
      </c>
      <c r="DU31" s="3">
        <f t="shared" si="61"/>
        <v>-2</v>
      </c>
      <c r="DV31" s="3">
        <f t="shared" si="62"/>
        <v>1542</v>
      </c>
      <c r="DW31" s="3">
        <f t="shared" si="23"/>
        <v>12251</v>
      </c>
      <c r="DX31" s="3" t="e">
        <f t="shared" ca="1" si="24"/>
        <v>#NUM!</v>
      </c>
      <c r="DY31" s="3" t="e">
        <f t="shared" ca="1" si="25"/>
        <v>#NUM!</v>
      </c>
      <c r="DZ31" s="3">
        <f t="shared" ca="1" si="26"/>
        <v>1.6011709283313809E-2</v>
      </c>
      <c r="EA31" s="3">
        <f t="shared" ca="1" si="27"/>
        <v>-1.6016109870916596E-2</v>
      </c>
      <c r="EB31" s="3">
        <f t="shared" ca="1" si="28"/>
        <v>1.6011709283313809E-2</v>
      </c>
      <c r="EC31" s="3">
        <f t="shared" ca="1" si="29"/>
        <v>-1.6095413851491332E-2</v>
      </c>
      <c r="EE31" s="59">
        <f t="shared" si="63"/>
        <v>0.25</v>
      </c>
      <c r="EF31" s="59">
        <f t="shared" si="30"/>
        <v>1.0530999999999999</v>
      </c>
      <c r="EG31" s="59">
        <f t="shared" si="31"/>
        <v>0.21959999999999999</v>
      </c>
      <c r="EH31" s="59">
        <f t="shared" si="32"/>
        <v>0.2195</v>
      </c>
      <c r="EI31" s="59">
        <f t="shared" si="33"/>
        <v>0.21959999999999999</v>
      </c>
      <c r="EJ31" s="59">
        <f t="shared" si="34"/>
        <v>0.2177</v>
      </c>
      <c r="EL31" s="3" t="str">
        <f>RTD("tos.rtd",,EL$2,"."&amp;$A$2&amp;$AS$1&amp;"C"&amp;$A31)</f>
        <v>--</v>
      </c>
      <c r="EM31" s="3" t="str">
        <f>RTD("tos.rtd",,EM$2,"."&amp;$A$2&amp;$AS$1&amp;"P"&amp;$A31)</f>
        <v>105.31%</v>
      </c>
      <c r="EN31" s="3" t="str">
        <f>RTD("tos.rtd",,EN$2,"."&amp;$A$2&amp;$AU$1&amp;"C"&amp;$A31)</f>
        <v>21.96%</v>
      </c>
      <c r="EO31" s="3" t="str">
        <f>RTD("tos.rtd",,EO$2,"."&amp;$A$2&amp;$AU$1&amp;"P"&amp;$A31)</f>
        <v>21.95%</v>
      </c>
      <c r="EP31" s="3" t="str">
        <f>RTD("tos.rtd",,EP$2,"."&amp;$A$2&amp;$AW$1&amp;"C"&amp;$A31)</f>
        <v>21.96%</v>
      </c>
      <c r="EQ31" s="3" t="str">
        <f>RTD("tos.rtd",,EQ$2,"."&amp;$A$2&amp;$AW$1&amp;"P"&amp;$A31)</f>
        <v>21.77%</v>
      </c>
      <c r="ET31" s="63" t="str">
        <f t="shared" ca="1" si="64"/>
        <v>555,00.00</v>
      </c>
      <c r="EU31" s="67">
        <v>560.19000000000005</v>
      </c>
      <c r="EV31" s="67" t="s">
        <v>267</v>
      </c>
      <c r="EW31" s="67">
        <v>482.11</v>
      </c>
      <c r="EX31" s="67" t="s">
        <v>268</v>
      </c>
      <c r="EY31" s="67">
        <v>5617.5</v>
      </c>
      <c r="EZ31" s="67" t="s">
        <v>269</v>
      </c>
      <c r="FA31" s="67">
        <v>19808.25</v>
      </c>
      <c r="FB31" s="67" t="s">
        <v>270</v>
      </c>
      <c r="FC31" s="67" t="s">
        <v>271</v>
      </c>
      <c r="FD31" s="67" t="s">
        <v>272</v>
      </c>
      <c r="FE31" s="67" t="s">
        <v>273</v>
      </c>
      <c r="FF31" s="67" t="s">
        <v>274</v>
      </c>
    </row>
    <row r="32" spans="1:162" s="63" customFormat="1" ht="13.5" thickBot="1" x14ac:dyDescent="0.25">
      <c r="A32" s="2">
        <f t="shared" si="65"/>
        <v>554</v>
      </c>
      <c r="B32" s="3">
        <f t="shared" si="9"/>
        <v>7310</v>
      </c>
      <c r="C32" s="3">
        <f t="shared" si="10"/>
        <v>1504</v>
      </c>
      <c r="D32" s="3">
        <f t="shared" si="11"/>
        <v>4014</v>
      </c>
      <c r="E32" s="3">
        <f t="shared" si="12"/>
        <v>12828</v>
      </c>
      <c r="F32" s="4">
        <f t="shared" si="13"/>
        <v>5579.1338166040532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-568</v>
      </c>
      <c r="AN32" s="1">
        <v>5136</v>
      </c>
      <c r="AO32" s="1">
        <v>554</v>
      </c>
      <c r="AP32" s="1">
        <v>1149</v>
      </c>
      <c r="AQ32" s="1">
        <v>-23811</v>
      </c>
      <c r="AR32" s="1"/>
      <c r="AS32" s="6">
        <f>IF(RTD("tos.rtd",,AS$2,"."&amp;$A$2&amp;$AS$1&amp;"C"&amp;$A32)="N/A",0,RTD("tos.rtd",,AS$2,"."&amp;$A$2&amp;$AS$1&amp;"C"&amp;$A32))</f>
        <v>2357</v>
      </c>
      <c r="AT32" s="7">
        <f>-IF(RTD("tos.rtd",,AT$2,"."&amp;$A$2&amp;$AS$1&amp;"P"&amp;$A32)="N/A",0,RTD("tos.rtd",,AT$2,"."&amp;$A$2&amp;$AS$1&amp;"P"&amp;$A32))</f>
        <v>-4953</v>
      </c>
      <c r="AU32" s="6">
        <f>IF(RTD("tos.rtd",,AU$2,"."&amp;$A$2&amp;$AU$1&amp;"C"&amp;$A32)="N/A",0,RTD("tos.rtd",,AU$2,"."&amp;$A$2&amp;$AU$1&amp;"C"&amp;$A32))</f>
        <v>727</v>
      </c>
      <c r="AV32" s="7">
        <f>-IF(RTD("tos.rtd",,AV$2,"."&amp;$A$2&amp;$AU$1&amp;"P"&amp;$A32)="N/A",0,RTD("tos.rtd",,AV$2,"."&amp;$A$2&amp;$AU$1&amp;"P"&amp;$A32))</f>
        <v>-777</v>
      </c>
      <c r="AW32" s="6">
        <f>IF(RTD("tos.rtd",,AW$2,"."&amp;$A$2&amp;$AW$1&amp;"C"&amp;$A32)="N/A",0,RTD("tos.rtd",,AW$2,"."&amp;$A$2&amp;$AW$1&amp;"C"&amp;$A32))</f>
        <v>2185</v>
      </c>
      <c r="AX32" s="7">
        <f>-IF(RTD("tos.rtd",,AX$2,"."&amp;$A$2&amp;$AW$1&amp;"P"&amp;$A32)="N/A",0,RTD("tos.rtd",,AX$2,"."&amp;$A$2&amp;$AW$1&amp;"P"&amp;$A32))</f>
        <v>-1829</v>
      </c>
      <c r="AY32" s="1">
        <f t="shared" si="66"/>
        <v>-2290</v>
      </c>
      <c r="AZ32" s="8">
        <f t="shared" si="35"/>
        <v>554</v>
      </c>
      <c r="BA32" s="6">
        <f>IF(RTD("tos.rtd",,BA$2,"."&amp;$A$2&amp;$AS$1&amp;"C"&amp;$A32)="N/A",0,RTD("tos.rtd",,BA$2,"."&amp;$A$2&amp;$AS$1&amp;"C"&amp;$A32))</f>
        <v>1149</v>
      </c>
      <c r="BB32" s="7">
        <f>-IF(RTD("tos.rtd",,BB$2,"."&amp;$A$2&amp;$AS$1&amp;"P"&amp;$A32)="N/A",0,RTD("tos.rtd",,BB$2,"."&amp;$A$2&amp;$AS$1&amp;"P"&amp;$A32))</f>
        <v>-23811</v>
      </c>
      <c r="BC32" s="6">
        <f>IF(RTD("tos.rtd",,BC$2,"."&amp;$A$2&amp;$AU$1&amp;"C"&amp;$A32)="N/A",0,RTD("tos.rtd",,BC$2,"."&amp;$A$2&amp;$AU$1&amp;"C"&amp;$A32))</f>
        <v>103</v>
      </c>
      <c r="BD32" s="7">
        <f>-IF(RTD("tos.rtd",,BD$2,"."&amp;$A$2&amp;$AU$1&amp;"P"&amp;$A32)="N/A",0,RTD("tos.rtd",,BD$2,"."&amp;$A$2&amp;$AU$1&amp;"P"&amp;$A32))</f>
        <v>-2621</v>
      </c>
      <c r="BE32" s="6">
        <f>IF(RTD("tos.rtd",,BE$2,"."&amp;$A$2&amp;$AW$1&amp;"C"&amp;$A32)="N/A",0,RTD("tos.rtd",,BE$2,"."&amp;$A$2&amp;$AW$1&amp;"C"&amp;$A32))</f>
        <v>152</v>
      </c>
      <c r="BF32" s="83">
        <f>-IF(RTD("tos.rtd",,BF$2,"."&amp;$A$2&amp;$AW$1&amp;"P"&amp;$A32)="N/A",0,RTD("tos.rtd",,BF$2,"."&amp;$A$2&amp;$AW$1&amp;"P"&amp;$A32))</f>
        <v>-901</v>
      </c>
      <c r="BG32" s="32" t="e">
        <f ca="1">+Hoja2!Y33</f>
        <v>#N/A</v>
      </c>
      <c r="BH32" s="7" t="e">
        <f t="shared" ca="1" si="36"/>
        <v>#N/A</v>
      </c>
      <c r="BI32" s="8" t="e">
        <f t="shared" ref="BI32" ca="1" si="187">IF(AND(BH32&lt;0,BH31&gt;0), "Cruce -", IF(AND(BH32&gt;0,BH31&lt;0),"Cruce +", ""))</f>
        <v>#N/A</v>
      </c>
      <c r="BJ32" s="3" t="e">
        <f ca="1">IF($BP$1=1,DX32,IF(RTD("tos.rtd",,BJ$2,"."&amp;$A$2&amp;$AS$1&amp;"C"&amp;$A32)="N/A",0,RTD("tos.rtd",,BJ$2,"."&amp;$A$2&amp;$AS$1&amp;"C"&amp;$A32)))</f>
        <v>#NUM!</v>
      </c>
      <c r="BK32" s="3" t="e">
        <f ca="1">IF($BP$1=1,DY32,-IF(RTD("tos.rtd",,BK$2,"."&amp;$A$2&amp;$AS$1&amp;"P"&amp;$A32)="N/A",0,RTD("tos.rtd",,BK$2,"."&amp;$A$2&amp;$AS$1&amp;"P"&amp;$A32)))</f>
        <v>#NUM!</v>
      </c>
      <c r="BL32" s="3">
        <f ca="1">IF($BP$1=1,DZ32,IF(RTD("tos.rtd",,BL$2,"."&amp;$A$2&amp;$AU$1&amp;"C"&amp;$A32)="N/A",0,RTD("tos.rtd",,BL$2,"."&amp;$A$2&amp;$AU$1&amp;"C"&amp;$A32)))</f>
        <v>1.538826691962333E-2</v>
      </c>
      <c r="BM32" s="3">
        <f ca="1">IF($BP$1=1,EA32,-IF(RTD("tos.rtd",,BM$2,"."&amp;$A$2&amp;$AU$1&amp;"P"&amp;$A32)="N/A",0,RTD("tos.rtd",,BM$2,"."&amp;$A$2&amp;$AU$1&amp;"P"&amp;$A32)))</f>
        <v>-1.5361722574733042E-2</v>
      </c>
      <c r="BN32" s="3">
        <f ca="1">IF($BP$1=1,EB32,IF(RTD("tos.rtd",,BN$2,"."&amp;$A$2&amp;$AW$1&amp;"C"&amp;$A32)="N/A",0,RTD("tos.rtd",,BN$2,"."&amp;$A$2&amp;$AW$1&amp;"C"&amp;$A32)))</f>
        <v>1.538826691962333E-2</v>
      </c>
      <c r="BO32" s="3">
        <f ca="1">IF($BP$1=1,EC32,-IF(RTD("tos.rtd",,BO$2,"."&amp;$A$2&amp;$AW$1&amp;"P"&amp;$A32)="N/A",0,RTD("tos.rtd",,BO$2,"."&amp;$A$2&amp;$AW$1&amp;"P"&amp;$A32)))</f>
        <v>-1.5467835153657208E-2</v>
      </c>
      <c r="BQ32" s="3" t="e">
        <f t="shared" ca="1" si="37"/>
        <v>#NUM!</v>
      </c>
      <c r="BR32" s="3" t="e">
        <f t="shared" ca="1" si="68"/>
        <v>#NUM!</v>
      </c>
      <c r="BS32" s="3">
        <f t="shared" ca="1" si="38"/>
        <v>-240701.75760604627</v>
      </c>
      <c r="BT32" s="3" t="str">
        <f t="shared" ca="1" si="68"/>
        <v>Cruce -</v>
      </c>
      <c r="BU32" s="3">
        <f t="shared" ca="1" si="39"/>
        <v>1714220.6375261676</v>
      </c>
      <c r="BV32" s="3" t="str">
        <f t="shared" ref="BV32" ca="1" si="188">IF(AND(BU32&lt;0,BU31&gt;0), "Cruce -", IF(AND(BU32&gt;0,BU31&lt;0),"Cruce +", ""))</f>
        <v>Cruce +</v>
      </c>
      <c r="BX32" s="3" t="e">
        <f t="shared" ca="1" si="40"/>
        <v>#NUM!</v>
      </c>
      <c r="BY32" s="3" t="e">
        <f t="shared" ca="1" si="70"/>
        <v>#NUM!</v>
      </c>
      <c r="BZ32" s="3">
        <f t="shared" ca="1" si="41"/>
        <v>-12433262.552769499</v>
      </c>
      <c r="CA32" s="3" t="str">
        <f t="shared" ca="1" si="71"/>
        <v/>
      </c>
      <c r="CB32" s="3">
        <f t="shared" ca="1" si="42"/>
        <v>-3728075.0737415808</v>
      </c>
      <c r="CC32" s="3" t="str">
        <f t="shared" ca="1" si="72"/>
        <v/>
      </c>
      <c r="CD32" s="3">
        <f>IF(RTD("tos.rtd",,CD$2,"."&amp;$A$2&amp;$AS$1&amp;"C"&amp;$A32)="N/A",0,RTD("tos.rtd",,CD$2,"."&amp;$A$2&amp;$AS$1&amp;"C"&amp;$A32))</f>
        <v>1</v>
      </c>
      <c r="CE32" s="3">
        <f>-IF(RTD("tos.rtd",,CE$2,"."&amp;$A$2&amp;$AS$1&amp;"P"&amp;$A32)="N/A",0,RTD("tos.rtd",,CE$2,"."&amp;$A$2&amp;$AS$1&amp;"P"&amp;$A32))</f>
        <v>0</v>
      </c>
      <c r="CF32" s="3">
        <f>IF(RTD("tos.rtd",,CF$2,"."&amp;$A$2&amp;$AU$1&amp;"C"&amp;$A32)="N/A",0,RTD("tos.rtd",,CF$2,"."&amp;$A$2&amp;$AU$1&amp;"C"&amp;$A32))</f>
        <v>0.78</v>
      </c>
      <c r="CG32" s="3">
        <f>-IF(RTD("tos.rtd",,CG$2,"."&amp;$A$2&amp;$AU$1&amp;"P"&amp;$A32)="N/A",0,RTD("tos.rtd",,CG$2,"."&amp;$A$2&amp;$AU$1&amp;"P"&amp;$A32))</f>
        <v>0.22</v>
      </c>
      <c r="CH32" s="3">
        <f>IF(RTD("tos.rtd",,CH$2,"."&amp;$A$2&amp;$AW$1&amp;"C"&amp;$A32)="N/A",0,RTD("tos.rtd",,CH$2,"."&amp;$A$2&amp;$AW$1&amp;"C"&amp;$A32))</f>
        <v>0.72</v>
      </c>
      <c r="CI32" s="3">
        <f>-IF(RTD("tos.rtd",,CI$2,"."&amp;$A$2&amp;$AW$1&amp;"P"&amp;$A32)="N/A",0,RTD("tos.rtd",,CI$2,"."&amp;$A$2&amp;$AW$1&amp;"P"&amp;$A32))</f>
        <v>0.28000000000000003</v>
      </c>
      <c r="CK32" s="3">
        <f t="shared" si="17"/>
        <v>235700</v>
      </c>
      <c r="CL32" s="3"/>
      <c r="CM32" s="3">
        <f t="shared" si="18"/>
        <v>39612.000000000007</v>
      </c>
      <c r="CN32" s="3"/>
      <c r="CO32" s="3">
        <f t="shared" si="19"/>
        <v>106108</v>
      </c>
      <c r="CP32" s="3">
        <f t="shared" si="43"/>
        <v>381420</v>
      </c>
      <c r="CQ32" s="3">
        <f t="shared" si="44"/>
        <v>-22662</v>
      </c>
      <c r="CR32" s="3"/>
      <c r="CS32" s="3">
        <f t="shared" si="20"/>
        <v>-2518</v>
      </c>
      <c r="CT32" s="3"/>
      <c r="CU32" s="3">
        <f t="shared" si="21"/>
        <v>-749</v>
      </c>
      <c r="CV32" s="3">
        <f t="shared" si="45"/>
        <v>-25929</v>
      </c>
      <c r="CW32" s="3" t="e">
        <f t="shared" ca="1" si="46"/>
        <v>#NUM!</v>
      </c>
      <c r="CX32" s="85" t="e">
        <f t="shared" ca="1" si="73"/>
        <v>#NUM!</v>
      </c>
      <c r="CY32" s="3" t="e">
        <f t="shared" ca="1" si="47"/>
        <v>#NUM!</v>
      </c>
      <c r="CZ32" s="85" t="e">
        <f t="shared" ca="1" si="74"/>
        <v>#NUM!</v>
      </c>
      <c r="DA32" s="3">
        <f>IF(RTD("tos.rtd",,DA$2,"."&amp;$A$2&amp;$AS$1&amp;"C"&amp;$A32)="N/A",0,RTD("tos.rtd",,DA$2,"."&amp;$A$2&amp;$AS$1&amp;"C"&amp;$A32))</f>
        <v>13.12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13.05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12.87</v>
      </c>
      <c r="DF32" s="3">
        <f>IF(RTD("tos.rtd",,DF$2,"."&amp;$A$2&amp;$AS$1&amp;"P"&amp;$A32)="N/A",0,RTD("tos.rtd",,DF$2,"."&amp;$A$2&amp;$AS$1&amp;"P"&amp;$A32))</f>
        <v>0</v>
      </c>
      <c r="DG32" s="86">
        <f t="shared" si="48"/>
        <v>-12.970000000000027</v>
      </c>
      <c r="DH32" s="3">
        <f t="shared" si="22"/>
        <v>0</v>
      </c>
      <c r="DI32" s="3">
        <f t="shared" si="49"/>
        <v>0</v>
      </c>
      <c r="DJ32" s="3">
        <f t="shared" si="50"/>
        <v>0</v>
      </c>
      <c r="DK32" s="3">
        <f t="shared" si="51"/>
        <v>0</v>
      </c>
      <c r="DL32" s="3">
        <f t="shared" si="52"/>
        <v>0</v>
      </c>
      <c r="DM32" s="3">
        <f t="shared" si="53"/>
        <v>0</v>
      </c>
      <c r="DN32" s="63" t="str">
        <f t="shared" si="54"/>
        <v>UNKNOWN</v>
      </c>
      <c r="DO32" s="63" t="str">
        <f t="shared" si="55"/>
        <v>UNKNOWN</v>
      </c>
      <c r="DP32" s="3">
        <f t="shared" si="56"/>
        <v>0</v>
      </c>
      <c r="DQ32" s="3">
        <f t="shared" si="57"/>
        <v>0</v>
      </c>
      <c r="DR32" s="3" t="e">
        <f t="shared" ca="1" si="58"/>
        <v>#NUM!</v>
      </c>
      <c r="DS32" s="3">
        <f t="shared" si="59"/>
        <v>0</v>
      </c>
      <c r="DT32" s="3">
        <f t="shared" si="60"/>
        <v>0</v>
      </c>
      <c r="DU32" s="3">
        <f t="shared" si="61"/>
        <v>0</v>
      </c>
      <c r="DV32" s="3">
        <f t="shared" si="62"/>
        <v>-568</v>
      </c>
      <c r="DW32" s="3">
        <f t="shared" si="23"/>
        <v>5136</v>
      </c>
      <c r="DX32" s="3" t="e">
        <f t="shared" ca="1" si="24"/>
        <v>#NUM!</v>
      </c>
      <c r="DY32" s="3" t="e">
        <f t="shared" ca="1" si="25"/>
        <v>#NUM!</v>
      </c>
      <c r="DZ32" s="3">
        <f t="shared" ca="1" si="26"/>
        <v>1.538826691962333E-2</v>
      </c>
      <c r="EA32" s="3">
        <f t="shared" ca="1" si="27"/>
        <v>-1.5361722574733042E-2</v>
      </c>
      <c r="EB32" s="3">
        <f t="shared" ca="1" si="28"/>
        <v>1.538826691962333E-2</v>
      </c>
      <c r="EC32" s="3">
        <f t="shared" ca="1" si="29"/>
        <v>-1.5467835153657208E-2</v>
      </c>
      <c r="EE32" s="59">
        <f t="shared" si="63"/>
        <v>0.25</v>
      </c>
      <c r="EF32" s="59">
        <f t="shared" si="30"/>
        <v>1.1328</v>
      </c>
      <c r="EG32" s="59">
        <f t="shared" si="31"/>
        <v>0.22189999999999999</v>
      </c>
      <c r="EH32" s="59">
        <f t="shared" si="32"/>
        <v>0.22259999999999999</v>
      </c>
      <c r="EI32" s="59">
        <f t="shared" si="33"/>
        <v>0.22189999999999999</v>
      </c>
      <c r="EJ32" s="59">
        <f t="shared" si="34"/>
        <v>0.2198</v>
      </c>
      <c r="EL32" s="3" t="str">
        <f>RTD("tos.rtd",,EL$2,"."&amp;$A$2&amp;$AS$1&amp;"C"&amp;$A32)</f>
        <v>--</v>
      </c>
      <c r="EM32" s="3" t="str">
        <f>RTD("tos.rtd",,EM$2,"."&amp;$A$2&amp;$AS$1&amp;"P"&amp;$A32)</f>
        <v>113.28%</v>
      </c>
      <c r="EN32" s="3" t="str">
        <f>RTD("tos.rtd",,EN$2,"."&amp;$A$2&amp;$AU$1&amp;"C"&amp;$A32)</f>
        <v>22.19%</v>
      </c>
      <c r="EO32" s="3" t="str">
        <f>RTD("tos.rtd",,EO$2,"."&amp;$A$2&amp;$AU$1&amp;"P"&amp;$A32)</f>
        <v>22.26%</v>
      </c>
      <c r="EP32" s="3" t="str">
        <f>RTD("tos.rtd",,EP$2,"."&amp;$A$2&amp;$AW$1&amp;"C"&amp;$A32)</f>
        <v>22.19%</v>
      </c>
      <c r="EQ32" s="3" t="str">
        <f>RTD("tos.rtd",,EQ$2,"."&amp;$A$2&amp;$AW$1&amp;"P"&amp;$A32)</f>
        <v>21.98%</v>
      </c>
      <c r="ET32" s="63" t="str">
        <f t="shared" ca="1" si="64"/>
        <v>554,00.00</v>
      </c>
      <c r="EU32" s="67">
        <v>560.26</v>
      </c>
      <c r="EV32" s="67" t="s">
        <v>275</v>
      </c>
      <c r="EW32" s="67">
        <v>482.12</v>
      </c>
      <c r="EX32" s="67" t="s">
        <v>276</v>
      </c>
      <c r="EY32" s="67">
        <v>5618.25</v>
      </c>
      <c r="EZ32" s="67" t="s">
        <v>277</v>
      </c>
      <c r="FA32" s="67">
        <v>19810.25</v>
      </c>
      <c r="FB32" s="67" t="s">
        <v>278</v>
      </c>
      <c r="FC32" s="67" t="s">
        <v>279</v>
      </c>
      <c r="FD32" s="67" t="s">
        <v>280</v>
      </c>
      <c r="FE32" s="67" t="s">
        <v>281</v>
      </c>
      <c r="FF32" s="67" t="s">
        <v>282</v>
      </c>
    </row>
    <row r="33" spans="1:162" s="63" customFormat="1" ht="13.5" thickBot="1" x14ac:dyDescent="0.25">
      <c r="A33" s="2">
        <f t="shared" si="65"/>
        <v>553</v>
      </c>
      <c r="B33" s="3">
        <f t="shared" si="9"/>
        <v>5236</v>
      </c>
      <c r="C33" s="3">
        <f t="shared" si="10"/>
        <v>1331</v>
      </c>
      <c r="D33" s="3">
        <f t="shared" si="11"/>
        <v>4106</v>
      </c>
      <c r="E33" s="3">
        <f t="shared" si="12"/>
        <v>10673</v>
      </c>
      <c r="F33" s="4">
        <f t="shared" si="13"/>
        <v>5569.0631779459227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62</v>
      </c>
      <c r="AN33" s="1">
        <v>-10549</v>
      </c>
      <c r="AO33" s="1">
        <v>553</v>
      </c>
      <c r="AP33" s="1">
        <v>1038</v>
      </c>
      <c r="AQ33" s="1">
        <v>-31539</v>
      </c>
      <c r="AR33" s="1"/>
      <c r="AS33" s="6">
        <f>IF(RTD("tos.rtd",,AS$2,"."&amp;$A$2&amp;$AS$1&amp;"C"&amp;$A33)="N/A",0,RTD("tos.rtd",,AS$2,"."&amp;$A$2&amp;$AS$1&amp;"C"&amp;$A33))</f>
        <v>2173</v>
      </c>
      <c r="AT33" s="7">
        <f>-IF(RTD("tos.rtd",,AT$2,"."&amp;$A$2&amp;$AS$1&amp;"P"&amp;$A33)="N/A",0,RTD("tos.rtd",,AT$2,"."&amp;$A$2&amp;$AS$1&amp;"P"&amp;$A33))</f>
        <v>-3063</v>
      </c>
      <c r="AU33" s="6">
        <f>IF(RTD("tos.rtd",,AU$2,"."&amp;$A$2&amp;$AU$1&amp;"C"&amp;$A33)="N/A",0,RTD("tos.rtd",,AU$2,"."&amp;$A$2&amp;$AU$1&amp;"C"&amp;$A33))</f>
        <v>871</v>
      </c>
      <c r="AV33" s="7">
        <f>-IF(RTD("tos.rtd",,AV$2,"."&amp;$A$2&amp;$AU$1&amp;"P"&amp;$A33)="N/A",0,RTD("tos.rtd",,AV$2,"."&amp;$A$2&amp;$AU$1&amp;"P"&amp;$A33))</f>
        <v>-460</v>
      </c>
      <c r="AW33" s="6">
        <f>IF(RTD("tos.rtd",,AW$2,"."&amp;$A$2&amp;$AW$1&amp;"C"&amp;$A33)="N/A",0,RTD("tos.rtd",,AW$2,"."&amp;$A$2&amp;$AW$1&amp;"C"&amp;$A33))</f>
        <v>2631</v>
      </c>
      <c r="AX33" s="7">
        <f>-IF(RTD("tos.rtd",,AX$2,"."&amp;$A$2&amp;$AW$1&amp;"P"&amp;$A33)="N/A",0,RTD("tos.rtd",,AX$2,"."&amp;$A$2&amp;$AW$1&amp;"P"&amp;$A33))</f>
        <v>-1475</v>
      </c>
      <c r="AY33" s="1">
        <f t="shared" si="66"/>
        <v>677</v>
      </c>
      <c r="AZ33" s="8">
        <f t="shared" si="35"/>
        <v>553</v>
      </c>
      <c r="BA33" s="6">
        <f>IF(RTD("tos.rtd",,BA$2,"."&amp;$A$2&amp;$AS$1&amp;"C"&amp;$A33)="N/A",0,RTD("tos.rtd",,BA$2,"."&amp;$A$2&amp;$AS$1&amp;"C"&amp;$A33))</f>
        <v>1038</v>
      </c>
      <c r="BB33" s="7">
        <f>-IF(RTD("tos.rtd",,BB$2,"."&amp;$A$2&amp;$AS$1&amp;"P"&amp;$A33)="N/A",0,RTD("tos.rtd",,BB$2,"."&amp;$A$2&amp;$AS$1&amp;"P"&amp;$A33))</f>
        <v>-31539</v>
      </c>
      <c r="BC33" s="6">
        <f>IF(RTD("tos.rtd",,BC$2,"."&amp;$A$2&amp;$AU$1&amp;"C"&amp;$A33)="N/A",0,RTD("tos.rtd",,BC$2,"."&amp;$A$2&amp;$AU$1&amp;"C"&amp;$A33))</f>
        <v>115</v>
      </c>
      <c r="BD33" s="7">
        <f>-IF(RTD("tos.rtd",,BD$2,"."&amp;$A$2&amp;$AU$1&amp;"P"&amp;$A33)="N/A",0,RTD("tos.rtd",,BD$2,"."&amp;$A$2&amp;$AU$1&amp;"P"&amp;$A33))</f>
        <v>-1136</v>
      </c>
      <c r="BE33" s="6">
        <f>IF(RTD("tos.rtd",,BE$2,"."&amp;$A$2&amp;$AW$1&amp;"C"&amp;$A33)="N/A",0,RTD("tos.rtd",,BE$2,"."&amp;$A$2&amp;$AW$1&amp;"C"&amp;$A33))</f>
        <v>357</v>
      </c>
      <c r="BF33" s="83">
        <f>-IF(RTD("tos.rtd",,BF$2,"."&amp;$A$2&amp;$AW$1&amp;"P"&amp;$A33)="N/A",0,RTD("tos.rtd",,BF$2,"."&amp;$A$2&amp;$AW$1&amp;"P"&amp;$A33))</f>
        <v>-200</v>
      </c>
      <c r="BG33" s="32" t="e">
        <f ca="1">+Hoja2!Y34</f>
        <v>#N/A</v>
      </c>
      <c r="BH33" s="7" t="e">
        <f t="shared" ca="1" si="36"/>
        <v>#N/A</v>
      </c>
      <c r="BI33" s="8" t="e">
        <f t="shared" ref="BI33" ca="1" si="189">IF(AND(BH33&lt;0,BH32&gt;0), "Cruce -", IF(AND(BH33&gt;0,BH32&lt;0),"Cruce +", ""))</f>
        <v>#N/A</v>
      </c>
      <c r="BJ33" s="3" t="e">
        <f ca="1">IF($BP$1=1,DX33,IF(RTD("tos.rtd",,BJ$2,"."&amp;$A$2&amp;$AS$1&amp;"C"&amp;$A33)="N/A",0,RTD("tos.rtd",,BJ$2,"."&amp;$A$2&amp;$AS$1&amp;"C"&amp;$A33)))</f>
        <v>#NUM!</v>
      </c>
      <c r="BK33" s="3" t="e">
        <f ca="1">IF($BP$1=1,DY33,-IF(RTD("tos.rtd",,BK$2,"."&amp;$A$2&amp;$AS$1&amp;"P"&amp;$A33)="N/A",0,RTD("tos.rtd",,BK$2,"."&amp;$A$2&amp;$AS$1&amp;"P"&amp;$A33)))</f>
        <v>#NUM!</v>
      </c>
      <c r="BL33" s="3">
        <f ca="1">IF($BP$1=1,DZ33,IF(RTD("tos.rtd",,BL$2,"."&amp;$A$2&amp;$AU$1&amp;"C"&amp;$A33)="N/A",0,RTD("tos.rtd",,BL$2,"."&amp;$A$2&amp;$AU$1&amp;"C"&amp;$A33)))</f>
        <v>1.4748637151945005E-2</v>
      </c>
      <c r="BM33" s="3">
        <f ca="1">IF($BP$1=1,EA33,-IF(RTD("tos.rtd",,BM$2,"."&amp;$A$2&amp;$AU$1&amp;"P"&amp;$A33)="N/A",0,RTD("tos.rtd",,BM$2,"."&amp;$A$2&amp;$AU$1&amp;"P"&amp;$A33)))</f>
        <v>-1.4748637151945005E-2</v>
      </c>
      <c r="BN33" s="3">
        <f ca="1">IF($BP$1=1,EB33,IF(RTD("tos.rtd",,BN$2,"."&amp;$A$2&amp;$AW$1&amp;"C"&amp;$A33)="N/A",0,RTD("tos.rtd",,BN$2,"."&amp;$A$2&amp;$AW$1&amp;"C"&amp;$A33)))</f>
        <v>1.4774342574086568E-2</v>
      </c>
      <c r="BO33" s="3">
        <f ca="1">IF($BP$1=1,EC33,-IF(RTD("tos.rtd",,BO$2,"."&amp;$A$2&amp;$AW$1&amp;"P"&amp;$A33)="N/A",0,RTD("tos.rtd",,BO$2,"."&amp;$A$2&amp;$AW$1&amp;"P"&amp;$A33)))</f>
        <v>-1.4844727619539529E-2</v>
      </c>
      <c r="BQ33" s="3" t="e">
        <f t="shared" ca="1" si="37"/>
        <v>#NUM!</v>
      </c>
      <c r="BR33" s="3" t="e">
        <f t="shared" ca="1" si="68"/>
        <v>#NUM!</v>
      </c>
      <c r="BS33" s="3">
        <f t="shared" ca="1" si="38"/>
        <v>1948560.4012055793</v>
      </c>
      <c r="BT33" s="3" t="str">
        <f t="shared" ca="1" si="68"/>
        <v>Cruce +</v>
      </c>
      <c r="BU33" s="3">
        <f t="shared" ca="1" si="39"/>
        <v>5456801.8329407424</v>
      </c>
      <c r="BV33" s="3" t="str">
        <f t="shared" ref="BV33" ca="1" si="190">IF(AND(BU33&lt;0,BU32&gt;0), "Cruce -", IF(AND(BU33&gt;0,BU32&lt;0),"Cruce +", ""))</f>
        <v/>
      </c>
      <c r="BX33" s="3" t="e">
        <f t="shared" ca="1" si="40"/>
        <v>#NUM!</v>
      </c>
      <c r="BY33" s="3" t="e">
        <f t="shared" ca="1" si="70"/>
        <v>#NUM!</v>
      </c>
      <c r="BZ33" s="3">
        <f t="shared" ca="1" si="41"/>
        <v>-4840584.3543330822</v>
      </c>
      <c r="CA33" s="3" t="str">
        <f t="shared" ca="1" si="71"/>
        <v/>
      </c>
      <c r="CB33" s="3">
        <f t="shared" ca="1" si="42"/>
        <v>741112.77887585422</v>
      </c>
      <c r="CC33" s="3" t="str">
        <f t="shared" ca="1" si="72"/>
        <v>Cruce +</v>
      </c>
      <c r="CD33" s="3">
        <f>IF(RTD("tos.rtd",,CD$2,"."&amp;$A$2&amp;$AS$1&amp;"C"&amp;$A33)="N/A",0,RTD("tos.rtd",,CD$2,"."&amp;$A$2&amp;$AS$1&amp;"C"&amp;$A33))</f>
        <v>1</v>
      </c>
      <c r="CE33" s="3">
        <f>-IF(RTD("tos.rtd",,CE$2,"."&amp;$A$2&amp;$AS$1&amp;"P"&amp;$A33)="N/A",0,RTD("tos.rtd",,CE$2,"."&amp;$A$2&amp;$AS$1&amp;"P"&amp;$A33))</f>
        <v>0</v>
      </c>
      <c r="CF33" s="3">
        <f>IF(RTD("tos.rtd",,CF$2,"."&amp;$A$2&amp;$AU$1&amp;"C"&amp;$A33)="N/A",0,RTD("tos.rtd",,CF$2,"."&amp;$A$2&amp;$AU$1&amp;"C"&amp;$A33))</f>
        <v>0.8</v>
      </c>
      <c r="CG33" s="3">
        <f>-IF(RTD("tos.rtd",,CG$2,"."&amp;$A$2&amp;$AU$1&amp;"P"&amp;$A33)="N/A",0,RTD("tos.rtd",,CG$2,"."&amp;$A$2&amp;$AU$1&amp;"P"&amp;$A33))</f>
        <v>0.2</v>
      </c>
      <c r="CH33" s="3">
        <f>IF(RTD("tos.rtd",,CH$2,"."&amp;$A$2&amp;$AW$1&amp;"C"&amp;$A33)="N/A",0,RTD("tos.rtd",,CH$2,"."&amp;$A$2&amp;$AW$1&amp;"C"&amp;$A33))</f>
        <v>0.73</v>
      </c>
      <c r="CI33" s="3">
        <f>-IF(RTD("tos.rtd",,CI$2,"."&amp;$A$2&amp;$AW$1&amp;"P"&amp;$A33)="N/A",0,RTD("tos.rtd",,CI$2,"."&amp;$A$2&amp;$AW$1&amp;"P"&amp;$A33))</f>
        <v>0.27</v>
      </c>
      <c r="CK33" s="3">
        <f t="shared" si="17"/>
        <v>217300</v>
      </c>
      <c r="CL33" s="3"/>
      <c r="CM33" s="3">
        <f t="shared" si="18"/>
        <v>60480</v>
      </c>
      <c r="CN33" s="3"/>
      <c r="CO33" s="3">
        <f t="shared" si="19"/>
        <v>152238</v>
      </c>
      <c r="CP33" s="3">
        <f t="shared" si="43"/>
        <v>430018</v>
      </c>
      <c r="CQ33" s="3">
        <f t="shared" si="44"/>
        <v>-30501</v>
      </c>
      <c r="CR33" s="3"/>
      <c r="CS33" s="3">
        <f t="shared" si="20"/>
        <v>-1021</v>
      </c>
      <c r="CT33" s="3"/>
      <c r="CU33" s="3">
        <f t="shared" si="21"/>
        <v>157</v>
      </c>
      <c r="CV33" s="3">
        <f t="shared" si="45"/>
        <v>-31365</v>
      </c>
      <c r="CW33" s="3" t="e">
        <f t="shared" ca="1" si="46"/>
        <v>#NUM!</v>
      </c>
      <c r="CX33" s="85" t="e">
        <f t="shared" ca="1" si="73"/>
        <v>#NUM!</v>
      </c>
      <c r="CY33" s="3" t="e">
        <f t="shared" ca="1" si="47"/>
        <v>#NUM!</v>
      </c>
      <c r="CZ33" s="85" t="e">
        <f t="shared" ca="1" si="74"/>
        <v>#NUM!</v>
      </c>
      <c r="DA33" s="3">
        <f>IF(RTD("tos.rtd",,DA$2,"."&amp;$A$2&amp;$AS$1&amp;"C"&amp;$A33)="N/A",0,RTD("tos.rtd",,DA$2,"."&amp;$A$2&amp;$AS$1&amp;"C"&amp;$A33))</f>
        <v>13.88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14.03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13.87</v>
      </c>
      <c r="DF33" s="3">
        <f>IF(RTD("tos.rtd",,DF$2,"."&amp;$A$2&amp;$AS$1&amp;"P"&amp;$A33)="N/A",0,RTD("tos.rtd",,DF$2,"."&amp;$A$2&amp;$AS$1&amp;"P"&amp;$A33))</f>
        <v>0</v>
      </c>
      <c r="DG33" s="86">
        <f t="shared" si="48"/>
        <v>-13.970000000000027</v>
      </c>
      <c r="DH33" s="3">
        <f t="shared" si="22"/>
        <v>0</v>
      </c>
      <c r="DI33" s="3">
        <f t="shared" si="49"/>
        <v>0</v>
      </c>
      <c r="DJ33" s="3">
        <f t="shared" si="50"/>
        <v>0</v>
      </c>
      <c r="DK33" s="3">
        <f t="shared" si="51"/>
        <v>0</v>
      </c>
      <c r="DL33" s="3">
        <f t="shared" si="52"/>
        <v>0</v>
      </c>
      <c r="DM33" s="3">
        <f t="shared" si="53"/>
        <v>0</v>
      </c>
      <c r="DN33" s="63" t="str">
        <f t="shared" si="54"/>
        <v>UNKNOWN</v>
      </c>
      <c r="DO33" s="63" t="str">
        <f t="shared" si="55"/>
        <v>UNKNOWN</v>
      </c>
      <c r="DP33" s="3">
        <f t="shared" si="56"/>
        <v>0</v>
      </c>
      <c r="DQ33" s="3">
        <f t="shared" si="57"/>
        <v>0</v>
      </c>
      <c r="DR33" s="3" t="e">
        <f t="shared" ca="1" si="58"/>
        <v>#NUM!</v>
      </c>
      <c r="DS33" s="3">
        <f t="shared" si="59"/>
        <v>0</v>
      </c>
      <c r="DT33" s="3">
        <f t="shared" si="60"/>
        <v>0</v>
      </c>
      <c r="DU33" s="3">
        <f t="shared" si="61"/>
        <v>0</v>
      </c>
      <c r="DV33" s="3">
        <f t="shared" si="62"/>
        <v>62</v>
      </c>
      <c r="DW33" s="3">
        <f t="shared" si="23"/>
        <v>-10549</v>
      </c>
      <c r="DX33" s="3" t="e">
        <f t="shared" ca="1" si="24"/>
        <v>#NUM!</v>
      </c>
      <c r="DY33" s="3" t="e">
        <f t="shared" ca="1" si="25"/>
        <v>#NUM!</v>
      </c>
      <c r="DZ33" s="3">
        <f t="shared" ca="1" si="26"/>
        <v>1.4748637151945005E-2</v>
      </c>
      <c r="EA33" s="3">
        <f t="shared" ca="1" si="27"/>
        <v>-1.4748637151945005E-2</v>
      </c>
      <c r="EB33" s="3">
        <f t="shared" ca="1" si="28"/>
        <v>1.4774342574086568E-2</v>
      </c>
      <c r="EC33" s="3">
        <f t="shared" ca="1" si="29"/>
        <v>-1.4844727619539529E-2</v>
      </c>
      <c r="EE33" s="59">
        <f t="shared" si="63"/>
        <v>0.25</v>
      </c>
      <c r="EF33" s="59">
        <f t="shared" si="30"/>
        <v>1.2121</v>
      </c>
      <c r="EG33" s="59">
        <f t="shared" si="31"/>
        <v>0.22489999999999999</v>
      </c>
      <c r="EH33" s="59">
        <f t="shared" si="32"/>
        <v>0.22489999999999999</v>
      </c>
      <c r="EI33" s="59">
        <f t="shared" si="33"/>
        <v>0.22409999999999999</v>
      </c>
      <c r="EJ33" s="59">
        <f t="shared" si="34"/>
        <v>0.22189999999999999</v>
      </c>
      <c r="EL33" s="3" t="str">
        <f>RTD("tos.rtd",,EL$2,"."&amp;$A$2&amp;$AS$1&amp;"C"&amp;$A33)</f>
        <v>--</v>
      </c>
      <c r="EM33" s="3" t="str">
        <f>RTD("tos.rtd",,EM$2,"."&amp;$A$2&amp;$AS$1&amp;"P"&amp;$A33)</f>
        <v>121.21%</v>
      </c>
      <c r="EN33" s="3" t="str">
        <f>RTD("tos.rtd",,EN$2,"."&amp;$A$2&amp;$AU$1&amp;"C"&amp;$A33)</f>
        <v>22.49%</v>
      </c>
      <c r="EO33" s="3" t="str">
        <f>RTD("tos.rtd",,EO$2,"."&amp;$A$2&amp;$AU$1&amp;"P"&amp;$A33)</f>
        <v>22.49%</v>
      </c>
      <c r="EP33" s="3" t="str">
        <f>RTD("tos.rtd",,EP$2,"."&amp;$A$2&amp;$AW$1&amp;"C"&amp;$A33)</f>
        <v>22.41%</v>
      </c>
      <c r="EQ33" s="3" t="str">
        <f>RTD("tos.rtd",,EQ$2,"."&amp;$A$2&amp;$AW$1&amp;"P"&amp;$A33)</f>
        <v>22.19%</v>
      </c>
      <c r="ET33" s="63" t="str">
        <f t="shared" ca="1" si="64"/>
        <v>553,00.00</v>
      </c>
      <c r="EU33" s="67">
        <v>560.19000000000005</v>
      </c>
      <c r="EV33" s="67" t="s">
        <v>283</v>
      </c>
      <c r="EW33" s="67">
        <v>482.07</v>
      </c>
      <c r="EX33" s="67" t="s">
        <v>284</v>
      </c>
      <c r="EY33" s="67">
        <v>5617.5</v>
      </c>
      <c r="EZ33" s="67" t="s">
        <v>285</v>
      </c>
      <c r="FA33" s="67">
        <v>19807.5</v>
      </c>
      <c r="FB33" s="67" t="s">
        <v>286</v>
      </c>
      <c r="FC33" s="67" t="s">
        <v>287</v>
      </c>
      <c r="FD33" s="67" t="s">
        <v>288</v>
      </c>
      <c r="FE33" s="67" t="s">
        <v>289</v>
      </c>
      <c r="FF33" s="67" t="s">
        <v>290</v>
      </c>
    </row>
    <row r="34" spans="1:162" s="63" customFormat="1" ht="13.5" thickBot="1" x14ac:dyDescent="0.25">
      <c r="A34" s="2">
        <f t="shared" si="65"/>
        <v>552</v>
      </c>
      <c r="B34" s="3">
        <f t="shared" si="9"/>
        <v>7154</v>
      </c>
      <c r="C34" s="3">
        <f t="shared" si="10"/>
        <v>1627</v>
      </c>
      <c r="D34" s="3">
        <f t="shared" si="11"/>
        <v>4278</v>
      </c>
      <c r="E34" s="3">
        <f t="shared" si="12"/>
        <v>13059</v>
      </c>
      <c r="F34" s="4">
        <f t="shared" si="13"/>
        <v>5558.9925392877931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-58</v>
      </c>
      <c r="AN34" s="1">
        <v>916</v>
      </c>
      <c r="AO34" s="1">
        <v>552</v>
      </c>
      <c r="AP34" s="1">
        <v>894</v>
      </c>
      <c r="AQ34" s="1">
        <v>-17955</v>
      </c>
      <c r="AR34" s="1"/>
      <c r="AS34" s="6">
        <f>IF(RTD("tos.rtd",,AS$2,"."&amp;$A$2&amp;$AS$1&amp;"C"&amp;$A34)="N/A",0,RTD("tos.rtd",,AS$2,"."&amp;$A$2&amp;$AS$1&amp;"C"&amp;$A34))</f>
        <v>3752</v>
      </c>
      <c r="AT34" s="7">
        <f>-IF(RTD("tos.rtd",,AT$2,"."&amp;$A$2&amp;$AS$1&amp;"P"&amp;$A34)="N/A",0,RTD("tos.rtd",,AT$2,"."&amp;$A$2&amp;$AS$1&amp;"P"&amp;$A34))</f>
        <v>-3402</v>
      </c>
      <c r="AU34" s="6">
        <f>IF(RTD("tos.rtd",,AU$2,"."&amp;$A$2&amp;$AU$1&amp;"C"&amp;$A34)="N/A",0,RTD("tos.rtd",,AU$2,"."&amp;$A$2&amp;$AU$1&amp;"C"&amp;$A34))</f>
        <v>554</v>
      </c>
      <c r="AV34" s="7">
        <f>-IF(RTD("tos.rtd",,AV$2,"."&amp;$A$2&amp;$AU$1&amp;"P"&amp;$A34)="N/A",0,RTD("tos.rtd",,AV$2,"."&amp;$A$2&amp;$AU$1&amp;"P"&amp;$A34))</f>
        <v>-1073</v>
      </c>
      <c r="AW34" s="6">
        <f>IF(RTD("tos.rtd",,AW$2,"."&amp;$A$2&amp;$AW$1&amp;"C"&amp;$A34)="N/A",0,RTD("tos.rtd",,AW$2,"."&amp;$A$2&amp;$AW$1&amp;"C"&amp;$A34))</f>
        <v>2022</v>
      </c>
      <c r="AX34" s="7">
        <f>-IF(RTD("tos.rtd",,AX$2,"."&amp;$A$2&amp;$AW$1&amp;"P"&amp;$A34)="N/A",0,RTD("tos.rtd",,AX$2,"."&amp;$A$2&amp;$AW$1&amp;"P"&amp;$A34))</f>
        <v>-2256</v>
      </c>
      <c r="AY34" s="1">
        <f t="shared" si="66"/>
        <v>-403</v>
      </c>
      <c r="AZ34" s="8">
        <f t="shared" si="35"/>
        <v>552</v>
      </c>
      <c r="BA34" s="6">
        <f>IF(RTD("tos.rtd",,BA$2,"."&amp;$A$2&amp;$AS$1&amp;"C"&amp;$A34)="N/A",0,RTD("tos.rtd",,BA$2,"."&amp;$A$2&amp;$AS$1&amp;"C"&amp;$A34))</f>
        <v>894</v>
      </c>
      <c r="BB34" s="7">
        <f>-IF(RTD("tos.rtd",,BB$2,"."&amp;$A$2&amp;$AS$1&amp;"P"&amp;$A34)="N/A",0,RTD("tos.rtd",,BB$2,"."&amp;$A$2&amp;$AS$1&amp;"P"&amp;$A34))</f>
        <v>-17956</v>
      </c>
      <c r="BC34" s="6">
        <f>IF(RTD("tos.rtd",,BC$2,"."&amp;$A$2&amp;$AU$1&amp;"C"&amp;$A34)="N/A",0,RTD("tos.rtd",,BC$2,"."&amp;$A$2&amp;$AU$1&amp;"C"&amp;$A34))</f>
        <v>85</v>
      </c>
      <c r="BD34" s="7">
        <f>-IF(RTD("tos.rtd",,BD$2,"."&amp;$A$2&amp;$AU$1&amp;"P"&amp;$A34)="N/A",0,RTD("tos.rtd",,BD$2,"."&amp;$A$2&amp;$AU$1&amp;"P"&amp;$A34))</f>
        <v>-4103</v>
      </c>
      <c r="BE34" s="6">
        <f>IF(RTD("tos.rtd",,BE$2,"."&amp;$A$2&amp;$AW$1&amp;"C"&amp;$A34)="N/A",0,RTD("tos.rtd",,BE$2,"."&amp;$A$2&amp;$AW$1&amp;"C"&amp;$A34))</f>
        <v>126</v>
      </c>
      <c r="BF34" s="83">
        <f>-IF(RTD("tos.rtd",,BF$2,"."&amp;$A$2&amp;$AW$1&amp;"P"&amp;$A34)="N/A",0,RTD("tos.rtd",,BF$2,"."&amp;$A$2&amp;$AW$1&amp;"P"&amp;$A34))</f>
        <v>-2480</v>
      </c>
      <c r="BG34" s="32" t="e">
        <f ca="1">+Hoja2!Y35</f>
        <v>#N/A</v>
      </c>
      <c r="BH34" s="7" t="e">
        <f t="shared" ca="1" si="36"/>
        <v>#N/A</v>
      </c>
      <c r="BI34" s="8" t="e">
        <f t="shared" ref="BI34" ca="1" si="191">IF(AND(BH34&lt;0,BH33&gt;0), "Cruce -", IF(AND(BH34&gt;0,BH33&lt;0),"Cruce +", ""))</f>
        <v>#N/A</v>
      </c>
      <c r="BJ34" s="3" t="e">
        <f ca="1">IF($BP$1=1,DX34,IF(RTD("tos.rtd",,BJ$2,"."&amp;$A$2&amp;$AS$1&amp;"C"&amp;$A34)="N/A",0,RTD("tos.rtd",,BJ$2,"."&amp;$A$2&amp;$AS$1&amp;"C"&amp;$A34)))</f>
        <v>#NUM!</v>
      </c>
      <c r="BK34" s="3" t="e">
        <f ca="1">IF($BP$1=1,DY34,-IF(RTD("tos.rtd",,BK$2,"."&amp;$A$2&amp;$AS$1&amp;"P"&amp;$A34)="N/A",0,RTD("tos.rtd",,BK$2,"."&amp;$A$2&amp;$AS$1&amp;"P"&amp;$A34)))</f>
        <v>#NUM!</v>
      </c>
      <c r="BL34" s="3">
        <f ca="1">IF($BP$1=1,DZ34,IF(RTD("tos.rtd",,BL$2,"."&amp;$A$2&amp;$AU$1&amp;"C"&amp;$A34)="N/A",0,RTD("tos.rtd",,BL$2,"."&amp;$A$2&amp;$AU$1&amp;"C"&amp;$A34)))</f>
        <v>1.4138685188232053E-2</v>
      </c>
      <c r="BM34" s="3">
        <f ca="1">IF($BP$1=1,EA34,-IF(RTD("tos.rtd",,BM$2,"."&amp;$A$2&amp;$AU$1&amp;"P"&amp;$A34)="N/A",0,RTD("tos.rtd",,BM$2,"."&amp;$A$2&amp;$AU$1&amp;"P"&amp;$A34)))</f>
        <v>-1.4138685188232053E-2</v>
      </c>
      <c r="BN34" s="3">
        <f ca="1">IF($BP$1=1,EB34,IF(RTD("tos.rtd",,BN$2,"."&amp;$A$2&amp;$AW$1&amp;"C"&amp;$A34)="N/A",0,RTD("tos.rtd",,BN$2,"."&amp;$A$2&amp;$AW$1&amp;"C"&amp;$A34)))</f>
        <v>1.4162685680869655E-2</v>
      </c>
      <c r="BO34" s="3">
        <f ca="1">IF($BP$1=1,EC34,-IF(RTD("tos.rtd",,BO$2,"."&amp;$A$2&amp;$AW$1&amp;"P"&amp;$A34)="N/A",0,RTD("tos.rtd",,BO$2,"."&amp;$A$2&amp;$AW$1&amp;"P"&amp;$A34)))</f>
        <v>-1.4226077994469214E-2</v>
      </c>
      <c r="BQ34" s="3" t="e">
        <f t="shared" ca="1" si="37"/>
        <v>#NUM!</v>
      </c>
      <c r="BR34" s="3" t="e">
        <f t="shared" ca="1" si="68"/>
        <v>#NUM!</v>
      </c>
      <c r="BS34" s="3">
        <f t="shared" ca="1" si="38"/>
        <v>-2358829.4533326747</v>
      </c>
      <c r="BT34" s="3" t="str">
        <f t="shared" ca="1" si="68"/>
        <v>Cruce -</v>
      </c>
      <c r="BU34" s="3">
        <f t="shared" ca="1" si="39"/>
        <v>-1111296.070382366</v>
      </c>
      <c r="BV34" s="3" t="str">
        <f t="shared" ref="BV34" ca="1" si="192">IF(AND(BU34&lt;0,BU33&gt;0), "Cruce -", IF(AND(BU34&gt;0,BU33&lt;0),"Cruce +", ""))</f>
        <v>Cruce -</v>
      </c>
      <c r="BX34" s="3" t="e">
        <f t="shared" ca="1" si="40"/>
        <v>#NUM!</v>
      </c>
      <c r="BY34" s="3" t="e">
        <f t="shared" ca="1" si="70"/>
        <v>#NUM!</v>
      </c>
      <c r="BZ34" s="3">
        <f t="shared" ca="1" si="41"/>
        <v>-18261612.22252541</v>
      </c>
      <c r="CA34" s="3" t="str">
        <f t="shared" ca="1" si="71"/>
        <v/>
      </c>
      <c r="CB34" s="3">
        <f t="shared" ca="1" si="42"/>
        <v>-10767512.30465053</v>
      </c>
      <c r="CC34" s="3" t="str">
        <f t="shared" ca="1" si="72"/>
        <v>Cruce -</v>
      </c>
      <c r="CD34" s="3">
        <f>IF(RTD("tos.rtd",,CD$2,"."&amp;$A$2&amp;$AS$1&amp;"C"&amp;$A34)="N/A",0,RTD("tos.rtd",,CD$2,"."&amp;$A$2&amp;$AS$1&amp;"C"&amp;$A34))</f>
        <v>1</v>
      </c>
      <c r="CE34" s="3">
        <f>-IF(RTD("tos.rtd",,CE$2,"."&amp;$A$2&amp;$AS$1&amp;"P"&amp;$A34)="N/A",0,RTD("tos.rtd",,CE$2,"."&amp;$A$2&amp;$AS$1&amp;"P"&amp;$A34))</f>
        <v>0</v>
      </c>
      <c r="CF34" s="3">
        <f>IF(RTD("tos.rtd",,CF$2,"."&amp;$A$2&amp;$AU$1&amp;"C"&amp;$A34)="N/A",0,RTD("tos.rtd",,CF$2,"."&amp;$A$2&amp;$AU$1&amp;"C"&amp;$A34))</f>
        <v>0.81</v>
      </c>
      <c r="CG34" s="3">
        <f>-IF(RTD("tos.rtd",,CG$2,"."&amp;$A$2&amp;$AU$1&amp;"P"&amp;$A34)="N/A",0,RTD("tos.rtd",,CG$2,"."&amp;$A$2&amp;$AU$1&amp;"P"&amp;$A34))</f>
        <v>0.19</v>
      </c>
      <c r="CH34" s="3">
        <f>IF(RTD("tos.rtd",,CH$2,"."&amp;$A$2&amp;$AW$1&amp;"C"&amp;$A34)="N/A",0,RTD("tos.rtd",,CH$2,"."&amp;$A$2&amp;$AW$1&amp;"C"&amp;$A34))</f>
        <v>0.74</v>
      </c>
      <c r="CI34" s="3">
        <f>-IF(RTD("tos.rtd",,CI$2,"."&amp;$A$2&amp;$AW$1&amp;"P"&amp;$A34)="N/A",0,RTD("tos.rtd",,CI$2,"."&amp;$A$2&amp;$AW$1&amp;"P"&amp;$A34))</f>
        <v>0.25</v>
      </c>
      <c r="CK34" s="3">
        <f t="shared" si="17"/>
        <v>375200</v>
      </c>
      <c r="CL34" s="3"/>
      <c r="CM34" s="3">
        <f t="shared" si="18"/>
        <v>24487</v>
      </c>
      <c r="CN34" s="3"/>
      <c r="CO34" s="3">
        <f t="shared" si="19"/>
        <v>93228</v>
      </c>
      <c r="CP34" s="3">
        <f t="shared" si="43"/>
        <v>492915</v>
      </c>
      <c r="CQ34" s="3">
        <f t="shared" si="44"/>
        <v>-17062</v>
      </c>
      <c r="CR34" s="3"/>
      <c r="CS34" s="3">
        <f t="shared" si="20"/>
        <v>-4018</v>
      </c>
      <c r="CT34" s="3"/>
      <c r="CU34" s="3">
        <f t="shared" si="21"/>
        <v>-2354</v>
      </c>
      <c r="CV34" s="3">
        <f t="shared" si="45"/>
        <v>-23434</v>
      </c>
      <c r="CW34" s="3" t="e">
        <f t="shared" ca="1" si="46"/>
        <v>#NUM!</v>
      </c>
      <c r="CX34" s="85" t="e">
        <f t="shared" ca="1" si="73"/>
        <v>#NUM!</v>
      </c>
      <c r="CY34" s="3" t="e">
        <f t="shared" ca="1" si="47"/>
        <v>#NUM!</v>
      </c>
      <c r="CZ34" s="85" t="e">
        <f t="shared" ca="1" si="74"/>
        <v>#NUM!</v>
      </c>
      <c r="DA34" s="3">
        <f>IF(RTD("tos.rtd",,DA$2,"."&amp;$A$2&amp;$AS$1&amp;"C"&amp;$A34)="N/A",0,RTD("tos.rtd",,DA$2,"."&amp;$A$2&amp;$AS$1&amp;"C"&amp;$A34))</f>
        <v>15.21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15.03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14.87</v>
      </c>
      <c r="DF34" s="3">
        <f>IF(RTD("tos.rtd",,DF$2,"."&amp;$A$2&amp;$AS$1&amp;"P"&amp;$A34)="N/A",0,RTD("tos.rtd",,DF$2,"."&amp;$A$2&amp;$AS$1&amp;"P"&amp;$A34))</f>
        <v>0</v>
      </c>
      <c r="DG34" s="86">
        <f t="shared" si="48"/>
        <v>-14.970000000000027</v>
      </c>
      <c r="DH34" s="3">
        <f t="shared" si="22"/>
        <v>0</v>
      </c>
      <c r="DI34" s="3">
        <f t="shared" si="49"/>
        <v>-1</v>
      </c>
      <c r="DJ34" s="3">
        <f t="shared" si="50"/>
        <v>0</v>
      </c>
      <c r="DK34" s="3">
        <f t="shared" si="51"/>
        <v>-1</v>
      </c>
      <c r="DL34" s="3">
        <f t="shared" si="52"/>
        <v>-1</v>
      </c>
      <c r="DM34" s="3">
        <f t="shared" si="53"/>
        <v>-1</v>
      </c>
      <c r="DN34" s="63" t="str">
        <f t="shared" si="54"/>
        <v>UNKNOWN</v>
      </c>
      <c r="DO34" s="63" t="str">
        <f t="shared" si="55"/>
        <v>BUY</v>
      </c>
      <c r="DP34" s="3">
        <f t="shared" si="56"/>
        <v>-0.01</v>
      </c>
      <c r="DQ34" s="3">
        <f t="shared" si="57"/>
        <v>-0.01</v>
      </c>
      <c r="DR34" s="3" t="e">
        <f t="shared" ca="1" si="58"/>
        <v>#NUM!</v>
      </c>
      <c r="DS34" s="3">
        <f t="shared" si="59"/>
        <v>0</v>
      </c>
      <c r="DT34" s="3">
        <f t="shared" si="60"/>
        <v>0</v>
      </c>
      <c r="DU34" s="3">
        <f t="shared" si="61"/>
        <v>-1</v>
      </c>
      <c r="DV34" s="3">
        <f t="shared" si="62"/>
        <v>-58</v>
      </c>
      <c r="DW34" s="3">
        <f t="shared" si="23"/>
        <v>915</v>
      </c>
      <c r="DX34" s="3" t="e">
        <f t="shared" ca="1" si="24"/>
        <v>#NUM!</v>
      </c>
      <c r="DY34" s="3" t="e">
        <f t="shared" ca="1" si="25"/>
        <v>#NUM!</v>
      </c>
      <c r="DZ34" s="3">
        <f t="shared" ca="1" si="26"/>
        <v>1.4138685188232053E-2</v>
      </c>
      <c r="EA34" s="3">
        <f t="shared" ca="1" si="27"/>
        <v>-1.4138685188232053E-2</v>
      </c>
      <c r="EB34" s="3">
        <f t="shared" ca="1" si="28"/>
        <v>1.4162685680869655E-2</v>
      </c>
      <c r="EC34" s="3">
        <f t="shared" ca="1" si="29"/>
        <v>-1.4226077994469214E-2</v>
      </c>
      <c r="EE34" s="59">
        <f t="shared" si="63"/>
        <v>0.25</v>
      </c>
      <c r="EF34" s="59">
        <f t="shared" si="30"/>
        <v>1.2910999999999999</v>
      </c>
      <c r="EG34" s="59">
        <f t="shared" si="31"/>
        <v>0.22739999999999999</v>
      </c>
      <c r="EH34" s="59">
        <f t="shared" si="32"/>
        <v>0.22739999999999999</v>
      </c>
      <c r="EI34" s="59">
        <f t="shared" si="33"/>
        <v>0.22650000000000001</v>
      </c>
      <c r="EJ34" s="59">
        <f t="shared" si="34"/>
        <v>0.22409999999999999</v>
      </c>
      <c r="EL34" s="3" t="str">
        <f>RTD("tos.rtd",,EL$2,"."&amp;$A$2&amp;$AS$1&amp;"C"&amp;$A34)</f>
        <v>--</v>
      </c>
      <c r="EM34" s="3" t="str">
        <f>RTD("tos.rtd",,EM$2,"."&amp;$A$2&amp;$AS$1&amp;"P"&amp;$A34)</f>
        <v>129.11%</v>
      </c>
      <c r="EN34" s="3" t="str">
        <f>RTD("tos.rtd",,EN$2,"."&amp;$A$2&amp;$AU$1&amp;"C"&amp;$A34)</f>
        <v>22.74%</v>
      </c>
      <c r="EO34" s="3" t="str">
        <f>RTD("tos.rtd",,EO$2,"."&amp;$A$2&amp;$AU$1&amp;"P"&amp;$A34)</f>
        <v>22.74%</v>
      </c>
      <c r="EP34" s="3" t="str">
        <f>RTD("tos.rtd",,EP$2,"."&amp;$A$2&amp;$AW$1&amp;"C"&amp;$A34)</f>
        <v>22.65%</v>
      </c>
      <c r="EQ34" s="3" t="str">
        <f>RTD("tos.rtd",,EQ$2,"."&amp;$A$2&amp;$AW$1&amp;"P"&amp;$A34)</f>
        <v>22.41%</v>
      </c>
      <c r="ET34" s="63" t="str">
        <f t="shared" ca="1" si="64"/>
        <v>552,00.00</v>
      </c>
      <c r="EU34" s="67">
        <v>560.29999999999995</v>
      </c>
      <c r="EV34" s="67" t="s">
        <v>291</v>
      </c>
      <c r="EW34" s="67">
        <v>482.22</v>
      </c>
      <c r="EX34" s="67" t="s">
        <v>292</v>
      </c>
      <c r="EY34" s="67">
        <v>5619</v>
      </c>
      <c r="EZ34" s="67" t="s">
        <v>293</v>
      </c>
      <c r="FA34" s="67">
        <v>19814</v>
      </c>
      <c r="FB34" s="67" t="s">
        <v>294</v>
      </c>
      <c r="FC34" s="67" t="s">
        <v>295</v>
      </c>
      <c r="FD34" s="67" t="s">
        <v>296</v>
      </c>
      <c r="FE34" s="67" t="s">
        <v>297</v>
      </c>
      <c r="FF34" s="67" t="s">
        <v>298</v>
      </c>
    </row>
    <row r="35" spans="1:162" s="63" customFormat="1" ht="13.5" thickBot="1" x14ac:dyDescent="0.25">
      <c r="A35" s="2">
        <f t="shared" si="65"/>
        <v>551</v>
      </c>
      <c r="B35" s="3">
        <f t="shared" si="9"/>
        <v>12206</v>
      </c>
      <c r="C35" s="3">
        <f t="shared" si="10"/>
        <v>2140</v>
      </c>
      <c r="D35" s="3">
        <f t="shared" si="11"/>
        <v>10292</v>
      </c>
      <c r="E35" s="3">
        <f t="shared" si="12"/>
        <v>24638</v>
      </c>
      <c r="F35" s="4">
        <f t="shared" si="13"/>
        <v>5548.9219006296626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501</v>
      </c>
      <c r="AN35" s="1">
        <v>-1759</v>
      </c>
      <c r="AO35" s="1">
        <v>551</v>
      </c>
      <c r="AP35" s="1">
        <v>1177</v>
      </c>
      <c r="AQ35" s="1">
        <v>-22891</v>
      </c>
      <c r="AR35" s="1"/>
      <c r="AS35" s="6">
        <f>IF(RTD("tos.rtd",,AS$2,"."&amp;$A$2&amp;$AS$1&amp;"C"&amp;$A35)="N/A",0,RTD("tos.rtd",,AS$2,"."&amp;$A$2&amp;$AS$1&amp;"C"&amp;$A35))</f>
        <v>5291</v>
      </c>
      <c r="AT35" s="7">
        <f>-IF(RTD("tos.rtd",,AT$2,"."&amp;$A$2&amp;$AS$1&amp;"P"&amp;$A35)="N/A",0,RTD("tos.rtd",,AT$2,"."&amp;$A$2&amp;$AS$1&amp;"P"&amp;$A35))</f>
        <v>-6915</v>
      </c>
      <c r="AU35" s="6">
        <f>IF(RTD("tos.rtd",,AU$2,"."&amp;$A$2&amp;$AU$1&amp;"C"&amp;$A35)="N/A",0,RTD("tos.rtd",,AU$2,"."&amp;$A$2&amp;$AU$1&amp;"C"&amp;$A35))</f>
        <v>1335</v>
      </c>
      <c r="AV35" s="7">
        <f>-IF(RTD("tos.rtd",,AV$2,"."&amp;$A$2&amp;$AU$1&amp;"P"&amp;$A35)="N/A",0,RTD("tos.rtd",,AV$2,"."&amp;$A$2&amp;$AU$1&amp;"P"&amp;$A35))</f>
        <v>-805</v>
      </c>
      <c r="AW35" s="6">
        <f>IF(RTD("tos.rtd",,AW$2,"."&amp;$A$2&amp;$AW$1&amp;"C"&amp;$A35)="N/A",0,RTD("tos.rtd",,AW$2,"."&amp;$A$2&amp;$AW$1&amp;"C"&amp;$A35))</f>
        <v>7849</v>
      </c>
      <c r="AX35" s="7">
        <f>-IF(RTD("tos.rtd",,AX$2,"."&amp;$A$2&amp;$AW$1&amp;"P"&amp;$A35)="N/A",0,RTD("tos.rtd",,AX$2,"."&amp;$A$2&amp;$AW$1&amp;"P"&amp;$A35))</f>
        <v>-2443</v>
      </c>
      <c r="AY35" s="1">
        <f t="shared" si="66"/>
        <v>4312</v>
      </c>
      <c r="AZ35" s="8">
        <f t="shared" si="35"/>
        <v>551</v>
      </c>
      <c r="BA35" s="6">
        <f>IF(RTD("tos.rtd",,BA$2,"."&amp;$A$2&amp;$AS$1&amp;"C"&amp;$A35)="N/A",0,RTD("tos.rtd",,BA$2,"."&amp;$A$2&amp;$AS$1&amp;"C"&amp;$A35))</f>
        <v>1177</v>
      </c>
      <c r="BB35" s="7">
        <f>-IF(RTD("tos.rtd",,BB$2,"."&amp;$A$2&amp;$AS$1&amp;"P"&amp;$A35)="N/A",0,RTD("tos.rtd",,BB$2,"."&amp;$A$2&amp;$AS$1&amp;"P"&amp;$A35))</f>
        <v>-22891</v>
      </c>
      <c r="BC35" s="6">
        <f>IF(RTD("tos.rtd",,BC$2,"."&amp;$A$2&amp;$AU$1&amp;"C"&amp;$A35)="N/A",0,RTD("tos.rtd",,BC$2,"."&amp;$A$2&amp;$AU$1&amp;"C"&amp;$A35))</f>
        <v>157</v>
      </c>
      <c r="BD35" s="7">
        <f>-IF(RTD("tos.rtd",,BD$2,"."&amp;$A$2&amp;$AU$1&amp;"P"&amp;$A35)="N/A",0,RTD("tos.rtd",,BD$2,"."&amp;$A$2&amp;$AU$1&amp;"P"&amp;$A35))</f>
        <v>-2600</v>
      </c>
      <c r="BE35" s="6">
        <f>IF(RTD("tos.rtd",,BE$2,"."&amp;$A$2&amp;$AW$1&amp;"C"&amp;$A35)="N/A",0,RTD("tos.rtd",,BE$2,"."&amp;$A$2&amp;$AW$1&amp;"C"&amp;$A35))</f>
        <v>845</v>
      </c>
      <c r="BF35" s="83">
        <f>-IF(RTD("tos.rtd",,BF$2,"."&amp;$A$2&amp;$AW$1&amp;"P"&amp;$A35)="N/A",0,RTD("tos.rtd",,BF$2,"."&amp;$A$2&amp;$AW$1&amp;"P"&amp;$A35))</f>
        <v>-2197</v>
      </c>
      <c r="BG35" s="32" t="e">
        <f ca="1">+Hoja2!Y36</f>
        <v>#N/A</v>
      </c>
      <c r="BH35" s="7" t="e">
        <f t="shared" ca="1" si="36"/>
        <v>#N/A</v>
      </c>
      <c r="BI35" s="8" t="e">
        <f t="shared" ref="BI35" ca="1" si="193">IF(AND(BH35&lt;0,BH34&gt;0), "Cruce -", IF(AND(BH35&gt;0,BH34&lt;0),"Cruce +", ""))</f>
        <v>#N/A</v>
      </c>
      <c r="BJ35" s="3" t="e">
        <f ca="1">IF($BP$1=1,DX35,IF(RTD("tos.rtd",,BJ$2,"."&amp;$A$2&amp;$AS$1&amp;"C"&amp;$A35)="N/A",0,RTD("tos.rtd",,BJ$2,"."&amp;$A$2&amp;$AS$1&amp;"C"&amp;$A35)))</f>
        <v>#NUM!</v>
      </c>
      <c r="BK35" s="3" t="e">
        <f ca="1">IF($BP$1=1,DY35,-IF(RTD("tos.rtd",,BK$2,"."&amp;$A$2&amp;$AS$1&amp;"P"&amp;$A35)="N/A",0,RTD("tos.rtd",,BK$2,"."&amp;$A$2&amp;$AS$1&amp;"P"&amp;$A35)))</f>
        <v>#NUM!</v>
      </c>
      <c r="BL35" s="3">
        <f ca="1">IF($BP$1=1,DZ35,IF(RTD("tos.rtd",,BL$2,"."&amp;$A$2&amp;$AU$1&amp;"C"&amp;$A35)="N/A",0,RTD("tos.rtd",,BL$2,"."&amp;$A$2&amp;$AU$1&amp;"C"&amp;$A35)))</f>
        <v>1.3547766306116283E-2</v>
      </c>
      <c r="BM35" s="3">
        <f ca="1">IF($BP$1=1,EA35,-IF(RTD("tos.rtd",,BM$2,"."&amp;$A$2&amp;$AU$1&amp;"P"&amp;$A35)="N/A",0,RTD("tos.rtd",,BM$2,"."&amp;$A$2&amp;$AU$1&amp;"P"&amp;$A35)))</f>
        <v>-1.3543447170172633E-2</v>
      </c>
      <c r="BN35" s="3">
        <f ca="1">IF($BP$1=1,EB35,IF(RTD("tos.rtd",,BN$2,"."&amp;$A$2&amp;$AW$1&amp;"C"&amp;$A35)="N/A",0,RTD("tos.rtd",,BN$2,"."&amp;$A$2&amp;$AW$1&amp;"C"&amp;$A35)))</f>
        <v>1.3573512671629739E-2</v>
      </c>
      <c r="BO35" s="3">
        <f ca="1">IF($BP$1=1,EC35,-IF(RTD("tos.rtd",,BO$2,"."&amp;$A$2&amp;$AW$1&amp;"P"&amp;$A35)="N/A",0,RTD("tos.rtd",,BO$2,"."&amp;$A$2&amp;$AW$1&amp;"P"&amp;$A35)))</f>
        <v>-1.3617843442581719E-2</v>
      </c>
      <c r="BQ35" s="3" t="e">
        <f t="shared" ca="1" si="37"/>
        <v>#NUM!</v>
      </c>
      <c r="BR35" s="3" t="e">
        <f t="shared" ca="1" si="68"/>
        <v>#NUM!</v>
      </c>
      <c r="BS35" s="3">
        <f t="shared" ca="1" si="38"/>
        <v>2309266.056608873</v>
      </c>
      <c r="BT35" s="3" t="str">
        <f t="shared" ca="1" si="68"/>
        <v>Cruce +</v>
      </c>
      <c r="BU35" s="3">
        <f t="shared" ca="1" si="39"/>
        <v>23553041.627166983</v>
      </c>
      <c r="BV35" s="3" t="str">
        <f t="shared" ref="BV35" ca="1" si="194">IF(AND(BU35&lt;0,BU34&gt;0), "Cruce -", IF(AND(BU35&gt;0,BU34&lt;0),"Cruce +", ""))</f>
        <v>Cruce +</v>
      </c>
      <c r="BX35" s="3" t="e">
        <f t="shared" ca="1" si="40"/>
        <v>#NUM!</v>
      </c>
      <c r="BY35" s="3" t="e">
        <f t="shared" ca="1" si="70"/>
        <v>#NUM!</v>
      </c>
      <c r="BZ35" s="3">
        <f t="shared" ca="1" si="41"/>
        <v>-10635647.711071074</v>
      </c>
      <c r="CA35" s="3" t="str">
        <f t="shared" ca="1" si="71"/>
        <v/>
      </c>
      <c r="CB35" s="3">
        <f t="shared" ca="1" si="42"/>
        <v>-5930453.4555733241</v>
      </c>
      <c r="CC35" s="3" t="str">
        <f t="shared" ca="1" si="72"/>
        <v/>
      </c>
      <c r="CD35" s="3">
        <f>IF(RTD("tos.rtd",,CD$2,"."&amp;$A$2&amp;$AS$1&amp;"C"&amp;$A35)="N/A",0,RTD("tos.rtd",,CD$2,"."&amp;$A$2&amp;$AS$1&amp;"C"&amp;$A35))</f>
        <v>1</v>
      </c>
      <c r="CE35" s="3">
        <f>-IF(RTD("tos.rtd",,CE$2,"."&amp;$A$2&amp;$AS$1&amp;"P"&amp;$A35)="N/A",0,RTD("tos.rtd",,CE$2,"."&amp;$A$2&amp;$AS$1&amp;"P"&amp;$A35))</f>
        <v>0</v>
      </c>
      <c r="CF35" s="3">
        <f>IF(RTD("tos.rtd",,CF$2,"."&amp;$A$2&amp;$AU$1&amp;"C"&amp;$A35)="N/A",0,RTD("tos.rtd",,CF$2,"."&amp;$A$2&amp;$AU$1&amp;"C"&amp;$A35))</f>
        <v>0.82</v>
      </c>
      <c r="CG35" s="3">
        <f>-IF(RTD("tos.rtd",,CG$2,"."&amp;$A$2&amp;$AU$1&amp;"P"&amp;$A35)="N/A",0,RTD("tos.rtd",,CG$2,"."&amp;$A$2&amp;$AU$1&amp;"P"&amp;$A35))</f>
        <v>0.18</v>
      </c>
      <c r="CH35" s="3">
        <f>IF(RTD("tos.rtd",,CH$2,"."&amp;$A$2&amp;$AW$1&amp;"C"&amp;$A35)="N/A",0,RTD("tos.rtd",,CH$2,"."&amp;$A$2&amp;$AW$1&amp;"C"&amp;$A35))</f>
        <v>0.75</v>
      </c>
      <c r="CI35" s="3">
        <f>-IF(RTD("tos.rtd",,CI$2,"."&amp;$A$2&amp;$AW$1&amp;"P"&amp;$A35)="N/A",0,RTD("tos.rtd",,CI$2,"."&amp;$A$2&amp;$AW$1&amp;"P"&amp;$A35))</f>
        <v>0.24</v>
      </c>
      <c r="CK35" s="3">
        <f t="shared" si="17"/>
        <v>529100</v>
      </c>
      <c r="CL35" s="3"/>
      <c r="CM35" s="3">
        <f t="shared" si="18"/>
        <v>94980</v>
      </c>
      <c r="CN35" s="3"/>
      <c r="CO35" s="3">
        <f t="shared" si="19"/>
        <v>530043</v>
      </c>
      <c r="CP35" s="3">
        <f t="shared" si="43"/>
        <v>1154123</v>
      </c>
      <c r="CQ35" s="3">
        <f t="shared" si="44"/>
        <v>-21714</v>
      </c>
      <c r="CR35" s="3"/>
      <c r="CS35" s="3">
        <f t="shared" si="20"/>
        <v>-2443</v>
      </c>
      <c r="CT35" s="3"/>
      <c r="CU35" s="3">
        <f t="shared" si="21"/>
        <v>-1352</v>
      </c>
      <c r="CV35" s="3">
        <f t="shared" si="45"/>
        <v>-25509</v>
      </c>
      <c r="CW35" s="3" t="e">
        <f t="shared" ca="1" si="46"/>
        <v>#NUM!</v>
      </c>
      <c r="CX35" s="85" t="e">
        <f t="shared" ca="1" si="73"/>
        <v>#NUM!</v>
      </c>
      <c r="CY35" s="3" t="e">
        <f t="shared" ca="1" si="47"/>
        <v>#NUM!</v>
      </c>
      <c r="CZ35" s="85" t="e">
        <f t="shared" ca="1" si="74"/>
        <v>#NUM!</v>
      </c>
      <c r="DA35" s="3">
        <f>IF(RTD("tos.rtd",,DA$2,"."&amp;$A$2&amp;$AS$1&amp;"C"&amp;$A35)="N/A",0,RTD("tos.rtd",,DA$2,"."&amp;$A$2&amp;$AS$1&amp;"C"&amp;$A35))</f>
        <v>16.29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16.03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15.87</v>
      </c>
      <c r="DF35" s="3">
        <f>IF(RTD("tos.rtd",,DF$2,"."&amp;$A$2&amp;$AS$1&amp;"P"&amp;$A35)="N/A",0,RTD("tos.rtd",,DF$2,"."&amp;$A$2&amp;$AS$1&amp;"P"&amp;$A35))</f>
        <v>0</v>
      </c>
      <c r="DG35" s="86">
        <f t="shared" si="48"/>
        <v>-15.970000000000027</v>
      </c>
      <c r="DH35" s="3">
        <f t="shared" si="22"/>
        <v>0</v>
      </c>
      <c r="DI35" s="3">
        <f t="shared" si="49"/>
        <v>0</v>
      </c>
      <c r="DJ35" s="3">
        <f t="shared" si="50"/>
        <v>0</v>
      </c>
      <c r="DK35" s="3">
        <f t="shared" si="51"/>
        <v>0</v>
      </c>
      <c r="DL35" s="3">
        <f t="shared" si="52"/>
        <v>0</v>
      </c>
      <c r="DM35" s="3">
        <f t="shared" si="53"/>
        <v>0</v>
      </c>
      <c r="DN35" s="63" t="str">
        <f t="shared" si="54"/>
        <v>UNKNOWN</v>
      </c>
      <c r="DO35" s="63" t="str">
        <f t="shared" si="55"/>
        <v>UNKNOWN</v>
      </c>
      <c r="DP35" s="3">
        <f t="shared" si="56"/>
        <v>0</v>
      </c>
      <c r="DQ35" s="3">
        <f t="shared" si="57"/>
        <v>0</v>
      </c>
      <c r="DR35" s="3" t="e">
        <f t="shared" ca="1" si="58"/>
        <v>#NUM!</v>
      </c>
      <c r="DS35" s="3">
        <f t="shared" si="59"/>
        <v>0</v>
      </c>
      <c r="DT35" s="3">
        <f t="shared" si="60"/>
        <v>0</v>
      </c>
      <c r="DU35" s="3">
        <f t="shared" si="61"/>
        <v>0</v>
      </c>
      <c r="DV35" s="3">
        <f t="shared" si="62"/>
        <v>501</v>
      </c>
      <c r="DW35" s="3">
        <f t="shared" si="23"/>
        <v>-1759</v>
      </c>
      <c r="DX35" s="3" t="e">
        <f t="shared" ca="1" si="24"/>
        <v>#NUM!</v>
      </c>
      <c r="DY35" s="3" t="e">
        <f t="shared" ca="1" si="25"/>
        <v>#NUM!</v>
      </c>
      <c r="DZ35" s="3">
        <f t="shared" ca="1" si="26"/>
        <v>1.3547766306116283E-2</v>
      </c>
      <c r="EA35" s="3">
        <f t="shared" ca="1" si="27"/>
        <v>-1.3543447170172633E-2</v>
      </c>
      <c r="EB35" s="3">
        <f t="shared" ca="1" si="28"/>
        <v>1.3573512671629739E-2</v>
      </c>
      <c r="EC35" s="3">
        <f t="shared" ca="1" si="29"/>
        <v>-1.3617843442581719E-2</v>
      </c>
      <c r="EE35" s="59">
        <f t="shared" si="63"/>
        <v>0.25</v>
      </c>
      <c r="EF35" s="59">
        <f t="shared" si="30"/>
        <v>1.3697999999999999</v>
      </c>
      <c r="EG35" s="59">
        <f t="shared" si="31"/>
        <v>0.2296</v>
      </c>
      <c r="EH35" s="59">
        <f t="shared" si="32"/>
        <v>0.2298</v>
      </c>
      <c r="EI35" s="59">
        <f t="shared" si="33"/>
        <v>0.22839999999999999</v>
      </c>
      <c r="EJ35" s="59">
        <f t="shared" si="34"/>
        <v>0.2263</v>
      </c>
      <c r="EL35" s="3" t="str">
        <f>RTD("tos.rtd",,EL$2,"."&amp;$A$2&amp;$AS$1&amp;"C"&amp;$A35)</f>
        <v>--</v>
      </c>
      <c r="EM35" s="3" t="str">
        <f>RTD("tos.rtd",,EM$2,"."&amp;$A$2&amp;$AS$1&amp;"P"&amp;$A35)</f>
        <v>136.98%</v>
      </c>
      <c r="EN35" s="3" t="str">
        <f>RTD("tos.rtd",,EN$2,"."&amp;$A$2&amp;$AU$1&amp;"C"&amp;$A35)</f>
        <v>22.96%</v>
      </c>
      <c r="EO35" s="3" t="str">
        <f>RTD("tos.rtd",,EO$2,"."&amp;$A$2&amp;$AU$1&amp;"P"&amp;$A35)</f>
        <v>22.98%</v>
      </c>
      <c r="EP35" s="3" t="str">
        <f>RTD("tos.rtd",,EP$2,"."&amp;$A$2&amp;$AW$1&amp;"C"&amp;$A35)</f>
        <v>22.84%</v>
      </c>
      <c r="EQ35" s="3" t="str">
        <f>RTD("tos.rtd",,EQ$2,"."&amp;$A$2&amp;$AW$1&amp;"P"&amp;$A35)</f>
        <v>22.63%</v>
      </c>
      <c r="ET35" s="63" t="str">
        <f t="shared" ca="1" si="64"/>
        <v>551,00.00</v>
      </c>
      <c r="EU35" s="67">
        <v>560.42999999999995</v>
      </c>
      <c r="EV35" s="67" t="s">
        <v>299</v>
      </c>
      <c r="EW35" s="67">
        <v>482.32</v>
      </c>
      <c r="EX35" s="67" t="s">
        <v>300</v>
      </c>
      <c r="EY35" s="67">
        <v>5620</v>
      </c>
      <c r="EZ35" s="67" t="s">
        <v>301</v>
      </c>
      <c r="FA35" s="67">
        <v>19818</v>
      </c>
      <c r="FB35" s="67" t="s">
        <v>302</v>
      </c>
      <c r="FC35" s="67" t="s">
        <v>303</v>
      </c>
      <c r="FD35" s="67" t="s">
        <v>304</v>
      </c>
      <c r="FE35" s="67" t="s">
        <v>305</v>
      </c>
      <c r="FF35" s="67" t="s">
        <v>306</v>
      </c>
    </row>
    <row r="36" spans="1:162" s="63" customFormat="1" ht="13.5" thickBot="1" x14ac:dyDescent="0.25">
      <c r="A36" s="2">
        <f t="shared" si="65"/>
        <v>550</v>
      </c>
      <c r="B36" s="3">
        <f t="shared" si="9"/>
        <v>33657</v>
      </c>
      <c r="C36" s="3">
        <f t="shared" si="10"/>
        <v>18436</v>
      </c>
      <c r="D36" s="3">
        <f t="shared" si="11"/>
        <v>78399</v>
      </c>
      <c r="E36" s="3">
        <f t="shared" si="12"/>
        <v>130492</v>
      </c>
      <c r="F36" s="4">
        <f t="shared" si="13"/>
        <v>5538.8512619715329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-109</v>
      </c>
      <c r="AN36" s="1">
        <v>5349</v>
      </c>
      <c r="AO36" s="1">
        <v>550</v>
      </c>
      <c r="AP36" s="1">
        <v>1683</v>
      </c>
      <c r="AQ36" s="1">
        <v>-39139</v>
      </c>
      <c r="AR36" s="1"/>
      <c r="AS36" s="6">
        <f>IF(RTD("tos.rtd",,AS$2,"."&amp;$A$2&amp;$AS$1&amp;"C"&amp;$A36)="N/A",0,RTD("tos.rtd",,AS$2,"."&amp;$A$2&amp;$AS$1&amp;"C"&amp;$A36))</f>
        <v>8235</v>
      </c>
      <c r="AT36" s="7">
        <f>-IF(RTD("tos.rtd",,AT$2,"."&amp;$A$2&amp;$AS$1&amp;"P"&amp;$A36)="N/A",0,RTD("tos.rtd",,AT$2,"."&amp;$A$2&amp;$AS$1&amp;"P"&amp;$A36))</f>
        <v>-25422</v>
      </c>
      <c r="AU36" s="6">
        <f>IF(RTD("tos.rtd",,AU$2,"."&amp;$A$2&amp;$AU$1&amp;"C"&amp;$A36)="N/A",0,RTD("tos.rtd",,AU$2,"."&amp;$A$2&amp;$AU$1&amp;"C"&amp;$A36))</f>
        <v>6858</v>
      </c>
      <c r="AV36" s="7">
        <f>-IF(RTD("tos.rtd",,AV$2,"."&amp;$A$2&amp;$AU$1&amp;"P"&amp;$A36)="N/A",0,RTD("tos.rtd",,AV$2,"."&amp;$A$2&amp;$AU$1&amp;"P"&amp;$A36))</f>
        <v>-11578</v>
      </c>
      <c r="AW36" s="6">
        <f>IF(RTD("tos.rtd",,AW$2,"."&amp;$A$2&amp;$AW$1&amp;"C"&amp;$A36)="N/A",0,RTD("tos.rtd",,AW$2,"."&amp;$A$2&amp;$AW$1&amp;"C"&amp;$A36))</f>
        <v>25327</v>
      </c>
      <c r="AX36" s="7">
        <f>-IF(RTD("tos.rtd",,AX$2,"."&amp;$A$2&amp;$AW$1&amp;"P"&amp;$A36)="N/A",0,RTD("tos.rtd",,AX$2,"."&amp;$A$2&amp;$AW$1&amp;"P"&amp;$A36))</f>
        <v>-53072</v>
      </c>
      <c r="AY36" s="1">
        <f t="shared" si="66"/>
        <v>-49652</v>
      </c>
      <c r="AZ36" s="8">
        <f t="shared" si="35"/>
        <v>550</v>
      </c>
      <c r="BA36" s="6">
        <f>IF(RTD("tos.rtd",,BA$2,"."&amp;$A$2&amp;$AS$1&amp;"C"&amp;$A36)="N/A",0,RTD("tos.rtd",,BA$2,"."&amp;$A$2&amp;$AS$1&amp;"C"&amp;$A36))</f>
        <v>1683</v>
      </c>
      <c r="BB36" s="7">
        <f>-IF(RTD("tos.rtd",,BB$2,"."&amp;$A$2&amp;$AS$1&amp;"P"&amp;$A36)="N/A",0,RTD("tos.rtd",,BB$2,"."&amp;$A$2&amp;$AS$1&amp;"P"&amp;$A36))</f>
        <v>-39139</v>
      </c>
      <c r="BC36" s="6">
        <f>IF(RTD("tos.rtd",,BC$2,"."&amp;$A$2&amp;$AU$1&amp;"C"&amp;$A36)="N/A",0,RTD("tos.rtd",,BC$2,"."&amp;$A$2&amp;$AU$1&amp;"C"&amp;$A36))</f>
        <v>931</v>
      </c>
      <c r="BD36" s="7">
        <f>-IF(RTD("tos.rtd",,BD$2,"."&amp;$A$2&amp;$AU$1&amp;"P"&amp;$A36)="N/A",0,RTD("tos.rtd",,BD$2,"."&amp;$A$2&amp;$AU$1&amp;"P"&amp;$A36))</f>
        <v>-31071</v>
      </c>
      <c r="BE36" s="6">
        <f>IF(RTD("tos.rtd",,BE$2,"."&amp;$A$2&amp;$AW$1&amp;"C"&amp;$A36)="N/A",0,RTD("tos.rtd",,BE$2,"."&amp;$A$2&amp;$AW$1&amp;"C"&amp;$A36))</f>
        <v>4226</v>
      </c>
      <c r="BF36" s="83">
        <f>-IF(RTD("tos.rtd",,BF$2,"."&amp;$A$2&amp;$AW$1&amp;"P"&amp;$A36)="N/A",0,RTD("tos.rtd",,BF$2,"."&amp;$A$2&amp;$AW$1&amp;"P"&amp;$A36))</f>
        <v>-29454</v>
      </c>
      <c r="BG36" s="32" t="e">
        <f ca="1">+Hoja2!Y37</f>
        <v>#N/A</v>
      </c>
      <c r="BH36" s="7" t="e">
        <f t="shared" ca="1" si="36"/>
        <v>#N/A</v>
      </c>
      <c r="BI36" s="8" t="e">
        <f t="shared" ref="BI36" ca="1" si="195">IF(AND(BH36&lt;0,BH35&gt;0), "Cruce -", IF(AND(BH36&gt;0,BH35&lt;0),"Cruce +", ""))</f>
        <v>#N/A</v>
      </c>
      <c r="BJ36" s="3" t="e">
        <f ca="1">IF($BP$1=1,DX36,IF(RTD("tos.rtd",,BJ$2,"."&amp;$A$2&amp;$AS$1&amp;"C"&amp;$A36)="N/A",0,RTD("tos.rtd",,BJ$2,"."&amp;$A$2&amp;$AS$1&amp;"C"&amp;$A36)))</f>
        <v>#NUM!</v>
      </c>
      <c r="BK36" s="3" t="e">
        <f ca="1">IF($BP$1=1,DY36,-IF(RTD("tos.rtd",,BK$2,"."&amp;$A$2&amp;$AS$1&amp;"P"&amp;$A36)="N/A",0,RTD("tos.rtd",,BK$2,"."&amp;$A$2&amp;$AS$1&amp;"P"&amp;$A36)))</f>
        <v>#NUM!</v>
      </c>
      <c r="BL36" s="3">
        <f ca="1">IF($BP$1=1,DZ36,IF(RTD("tos.rtd",,BL$2,"."&amp;$A$2&amp;$AU$1&amp;"C"&amp;$A36)="N/A",0,RTD("tos.rtd",,BL$2,"."&amp;$A$2&amp;$AU$1&amp;"C"&amp;$A36)))</f>
        <v>1.2964680383387422E-2</v>
      </c>
      <c r="BM36" s="3">
        <f ca="1">IF($BP$1=1,EA36,-IF(RTD("tos.rtd",,BM$2,"."&amp;$A$2&amp;$AU$1&amp;"P"&amp;$A36)="N/A",0,RTD("tos.rtd",,BM$2,"."&amp;$A$2&amp;$AU$1&amp;"P"&amp;$A36)))</f>
        <v>-1.2956259420048154E-2</v>
      </c>
      <c r="BN36" s="3">
        <f ca="1">IF($BP$1=1,EB36,IF(RTD("tos.rtd",,BN$2,"."&amp;$A$2&amp;$AW$1&amp;"C"&amp;$A36)="N/A",0,RTD("tos.rtd",,BN$2,"."&amp;$A$2&amp;$AW$1&amp;"C"&amp;$A36)))</f>
        <v>1.2981338824107727E-2</v>
      </c>
      <c r="BO36" s="3">
        <f ca="1">IF($BP$1=1,EC36,-IF(RTD("tos.rtd",,BO$2,"."&amp;$A$2&amp;$AW$1&amp;"P"&amp;$A36)="N/A",0,RTD("tos.rtd",,BO$2,"."&amp;$A$2&amp;$AW$1&amp;"P"&amp;$A36)))</f>
        <v>-1.3026621104563155E-2</v>
      </c>
      <c r="BQ36" s="3" t="e">
        <f t="shared" ca="1" si="37"/>
        <v>#NUM!</v>
      </c>
      <c r="BR36" s="3" t="e">
        <f t="shared" ca="1" si="68"/>
        <v>#NUM!</v>
      </c>
      <c r="BS36" s="3">
        <f t="shared" ca="1" si="38"/>
        <v>-19639547.131342001</v>
      </c>
      <c r="BT36" s="3" t="str">
        <f t="shared" ca="1" si="68"/>
        <v>Cruce -</v>
      </c>
      <c r="BU36" s="3">
        <f t="shared" ca="1" si="39"/>
        <v>-116550082.50041384</v>
      </c>
      <c r="BV36" s="3" t="str">
        <f t="shared" ref="BV36" ca="1" si="196">IF(AND(BU36&lt;0,BU35&gt;0), "Cruce -", IF(AND(BU36&gt;0,BU35&lt;0),"Cruce +", ""))</f>
        <v>Cruce -</v>
      </c>
      <c r="BX36" s="3" t="e">
        <f t="shared" ca="1" si="40"/>
        <v>#NUM!</v>
      </c>
      <c r="BY36" s="3" t="e">
        <f t="shared" ca="1" si="70"/>
        <v>#NUM!</v>
      </c>
      <c r="BZ36" s="3">
        <f t="shared" ca="1" si="41"/>
        <v>-125526183.12930039</v>
      </c>
      <c r="CA36" s="3" t="str">
        <f t="shared" ca="1" si="71"/>
        <v/>
      </c>
      <c r="CB36" s="3">
        <f t="shared" ca="1" si="42"/>
        <v>-105703064.19221297</v>
      </c>
      <c r="CC36" s="3" t="str">
        <f t="shared" ca="1" si="72"/>
        <v/>
      </c>
      <c r="CD36" s="3">
        <f>IF(RTD("tos.rtd",,CD$2,"."&amp;$A$2&amp;$AS$1&amp;"C"&amp;$A36)="N/A",0,RTD("tos.rtd",,CD$2,"."&amp;$A$2&amp;$AS$1&amp;"C"&amp;$A36))</f>
        <v>1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0.84</v>
      </c>
      <c r="CG36" s="3">
        <f>-IF(RTD("tos.rtd",,CG$2,"."&amp;$A$2&amp;$AU$1&amp;"P"&amp;$A36)="N/A",0,RTD("tos.rtd",,CG$2,"."&amp;$A$2&amp;$AU$1&amp;"P"&amp;$A36))</f>
        <v>0.16</v>
      </c>
      <c r="CH36" s="3">
        <f>IF(RTD("tos.rtd",,CH$2,"."&amp;$A$2&amp;$AW$1&amp;"C"&amp;$A36)="N/A",0,RTD("tos.rtd",,CH$2,"."&amp;$A$2&amp;$AW$1&amp;"C"&amp;$A36))</f>
        <v>0.76</v>
      </c>
      <c r="CI36" s="3">
        <f>-IF(RTD("tos.rtd",,CI$2,"."&amp;$A$2&amp;$AW$1&amp;"P"&amp;$A36)="N/A",0,RTD("tos.rtd",,CI$2,"."&amp;$A$2&amp;$AW$1&amp;"P"&amp;$A36))</f>
        <v>0.23</v>
      </c>
      <c r="CK36" s="3">
        <f t="shared" si="17"/>
        <v>823500</v>
      </c>
      <c r="CL36" s="3"/>
      <c r="CM36" s="3">
        <f t="shared" si="18"/>
        <v>390823.99999999988</v>
      </c>
      <c r="CN36" s="3"/>
      <c r="CO36" s="3">
        <f t="shared" si="19"/>
        <v>704195.99999999977</v>
      </c>
      <c r="CP36" s="3">
        <f t="shared" si="43"/>
        <v>1918519.9999999998</v>
      </c>
      <c r="CQ36" s="3">
        <f t="shared" si="44"/>
        <v>-37456</v>
      </c>
      <c r="CR36" s="3"/>
      <c r="CS36" s="3">
        <f t="shared" si="20"/>
        <v>-30140</v>
      </c>
      <c r="CT36" s="3"/>
      <c r="CU36" s="3">
        <f t="shared" si="21"/>
        <v>-25228</v>
      </c>
      <c r="CV36" s="3">
        <f t="shared" si="45"/>
        <v>-92824</v>
      </c>
      <c r="CW36" s="3" t="e">
        <f t="shared" ca="1" si="46"/>
        <v>#NUM!</v>
      </c>
      <c r="CX36" s="85" t="e">
        <f t="shared" ca="1" si="73"/>
        <v>#NUM!</v>
      </c>
      <c r="CY36" s="3" t="e">
        <f t="shared" ca="1" si="47"/>
        <v>#NUM!</v>
      </c>
      <c r="CZ36" s="85" t="e">
        <f t="shared" ca="1" si="74"/>
        <v>#NUM!</v>
      </c>
      <c r="DA36" s="3">
        <f>IF(RTD("tos.rtd",,DA$2,"."&amp;$A$2&amp;$AS$1&amp;"C"&amp;$A36)="N/A",0,RTD("tos.rtd",,DA$2,"."&amp;$A$2&amp;$AS$1&amp;"C"&amp;$A36))</f>
        <v>16.91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17.04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16.88</v>
      </c>
      <c r="DF36" s="3">
        <f>IF(RTD("tos.rtd",,DF$2,"."&amp;$A$2&amp;$AS$1&amp;"P"&amp;$A36)="N/A",0,RTD("tos.rtd",,DF$2,"."&amp;$A$2&amp;$AS$1&amp;"P"&amp;$A36))</f>
        <v>0</v>
      </c>
      <c r="DG36" s="86">
        <f t="shared" si="48"/>
        <v>-16.970000000000027</v>
      </c>
      <c r="DH36" s="3">
        <f t="shared" si="22"/>
        <v>0</v>
      </c>
      <c r="DI36" s="3">
        <f t="shared" si="49"/>
        <v>0</v>
      </c>
      <c r="DJ36" s="3">
        <f t="shared" si="50"/>
        <v>0</v>
      </c>
      <c r="DK36" s="3">
        <f t="shared" si="51"/>
        <v>0</v>
      </c>
      <c r="DL36" s="3">
        <f t="shared" si="52"/>
        <v>0</v>
      </c>
      <c r="DM36" s="3">
        <f t="shared" si="53"/>
        <v>0</v>
      </c>
      <c r="DN36" s="63" t="str">
        <f t="shared" si="54"/>
        <v>UNKNOWN</v>
      </c>
      <c r="DO36" s="63" t="str">
        <f t="shared" si="55"/>
        <v>UNKNOWN</v>
      </c>
      <c r="DP36" s="3">
        <f t="shared" si="56"/>
        <v>0</v>
      </c>
      <c r="DQ36" s="3">
        <f t="shared" si="57"/>
        <v>0</v>
      </c>
      <c r="DR36" s="3" t="e">
        <f t="shared" ca="1" si="58"/>
        <v>#NUM!</v>
      </c>
      <c r="DS36" s="3">
        <f t="shared" si="59"/>
        <v>0</v>
      </c>
      <c r="DT36" s="3">
        <f t="shared" si="60"/>
        <v>0</v>
      </c>
      <c r="DU36" s="3">
        <f t="shared" si="61"/>
        <v>0</v>
      </c>
      <c r="DV36" s="3">
        <f t="shared" si="62"/>
        <v>-109</v>
      </c>
      <c r="DW36" s="3">
        <f t="shared" si="23"/>
        <v>5349</v>
      </c>
      <c r="DX36" s="3" t="e">
        <f t="shared" ca="1" si="24"/>
        <v>#NUM!</v>
      </c>
      <c r="DY36" s="3" t="e">
        <f t="shared" ca="1" si="25"/>
        <v>#NUM!</v>
      </c>
      <c r="DZ36" s="3">
        <f t="shared" ca="1" si="26"/>
        <v>1.2964680383387422E-2</v>
      </c>
      <c r="EA36" s="3">
        <f t="shared" ca="1" si="27"/>
        <v>-1.2956259420048154E-2</v>
      </c>
      <c r="EB36" s="3">
        <f t="shared" ca="1" si="28"/>
        <v>1.2981338824107727E-2</v>
      </c>
      <c r="EC36" s="3">
        <f t="shared" ca="1" si="29"/>
        <v>-1.3026621104563155E-2</v>
      </c>
      <c r="EE36" s="59">
        <f t="shared" si="63"/>
        <v>0.25</v>
      </c>
      <c r="EF36" s="59">
        <f t="shared" si="30"/>
        <v>1.4482999999999999</v>
      </c>
      <c r="EG36" s="59">
        <f t="shared" si="31"/>
        <v>0.23200000000000001</v>
      </c>
      <c r="EH36" s="59">
        <f t="shared" si="32"/>
        <v>0.23250000000000001</v>
      </c>
      <c r="EI36" s="59">
        <f t="shared" si="33"/>
        <v>0.23100000000000001</v>
      </c>
      <c r="EJ36" s="59">
        <f t="shared" si="34"/>
        <v>0.22819999999999999</v>
      </c>
      <c r="EL36" s="3" t="str">
        <f>RTD("tos.rtd",,EL$2,"."&amp;$A$2&amp;$AS$1&amp;"C"&amp;$A36)</f>
        <v>--</v>
      </c>
      <c r="EM36" s="3" t="str">
        <f>RTD("tos.rtd",,EM$2,"."&amp;$A$2&amp;$AS$1&amp;"P"&amp;$A36)</f>
        <v>144.83%</v>
      </c>
      <c r="EN36" s="3" t="str">
        <f>RTD("tos.rtd",,EN$2,"."&amp;$A$2&amp;$AU$1&amp;"C"&amp;$A36)</f>
        <v>23.20%</v>
      </c>
      <c r="EO36" s="3" t="str">
        <f>RTD("tos.rtd",,EO$2,"."&amp;$A$2&amp;$AU$1&amp;"P"&amp;$A36)</f>
        <v>23.25%</v>
      </c>
      <c r="EP36" s="3" t="str">
        <f>RTD("tos.rtd",,EP$2,"."&amp;$A$2&amp;$AW$1&amp;"C"&amp;$A36)</f>
        <v>23.10%</v>
      </c>
      <c r="EQ36" s="3" t="str">
        <f>RTD("tos.rtd",,EQ$2,"."&amp;$A$2&amp;$AW$1&amp;"P"&amp;$A36)</f>
        <v>22.82%</v>
      </c>
      <c r="ET36" s="63" t="str">
        <f t="shared" ca="1" si="64"/>
        <v>550,00.00</v>
      </c>
      <c r="EU36" s="67">
        <v>560.38</v>
      </c>
      <c r="EV36" s="67" t="s">
        <v>307</v>
      </c>
      <c r="EW36" s="67">
        <v>482.29</v>
      </c>
      <c r="EX36" s="67" t="s">
        <v>308</v>
      </c>
      <c r="EY36" s="67">
        <v>5619.5</v>
      </c>
      <c r="EZ36" s="67" t="s">
        <v>309</v>
      </c>
      <c r="FA36" s="67">
        <v>19816.75</v>
      </c>
      <c r="FB36" s="67" t="s">
        <v>310</v>
      </c>
      <c r="FC36" s="67" t="s">
        <v>311</v>
      </c>
      <c r="FD36" s="67" t="s">
        <v>312</v>
      </c>
      <c r="FE36" s="67" t="s">
        <v>313</v>
      </c>
      <c r="FF36" s="67" t="s">
        <v>314</v>
      </c>
    </row>
    <row r="37" spans="1:162" s="63" customFormat="1" ht="13.5" thickBot="1" x14ac:dyDescent="0.25">
      <c r="A37" s="2">
        <f t="shared" si="65"/>
        <v>549</v>
      </c>
      <c r="B37" s="3">
        <f t="shared" si="9"/>
        <v>6568</v>
      </c>
      <c r="C37" s="3">
        <f t="shared" si="10"/>
        <v>1633</v>
      </c>
      <c r="D37" s="3">
        <f t="shared" si="11"/>
        <v>7487</v>
      </c>
      <c r="E37" s="3">
        <f t="shared" si="12"/>
        <v>15688</v>
      </c>
      <c r="F37" s="4">
        <f t="shared" si="13"/>
        <v>5528.7806233134024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60</v>
      </c>
      <c r="AN37" s="1">
        <v>-1640</v>
      </c>
      <c r="AO37" s="1">
        <v>549</v>
      </c>
      <c r="AP37" s="1">
        <v>237</v>
      </c>
      <c r="AQ37" s="1">
        <v>-11902</v>
      </c>
      <c r="AR37" s="1"/>
      <c r="AS37" s="6">
        <f>IF(RTD("tos.rtd",,AS$2,"."&amp;$A$2&amp;$AS$1&amp;"C"&amp;$A37)="N/A",0,RTD("tos.rtd",,AS$2,"."&amp;$A$2&amp;$AS$1&amp;"C"&amp;$A37))</f>
        <v>2497</v>
      </c>
      <c r="AT37" s="7">
        <f>-IF(RTD("tos.rtd",,AT$2,"."&amp;$A$2&amp;$AS$1&amp;"P"&amp;$A37)="N/A",0,RTD("tos.rtd",,AT$2,"."&amp;$A$2&amp;$AS$1&amp;"P"&amp;$A37))</f>
        <v>-4071</v>
      </c>
      <c r="AU37" s="6">
        <f>IF(RTD("tos.rtd",,AU$2,"."&amp;$A$2&amp;$AU$1&amp;"C"&amp;$A37)="N/A",0,RTD("tos.rtd",,AU$2,"."&amp;$A$2&amp;$AU$1&amp;"C"&amp;$A37))</f>
        <v>730</v>
      </c>
      <c r="AV37" s="7">
        <f>-IF(RTD("tos.rtd",,AV$2,"."&amp;$A$2&amp;$AU$1&amp;"P"&amp;$A37)="N/A",0,RTD("tos.rtd",,AV$2,"."&amp;$A$2&amp;$AU$1&amp;"P"&amp;$A37))</f>
        <v>-903</v>
      </c>
      <c r="AW37" s="6">
        <f>IF(RTD("tos.rtd",,AW$2,"."&amp;$A$2&amp;$AW$1&amp;"C"&amp;$A37)="N/A",0,RTD("tos.rtd",,AW$2,"."&amp;$A$2&amp;$AW$1&amp;"C"&amp;$A37))</f>
        <v>4439</v>
      </c>
      <c r="AX37" s="7">
        <f>-IF(RTD("tos.rtd",,AX$2,"."&amp;$A$2&amp;$AW$1&amp;"P"&amp;$A37)="N/A",0,RTD("tos.rtd",,AX$2,"."&amp;$A$2&amp;$AW$1&amp;"P"&amp;$A37))</f>
        <v>-3048</v>
      </c>
      <c r="AY37" s="1">
        <f t="shared" si="66"/>
        <v>-356</v>
      </c>
      <c r="AZ37" s="8">
        <f t="shared" si="35"/>
        <v>549</v>
      </c>
      <c r="BA37" s="6">
        <f>IF(RTD("tos.rtd",,BA$2,"."&amp;$A$2&amp;$AS$1&amp;"C"&amp;$A37)="N/A",0,RTD("tos.rtd",,BA$2,"."&amp;$A$2&amp;$AS$1&amp;"C"&amp;$A37))</f>
        <v>237</v>
      </c>
      <c r="BB37" s="7">
        <f>-IF(RTD("tos.rtd",,BB$2,"."&amp;$A$2&amp;$AS$1&amp;"P"&amp;$A37)="N/A",0,RTD("tos.rtd",,BB$2,"."&amp;$A$2&amp;$AS$1&amp;"P"&amp;$A37))</f>
        <v>-12002</v>
      </c>
      <c r="BC37" s="6">
        <f>IF(RTD("tos.rtd",,BC$2,"."&amp;$A$2&amp;$AU$1&amp;"C"&amp;$A37)="N/A",0,RTD("tos.rtd",,BC$2,"."&amp;$A$2&amp;$AU$1&amp;"C"&amp;$A37))</f>
        <v>72</v>
      </c>
      <c r="BD37" s="7">
        <f>-IF(RTD("tos.rtd",,BD$2,"."&amp;$A$2&amp;$AU$1&amp;"P"&amp;$A37)="N/A",0,RTD("tos.rtd",,BD$2,"."&amp;$A$2&amp;$AU$1&amp;"P"&amp;$A37))</f>
        <v>-4076</v>
      </c>
      <c r="BE37" s="6">
        <f>IF(RTD("tos.rtd",,BE$2,"."&amp;$A$2&amp;$AW$1&amp;"C"&amp;$A37)="N/A",0,RTD("tos.rtd",,BE$2,"."&amp;$A$2&amp;$AW$1&amp;"C"&amp;$A37))</f>
        <v>81</v>
      </c>
      <c r="BF37" s="83">
        <f>-IF(RTD("tos.rtd",,BF$2,"."&amp;$A$2&amp;$AW$1&amp;"P"&amp;$A37)="N/A",0,RTD("tos.rtd",,BF$2,"."&amp;$A$2&amp;$AW$1&amp;"P"&amp;$A37))</f>
        <v>-658</v>
      </c>
      <c r="BG37" s="32" t="e">
        <f ca="1">+Hoja2!Y38</f>
        <v>#N/A</v>
      </c>
      <c r="BH37" s="7" t="e">
        <f t="shared" ca="1" si="36"/>
        <v>#N/A</v>
      </c>
      <c r="BI37" s="8" t="e">
        <f t="shared" ref="BI37" ca="1" si="197">IF(AND(BH37&lt;0,BH36&gt;0), "Cruce -", IF(AND(BH37&gt;0,BH36&lt;0),"Cruce +", ""))</f>
        <v>#N/A</v>
      </c>
      <c r="BJ37" s="3" t="e">
        <f ca="1">IF($BP$1=1,DX37,IF(RTD("tos.rtd",,BJ$2,"."&amp;$A$2&amp;$AS$1&amp;"C"&amp;$A37)="N/A",0,RTD("tos.rtd",,BJ$2,"."&amp;$A$2&amp;$AS$1&amp;"C"&amp;$A37)))</f>
        <v>#NUM!</v>
      </c>
      <c r="BK37" s="3" t="e">
        <f ca="1">IF($BP$1=1,DY37,-IF(RTD("tos.rtd",,BK$2,"."&amp;$A$2&amp;$AS$1&amp;"P"&amp;$A37)="N/A",0,RTD("tos.rtd",,BK$2,"."&amp;$A$2&amp;$AS$1&amp;"P"&amp;$A37)))</f>
        <v>#NUM!</v>
      </c>
      <c r="BL37" s="3">
        <f ca="1">IF($BP$1=1,DZ37,IF(RTD("tos.rtd",,BL$2,"."&amp;$A$2&amp;$AU$1&amp;"C"&amp;$A37)="N/A",0,RTD("tos.rtd",,BL$2,"."&amp;$A$2&amp;$AU$1&amp;"C"&amp;$A37)))</f>
        <v>1.2392387678223012E-2</v>
      </c>
      <c r="BM37" s="3">
        <f ca="1">IF($BP$1=1,EA37,-IF(RTD("tos.rtd",,BM$2,"."&amp;$A$2&amp;$AU$1&amp;"P"&amp;$A37)="N/A",0,RTD("tos.rtd",,BM$2,"."&amp;$A$2&amp;$AU$1&amp;"P"&amp;$A37)))</f>
        <v>-1.2389900621346102E-2</v>
      </c>
      <c r="BN37" s="3">
        <f ca="1">IF($BP$1=1,EB37,IF(RTD("tos.rtd",,BN$2,"."&amp;$A$2&amp;$AW$1&amp;"C"&amp;$A37)="N/A",0,RTD("tos.rtd",,BN$2,"."&amp;$A$2&amp;$AW$1&amp;"C"&amp;$A37)))</f>
        <v>1.2410680238362646E-2</v>
      </c>
      <c r="BO37" s="3">
        <f ca="1">IF($BP$1=1,EC37,-IF(RTD("tos.rtd",,BO$2,"."&amp;$A$2&amp;$AW$1&amp;"P"&amp;$A37)="N/A",0,RTD("tos.rtd",,BO$2,"."&amp;$A$2&amp;$AW$1&amp;"P"&amp;$A37)))</f>
        <v>-1.244193782194487E-2</v>
      </c>
      <c r="BQ37" s="3" t="e">
        <f t="shared" ca="1" si="37"/>
        <v>#NUM!</v>
      </c>
      <c r="BR37" s="3" t="e">
        <f t="shared" ca="1" si="68"/>
        <v>#NUM!</v>
      </c>
      <c r="BS37" s="3">
        <f t="shared" ca="1" si="38"/>
        <v>-688439.96321344282</v>
      </c>
      <c r="BT37" s="3" t="str">
        <f t="shared" ca="1" si="68"/>
        <v/>
      </c>
      <c r="BU37" s="3">
        <f t="shared" ca="1" si="39"/>
        <v>5518733.6784745958</v>
      </c>
      <c r="BV37" s="3" t="str">
        <f t="shared" ref="BV37" ca="1" si="198">IF(AND(BU37&lt;0,BU36&gt;0), "Cruce -", IF(AND(BU37&gt;0,BU36&lt;0),"Cruce +", ""))</f>
        <v>Cruce +</v>
      </c>
      <c r="BX37" s="3" t="e">
        <f t="shared" ca="1" si="40"/>
        <v>#NUM!</v>
      </c>
      <c r="BY37" s="3" t="e">
        <f t="shared" ca="1" si="70"/>
        <v>#NUM!</v>
      </c>
      <c r="BZ37" s="3">
        <f t="shared" ca="1" si="41"/>
        <v>-15947054.689090086</v>
      </c>
      <c r="CA37" s="3" t="str">
        <f t="shared" ca="1" si="71"/>
        <v/>
      </c>
      <c r="CB37" s="3">
        <f t="shared" ca="1" si="42"/>
        <v>-2308538.5849749888</v>
      </c>
      <c r="CC37" s="3" t="str">
        <f t="shared" ca="1" si="72"/>
        <v/>
      </c>
      <c r="CD37" s="3">
        <f>IF(RTD("tos.rtd",,CD$2,"."&amp;$A$2&amp;$AS$1&amp;"C"&amp;$A37)="N/A",0,RTD("tos.rtd",,CD$2,"."&amp;$A$2&amp;$AS$1&amp;"C"&amp;$A37))</f>
        <v>1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0.85</v>
      </c>
      <c r="CG37" s="3">
        <f>-IF(RTD("tos.rtd",,CG$2,"."&amp;$A$2&amp;$AU$1&amp;"P"&amp;$A37)="N/A",0,RTD("tos.rtd",,CG$2,"."&amp;$A$2&amp;$AU$1&amp;"P"&amp;$A37))</f>
        <v>0.15</v>
      </c>
      <c r="CH37" s="3">
        <f>IF(RTD("tos.rtd",,CH$2,"."&amp;$A$2&amp;$AW$1&amp;"C"&amp;$A37)="N/A",0,RTD("tos.rtd",,CH$2,"."&amp;$A$2&amp;$AW$1&amp;"C"&amp;$A37))</f>
        <v>0.77</v>
      </c>
      <c r="CI37" s="3">
        <f>-IF(RTD("tos.rtd",,CI$2,"."&amp;$A$2&amp;$AW$1&amp;"P"&amp;$A37)="N/A",0,RTD("tos.rtd",,CI$2,"."&amp;$A$2&amp;$AW$1&amp;"P"&amp;$A37))</f>
        <v>0.22</v>
      </c>
      <c r="CK37" s="3">
        <f t="shared" si="17"/>
        <v>249700</v>
      </c>
      <c r="CL37" s="3"/>
      <c r="CM37" s="3">
        <f t="shared" si="18"/>
        <v>48505</v>
      </c>
      <c r="CN37" s="3"/>
      <c r="CO37" s="3">
        <f t="shared" si="19"/>
        <v>274747</v>
      </c>
      <c r="CP37" s="3">
        <f t="shared" si="43"/>
        <v>572952</v>
      </c>
      <c r="CQ37" s="3">
        <f t="shared" si="44"/>
        <v>-11765</v>
      </c>
      <c r="CR37" s="3"/>
      <c r="CS37" s="3">
        <f t="shared" si="20"/>
        <v>-4004</v>
      </c>
      <c r="CT37" s="3"/>
      <c r="CU37" s="3">
        <f t="shared" si="21"/>
        <v>-577</v>
      </c>
      <c r="CV37" s="3">
        <f t="shared" si="45"/>
        <v>-16346</v>
      </c>
      <c r="CW37" s="3" t="e">
        <f t="shared" ca="1" si="46"/>
        <v>#NUM!</v>
      </c>
      <c r="CX37" s="85" t="e">
        <f t="shared" ca="1" si="73"/>
        <v>#NUM!</v>
      </c>
      <c r="CY37" s="3" t="e">
        <f t="shared" ca="1" si="47"/>
        <v>#NUM!</v>
      </c>
      <c r="CZ37" s="85" t="e">
        <f t="shared" ca="1" si="74"/>
        <v>#NUM!</v>
      </c>
      <c r="DA37" s="3">
        <f>IF(RTD("tos.rtd",,DA$2,"."&amp;$A$2&amp;$AS$1&amp;"C"&amp;$A37)="N/A",0,RTD("tos.rtd",,DA$2,"."&amp;$A$2&amp;$AS$1&amp;"C"&amp;$A37))</f>
        <v>17.88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18.04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17.87</v>
      </c>
      <c r="DF37" s="3">
        <f>IF(RTD("tos.rtd",,DF$2,"."&amp;$A$2&amp;$AS$1&amp;"P"&amp;$A37)="N/A",0,RTD("tos.rtd",,DF$2,"."&amp;$A$2&amp;$AS$1&amp;"P"&amp;$A37))</f>
        <v>0</v>
      </c>
      <c r="DG37" s="86">
        <f t="shared" si="48"/>
        <v>-17.970000000000027</v>
      </c>
      <c r="DH37" s="3">
        <f t="shared" si="22"/>
        <v>0</v>
      </c>
      <c r="DI37" s="3">
        <f t="shared" si="49"/>
        <v>-100</v>
      </c>
      <c r="DJ37" s="3">
        <f t="shared" si="50"/>
        <v>0</v>
      </c>
      <c r="DK37" s="3">
        <f t="shared" si="51"/>
        <v>-100</v>
      </c>
      <c r="DL37" s="3">
        <f t="shared" si="52"/>
        <v>-100</v>
      </c>
      <c r="DM37" s="3">
        <f t="shared" si="53"/>
        <v>-100</v>
      </c>
      <c r="DN37" s="63" t="str">
        <f t="shared" si="54"/>
        <v>UNKNOWN</v>
      </c>
      <c r="DO37" s="63" t="str">
        <f t="shared" si="55"/>
        <v>BUY</v>
      </c>
      <c r="DP37" s="3">
        <f t="shared" si="56"/>
        <v>-1</v>
      </c>
      <c r="DQ37" s="3">
        <f t="shared" si="57"/>
        <v>-1</v>
      </c>
      <c r="DR37" s="3" t="e">
        <f t="shared" ca="1" si="58"/>
        <v>#NUM!</v>
      </c>
      <c r="DS37" s="3">
        <f t="shared" si="59"/>
        <v>0</v>
      </c>
      <c r="DT37" s="3">
        <f t="shared" si="60"/>
        <v>0</v>
      </c>
      <c r="DU37" s="3">
        <f t="shared" si="61"/>
        <v>-100</v>
      </c>
      <c r="DV37" s="3">
        <f t="shared" si="62"/>
        <v>60</v>
      </c>
      <c r="DW37" s="3">
        <f t="shared" si="23"/>
        <v>-1740</v>
      </c>
      <c r="DX37" s="3" t="e">
        <f t="shared" ca="1" si="24"/>
        <v>#NUM!</v>
      </c>
      <c r="DY37" s="3" t="e">
        <f t="shared" ca="1" si="25"/>
        <v>#NUM!</v>
      </c>
      <c r="DZ37" s="3">
        <f t="shared" ca="1" si="26"/>
        <v>1.2392387678223012E-2</v>
      </c>
      <c r="EA37" s="3">
        <f t="shared" ca="1" si="27"/>
        <v>-1.2389900621346102E-2</v>
      </c>
      <c r="EB37" s="3">
        <f t="shared" ca="1" si="28"/>
        <v>1.2410680238362646E-2</v>
      </c>
      <c r="EC37" s="3">
        <f t="shared" ca="1" si="29"/>
        <v>-1.244193782194487E-2</v>
      </c>
      <c r="EE37" s="59">
        <f t="shared" si="63"/>
        <v>0.25</v>
      </c>
      <c r="EF37" s="59">
        <f t="shared" si="30"/>
        <v>1.5265</v>
      </c>
      <c r="EG37" s="59">
        <f t="shared" si="31"/>
        <v>0.23469999999999999</v>
      </c>
      <c r="EH37" s="59">
        <f t="shared" si="32"/>
        <v>0.2349</v>
      </c>
      <c r="EI37" s="59">
        <f t="shared" si="33"/>
        <v>0.23319999999999999</v>
      </c>
      <c r="EJ37" s="59">
        <f t="shared" si="34"/>
        <v>0.23050000000000001</v>
      </c>
      <c r="EL37" s="3" t="str">
        <f>RTD("tos.rtd",,EL$2,"."&amp;$A$2&amp;$AS$1&amp;"C"&amp;$A37)</f>
        <v>--</v>
      </c>
      <c r="EM37" s="3" t="str">
        <f>RTD("tos.rtd",,EM$2,"."&amp;$A$2&amp;$AS$1&amp;"P"&amp;$A37)</f>
        <v>152.65%</v>
      </c>
      <c r="EN37" s="3" t="str">
        <f>RTD("tos.rtd",,EN$2,"."&amp;$A$2&amp;$AU$1&amp;"C"&amp;$A37)</f>
        <v>23.47%</v>
      </c>
      <c r="EO37" s="3" t="str">
        <f>RTD("tos.rtd",,EO$2,"."&amp;$A$2&amp;$AU$1&amp;"P"&amp;$A37)</f>
        <v>23.49%</v>
      </c>
      <c r="EP37" s="3" t="str">
        <f>RTD("tos.rtd",,EP$2,"."&amp;$A$2&amp;$AW$1&amp;"C"&amp;$A37)</f>
        <v>23.32%</v>
      </c>
      <c r="EQ37" s="3" t="str">
        <f>RTD("tos.rtd",,EQ$2,"."&amp;$A$2&amp;$AW$1&amp;"P"&amp;$A37)</f>
        <v>23.05%</v>
      </c>
      <c r="ET37" s="63" t="str">
        <f t="shared" ca="1" si="64"/>
        <v>549,00.00</v>
      </c>
      <c r="EU37" s="67">
        <v>560.39</v>
      </c>
      <c r="EV37" s="67" t="s">
        <v>315</v>
      </c>
      <c r="EW37" s="67">
        <v>482.33</v>
      </c>
      <c r="EX37" s="67" t="s">
        <v>316</v>
      </c>
      <c r="EY37" s="67">
        <v>5619.75</v>
      </c>
      <c r="EZ37" s="67" t="s">
        <v>317</v>
      </c>
      <c r="FA37" s="67">
        <v>19818.25</v>
      </c>
      <c r="FB37" s="67" t="s">
        <v>318</v>
      </c>
      <c r="FC37" s="67" t="s">
        <v>319</v>
      </c>
      <c r="FD37" s="67" t="s">
        <v>320</v>
      </c>
      <c r="FE37" s="67" t="s">
        <v>321</v>
      </c>
      <c r="FF37" s="67" t="s">
        <v>322</v>
      </c>
    </row>
    <row r="38" spans="1:162" s="63" customFormat="1" ht="13.5" thickBot="1" x14ac:dyDescent="0.25">
      <c r="A38" s="2">
        <f t="shared" si="65"/>
        <v>548</v>
      </c>
      <c r="B38" s="35">
        <f t="shared" si="9"/>
        <v>5883</v>
      </c>
      <c r="C38" s="35">
        <f t="shared" si="10"/>
        <v>2511</v>
      </c>
      <c r="D38" s="35">
        <f t="shared" si="11"/>
        <v>9522</v>
      </c>
      <c r="E38" s="35">
        <f t="shared" si="12"/>
        <v>17916</v>
      </c>
      <c r="F38" s="11">
        <f t="shared" si="13"/>
        <v>5518.7099846552728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-457</v>
      </c>
      <c r="AN38" s="1">
        <v>-121</v>
      </c>
      <c r="AO38" s="1">
        <v>548</v>
      </c>
      <c r="AP38" s="1">
        <v>827</v>
      </c>
      <c r="AQ38" s="1">
        <v>-9101</v>
      </c>
      <c r="AR38" s="1"/>
      <c r="AS38" s="15">
        <f>IF(RTD("tos.rtd",,AS$2,"."&amp;$A$2&amp;$AS$1&amp;"C"&amp;$A38)="N/A",0,RTD("tos.rtd",,AS$2,"."&amp;$A$2&amp;$AS$1&amp;"C"&amp;$A38))</f>
        <v>1961</v>
      </c>
      <c r="AT38" s="36">
        <f>-IF(RTD("tos.rtd",,AT$2,"."&amp;$A$2&amp;$AS$1&amp;"P"&amp;$A38)="N/A",0,RTD("tos.rtd",,AT$2,"."&amp;$A$2&amp;$AS$1&amp;"P"&amp;$A38))</f>
        <v>-3922</v>
      </c>
      <c r="AU38" s="15">
        <f>IF(RTD("tos.rtd",,AU$2,"."&amp;$A$2&amp;$AU$1&amp;"C"&amp;$A38)="N/A",0,RTD("tos.rtd",,AU$2,"."&amp;$A$2&amp;$AU$1&amp;"C"&amp;$A38))</f>
        <v>1039</v>
      </c>
      <c r="AV38" s="36">
        <f>-IF(RTD("tos.rtd",,AV$2,"."&amp;$A$2&amp;$AU$1&amp;"P"&amp;$A38)="N/A",0,RTD("tos.rtd",,AV$2,"."&amp;$A$2&amp;$AU$1&amp;"P"&amp;$A38))</f>
        <v>-1472</v>
      </c>
      <c r="AW38" s="15">
        <f>IF(RTD("tos.rtd",,AW$2,"."&amp;$A$2&amp;$AW$1&amp;"C"&amp;$A38)="N/A",0,RTD("tos.rtd",,AW$2,"."&amp;$A$2&amp;$AW$1&amp;"C"&amp;$A38))</f>
        <v>5739</v>
      </c>
      <c r="AX38" s="36">
        <f>-IF(RTD("tos.rtd",,AX$2,"."&amp;$A$2&amp;$AW$1&amp;"P"&amp;$A38)="N/A",0,RTD("tos.rtd",,AX$2,"."&amp;$A$2&amp;$AW$1&amp;"P"&amp;$A38))</f>
        <v>-3783</v>
      </c>
      <c r="AY38" s="1">
        <f t="shared" si="66"/>
        <v>-438</v>
      </c>
      <c r="AZ38" s="8">
        <f t="shared" si="35"/>
        <v>548</v>
      </c>
      <c r="BA38" s="15">
        <f>IF(RTD("tos.rtd",,BA$2,"."&amp;$A$2&amp;$AS$1&amp;"C"&amp;$A38)="N/A",0,RTD("tos.rtd",,BA$2,"."&amp;$A$2&amp;$AS$1&amp;"C"&amp;$A38))</f>
        <v>827</v>
      </c>
      <c r="BB38" s="36">
        <f>-IF(RTD("tos.rtd",,BB$2,"."&amp;$A$2&amp;$AS$1&amp;"P"&amp;$A38)="N/A",0,RTD("tos.rtd",,BB$2,"."&amp;$A$2&amp;$AS$1&amp;"P"&amp;$A38))</f>
        <v>-9102</v>
      </c>
      <c r="BC38" s="15">
        <f>IF(RTD("tos.rtd",,BC$2,"."&amp;$A$2&amp;$AU$1&amp;"C"&amp;$A38)="N/A",0,RTD("tos.rtd",,BC$2,"."&amp;$A$2&amp;$AU$1&amp;"C"&amp;$A38))</f>
        <v>100</v>
      </c>
      <c r="BD38" s="36">
        <f>-IF(RTD("tos.rtd",,BD$2,"."&amp;$A$2&amp;$AU$1&amp;"P"&amp;$A38)="N/A",0,RTD("tos.rtd",,BD$2,"."&amp;$A$2&amp;$AU$1&amp;"P"&amp;$A38))</f>
        <v>-1960</v>
      </c>
      <c r="BE38" s="15">
        <f>IF(RTD("tos.rtd",,BE$2,"."&amp;$A$2&amp;$AW$1&amp;"C"&amp;$A38)="N/A",0,RTD("tos.rtd",,BE$2,"."&amp;$A$2&amp;$AW$1&amp;"C"&amp;$A38))</f>
        <v>306</v>
      </c>
      <c r="BF38" s="16">
        <f>-IF(RTD("tos.rtd",,BF$2,"."&amp;$A$2&amp;$AW$1&amp;"P"&amp;$A38)="N/A",0,RTD("tos.rtd",,BF$2,"."&amp;$A$2&amp;$AW$1&amp;"P"&amp;$A38))</f>
        <v>-1038</v>
      </c>
      <c r="BG38" s="32" t="e">
        <f ca="1">+Hoja2!Y39</f>
        <v>#N/A</v>
      </c>
      <c r="BH38" s="36" t="e">
        <f t="shared" ca="1" si="36"/>
        <v>#N/A</v>
      </c>
      <c r="BI38" s="8" t="e">
        <f t="shared" ref="BI38" ca="1" si="199">IF(AND(BH38&lt;0,BH37&gt;0), "Cruce -", IF(AND(BH38&gt;0,BH37&lt;0),"Cruce +", ""))</f>
        <v>#N/A</v>
      </c>
      <c r="BJ38" s="3" t="e">
        <f ca="1">IF($BP$1=1,DX38,IF(RTD("tos.rtd",,BJ$2,"."&amp;$A$2&amp;$AS$1&amp;"C"&amp;$A38)="N/A",0,RTD("tos.rtd",,BJ$2,"."&amp;$A$2&amp;$AS$1&amp;"C"&amp;$A38)))</f>
        <v>#NUM!</v>
      </c>
      <c r="BK38" s="3" t="e">
        <f ca="1">IF($BP$1=1,DY38,-IF(RTD("tos.rtd",,BK$2,"."&amp;$A$2&amp;$AS$1&amp;"P"&amp;$A38)="N/A",0,RTD("tos.rtd",,BK$2,"."&amp;$A$2&amp;$AS$1&amp;"P"&amp;$A38)))</f>
        <v>#NUM!</v>
      </c>
      <c r="BL38" s="3">
        <f ca="1">IF($BP$1=1,DZ38,IF(RTD("tos.rtd",,BL$2,"."&amp;$A$2&amp;$AU$1&amp;"C"&amp;$A38)="N/A",0,RTD("tos.rtd",,BL$2,"."&amp;$A$2&amp;$AU$1&amp;"C"&amp;$A38)))</f>
        <v>1.1843901013626264E-2</v>
      </c>
      <c r="BM38" s="3">
        <f ca="1">IF($BP$1=1,EA38,-IF(RTD("tos.rtd",,BM$2,"."&amp;$A$2&amp;$AU$1&amp;"P"&amp;$A38)="N/A",0,RTD("tos.rtd",,BM$2,"."&amp;$A$2&amp;$AU$1&amp;"P"&amp;$A38)))</f>
        <v>-1.1838106419648897E-2</v>
      </c>
      <c r="BN38" s="3">
        <f ca="1">IF($BP$1=1,EB38,IF(RTD("tos.rtd",,BN$2,"."&amp;$A$2&amp;$AW$1&amp;"C"&amp;$A38)="N/A",0,RTD("tos.rtd",,BN$2,"."&amp;$A$2&amp;$AW$1&amp;"C"&amp;$A38)))</f>
        <v>1.1853475206779341E-2</v>
      </c>
      <c r="BO38" s="3">
        <f ca="1">IF($BP$1=1,EC38,-IF(RTD("tos.rtd",,BO$2,"."&amp;$A$2&amp;$AW$1&amp;"P"&amp;$A38)="N/A",0,RTD("tos.rtd",,BO$2,"."&amp;$A$2&amp;$AW$1&amp;"P"&amp;$A38)))</f>
        <v>-1.1873979105985847E-2</v>
      </c>
      <c r="BQ38" s="3" t="e">
        <f t="shared" ca="1" si="37"/>
        <v>#NUM!</v>
      </c>
      <c r="BR38" s="3" t="e">
        <f t="shared" ca="1" si="68"/>
        <v>#NUM!</v>
      </c>
      <c r="BS38" s="3">
        <f t="shared" ca="1" si="38"/>
        <v>-1645810.76577876</v>
      </c>
      <c r="BT38" s="3" t="str">
        <f t="shared" ca="1" si="68"/>
        <v/>
      </c>
      <c r="BU38" s="3">
        <f t="shared" ca="1" si="39"/>
        <v>7428127.454318542</v>
      </c>
      <c r="BV38" s="3" t="str">
        <f t="shared" ref="BV38" ca="1" si="200">IF(AND(BU38&lt;0,BU37&gt;0), "Cruce -", IF(AND(BU38&gt;0,BU37&lt;0),"Cruce +", ""))</f>
        <v/>
      </c>
      <c r="BX38" s="3" t="e">
        <f t="shared" ca="1" si="40"/>
        <v>#NUM!</v>
      </c>
      <c r="BY38" s="3" t="e">
        <f t="shared" ca="1" si="70"/>
        <v>#NUM!</v>
      </c>
      <c r="BZ38" s="3">
        <f t="shared" ca="1" si="41"/>
        <v>-7077891.7177083185</v>
      </c>
      <c r="CA38" s="3" t="str">
        <f t="shared" ca="1" si="71"/>
        <v/>
      </c>
      <c r="CB38" s="3">
        <f t="shared" ca="1" si="42"/>
        <v>-2796024.0706017767</v>
      </c>
      <c r="CC38" s="3" t="str">
        <f t="shared" ca="1" si="72"/>
        <v/>
      </c>
      <c r="CD38" s="3">
        <f>IF(RTD("tos.rtd",,CD$2,"."&amp;$A$2&amp;$AS$1&amp;"C"&amp;$A38)="N/A",0,RTD("tos.rtd",,CD$2,"."&amp;$A$2&amp;$AS$1&amp;"C"&amp;$A38))</f>
        <v>1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0.86</v>
      </c>
      <c r="CG38" s="3">
        <f>-IF(RTD("tos.rtd",,CG$2,"."&amp;$A$2&amp;$AU$1&amp;"P"&amp;$A38)="N/A",0,RTD("tos.rtd",,CG$2,"."&amp;$A$2&amp;$AU$1&amp;"P"&amp;$A38))</f>
        <v>0.14000000000000001</v>
      </c>
      <c r="CH38" s="3">
        <f>IF(RTD("tos.rtd",,CH$2,"."&amp;$A$2&amp;$AW$1&amp;"C"&amp;$A38)="N/A",0,RTD("tos.rtd",,CH$2,"."&amp;$A$2&amp;$AW$1&amp;"C"&amp;$A38))</f>
        <v>0.78</v>
      </c>
      <c r="CI38" s="3">
        <f>-IF(RTD("tos.rtd",,CI$2,"."&amp;$A$2&amp;$AW$1&amp;"P"&amp;$A38)="N/A",0,RTD("tos.rtd",,CI$2,"."&amp;$A$2&amp;$AW$1&amp;"P"&amp;$A38))</f>
        <v>0.21</v>
      </c>
      <c r="CK38" s="3">
        <f t="shared" si="17"/>
        <v>196100</v>
      </c>
      <c r="CL38" s="3"/>
      <c r="CM38" s="3">
        <f t="shared" si="18"/>
        <v>68746</v>
      </c>
      <c r="CN38" s="3"/>
      <c r="CO38" s="3">
        <f t="shared" si="19"/>
        <v>368199</v>
      </c>
      <c r="CP38" s="3">
        <f t="shared" si="43"/>
        <v>633045</v>
      </c>
      <c r="CQ38" s="3">
        <f t="shared" si="44"/>
        <v>-8275</v>
      </c>
      <c r="CR38" s="3"/>
      <c r="CS38" s="3">
        <f t="shared" si="20"/>
        <v>-1860</v>
      </c>
      <c r="CT38" s="3"/>
      <c r="CU38" s="3">
        <f t="shared" si="21"/>
        <v>-732</v>
      </c>
      <c r="CV38" s="3">
        <f t="shared" si="45"/>
        <v>-10867</v>
      </c>
      <c r="CW38" s="3" t="e">
        <f t="shared" ca="1" si="46"/>
        <v>#NUM!</v>
      </c>
      <c r="CX38" s="85" t="e">
        <f t="shared" ca="1" si="73"/>
        <v>#NUM!</v>
      </c>
      <c r="CY38" s="3" t="e">
        <f t="shared" ca="1" si="47"/>
        <v>#NUM!</v>
      </c>
      <c r="CZ38" s="85" t="e">
        <f t="shared" ca="1" si="74"/>
        <v>#NUM!</v>
      </c>
      <c r="DA38" s="3">
        <f>IF(RTD("tos.rtd",,DA$2,"."&amp;$A$2&amp;$AS$1&amp;"C"&amp;$A38)="N/A",0,RTD("tos.rtd",,DA$2,"."&amp;$A$2&amp;$AS$1&amp;"C"&amp;$A38))</f>
        <v>18.899999999999999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19.079999999999998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18.850000000000001</v>
      </c>
      <c r="DF38" s="3">
        <f>IF(RTD("tos.rtd",,DF$2,"."&amp;$A$2&amp;$AS$1&amp;"P"&amp;$A38)="N/A",0,RTD("tos.rtd",,DF$2,"."&amp;$A$2&amp;$AS$1&amp;"P"&amp;$A38))</f>
        <v>0</v>
      </c>
      <c r="DG38" s="86">
        <f t="shared" si="48"/>
        <v>-18.970000000000027</v>
      </c>
      <c r="DH38" s="3">
        <f t="shared" si="22"/>
        <v>0</v>
      </c>
      <c r="DI38" s="3">
        <f t="shared" si="49"/>
        <v>-1</v>
      </c>
      <c r="DJ38" s="3">
        <f t="shared" si="50"/>
        <v>0</v>
      </c>
      <c r="DK38" s="3">
        <f t="shared" si="51"/>
        <v>-1</v>
      </c>
      <c r="DL38" s="3">
        <f t="shared" si="52"/>
        <v>-1</v>
      </c>
      <c r="DM38" s="3">
        <f t="shared" si="53"/>
        <v>-1</v>
      </c>
      <c r="DN38" s="63" t="str">
        <f t="shared" si="54"/>
        <v>UNKNOWN</v>
      </c>
      <c r="DO38" s="63" t="str">
        <f t="shared" si="55"/>
        <v>BUY</v>
      </c>
      <c r="DP38" s="3">
        <f t="shared" si="56"/>
        <v>-0.01</v>
      </c>
      <c r="DQ38" s="3">
        <f t="shared" si="57"/>
        <v>-0.01</v>
      </c>
      <c r="DR38" s="3" t="e">
        <f t="shared" ca="1" si="58"/>
        <v>#NUM!</v>
      </c>
      <c r="DS38" s="3">
        <f t="shared" si="59"/>
        <v>0</v>
      </c>
      <c r="DT38" s="3">
        <f t="shared" si="60"/>
        <v>0</v>
      </c>
      <c r="DU38" s="3">
        <f t="shared" si="61"/>
        <v>-1</v>
      </c>
      <c r="DV38" s="3">
        <f t="shared" si="62"/>
        <v>-457</v>
      </c>
      <c r="DW38" s="3">
        <f t="shared" si="23"/>
        <v>-122</v>
      </c>
      <c r="DX38" s="3" t="e">
        <f t="shared" ca="1" si="24"/>
        <v>#NUM!</v>
      </c>
      <c r="DY38" s="3" t="e">
        <f t="shared" ca="1" si="25"/>
        <v>#NUM!</v>
      </c>
      <c r="DZ38" s="3">
        <f t="shared" ca="1" si="26"/>
        <v>1.1843901013626264E-2</v>
      </c>
      <c r="EA38" s="3">
        <f t="shared" ca="1" si="27"/>
        <v>-1.1838106419648897E-2</v>
      </c>
      <c r="EB38" s="3">
        <f t="shared" ca="1" si="28"/>
        <v>1.1853475206779341E-2</v>
      </c>
      <c r="EC38" s="3">
        <f t="shared" ca="1" si="29"/>
        <v>-1.1873979105985847E-2</v>
      </c>
      <c r="EE38" s="59">
        <f t="shared" si="63"/>
        <v>0.25</v>
      </c>
      <c r="EF38" s="59">
        <f t="shared" si="30"/>
        <v>1.6046</v>
      </c>
      <c r="EG38" s="59">
        <f t="shared" si="31"/>
        <v>0.23669999999999999</v>
      </c>
      <c r="EH38" s="59">
        <f t="shared" si="32"/>
        <v>0.2374</v>
      </c>
      <c r="EI38" s="59">
        <f t="shared" si="33"/>
        <v>0.23549999999999999</v>
      </c>
      <c r="EJ38" s="59">
        <f t="shared" si="34"/>
        <v>0.23269999999999999</v>
      </c>
      <c r="EL38" s="3" t="str">
        <f>RTD("tos.rtd",,EL$2,"."&amp;$A$2&amp;$AS$1&amp;"C"&amp;$A38)</f>
        <v>--</v>
      </c>
      <c r="EM38" s="3" t="str">
        <f>RTD("tos.rtd",,EM$2,"."&amp;$A$2&amp;$AS$1&amp;"P"&amp;$A38)</f>
        <v>160.46%</v>
      </c>
      <c r="EN38" s="3" t="str">
        <f>RTD("tos.rtd",,EN$2,"."&amp;$A$2&amp;$AU$1&amp;"C"&amp;$A38)</f>
        <v>23.67%</v>
      </c>
      <c r="EO38" s="3" t="str">
        <f>RTD("tos.rtd",,EO$2,"."&amp;$A$2&amp;$AU$1&amp;"P"&amp;$A38)</f>
        <v>23.74%</v>
      </c>
      <c r="EP38" s="3" t="str">
        <f>RTD("tos.rtd",,EP$2,"."&amp;$A$2&amp;$AW$1&amp;"C"&amp;$A38)</f>
        <v>23.55%</v>
      </c>
      <c r="EQ38" s="3" t="str">
        <f>RTD("tos.rtd",,EQ$2,"."&amp;$A$2&amp;$AW$1&amp;"P"&amp;$A38)</f>
        <v>23.27%</v>
      </c>
      <c r="ET38" s="63" t="str">
        <f t="shared" ca="1" si="64"/>
        <v>548,00.00</v>
      </c>
      <c r="EU38" s="67">
        <v>560.49</v>
      </c>
      <c r="EV38" s="67" t="s">
        <v>323</v>
      </c>
      <c r="EW38" s="67">
        <v>482.42</v>
      </c>
      <c r="EX38" s="67" t="s">
        <v>324</v>
      </c>
      <c r="EY38" s="67">
        <v>5620.5</v>
      </c>
      <c r="EZ38" s="67" t="s">
        <v>325</v>
      </c>
      <c r="FA38" s="67">
        <v>19821</v>
      </c>
      <c r="FB38" s="67" t="s">
        <v>326</v>
      </c>
      <c r="FC38" s="67" t="s">
        <v>327</v>
      </c>
      <c r="FD38" s="67" t="s">
        <v>328</v>
      </c>
      <c r="FE38" s="67" t="s">
        <v>329</v>
      </c>
      <c r="FF38" s="67" t="s">
        <v>330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 t="e">
        <f ca="1">MIN(BH4:BH38)</f>
        <v>#N/A</v>
      </c>
      <c r="BI39" s="1" t="str">
        <f ca="1">IFERROR(IF(MIN(BH4:BH38)&lt;&gt;0,INDEX(A4:A38,MATCH(MIN(BH4:BH38),BH4:BH38,0)),""),"")</f>
        <v/>
      </c>
      <c r="BJ39" s="23"/>
      <c r="BK39" s="23"/>
      <c r="BL39" s="23"/>
      <c r="BM39" s="23"/>
      <c r="BN39" s="23"/>
      <c r="BO39" s="23"/>
      <c r="BP39" s="64" t="e">
        <f ca="1">INDEX(BQ39:BU39,MATCH(MAX(BQ3:BU3),BQ3:BU3,0))</f>
        <v>#NUM!</v>
      </c>
      <c r="BQ39" s="23" t="e">
        <f ca="1">IF(AND(BQ3&gt;0,ABS(MAX(BQ4:BQ38))&gt;ABS(MIN(BQ4:BQ38))),IF(MAX(BQ4:BQ38)&lt;&gt;0,INDEX($A4:$A38,MATCH(MAX(BQ4:BQ38),BQ4:BQ38,0)),""),"")</f>
        <v>#NUM!</v>
      </c>
      <c r="BR39" s="23"/>
      <c r="BS39" s="23">
        <f ca="1">IF(AND(BS3&gt;0,ABS(MAX(BS4:BS38))&gt;ABS(MIN(BS4:BS38))),IF(MAX(BS4:BS38)&lt;&gt;0,INDEX($A4:$A38,MATCH(MAX(BS4:BS38),BS4:BS38,0)),""),"")</f>
        <v>570</v>
      </c>
      <c r="BT39" s="23"/>
      <c r="BU39" s="23">
        <f ca="1">IF(AND(BU3&gt;0,ABS(MAX(BU4:BU38))&gt;ABS(MIN(BU4:BU38))),IF(MAX(BU4:BU38)&lt;&gt;0,INDEX($A4:$A38,MATCH(MAX(BU4:BU38),BU4:BU38,0)),""),"")</f>
        <v>575</v>
      </c>
      <c r="BV39" s="23"/>
      <c r="BW39" s="64" t="e">
        <f ca="1">INDEX(BX39:CB39,MATCH(MAX(BX3:CB3),BX3:CB3,0))</f>
        <v>#NUM!</v>
      </c>
      <c r="BX39" s="23" t="e">
        <f ca="1">IF(AND(BX3&gt;0,ABS(MAX(BX4:BX38))&gt;ABS(MIN(BX4:BX38))),IF(MAX(BX4:BX38)&lt;&gt;0,INDEX($A4:$A38,MATCH(MAX(BX4:BX38),BX4:BX38,0)),""),"")</f>
        <v>#NUM!</v>
      </c>
      <c r="BY39" s="23" t="e">
        <f ca="1">INDEX($A$4:$A$38,1+MATCH("Cruce -",BY4:BY38,))</f>
        <v>#N/A</v>
      </c>
      <c r="BZ39" s="23" t="str">
        <f ca="1">IF(AND(BZ3&gt;0,ABS(MAX(BZ4:BZ38))&gt;ABS(MIN(BZ4:BZ38))),IF(MAX(BZ4:BZ38)&lt;&gt;0,INDEX($A4:$A38,MATCH(MAX(BZ4:BZ38),BZ4:BZ38,0)),""),"")</f>
        <v/>
      </c>
      <c r="CA39" s="23">
        <f ca="1">INDEX($A$4:$A$38,1+MATCH("Cruce -",CA4:CA38,))</f>
        <v>565</v>
      </c>
      <c r="CB39" s="23" t="str">
        <f ca="1">IF(AND(CB3&gt;0,ABS(MAX(CB4:CB38))&gt;ABS(MIN(CB4:CB38))),IF(MAX(CB4:CB38)&lt;&gt;0,INDEX($A4:$A38,MATCH(MAX(CB4:CB38),CB4:CB38,0)),""),"")</f>
        <v/>
      </c>
      <c r="CC39" s="23"/>
      <c r="CD39" s="23"/>
      <c r="CE39" s="23"/>
      <c r="CF39" s="23"/>
      <c r="CG39" s="23"/>
      <c r="CH39" s="23"/>
      <c r="CI39" s="23"/>
      <c r="CJ39" s="64">
        <f>IFERROR(INDEX(CK39:CO39,MATCH(MAX(CK3:CO3),CK3:CO3,0)),"")</f>
        <v>565</v>
      </c>
      <c r="CK39" s="23">
        <f>IF(AND(CK3&gt;0,ABS(MAX(CK4:CK38))&gt;ABS(MIN(CK4:CK38))),IF(MAX(CK4:CK38)&lt;&gt;0,INDEX($A4:$A38,MATCH(MAX(CK4:CK38),CK4:CK38,0)),""),"")</f>
        <v>565</v>
      </c>
      <c r="CL39" s="23"/>
      <c r="CM39" s="23">
        <f>IF(AND(CM3&gt;0,ABS(MAX(CM4:CM38))&gt;ABS(MIN(CM4:CM38))),IF(MAX(CM4:CM38)&lt;&gt;0,INDEX($A4:$A38,MATCH(MAX(CM4:CM38),CM4:CM38,0)),""),"")</f>
        <v>555</v>
      </c>
      <c r="CN39" s="23"/>
      <c r="CO39" s="23">
        <f>IF(AND(CO3&gt;0,ABS(MAX(CO4:CO38))&gt;ABS(MIN(CO4:CO38))),IF(MAX(CO4:CO38)&lt;&gt;0,INDEX($A4:$A38,MATCH(MAX(CO4:CO38),CO4:CO38,0)),""),"")</f>
        <v>575</v>
      </c>
      <c r="CP39" s="23">
        <f>IF(ABS(MAX(CP4:CP38))&gt;ABS(MIN(CP4:CP38)),IF(MAX(CP4:CP38)&lt;&gt;0,INDEX($A4:$A38,MATCH(MAX(CP4:CP38),CP4:CP38,0)),""),"")</f>
        <v>575</v>
      </c>
      <c r="CQ39" s="23"/>
      <c r="CR39" s="23"/>
      <c r="CS39" s="23"/>
      <c r="CT39" s="23"/>
      <c r="CU39" s="23"/>
      <c r="CV39" s="23"/>
      <c r="CW39" s="23" t="e">
        <f ca="1">IF(AND(CW3&gt;0,ABS(MAX(CW4:CW38))&gt;ABS(MIN(CW4:CW38))),IF(MAX(CW4:CW38)&lt;&gt;0,INDEX($A4:$A38,MATCH(MAX(CW4:CW38),CW4:CW38,0)),""),"")</f>
        <v>#NUM!</v>
      </c>
      <c r="CY39" s="23" t="e">
        <f ca="1">IF(AND(CY3&gt;0,ABS(MAX(CY4:CY38))&gt;ABS(MIN(CY4:CY38))),IF(MAX(CY4:CY38)&lt;&gt;0,INDEX($A4:$A38,MATCH(MAX(CY4:CY38),CY4:CY38,0)),""),"")</f>
        <v>#NUM!</v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 t="str">
        <f t="shared" ref="DH39:DM39" si="201">IF(AND(DH3&gt;0,ABS(MAX(DH4:DH38))&gt;ABS(MIN(DH4:DH38))),IF(MAX(DH4:DH38)&lt;&gt;0,INDEX($A4:$A38,MATCH(MAX(DH4:DH38),DH4:DH38,0)),""),"")</f>
        <v/>
      </c>
      <c r="DI39" s="23" t="str">
        <f t="shared" si="201"/>
        <v/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 t="str">
        <f>IFERROR(IF(AND(ABS(MAX(DK4:DK38))&gt;$DG$2,ABS(INDEX($DG$4:$DG$38,MATCH(MAX(DK4:DK38),DK4:DK38,0)))&lt;0.5,1),IF(MAX(DK4:DK38)&lt;&gt;0,INDEX($A4:$A38,MATCH(MAX(DK4:DK38),DK4:DK38,0)),""),""),"")</f>
        <v/>
      </c>
      <c r="DL39" s="23" t="str">
        <f t="shared" si="201"/>
        <v/>
      </c>
      <c r="DM39" s="23" t="str">
        <f t="shared" si="201"/>
        <v/>
      </c>
      <c r="DN39" s="64" t="str">
        <f>DJ39&amp;","&amp;DJ40&amp;","&amp;DK39&amp;","&amp;DK40</f>
        <v>,,,</v>
      </c>
      <c r="DP39" s="23" t="str">
        <f t="shared" ref="DP39:DS39" si="202">IF(AND(DP3&gt;0,ABS(MAX(DP4:DP38))&gt;ABS(MIN(DP4:DP38))),IF(MAX(DP4:DP38)&lt;&gt;0,INDEX($A4:$A38,MATCH(MAX(DP4:DP38),DP4:DP38,0)),""),"")</f>
        <v/>
      </c>
      <c r="DQ39" s="23" t="str">
        <f t="shared" si="202"/>
        <v/>
      </c>
      <c r="DR39" s="23" t="e">
        <f t="shared" ca="1" si="202"/>
        <v>#NUM!</v>
      </c>
      <c r="DS39" s="23" t="str">
        <f t="shared" si="202"/>
        <v/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560.54999999999995</v>
      </c>
      <c r="EV39" s="67" t="s">
        <v>331</v>
      </c>
      <c r="EW39" s="67">
        <v>482.42</v>
      </c>
      <c r="EX39" s="67" t="s">
        <v>332</v>
      </c>
      <c r="EY39" s="67">
        <v>5620.25</v>
      </c>
      <c r="EZ39" s="67" t="s">
        <v>333</v>
      </c>
      <c r="FA39" s="67">
        <v>19822.25</v>
      </c>
      <c r="FB39" s="67" t="s">
        <v>334</v>
      </c>
      <c r="FC39" s="67" t="s">
        <v>335</v>
      </c>
      <c r="FD39" s="67" t="s">
        <v>336</v>
      </c>
      <c r="FE39" s="68" t="s">
        <v>337</v>
      </c>
      <c r="FF39" s="68" t="s">
        <v>338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 t="e">
        <f ca="1">INDEX(BQ40:BU40,MATCH(MIN(BQ3:BU3),BQ3:BU3,0))</f>
        <v>#NUM!</v>
      </c>
      <c r="BQ40" s="1" t="e">
        <f ca="1">IF(AND(BQ3&lt;0,ABS(MIN(BQ4:BQ38))&gt;ABS(MAX(BQ4:BQ38))),IF(MIN(BQ4:BQ38)&lt;&gt;0,INDEX($A4:$A38,MATCH(MIN(BQ4:BQ38),BQ4:BQ38,0)),""),"")</f>
        <v>#NUM!</v>
      </c>
      <c r="BS40" s="1" t="str">
        <f ca="1">IF(AND(BS3&lt;0,ABS(MIN(BS4:BS38))&gt;ABS(MAX(BS4:BS38))),IF(MIN(BS4:BS38)&lt;&gt;0,INDEX($A4:$A38,MATCH(MIN(BS4:BS38),BS4:BS38,0)),""),"")</f>
        <v/>
      </c>
      <c r="BU40" s="1" t="str">
        <f ca="1">IF(AND(BU3&lt;0,ABS(MIN(BU4:BU38))&gt;ABS(MAX(BU4:BU38))),IF(MIN(BU4:BU38)&lt;&gt;0,INDEX($A4:$A38,MATCH(MIN(BU4:BU38),BU4:BU38,0)),""),"")</f>
        <v/>
      </c>
      <c r="BW40" s="64" t="e">
        <f ca="1">INDEX(BX40:CB40,MATCH(MIN(BX3:CB3),BX3:CB3,0))</f>
        <v>#NUM!</v>
      </c>
      <c r="BX40" s="1" t="e">
        <f ca="1">IF(AND(BX3&lt;0,ABS(MIN(BX4:BX38))&gt;ABS(MAX(BX4:BX38))),IF(MIN(BX4:BX38)&lt;&gt;0,INDEX($A4:$A38,MATCH(MIN(BX4:BX38),BX4:BX38,0)),""),"")</f>
        <v>#NUM!</v>
      </c>
      <c r="BY40" s="1" t="e">
        <f ca="1">INDEX($A$4:$A$38,1+MATCH("Cruce -",BY4:BY38,)-1)</f>
        <v>#N/A</v>
      </c>
      <c r="BZ40" s="1">
        <f ca="1">IF(AND(BZ3&lt;0,ABS(MIN(BZ4:BZ38))&gt;ABS(MAX(BZ4:BZ38))),IF(MIN(BZ4:BZ38)&lt;&gt;0,INDEX($A4:$A38,MATCH(MIN(BZ4:BZ38),BZ4:BZ38,0)),""),"")</f>
        <v>560</v>
      </c>
      <c r="CA40" s="1">
        <f ca="1">INDEX($A$4:$A$38,1+MATCH("Cruce -",CA4:CA38,)-1)</f>
        <v>566</v>
      </c>
      <c r="CB40" s="1">
        <f ca="1">IF(AND(CB3&lt;0,ABS(MIN(CB4:CB38))&gt;ABS(MAX(CB4:CB38))),IF(MIN(CB4:CB38)&lt;&gt;0,INDEX($A4:$A38,MATCH(MIN(CB4:CB38),CB4:CB38,0)),""),"")</f>
        <v>560</v>
      </c>
      <c r="CJ40" s="64" t="str">
        <f>IFERROR(INDEX(CK40:CO40,MATCH(MIN(CK3:CO3),CK3:CO3,0)),"")</f>
        <v/>
      </c>
      <c r="CK40" s="1" t="str">
        <f>IF(AND(CK3&lt;0,ABS(MIN(CK4:CK38))&gt;ABS(MAX(CK4:CK38))),IF(MIN(CK4:CK38)&lt;&gt;0,INDEX($A4:$A38,MATCH(MIN(CK4:CK38),CK4:CK38,0)),""),"")</f>
        <v/>
      </c>
      <c r="CM40" s="1" t="str">
        <f>IF(AND(CM3&lt;0,ABS(MIN(CM4:CM38))&gt;ABS(MAX(CM4:CM38))),IF(MIN(CM4:CM38)&lt;&gt;0,INDEX($A4:$A38,MATCH(MIN(CM4:CM38),CM4:CM38,0)),""),"")</f>
        <v/>
      </c>
      <c r="CO40" s="1" t="str">
        <f>IF(AND(CO3&lt;0,ABS(MIN(CO4:CO38))&gt;ABS(MAX(CO4:CO38))),IF(MIN(CO4:CO38)&lt;&gt;0,INDEX($A4:$A38,MATCH(MIN(CO4:CO38),CO4:CO38,0)),""),"")</f>
        <v/>
      </c>
      <c r="CP40" s="1" t="str">
        <f>IF(ABS(MIN(CP4:CP38))&gt;ABS(MAX(CP4:CP38)),IF(MIN(CP4:CP38)&lt;&gt;0,INDEX($A4:$A38,MATCH(MIN(CP4:CP38),CP4:CP38,0)),""),"")</f>
        <v/>
      </c>
      <c r="CW40" s="1" t="e">
        <f ca="1">IF(AND(CW3&lt;0,ABS(MIN(CW4:CW38))&gt;ABS(MAX(CW4:CW38))),IF(MIN(CW4:CW38)&lt;&gt;0,INDEX($A4:$A38,MATCH(MIN(CW4:CW38),CW4:CW38,0)),""),"")</f>
        <v>#NUM!</v>
      </c>
      <c r="CY40" s="1" t="e">
        <f ca="1">IF(AND(CY3&lt;0,ABS(MIN(CY4:CY38))&gt;ABS(MAX(CY4:CY38))),IF(MIN(CY4:CY38)&lt;&gt;0,INDEX($A4:$A38,MATCH(MIN(CY4:CY38),CY4:CY38,0)),""),"")</f>
        <v>#NUM!</v>
      </c>
      <c r="DG40" s="72" t="s">
        <v>23</v>
      </c>
      <c r="DH40" s="23" t="str">
        <f t="shared" ref="DH40:DM40" si="203">IF(AND(DH3&lt;0,ABS(MIN(DH4:DH38))&gt;ABS(MAX(DH4:DH38))),IF(MIN(DH4:DH38)&lt;&gt;0,INDEX($A4:$A38,MATCH(MIN(DH4:DH38),DH4:DH38,0)),""),"")</f>
        <v/>
      </c>
      <c r="DI40" s="23">
        <f t="shared" si="203"/>
        <v>549</v>
      </c>
      <c r="DJ40" s="89" t="str">
        <f>IFERROR(IF(AND(ABS(MIN(DJ4:DJ38))&gt;$DG$2,ABS(INDEX($DG$4:$DG$38,MATCH(MIN(DJ4:DJ38),DJ4:DJ38,0)))&lt;0.5,1),IF(MIN(DJ4:DJ38)&lt;&gt;0,INDEX($A4:$A38,MATCH(MIN(DJ4:DJ38),DJ4:DJ38,0)),""),""),"")</f>
        <v/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>
        <f t="shared" si="203"/>
        <v>567</v>
      </c>
      <c r="DM40" s="23" t="str">
        <f t="shared" si="203"/>
        <v/>
      </c>
      <c r="DN40" s="64" t="str">
        <f ca="1">BI1&amp;","&amp;BI39</f>
        <v>,</v>
      </c>
      <c r="DP40" s="23" t="str">
        <f t="shared" ref="DP40:DS40" si="204">IF(AND(DP3&lt;0,ABS(MIN(DP4:DP38))&gt;ABS(MAX(DP4:DP38))),IF(MIN(DP4:DP38)&lt;&gt;0,INDEX($A4:$A38,MATCH(MIN(DP4:DP38),DP4:DP38,0)),""),"")</f>
        <v/>
      </c>
      <c r="DQ40" s="23" t="str">
        <f t="shared" si="204"/>
        <v/>
      </c>
      <c r="DR40" s="23" t="e">
        <f t="shared" ca="1" si="204"/>
        <v>#NUM!</v>
      </c>
      <c r="DS40" s="23">
        <f t="shared" si="204"/>
        <v>567</v>
      </c>
      <c r="EU40" s="67">
        <v>560.58000000000004</v>
      </c>
      <c r="EV40" s="67" t="s">
        <v>339</v>
      </c>
      <c r="EW40" s="67">
        <v>482.53</v>
      </c>
      <c r="EX40" s="67" t="s">
        <v>340</v>
      </c>
      <c r="EY40" s="67">
        <v>5621</v>
      </c>
      <c r="EZ40" s="67" t="s">
        <v>341</v>
      </c>
      <c r="FA40" s="67">
        <v>19826.25</v>
      </c>
      <c r="FB40" s="67" t="s">
        <v>342</v>
      </c>
      <c r="FC40" s="67" t="s">
        <v>343</v>
      </c>
      <c r="FD40" s="67" t="s">
        <v>344</v>
      </c>
      <c r="FE40" s="68" t="s">
        <v>345</v>
      </c>
      <c r="FF40" s="68" t="s">
        <v>346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560.45000000000005</v>
      </c>
      <c r="EV41" s="67" t="s">
        <v>347</v>
      </c>
      <c r="EW41" s="67">
        <v>482.37</v>
      </c>
      <c r="EX41" s="67" t="s">
        <v>348</v>
      </c>
      <c r="EY41" s="67">
        <v>5619.5</v>
      </c>
      <c r="EZ41" s="67" t="s">
        <v>349</v>
      </c>
      <c r="FA41" s="67">
        <v>19821</v>
      </c>
      <c r="FB41" s="67" t="s">
        <v>350</v>
      </c>
      <c r="FC41" s="67" t="s">
        <v>351</v>
      </c>
      <c r="FD41" s="67" t="s">
        <v>352</v>
      </c>
      <c r="FE41" s="68" t="s">
        <v>353</v>
      </c>
      <c r="FF41" s="68" t="s">
        <v>354</v>
      </c>
    </row>
    <row r="42" spans="1:162" ht="13.5" thickBot="1" x14ac:dyDescent="0.25">
      <c r="A42" s="40"/>
      <c r="B42" s="43">
        <v>45779</v>
      </c>
      <c r="C42" s="44">
        <f>+B42+7</f>
        <v>45786</v>
      </c>
      <c r="D42" s="44">
        <v>45793</v>
      </c>
      <c r="E42" s="40"/>
      <c r="F42" s="40">
        <f>+[2]Sheet1!$AD$2</f>
        <v>469.81373794456613</v>
      </c>
      <c r="G42" s="41"/>
      <c r="AP42" s="1">
        <v>250502</v>
      </c>
      <c r="AQ42" s="1">
        <v>0</v>
      </c>
      <c r="AS42" s="22" t="str">
        <f>+B43</f>
        <v>250502</v>
      </c>
      <c r="AT42" s="22"/>
      <c r="AU42" s="22" t="str">
        <f>+C43</f>
        <v>250509</v>
      </c>
      <c r="AV42" s="22"/>
      <c r="AW42" s="22" t="str">
        <f>+D43</f>
        <v>250516</v>
      </c>
      <c r="AX42" s="22"/>
      <c r="BA42" s="22" t="str">
        <f>+AS42</f>
        <v>250502</v>
      </c>
      <c r="BB42" s="22">
        <f t="shared" ref="BB42" si="205">+AT42</f>
        <v>0</v>
      </c>
      <c r="BC42" s="22" t="str">
        <f t="shared" ref="BC42" si="206">+AU42</f>
        <v>250509</v>
      </c>
      <c r="BD42" s="22">
        <f t="shared" ref="BD42" si="207">+AV42</f>
        <v>0</v>
      </c>
      <c r="BE42" s="22" t="str">
        <f t="shared" ref="BE42" si="208">+AW42</f>
        <v>250516</v>
      </c>
      <c r="BF42" s="22">
        <f t="shared" ref="BF42" si="209">+AX42</f>
        <v>0</v>
      </c>
      <c r="BG42" s="96"/>
      <c r="BH42" s="1" t="e">
        <f ca="1">MAX(BH45:BH79)</f>
        <v>#N/A</v>
      </c>
      <c r="BI42" s="1" t="str">
        <f ca="1">IFERROR(IF(MAX(BH45:BH79)&lt;&gt;0,INDEX(A45:A79,MATCH(MAX(BH45:BH79),BH45:BH79,0)),""),"")</f>
        <v/>
      </c>
      <c r="BJ42" s="22" t="str">
        <f>+AS42</f>
        <v>250502</v>
      </c>
      <c r="BK42" s="22">
        <f t="shared" ref="BK42" si="210">+AT42</f>
        <v>0</v>
      </c>
      <c r="BL42" s="22" t="str">
        <f t="shared" ref="BL42" si="211">+AU42</f>
        <v>250509</v>
      </c>
      <c r="BM42" s="22">
        <f t="shared" ref="BM42" si="212">+AV42</f>
        <v>0</v>
      </c>
      <c r="BN42" s="22" t="str">
        <f t="shared" ref="BN42" si="213">+AW42</f>
        <v>250516</v>
      </c>
      <c r="BO42" s="22">
        <f t="shared" ref="BO42" si="214">+AX42</f>
        <v>0</v>
      </c>
      <c r="BQ42" s="22" t="e">
        <f ca="1">IF(BR42&gt;BR43,IF(MAX(BQ45:BQ79)&lt;&gt;0,INDEX(A45:A79,MATCH(MAX(BQ45:BQ79),BQ45:BQ79,0)),A44),IF(MIN(BQ45:BQ79)&lt;&gt;0,INDEX(A45:A79,MATCH(MIN(BQ45:BQ79),BQ45:BQ79,0))))</f>
        <v>#NUM!</v>
      </c>
      <c r="BR42" s="22" t="e">
        <f ca="1">+MAX(BQ45:BQ79)</f>
        <v>#NUM!</v>
      </c>
      <c r="BS42" s="22">
        <f ca="1">IF(BT42&gt;BT43,IF(MAX(BS45:BS79)&lt;&gt;0,INDEX(A45:A79,MATCH(MAX(BS45:BS79),BS45:BS79,0)),A44),IF(MIN(BS45:BS79)&lt;&gt;0,INDEX(A45:A79,MATCH(MIN(BS45:BS79),BS45:BS79,0))))</f>
        <v>485</v>
      </c>
      <c r="BT42" s="22">
        <f ca="1">+MAX(BS45:BS79)</f>
        <v>61328787.688566491</v>
      </c>
      <c r="BU42" s="22">
        <f ca="1">IF(BV42&gt;BV43,IF(MAX(BU45:BU79)&lt;&gt;0,INDEX(A45:A79,MATCH(MAX(BU45:BU79),BU45:BU79,0)),A44),IF(MIN(BU45:BU79)&lt;&gt;0,INDEX(A45:A79,MATCH(MIN(BU45:BU79),BU45:BU79,0))))</f>
        <v>490</v>
      </c>
      <c r="BV42" s="22">
        <f ca="1">+MAX(BU45:BU79)</f>
        <v>288004160.41339433</v>
      </c>
      <c r="BX42" s="22" t="e">
        <f ca="1">IF(BY42&gt;BZ42,IF(MAX(BX45:BX79)&lt;&gt;0,INDEX(G45:G79,MATCH(MAX(BX45:BX79),BX45:BX79,0)),G44),IF(MIN(BX45:BX79)&lt;&gt;0,INDEX(G45:G79,MATCH(MIN(BX45:BX79),BX45:BX79,0))))</f>
        <v>#NUM!</v>
      </c>
      <c r="BY42" s="22" t="e">
        <f ca="1">+MAX(BX45:BX79)</f>
        <v>#NUM!</v>
      </c>
      <c r="BZ42" s="22" t="e">
        <f ca="1">ABS(+MIN(BX45:BX79))</f>
        <v>#NUM!</v>
      </c>
      <c r="CA42" s="22"/>
      <c r="CB42" s="22"/>
      <c r="CC42" s="22" t="e">
        <f ca="1">+AVERAGE(BY80:BY81,CA80:CA81,CC80:CC81)</f>
        <v>#N/A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1536000</v>
      </c>
      <c r="CM42" s="22">
        <f>ABS(+MIN(CK45:CK79))</f>
        <v>9405</v>
      </c>
      <c r="CN42" s="22"/>
      <c r="CO42" s="22"/>
      <c r="CP42" s="22"/>
      <c r="CQ42" s="22">
        <f>IF(CR42&gt;CS42,IF(MAX(CQ45:CQ79)&lt;&gt;0,INDEX(A45:A79,MATCH(MAX(CQ45:CQ79),CQ45:CQ79,0)),A44),IF(MIN(CQ45:CQ79)&lt;&gt;0,INDEX(A45:A79,MATCH(MIN(CQ45:CQ79),CQ45:CQ79,0))))</f>
        <v>491</v>
      </c>
      <c r="CR42" s="22">
        <f>+MAX(CQ45:CQ79)</f>
        <v>196916</v>
      </c>
      <c r="CS42" s="22">
        <f>ABS(+MIN(CQ45:CQ79))</f>
        <v>69394</v>
      </c>
      <c r="CT42" s="22"/>
      <c r="CU42" s="22"/>
      <c r="CV42" s="22"/>
      <c r="CW42" s="22" t="e">
        <f ca="1">IF(CX42&gt;CY42,IF(MAX(CW45:CW79)&lt;&gt;0,INDEX(A45:A79,MATCH(MAX(CW45:CW79),CW45:CW79,0)),M44),IF(MIN(CW45:CW79)&lt;&gt;0,INDEX(A45:A79,MATCH(MIN(CW45:CW79),CW45:CW79,0))))</f>
        <v>#NUM!</v>
      </c>
      <c r="CX42" s="61" t="e">
        <f ca="1">+MAX(CW45:CW79)</f>
        <v>#NUM!</v>
      </c>
      <c r="CY42" s="22" t="e">
        <f ca="1">ABS(+MIN(CW45:CW79))</f>
        <v>#NUM!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>+DA42</f>
        <v>0</v>
      </c>
      <c r="EF42" s="22">
        <f t="shared" ref="EF42" si="215">+DB42</f>
        <v>0</v>
      </c>
      <c r="EG42" s="22">
        <f t="shared" ref="EG42" si="216">+DC42</f>
        <v>0</v>
      </c>
      <c r="EH42" s="22">
        <f t="shared" ref="EH42" si="217">+DD42</f>
        <v>0</v>
      </c>
      <c r="EI42" s="22">
        <f t="shared" ref="EI42" si="218">+DE42</f>
        <v>0</v>
      </c>
      <c r="EJ42" s="22">
        <f t="shared" ref="EJ42" si="219">+DF42</f>
        <v>0</v>
      </c>
      <c r="EL42" s="22">
        <f>+DH42</f>
        <v>0</v>
      </c>
      <c r="EM42" s="22">
        <f t="shared" ref="EM42" si="220">+DI42</f>
        <v>0</v>
      </c>
      <c r="EN42" s="22">
        <f>+DJ42</f>
        <v>0</v>
      </c>
      <c r="EO42" s="22">
        <f t="shared" ref="EO42" si="221">+DK42</f>
        <v>0</v>
      </c>
      <c r="EP42" s="22">
        <f t="shared" ref="EP42" si="222">+DL42</f>
        <v>0</v>
      </c>
      <c r="EQ42" s="22">
        <f t="shared" ref="EQ42" si="223">+DM42</f>
        <v>0</v>
      </c>
      <c r="EU42" s="67">
        <v>560.38</v>
      </c>
      <c r="EV42" s="67" t="s">
        <v>355</v>
      </c>
      <c r="EW42" s="67">
        <v>482.32</v>
      </c>
      <c r="EX42" s="67" t="s">
        <v>356</v>
      </c>
      <c r="EY42" s="67">
        <v>5619.25</v>
      </c>
      <c r="EZ42" s="67" t="s">
        <v>357</v>
      </c>
      <c r="FA42" s="67">
        <v>19818.5</v>
      </c>
      <c r="FB42" s="67" t="s">
        <v>358</v>
      </c>
      <c r="FC42" s="67" t="s">
        <v>359</v>
      </c>
      <c r="FD42" s="67" t="s">
        <v>360</v>
      </c>
      <c r="FE42" s="68" t="s">
        <v>361</v>
      </c>
      <c r="FF42" s="68" t="s">
        <v>362</v>
      </c>
    </row>
    <row r="43" spans="1:162" ht="13.5" thickBot="1" x14ac:dyDescent="0.25">
      <c r="A43" s="45" t="s">
        <v>2</v>
      </c>
      <c r="B43" s="45" t="str">
        <f>+B$2</f>
        <v>250502</v>
      </c>
      <c r="C43" s="45" t="str">
        <f>+C2</f>
        <v>250509</v>
      </c>
      <c r="D43" s="45" t="str">
        <f>+D2</f>
        <v>250516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224">+BJ2</f>
        <v>GAMMA</v>
      </c>
      <c r="BK43" s="22" t="str">
        <f t="shared" si="224"/>
        <v>GAMMA</v>
      </c>
      <c r="BL43" s="22" t="str">
        <f t="shared" si="224"/>
        <v>GAMMA</v>
      </c>
      <c r="BM43" s="22" t="str">
        <f t="shared" si="224"/>
        <v>GAMMA</v>
      </c>
      <c r="BN43" s="22" t="str">
        <f t="shared" si="224"/>
        <v>GAMMA</v>
      </c>
      <c r="BO43" s="25" t="str">
        <f t="shared" si="224"/>
        <v>GAMMA</v>
      </c>
      <c r="BQ43" s="22" t="s">
        <v>11</v>
      </c>
      <c r="BR43" s="22" t="e">
        <f ca="1">ABS(+MIN(BQ45:BQ79))</f>
        <v>#NUM!</v>
      </c>
      <c r="BS43" s="22" t="s">
        <v>11</v>
      </c>
      <c r="BT43" s="22">
        <f ca="1">ABS(+MIN(BS45:BS79))</f>
        <v>14979119.22599842</v>
      </c>
      <c r="BU43" s="22" t="s">
        <v>11</v>
      </c>
      <c r="BV43" s="25">
        <f ca="1">ABS(+MIN(BU45:BU79))</f>
        <v>0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225">+CD2</f>
        <v>DELTA</v>
      </c>
      <c r="CE43" s="22" t="str">
        <f t="shared" si="225"/>
        <v>DELTA</v>
      </c>
      <c r="CF43" s="22" t="str">
        <f t="shared" si="225"/>
        <v>DELTA</v>
      </c>
      <c r="CG43" s="22" t="str">
        <f t="shared" si="225"/>
        <v>DELTA</v>
      </c>
      <c r="CH43" s="22" t="str">
        <f t="shared" si="225"/>
        <v>DELTA</v>
      </c>
      <c r="CI43" s="25" t="str">
        <f t="shared" si="225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226">+EE2</f>
        <v>IMPL_VOL</v>
      </c>
      <c r="EF43" s="22" t="str">
        <f t="shared" si="226"/>
        <v>IMPL_VOL</v>
      </c>
      <c r="EG43" s="22" t="str">
        <f t="shared" si="226"/>
        <v>IMPL_VOL</v>
      </c>
      <c r="EH43" s="22" t="str">
        <f t="shared" si="226"/>
        <v>IMPL_VOL</v>
      </c>
      <c r="EI43" s="22" t="str">
        <f t="shared" si="226"/>
        <v>IMPL_VOL</v>
      </c>
      <c r="EJ43" s="22" t="str">
        <f t="shared" si="226"/>
        <v>IMPL_VOL</v>
      </c>
      <c r="EL43" s="22" t="str">
        <f t="shared" ref="EL43:EQ43" si="227">+EL2</f>
        <v>IMPL_VOL</v>
      </c>
      <c r="EM43" s="22" t="str">
        <f t="shared" si="227"/>
        <v>IMPL_VOL</v>
      </c>
      <c r="EN43" s="22" t="str">
        <f t="shared" si="227"/>
        <v>IMPL_VOL</v>
      </c>
      <c r="EO43" s="22" t="str">
        <f t="shared" si="227"/>
        <v>IMPL_VOL</v>
      </c>
      <c r="EP43" s="22" t="str">
        <f t="shared" si="227"/>
        <v>IMPL_VOL</v>
      </c>
      <c r="EQ43" s="22" t="str">
        <f t="shared" si="227"/>
        <v>IMPL_VOL</v>
      </c>
      <c r="EU43" s="67">
        <v>560.30999999999995</v>
      </c>
      <c r="EV43" s="67" t="s">
        <v>363</v>
      </c>
      <c r="EW43" s="67">
        <v>482.26</v>
      </c>
      <c r="EX43" s="67" t="s">
        <v>364</v>
      </c>
      <c r="EY43" s="67">
        <v>5618.25</v>
      </c>
      <c r="EZ43" s="67" t="s">
        <v>365</v>
      </c>
      <c r="FA43" s="67">
        <v>19815</v>
      </c>
      <c r="FB43" s="67" t="s">
        <v>366</v>
      </c>
      <c r="FC43" s="67" t="s">
        <v>367</v>
      </c>
      <c r="FD43" s="67" t="s">
        <v>368</v>
      </c>
      <c r="FE43" s="68" t="s">
        <v>369</v>
      </c>
      <c r="FF43" s="68" t="s">
        <v>370</v>
      </c>
    </row>
    <row r="44" spans="1:162" ht="13.5" thickBot="1" x14ac:dyDescent="0.25">
      <c r="A44" s="46">
        <f>RTD("tos.rtd", ,"MARK", A43)</f>
        <v>488.96</v>
      </c>
      <c r="B44" s="27">
        <f>+AS44/AT44</f>
        <v>-1.4460161261953473</v>
      </c>
      <c r="C44" s="27">
        <f>+AU44/AV44</f>
        <v>-2.5176086512956539</v>
      </c>
      <c r="D44" s="27">
        <f>+AW44/AX44</f>
        <v>-3.3854966284794328</v>
      </c>
      <c r="E44" s="28">
        <v>0</v>
      </c>
      <c r="F44" s="47">
        <f>RTD("tos.rtd", ,"MARK", F43)</f>
        <v>20192</v>
      </c>
      <c r="G44" s="48" t="e">
        <f>RTD("tos.rtd", ,"MARK", G43)</f>
        <v>#N/A</v>
      </c>
      <c r="AO44" s="1">
        <v>0</v>
      </c>
      <c r="AP44" s="1">
        <v>1160299</v>
      </c>
      <c r="AQ44" s="1">
        <v>-1055892</v>
      </c>
      <c r="AS44" s="13">
        <f t="shared" ref="AS44:AY44" si="228">SUM(AS45:AS79)</f>
        <v>156203</v>
      </c>
      <c r="AT44" s="29">
        <f t="shared" si="228"/>
        <v>-108023</v>
      </c>
      <c r="AU44" s="13">
        <f t="shared" si="228"/>
        <v>61694</v>
      </c>
      <c r="AV44" s="29">
        <f t="shared" si="228"/>
        <v>-24505</v>
      </c>
      <c r="AW44" s="13">
        <f t="shared" si="228"/>
        <v>290198</v>
      </c>
      <c r="AX44" s="29">
        <f t="shared" si="228"/>
        <v>-85718</v>
      </c>
      <c r="AY44" s="29">
        <f t="shared" si="228"/>
        <v>289849</v>
      </c>
      <c r="AZ44" s="1">
        <v>0</v>
      </c>
      <c r="BA44" s="13">
        <f t="shared" ref="BA44:BH44" si="229">SUM(BA45:BA79)</f>
        <v>1161131</v>
      </c>
      <c r="BB44" s="29">
        <f t="shared" si="229"/>
        <v>-1056785</v>
      </c>
      <c r="BC44" s="13">
        <f t="shared" si="229"/>
        <v>50350</v>
      </c>
      <c r="BD44" s="29">
        <f t="shared" si="229"/>
        <v>-78866</v>
      </c>
      <c r="BE44" s="13">
        <f t="shared" si="229"/>
        <v>51987</v>
      </c>
      <c r="BF44" s="29">
        <f t="shared" si="229"/>
        <v>-46291</v>
      </c>
      <c r="BG44" s="29"/>
      <c r="BH44" s="29" t="e">
        <f t="shared" ca="1" si="229"/>
        <v>#N/A</v>
      </c>
      <c r="BJ44" s="30" t="e">
        <f t="shared" ref="BJ44:BO44" ca="1" si="230">SUM(BJ45:BJ79)</f>
        <v>#NUM!</v>
      </c>
      <c r="BK44" s="31" t="e">
        <f t="shared" ca="1" si="230"/>
        <v>#NUM!</v>
      </c>
      <c r="BL44" s="30">
        <f t="shared" ca="1" si="230"/>
        <v>0.65350409382874786</v>
      </c>
      <c r="BM44" s="31">
        <f t="shared" ca="1" si="230"/>
        <v>-0.65159978092290638</v>
      </c>
      <c r="BN44" s="30">
        <f t="shared" ca="1" si="230"/>
        <v>0.6173284997489682</v>
      </c>
      <c r="BO44" s="31">
        <f t="shared" ca="1" si="230"/>
        <v>-0.61676595016280189</v>
      </c>
      <c r="BQ44" s="30" t="e">
        <f ca="1">SUM(BQ45:BQ79)</f>
        <v>#NUM!</v>
      </c>
      <c r="BR44" s="31"/>
      <c r="BS44" s="30">
        <f ca="1">SUM(BS45:BS79)</f>
        <v>185151683.59064162</v>
      </c>
      <c r="BT44" s="31"/>
      <c r="BU44" s="30">
        <f ca="1">SUM(BU45:BU79)</f>
        <v>965615415.66302872</v>
      </c>
      <c r="BV44" s="31"/>
      <c r="BW44" s="69"/>
      <c r="BX44" s="30" t="e">
        <f ca="1">SUM(BX45:BX79)</f>
        <v>#NUM!</v>
      </c>
      <c r="BY44" s="31"/>
      <c r="BZ44" s="30">
        <f ca="1">SUM(BZ45:BZ79)</f>
        <v>-101177106.47466446</v>
      </c>
      <c r="CA44" s="31"/>
      <c r="CB44" s="30">
        <f ca="1">SUM(CB45:CB79)</f>
        <v>56871621.528528363</v>
      </c>
      <c r="CC44" s="31"/>
      <c r="CD44" s="30">
        <f t="shared" ref="CD44:CI44" si="231">SUM(CD45:CD79)</f>
        <v>21.48</v>
      </c>
      <c r="CE44" s="31">
        <f t="shared" si="231"/>
        <v>13.039999999999997</v>
      </c>
      <c r="CF44" s="30">
        <f t="shared" si="231"/>
        <v>20.36</v>
      </c>
      <c r="CG44" s="31">
        <f t="shared" si="231"/>
        <v>14.740000000000002</v>
      </c>
      <c r="CH44" s="30">
        <f t="shared" si="231"/>
        <v>6.1899999999999995</v>
      </c>
      <c r="CI44" s="31">
        <f t="shared" si="231"/>
        <v>4.830000000000001</v>
      </c>
      <c r="CK44" s="30">
        <f>SUM(CK45:CK79)</f>
        <v>9664809</v>
      </c>
      <c r="CL44" s="31"/>
      <c r="CM44" s="30">
        <f>SUM(CM45:CM79)</f>
        <v>3058067</v>
      </c>
      <c r="CN44" s="31"/>
      <c r="CO44" s="30">
        <f>SUM(CO45:CO79)</f>
        <v>12622738</v>
      </c>
      <c r="CP44" s="31">
        <f t="shared" ref="CP44:CP79" si="232">+CK44+CM44+CO44</f>
        <v>25345614</v>
      </c>
      <c r="CQ44" s="30">
        <f>SUM(CQ45:CQ79)</f>
        <v>104346</v>
      </c>
      <c r="CR44" s="31"/>
      <c r="CS44" s="30">
        <f>SUM(CS45:CS79)</f>
        <v>-28516</v>
      </c>
      <c r="CT44" s="31"/>
      <c r="CU44" s="30">
        <f>SUM(CU45:CU79)</f>
        <v>5696</v>
      </c>
      <c r="CV44" s="31"/>
      <c r="CW44" s="31" t="e">
        <f ca="1">SUM(CW45:CW79)</f>
        <v>#NUM!</v>
      </c>
      <c r="CY44" s="31" t="e">
        <f ca="1">SUM(CY45:CY79)</f>
        <v>#NUM!</v>
      </c>
      <c r="DA44" s="30">
        <f t="shared" ref="DA44:DB44" si="233">SUM(DA45:DA79)</f>
        <v>229.55</v>
      </c>
      <c r="DB44" s="31">
        <f t="shared" si="233"/>
        <v>89.670000000000087</v>
      </c>
      <c r="DC44" s="30">
        <f t="shared" ref="DC44:DF44" si="234">SUM(DC45:DC79)</f>
        <v>233.35000000000002</v>
      </c>
      <c r="DD44" s="31">
        <f t="shared" si="234"/>
        <v>94.66</v>
      </c>
      <c r="DE44" s="30">
        <f t="shared" si="234"/>
        <v>227.24999999999994</v>
      </c>
      <c r="DF44" s="30">
        <f t="shared" si="234"/>
        <v>90.830000000000055</v>
      </c>
      <c r="DG44" s="64">
        <v>750</v>
      </c>
      <c r="DH44" s="30">
        <f t="shared" ref="DH44:DM44" si="235">SUM(DH45:DH79)</f>
        <v>209.70326344860874</v>
      </c>
      <c r="DI44" s="31">
        <f t="shared" si="235"/>
        <v>-642.40909090909088</v>
      </c>
      <c r="DJ44" s="30">
        <f t="shared" si="235"/>
        <v>-463</v>
      </c>
      <c r="DK44" s="31">
        <f t="shared" si="235"/>
        <v>-415</v>
      </c>
      <c r="DL44" s="30">
        <f t="shared" si="235"/>
        <v>-432.70582746048223</v>
      </c>
      <c r="DM44" s="30">
        <f t="shared" si="235"/>
        <v>-878</v>
      </c>
      <c r="DP44" s="30">
        <f>SUM(DP45:DP79)</f>
        <v>100.74874968502965</v>
      </c>
      <c r="DQ44" s="31">
        <f>SUM(DQ45:DQ79)</f>
        <v>-475.81999999999994</v>
      </c>
      <c r="DR44" s="30" t="e">
        <f ca="1">SUM(DR45:DR79)</f>
        <v>#NUM!</v>
      </c>
      <c r="DS44" s="31">
        <f>SUM(DS45:DS79)</f>
        <v>-143.12000000000003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236">SUM(EE45:EE79)</f>
        <v>16.900100000000002</v>
      </c>
      <c r="EF44" s="31">
        <f t="shared" si="236"/>
        <v>39.214399999999998</v>
      </c>
      <c r="EG44" s="30">
        <f t="shared" si="236"/>
        <v>8.1770999999999994</v>
      </c>
      <c r="EH44" s="31">
        <f t="shared" si="236"/>
        <v>8.2474000000000007</v>
      </c>
      <c r="EI44" s="30">
        <f t="shared" si="236"/>
        <v>8.6445000000000007</v>
      </c>
      <c r="EJ44" s="30">
        <f t="shared" si="236"/>
        <v>8.653299999999998</v>
      </c>
      <c r="EL44" s="30">
        <f t="shared" ref="EL44:EQ44" si="237">SUM(EL45:EL79)</f>
        <v>0</v>
      </c>
      <c r="EM44" s="31">
        <f t="shared" si="237"/>
        <v>0</v>
      </c>
      <c r="EN44" s="30">
        <f t="shared" si="237"/>
        <v>0</v>
      </c>
      <c r="EO44" s="31">
        <f t="shared" si="237"/>
        <v>0</v>
      </c>
      <c r="EP44" s="30">
        <f t="shared" si="237"/>
        <v>0</v>
      </c>
      <c r="EQ44" s="30">
        <f t="shared" si="237"/>
        <v>0</v>
      </c>
      <c r="EU44" s="67">
        <v>560.4</v>
      </c>
      <c r="EV44" s="67" t="s">
        <v>371</v>
      </c>
      <c r="EW44" s="67">
        <v>482.34</v>
      </c>
      <c r="EX44" s="67" t="s">
        <v>372</v>
      </c>
      <c r="EY44" s="67">
        <v>5619</v>
      </c>
      <c r="EZ44" s="67" t="s">
        <v>373</v>
      </c>
      <c r="FA44" s="67">
        <v>19818</v>
      </c>
      <c r="FB44" s="67" t="s">
        <v>374</v>
      </c>
      <c r="FC44" s="67" t="s">
        <v>375</v>
      </c>
      <c r="FD44" s="67" t="s">
        <v>376</v>
      </c>
      <c r="FE44" s="68" t="s">
        <v>377</v>
      </c>
      <c r="FF44" s="68" t="s">
        <v>378</v>
      </c>
    </row>
    <row r="45" spans="1:162" ht="13.5" thickBot="1" x14ac:dyDescent="0.25">
      <c r="A45" s="2">
        <f>ROUND(485/$A$39,0)*$A$39+17*$A$39</f>
        <v>502</v>
      </c>
      <c r="B45" s="3">
        <f t="shared" ref="B45:B79" si="238">+IF($A$1="ABS",AS45-AT45,AS45+AT45)</f>
        <v>0</v>
      </c>
      <c r="C45" s="3">
        <f t="shared" ref="C45:C71" si="239">+IF($A$1="ABS",AU45-AV45,AU45+AV45)</f>
        <v>445</v>
      </c>
      <c r="D45" s="3">
        <f t="shared" ref="D45:D79" si="240">+IF($A$1="ABS",AW45-AX45,AW45+AX45)</f>
        <v>3055</v>
      </c>
      <c r="E45" s="3">
        <f t="shared" ref="E45:E79" si="241">SUM(B45:D45)</f>
        <v>3500</v>
      </c>
      <c r="F45" s="4">
        <f>+$F$44/$A$44*A45</f>
        <v>20730.497382198955</v>
      </c>
      <c r="AM45" s="1">
        <v>786</v>
      </c>
      <c r="AN45" s="1">
        <v>-2</v>
      </c>
      <c r="AO45" s="1">
        <v>502</v>
      </c>
      <c r="AP45" s="1">
        <v>1347</v>
      </c>
      <c r="AQ45" s="1">
        <v>-2</v>
      </c>
      <c r="AS45" s="30">
        <f>IF(RTD("tos.rtd",,AS$43,"."&amp;$A$43&amp;$AS$42&amp;"C"&amp;$A45)="N/A",0,RTD("tos.rtd",,AS$43,"."&amp;$A$43&amp;$AS$42&amp;"C"&amp;$A45))</f>
        <v>0</v>
      </c>
      <c r="AT45" s="31">
        <f>-IF(RTD("tos.rtd",,AT$43,"."&amp;$A$43&amp;$AS$42&amp;"P"&amp;$A45)="N/A",0,RTD("tos.rtd",,AT$43,"."&amp;$A$43&amp;$AS$42&amp;"P"&amp;$A45))</f>
        <v>0</v>
      </c>
      <c r="AU45" s="30">
        <f>IF(RTD("tos.rtd",,AU$2,"."&amp;$A$43&amp;$AU$1&amp;"C"&amp;$A45)="N/A",0,RTD("tos.rtd",,AU$2,"."&amp;$A$43&amp;$AU$1&amp;"C"&amp;$A45))</f>
        <v>445</v>
      </c>
      <c r="AV45" s="31">
        <f>-IF(RTD("tos.rtd",,AV$2,"."&amp;$A$43&amp;$AU$1&amp;"P"&amp;$A45)="N/A",0,RTD("tos.rtd",,AV$2,"."&amp;$A$43&amp;$AU$1&amp;"P"&amp;$A45))</f>
        <v>0</v>
      </c>
      <c r="AW45" s="30">
        <f>IF(RTD("tos.rtd",,AW$2,"."&amp;$A$43&amp;$AW$1&amp;"C"&amp;$A45)="N/A",0,RTD("tos.rtd",,AW$2,"."&amp;$A$43&amp;$AW$1&amp;"C"&amp;$A45))</f>
        <v>2968</v>
      </c>
      <c r="AX45" s="31">
        <f>-IF(RTD("tos.rtd",,AX$2,"."&amp;$A$43&amp;$AW$1&amp;"P"&amp;$A45)="N/A",0,RTD("tos.rtd",,AX$2,"."&amp;$A$43&amp;$AW$1&amp;"P"&amp;$A45))</f>
        <v>-87</v>
      </c>
      <c r="AY45" s="31">
        <f>SUM(AS45:AX45)</f>
        <v>3326</v>
      </c>
      <c r="AZ45" s="8">
        <f t="shared" ref="AZ45:AZ79" si="242">+A45</f>
        <v>502</v>
      </c>
      <c r="BA45" s="30">
        <f>IF(RTD("tos.rtd",,BA$43,"."&amp;$A$43&amp;$AS$42&amp;"C"&amp;$A45)="N/A",0,RTD("tos.rtd",,BA$43,"."&amp;$A$43&amp;$AS$42&amp;"C"&amp;$A45))</f>
        <v>1347</v>
      </c>
      <c r="BB45" s="31">
        <f>-IF(RTD("tos.rtd",,BB$43,"."&amp;$A$43&amp;$AS$42&amp;"P"&amp;$A45)="N/A",0,RTD("tos.rtd",,BB$43,"."&amp;$A$43&amp;$AS$42&amp;"P"&amp;$A45))</f>
        <v>-2</v>
      </c>
      <c r="BC45" s="30">
        <f>IF(RTD("tos.rtd",,BC$2,"."&amp;$A$43&amp;$AU$1&amp;"C"&amp;$A45)="N/A",0,RTD("tos.rtd",,BC$2,"."&amp;$A$43&amp;$AU$1&amp;"C"&amp;$A45))</f>
        <v>303</v>
      </c>
      <c r="BD45" s="31">
        <f>-IF(RTD("tos.rtd",,BD$2,"."&amp;$A$43&amp;$AU$1&amp;"P"&amp;$A45)="N/A",0,RTD("tos.rtd",,BD$2,"."&amp;$A$43&amp;$AU$1&amp;"P"&amp;$A45))</f>
        <v>-3</v>
      </c>
      <c r="BE45" s="30">
        <f>IF(RTD("tos.rtd",,BE$2,"."&amp;$A$43&amp;$AW$1&amp;"C"&amp;$A45)="N/A",0,RTD("tos.rtd",,BE$2,"."&amp;$A$43&amp;$AW$1&amp;"C"&amp;$A45))</f>
        <v>575</v>
      </c>
      <c r="BF45" s="31">
        <f>-IF(RTD("tos.rtd",,BF$2,"."&amp;$A$43&amp;$AW$1&amp;"P"&amp;$A45)="N/A",0,RTD("tos.rtd",,BF$2,"."&amp;$A$43&amp;$AW$1&amp;"P"&amp;$A45))</f>
        <v>-8</v>
      </c>
      <c r="BG45" s="32" t="e">
        <f ca="1">+Hoja2!Y46</f>
        <v>#N/A</v>
      </c>
      <c r="BH45" s="31" t="e">
        <f ca="1">SUM(BA45:BG45)</f>
        <v>#N/A</v>
      </c>
      <c r="BI45" s="8"/>
      <c r="BJ45" s="83" t="e">
        <f ca="1">IF($BP$1=1,DX45,IF(RTD("tos.rtd",,BJ$43,"."&amp;$A$43&amp;$AS$42&amp;"C"&amp;$A45)="N/A",0,RTD("tos.rtd",,BJ$43,"."&amp;$A$43&amp;$AS$42&amp;"C"&amp;$A45)))</f>
        <v>#NUM!</v>
      </c>
      <c r="BK45" s="83" t="e">
        <f ca="1">IF($BP$1=1,DY45,-IF(RTD("tos.rtd",,BK$43,"."&amp;$A$43&amp;$AS$42&amp;"P"&amp;$A45)="N/A",0,RTD("tos.rtd",,BK$43,"."&amp;$A$43&amp;$AS$42&amp;"P"&amp;$A45)))</f>
        <v>#NUM!</v>
      </c>
      <c r="BL45" s="83">
        <f ca="1">IF($BP$1=1,DZ45,IF(RTD("tos.rtd",,BL$2,"."&amp;$A$43&amp;$AU$1&amp;"C"&amp;$A45)="N/A",0,RTD("tos.rtd",,BL$2,"."&amp;$A$43&amp;$AU$1&amp;"C"&amp;$A45)))</f>
        <v>1.8754019650448754E-2</v>
      </c>
      <c r="BM45" s="83">
        <f ca="1">IF($BP$1=1,EA45,-IF(RTD("tos.rtd",,BM$2,"."&amp;$A$43&amp;$AU$1&amp;"P"&amp;$A45)="N/A",0,RTD("tos.rtd",,BM$2,"."&amp;$A$43&amp;$AU$1&amp;"P"&amp;$A45)))</f>
        <v>-1.8873717034970344E-2</v>
      </c>
      <c r="BN45" s="83">
        <f ca="1">IF($BP$1=1,EB45,IF(RTD("tos.rtd",,BN$2,"."&amp;$A$43&amp;$AW$1&amp;"C"&amp;$A45)="N/A",0,RTD("tos.rtd",,BN$2,"."&amp;$A$43&amp;$AW$1&amp;"C"&amp;$A45)))</f>
        <v>1.8537868040125211E-2</v>
      </c>
      <c r="BO45" s="83">
        <f ca="1">IF($BP$1=1,EC45,-IF(RTD("tos.rtd",,BO$2,"."&amp;$A$43&amp;$AW$1&amp;"P"&amp;$A45)="N/A",0,RTD("tos.rtd",,BO$2,"."&amp;$A$43&amp;$AW$1&amp;"P"&amp;$A45)))</f>
        <v>-1.8435132639084875E-2</v>
      </c>
      <c r="BQ45" s="83" t="e">
        <f ca="1">+$A$44*$A$44*AS45*BJ45-$A$44*$A$44*AT45*BK45</f>
        <v>#NUM!</v>
      </c>
      <c r="BR45" s="83"/>
      <c r="BS45" s="83">
        <f ca="1">+$A$44*$A$44*AU45*BL45-$A$44*$A$44*AV45*BM45</f>
        <v>1995267.1059887346</v>
      </c>
      <c r="BT45" s="83"/>
      <c r="BU45" s="83">
        <f ca="1">+$A$44*$A$44*AW45*BN45-$A$44*$A$44*AX45*BO45</f>
        <v>12770925.888452454</v>
      </c>
      <c r="BV45" s="83"/>
      <c r="BX45" s="83" t="e">
        <f t="shared" ref="BX45" ca="1" si="243">+$A$44*$A$44*BA45*BJ45-$A$44*$A$44*BB45*BK45</f>
        <v>#NUM!</v>
      </c>
      <c r="BY45" s="83"/>
      <c r="BZ45" s="83">
        <f t="shared" ref="BZ45" ca="1" si="244">+$A$44*$A$44*BC45*BL45-$A$44*$A$44*BD45*BM45</f>
        <v>1345038.0392500567</v>
      </c>
      <c r="CA45" s="83"/>
      <c r="CB45" s="83">
        <f t="shared" ref="CB45" ca="1" si="245">+$A$44*$A$44*BE45*BN45-$A$44*$A$44*BF45*BO45</f>
        <v>2513179.2642430589</v>
      </c>
      <c r="CC45" s="83"/>
      <c r="CD45" s="83">
        <f>IF(RTD("tos.rtd",,CD$43,"."&amp;$A$43&amp;$AS$42&amp;"C"&amp;$A45)="N/A",0,RTD("tos.rtd",,CD$43,"."&amp;$A$43&amp;$AS$42&amp;"C"&amp;$A45))</f>
        <v>0</v>
      </c>
      <c r="CE45" s="83">
        <f>-IF(RTD("tos.rtd",,CE$43,"."&amp;$A$43&amp;$AS$42&amp;"P"&amp;$A45)="N/A",0,RTD("tos.rtd",,CE$43,"."&amp;$A$43&amp;$AS$42&amp;"P"&amp;$A45))</f>
        <v>0.95</v>
      </c>
      <c r="CF45" s="83">
        <f>IF(RTD("tos.rtd",,CF$2,"."&amp;$A$43&amp;$AU$1&amp;"C"&amp;$A45)="N/A",0,RTD("tos.rtd",,CF$2,"."&amp;$A$43&amp;$AU$1&amp;"C"&amp;$A45))</f>
        <v>0.18</v>
      </c>
      <c r="CG45" s="83">
        <f>-IF(RTD("tos.rtd",,CG$2,"."&amp;$A$43&amp;$AU$1&amp;"P"&amp;$A45)="N/A",0,RTD("tos.rtd",,CG$2,"."&amp;$A$43&amp;$AU$1&amp;"P"&amp;$A45))</f>
        <v>0.83</v>
      </c>
      <c r="CH45" s="83">
        <f>IF(RTD("tos.rtd",,CH$2,"."&amp;$A$43&amp;$AW$1&amp;"C"&amp;$A45)="N/A",0,RTD("tos.rtd",,CH$2,"."&amp;$A$43&amp;$AW$1&amp;"C"&amp;$A45))</f>
        <v>0.28000000000000003</v>
      </c>
      <c r="CI45" s="83">
        <f>-IF(RTD("tos.rtd",,CI$2,"."&amp;$A$43&amp;$AW$1&amp;"P"&amp;$A45)="N/A",0,RTD("tos.rtd",,CI$2,"."&amp;$A$43&amp;$AW$1&amp;"P"&amp;$A45))</f>
        <v>0.73</v>
      </c>
      <c r="CK45" s="83">
        <f>+AS45*CD45*100+AT45*CE45*100</f>
        <v>0</v>
      </c>
      <c r="CL45" s="83"/>
      <c r="CM45" s="83">
        <f>+AU45*CF45*100+AV45*CG45*100</f>
        <v>8009.9999999999991</v>
      </c>
      <c r="CN45" s="83"/>
      <c r="CO45" s="83">
        <f>+AW45*CH45*100+AX45*CI45*100</f>
        <v>76753.000000000015</v>
      </c>
      <c r="CP45" s="83">
        <f t="shared" si="232"/>
        <v>84763.000000000015</v>
      </c>
      <c r="CQ45" s="83">
        <f t="shared" ref="CQ45:CQ79" si="246">+BA45+BB45</f>
        <v>1345</v>
      </c>
      <c r="CR45" s="83"/>
      <c r="CS45" s="83">
        <f t="shared" ref="CS45:CS79" si="247">+BC45+BD45</f>
        <v>300</v>
      </c>
      <c r="CT45" s="83"/>
      <c r="CU45" s="83">
        <f t="shared" ref="CU45:CU79" si="248">+BE45+BF45</f>
        <v>567</v>
      </c>
      <c r="CV45" s="83"/>
      <c r="CW45" s="83" t="e">
        <f t="shared" ref="CW45:CW79" ca="1" si="249">+BQ45+BS45+BU45</f>
        <v>#NUM!</v>
      </c>
      <c r="CY45" s="83" t="e">
        <f t="shared" ref="CY45:CY79" ca="1" si="250">+BX45+BZ45+CB45</f>
        <v>#NUM!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12.41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13.23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12.92</v>
      </c>
      <c r="DG45" s="86">
        <f>+$A45-$A$44</f>
        <v>13.04000000000002</v>
      </c>
      <c r="DH45" s="83">
        <f t="shared" ref="DH45:DH79" si="251">((DA45-DE45)/(DC45-DE45))*(BA45-AP45)</f>
        <v>0</v>
      </c>
      <c r="DI45" s="83">
        <f t="shared" ref="DI45:DI79" si="252">((DB45-DF45)/(DD45-DF45))*(BB45-AQ45)</f>
        <v>0</v>
      </c>
      <c r="DJ45" s="83">
        <f t="shared" ref="DJ45:DJ79" si="253">IF(DA45&gt;=(DE45+(DC45-DE45)*0.6),(BA45-AP45),IF(DA45&lt;=(DE45+(DC45-DE45)*0.4),-(BA45-AP45),0))</f>
        <v>0</v>
      </c>
      <c r="DK45" s="83">
        <f t="shared" ref="DK45:DK79" si="254">IF(DB45&lt;=(DF45+(DD45-DF45)*0.4),-(BB45-AQ45),IF(DB45&gt;=(DF45+(DD45-DF45)*0.6),(BB45-AQ45),0))</f>
        <v>0</v>
      </c>
      <c r="DL45" s="83">
        <f t="shared" ref="DL45:DL79" si="255">+DH45+DI45</f>
        <v>0</v>
      </c>
      <c r="DM45" s="83">
        <f t="shared" ref="DM45:DM79" si="256">+DJ45+DK45</f>
        <v>0</v>
      </c>
      <c r="DN45" s="64" t="str">
        <f t="shared" ref="DN45:DN79" si="257">IF(AND(DA45&gt;=(DE45+(DC45-DE45)*0.6),BA45&gt;AP45),"BUY",IF(AND(DA45&lt;=(DE45+(DC45-DE45)*0.4),BA45&gt;AP45),"SELL","UNKNOWN"))</f>
        <v>UNKNOWN</v>
      </c>
      <c r="DO45" s="64" t="str">
        <f t="shared" ref="DO45:DO79" si="258">IF(AND(DB45&gt;=(DF45+(DD45-DF45)*0.6),ABS(BB45)&gt;ABS(AQ45)),"BUY",IF(AND(DB45&lt;=(DF45+(DD45-DF45)*0.4),ABS(BB45)&gt;ABS(AQ45)),"SELL","UNKNOWN"))</f>
        <v>UNKNOWN</v>
      </c>
      <c r="DP45" s="83">
        <f t="shared" ref="DP45:DP79" si="259">+DH45*DA45+DI45*DB45</f>
        <v>0</v>
      </c>
      <c r="DQ45" s="83">
        <f t="shared" ref="DQ45:DQ79" si="260">+DA45*DJ45+DB45*DK45</f>
        <v>0</v>
      </c>
      <c r="DR45" s="83" t="e">
        <f t="shared" ref="DR45:DR79" ca="1" si="261">+BJ45*DJ45+BK45*DK45</f>
        <v>#NUM!</v>
      </c>
      <c r="DS45" s="83">
        <f t="shared" ref="DS45:DS79" si="262">+CD45*DJ45+CE45*DK45</f>
        <v>0</v>
      </c>
      <c r="DT45" s="83">
        <f>BA45-VLOOKUP(AZ45,$AO$45:$AQ$79,2,FALSE)</f>
        <v>0</v>
      </c>
      <c r="DU45" s="83">
        <f>BB45-VLOOKUP(AZ45,$AO$45:$AQ$79,3,FALSE)</f>
        <v>0</v>
      </c>
      <c r="DV45" s="83">
        <f t="shared" ref="DV45:DV79" si="263">AM45+IF(DN45="BUY",DT45,IF(DN45="SELL",-DT45,0))</f>
        <v>786</v>
      </c>
      <c r="DW45" s="83">
        <f t="shared" ref="DW45:DW79" si="264">AN45+IF(DO45="BUY",DU45,IF(DO45="SELL",-DU45,0))</f>
        <v>-2</v>
      </c>
      <c r="DX45" s="83" t="e">
        <f ca="1">(EXP(-POWER((LN($A$44/$A45)+($EC$1+POWER($EE45,2)/2)*($EM$1/$DY$1))/($EE45*SQRT($EM$1/$DY$1)),2)/2)/SQRT(2*PI())/($A$44*$EE45*SQRT($EM$1/$DY$1)))</f>
        <v>#NUM!</v>
      </c>
      <c r="DY45" s="83" t="e">
        <f ca="1">-(EXP(-POWER((LN($A$44/$A45)+($EC$1+POWER($EF45,2)/2)*($EM$1/$DY$1))/($EF45*SQRT($EM$1/$DY$1)),2)/2)/SQRT(2*PI())/($A$44*$EF45*SQRT($EM$1/$DY$1)))</f>
        <v>#NUM!</v>
      </c>
      <c r="DZ45" s="83">
        <f ca="1">(EXP(-POWER((LN($A$44/$A45)+($EC$1+POWER($EG45,2)/2)*($EO$1/$DY$1))/($EG45*SQRT($EO$1/$DY$1)),2)/2)/SQRT(2*PI())/($A$44*$EG45*SQRT($EO$1/$DY$1)))</f>
        <v>1.8754019650448754E-2</v>
      </c>
      <c r="EA45" s="83">
        <f ca="1">-(EXP(-POWER((LN($A$44/$A45)+($EC$1+POWER($EH45,2)/2)*($EO$1/$DY$1))/($EH45*SQRT($EO$1/$DY$1)),2)/2)/SQRT(2*PI())/($A$44*$EH45*SQRT($EO$1/$DY$1)))</f>
        <v>-1.8873717034970344E-2</v>
      </c>
      <c r="EB45" s="83">
        <f ca="1">(EXP(-POWER((LN($A$44/$A45)+($EC$1+POWER($EI45,2)/2)*($EO$1/$DY$1))/($EI45*SQRT($EO$1/$DY$1)),2)/2)/SQRT(2*PI())/($A$44*$EI45*SQRT($EO$1/$DY$1)))</f>
        <v>1.8537868040125211E-2</v>
      </c>
      <c r="EC45" s="83">
        <f ca="1">-(EXP(-POWER((LN($A$44/$A45)+($EC$1+POWER($EJ45,2)/2)*($EO$1/$DY$1))/($EJ45*SQRT($EO$1/$DY$1)),2)/2)/SQRT(2*PI())/($A$44*$EJ45*SQRT($EO$1/$DY$1)))</f>
        <v>-1.8435132639084875E-2</v>
      </c>
      <c r="EE45" s="84">
        <f t="shared" ref="EE45:EE79" si="265">IFERROR(VALUE(IF(OR(EL45="--",EL45="0.00%"),$EE$1,EL45)),$EE$1)</f>
        <v>1.2874000000000001</v>
      </c>
      <c r="EF45" s="84">
        <f t="shared" ref="EF45:EF79" si="266">IFERROR(VALUE(IF(OR(EM45="--",EM45="0.00%"),$EE$1,EM45)),$EE$1)</f>
        <v>1.8656999999999999</v>
      </c>
      <c r="EG45" s="84">
        <f t="shared" ref="EG45:EG79" si="267">IFERROR(VALUE(IF(OR(EN45="--",EN45="0.00%"),$EE$1,EN45)),$EE$1)</f>
        <v>0.2019</v>
      </c>
      <c r="EH45" s="84">
        <f t="shared" ref="EH45:EH79" si="268">IFERROR(VALUE(IF(OR(EO45="--",EO45="0.00%"),$EE$1,EO45)),$EE$1)</f>
        <v>0.19869999999999999</v>
      </c>
      <c r="EI45" s="84">
        <f t="shared" ref="EI45:EI79" si="269">IFERROR(VALUE(IF(OR(EP45="--",EP45="0.00%"),$EE$1,EP45)),$EE$1)</f>
        <v>0.20749999999999999</v>
      </c>
      <c r="EJ45" s="84">
        <f t="shared" ref="EJ45:EJ79" si="270">IFERROR(VALUE(IF(OR(EQ45="--",EQ45="0.00%"),$EE$1,EQ45)),$EE$1)</f>
        <v>0.21010000000000001</v>
      </c>
      <c r="EL45" s="83" t="str">
        <f>RTD("tos.rtd",,EL$43,"."&amp;$A$43&amp;$AS$42&amp;"C"&amp;$A45)</f>
        <v>128.74%</v>
      </c>
      <c r="EM45" s="83" t="str">
        <f>RTD("tos.rtd",,EM$43,"."&amp;$A$43&amp;$AS$42&amp;"P"&amp;$A45)</f>
        <v>186.57%</v>
      </c>
      <c r="EN45" s="83" t="str">
        <f>RTD("tos.rtd",,EN$2,"."&amp;$A$43&amp;$AU$1&amp;"C"&amp;$A45)</f>
        <v>20.19%</v>
      </c>
      <c r="EO45" s="83" t="str">
        <f>RTD("tos.rtd",,EO$2,"."&amp;$A$43&amp;$AU$1&amp;"P"&amp;$A45)</f>
        <v>19.87%</v>
      </c>
      <c r="EP45" s="83" t="str">
        <f>RTD("tos.rtd",,EP$2,"."&amp;$A$43&amp;$AW$1&amp;"C"&amp;$A45)</f>
        <v>20.75%</v>
      </c>
      <c r="EQ45" s="83" t="str">
        <f>RTD("tos.rtd",,EQ$2,"."&amp;$A$43&amp;$AW$1&amp;"P"&amp;$A45)</f>
        <v>21.01%</v>
      </c>
      <c r="ET45" s="64" t="str">
        <f t="shared" ref="ET45:ET79" ca="1" si="271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IF(ISNUMBER(DV45+DW45), (DV45+DW45),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IF(ISNUMBER(DV45+DW45), (DV45+DW45), 0)
        )))),
    "00.00")
)</f>
        <v>502,00.00</v>
      </c>
      <c r="EU45" s="67">
        <v>560.39</v>
      </c>
      <c r="EV45" s="67" t="s">
        <v>379</v>
      </c>
      <c r="EW45" s="67">
        <v>482.33</v>
      </c>
      <c r="EX45" s="67" t="s">
        <v>380</v>
      </c>
      <c r="EY45" s="67">
        <v>5619.25</v>
      </c>
      <c r="EZ45" s="67" t="s">
        <v>381</v>
      </c>
      <c r="FA45" s="67">
        <v>19818.5</v>
      </c>
      <c r="FB45" s="67" t="s">
        <v>382</v>
      </c>
      <c r="FC45" s="67" t="s">
        <v>383</v>
      </c>
      <c r="FD45" s="67" t="s">
        <v>384</v>
      </c>
      <c r="FE45" s="68" t="s">
        <v>385</v>
      </c>
      <c r="FF45" s="68" t="s">
        <v>386</v>
      </c>
    </row>
    <row r="46" spans="1:162" ht="13.5" thickBot="1" x14ac:dyDescent="0.25">
      <c r="A46" s="2">
        <f>+A45-$A$39</f>
        <v>501</v>
      </c>
      <c r="B46" s="3">
        <f t="shared" si="238"/>
        <v>0</v>
      </c>
      <c r="C46" s="3">
        <f t="shared" si="239"/>
        <v>154</v>
      </c>
      <c r="D46" s="3">
        <f t="shared" si="240"/>
        <v>2159</v>
      </c>
      <c r="E46" s="3">
        <f>SUM(B46:D46)</f>
        <v>2313</v>
      </c>
      <c r="F46" s="4">
        <f>+$F$44/$A$44*A46</f>
        <v>20689.201570680631</v>
      </c>
      <c r="AM46" s="1">
        <v>3650</v>
      </c>
      <c r="AN46" s="1">
        <v>-2</v>
      </c>
      <c r="AO46" s="1">
        <v>501</v>
      </c>
      <c r="AP46" s="1">
        <v>4860</v>
      </c>
      <c r="AQ46" s="1">
        <v>-2</v>
      </c>
      <c r="AS46" s="6">
        <f>IF(RTD("tos.rtd",,AS$43,"."&amp;$A$43&amp;$AS$42&amp;"C"&amp;$A46)="N/A",0,RTD("tos.rtd",,AS$43,"."&amp;$A$43&amp;$AS$42&amp;"C"&amp;$A46))</f>
        <v>0</v>
      </c>
      <c r="AT46" s="7">
        <f>-IF(RTD("tos.rtd",,AT$43,"."&amp;$A$43&amp;$AS$42&amp;"P"&amp;$A46)="N/A",0,RTD("tos.rtd",,AT$43,"."&amp;$A$43&amp;$AS$42&amp;"P"&amp;$A46))</f>
        <v>0</v>
      </c>
      <c r="AU46" s="6">
        <f>IF(RTD("tos.rtd",,AU$2,"."&amp;$A$43&amp;$AU$1&amp;"C"&amp;$A46)="N/A",0,RTD("tos.rtd",,AU$2,"."&amp;$A$43&amp;$AU$1&amp;"C"&amp;$A46))</f>
        <v>154</v>
      </c>
      <c r="AV46" s="7">
        <f>-IF(RTD("tos.rtd",,AV$2,"."&amp;$A$43&amp;$AU$1&amp;"P"&amp;$A46)="N/A",0,RTD("tos.rtd",,AV$2,"."&amp;$A$43&amp;$AU$1&amp;"P"&amp;$A46))</f>
        <v>0</v>
      </c>
      <c r="AW46" s="6">
        <f>IF(RTD("tos.rtd",,AW$2,"."&amp;$A$43&amp;$AW$1&amp;"C"&amp;$A46)="N/A",0,RTD("tos.rtd",,AW$2,"."&amp;$A$43&amp;$AW$1&amp;"C"&amp;$A46))</f>
        <v>2153</v>
      </c>
      <c r="AX46" s="7">
        <f>-IF(RTD("tos.rtd",,AX$2,"."&amp;$A$43&amp;$AW$1&amp;"P"&amp;$A46)="N/A",0,RTD("tos.rtd",,AX$2,"."&amp;$A$43&amp;$AW$1&amp;"P"&amp;$A46))</f>
        <v>-6</v>
      </c>
      <c r="AY46" s="7">
        <f t="shared" ref="AY46:AY79" si="272">SUM(AS46:AX46)</f>
        <v>2301</v>
      </c>
      <c r="AZ46" s="8">
        <f t="shared" si="242"/>
        <v>501</v>
      </c>
      <c r="BA46" s="6">
        <f>IF(RTD("tos.rtd",,BA$43,"."&amp;$A$43&amp;$AS$42&amp;"C"&amp;$A46)="N/A",0,RTD("tos.rtd",,BA$43,"."&amp;$A$43&amp;$AS$42&amp;"C"&amp;$A46))</f>
        <v>4860</v>
      </c>
      <c r="BB46" s="7">
        <f>-IF(RTD("tos.rtd",,BB$43,"."&amp;$A$43&amp;$AS$42&amp;"P"&amp;$A46)="N/A",0,RTD("tos.rtd",,BB$43,"."&amp;$A$43&amp;$AS$42&amp;"P"&amp;$A46))</f>
        <v>-2</v>
      </c>
      <c r="BC46" s="6">
        <f>IF(RTD("tos.rtd",,BC$2,"."&amp;$A$43&amp;$AU$1&amp;"C"&amp;$A46)="N/A",0,RTD("tos.rtd",,BC$2,"."&amp;$A$43&amp;$AU$1&amp;"C"&amp;$A46))</f>
        <v>1281</v>
      </c>
      <c r="BD46" s="7">
        <f>-IF(RTD("tos.rtd",,BD$2,"."&amp;$A$43&amp;$AU$1&amp;"P"&amp;$A46)="N/A",0,RTD("tos.rtd",,BD$2,"."&amp;$A$43&amp;$AU$1&amp;"P"&amp;$A46))</f>
        <v>0</v>
      </c>
      <c r="BE46" s="6">
        <f>IF(RTD("tos.rtd",,BE$2,"."&amp;$A$43&amp;$AW$1&amp;"C"&amp;$A46)="N/A",0,RTD("tos.rtd",,BE$2,"."&amp;$A$43&amp;$AW$1&amp;"C"&amp;$A46))</f>
        <v>576</v>
      </c>
      <c r="BF46" s="7">
        <f>-IF(RTD("tos.rtd",,BF$2,"."&amp;$A$43&amp;$AW$1&amp;"P"&amp;$A46)="N/A",0,RTD("tos.rtd",,BF$2,"."&amp;$A$43&amp;$AW$1&amp;"P"&amp;$A46))</f>
        <v>-15</v>
      </c>
      <c r="BG46" s="32" t="e">
        <f ca="1">+Hoja2!Y47</f>
        <v>#N/A</v>
      </c>
      <c r="BH46" s="7" t="e">
        <f t="shared" ref="BH46:BH79" ca="1" si="273">SUM(BA46:BG46)</f>
        <v>#N/A</v>
      </c>
      <c r="BI46" s="8" t="e">
        <f ca="1">IF(AND(BH46&lt;0,BH45&gt;0), "Cruce -", IF(AND(BH46&gt;0,BH45&lt;0),"Cruce +", ""))</f>
        <v>#N/A</v>
      </c>
      <c r="BJ46" s="83" t="e">
        <f ca="1">IF($BP$1=1,DX46,IF(RTD("tos.rtd",,BJ$43,"."&amp;$A$43&amp;$AS$42&amp;"C"&amp;$A46)="N/A",0,RTD("tos.rtd",,BJ$43,"."&amp;$A$43&amp;$AS$42&amp;"C"&amp;$A46)))</f>
        <v>#NUM!</v>
      </c>
      <c r="BK46" s="83" t="e">
        <f ca="1">IF($BP$1=1,DY46,-IF(RTD("tos.rtd",,BK$43,"."&amp;$A$43&amp;$AS$42&amp;"P"&amp;$A46)="N/A",0,RTD("tos.rtd",,BK$43,"."&amp;$A$43&amp;$AS$42&amp;"P"&amp;$A46)))</f>
        <v>#NUM!</v>
      </c>
      <c r="BL46" s="83">
        <f ca="1">IF($BP$1=1,DZ46,IF(RTD("tos.rtd",,BL$2,"."&amp;$A$43&amp;$AU$1&amp;"C"&amp;$A46)="N/A",0,RTD("tos.rtd",,BL$2,"."&amp;$A$43&amp;$AU$1&amp;"C"&amp;$A46)))</f>
        <v>1.9563870229409988E-2</v>
      </c>
      <c r="BM46" s="83">
        <f ca="1">IF($BP$1=1,EA46,-IF(RTD("tos.rtd",,BM$2,"."&amp;$A$43&amp;$AU$1&amp;"P"&amp;$A46)="N/A",0,RTD("tos.rtd",,BM$2,"."&amp;$A$43&amp;$AU$1&amp;"P"&amp;$A46)))</f>
        <v>-1.9751645877107107E-2</v>
      </c>
      <c r="BN46" s="83">
        <f ca="1">IF($BP$1=1,EB46,IF(RTD("tos.rtd",,BN$2,"."&amp;$A$43&amp;$AW$1&amp;"C"&amp;$A46)="N/A",0,RTD("tos.rtd",,BN$2,"."&amp;$A$43&amp;$AW$1&amp;"C"&amp;$A46)))</f>
        <v>1.9252128068465834E-2</v>
      </c>
      <c r="BO46" s="83">
        <f ca="1">IF($BP$1=1,EC46,-IF(RTD("tos.rtd",,BO$2,"."&amp;$A$43&amp;$AW$1&amp;"P"&amp;$A46)="N/A",0,RTD("tos.rtd",,BO$2,"."&amp;$A$43&amp;$AW$1&amp;"P"&amp;$A46)))</f>
        <v>-1.9114888434674814E-2</v>
      </c>
      <c r="BQ46" s="83" t="e">
        <f t="shared" ref="BQ46:BQ79" ca="1" si="274">+$A$44*$A$44*AS46*BJ46-$A$44*$A$44*AT46*BK46</f>
        <v>#NUM!</v>
      </c>
      <c r="BR46" s="3" t="e">
        <f t="shared" ref="BR46:BR79" ca="1" si="275">IF(AND(BQ46&lt;0,BQ45&gt;0), "Cruce -", IF(AND(BQ46&gt;0,BQ45&lt;0),"Cruce +", ""))</f>
        <v>#NUM!</v>
      </c>
      <c r="BS46" s="83">
        <f t="shared" ref="BS46:BS79" ca="1" si="276">+$A$44*$A$44*AU46*BL46-$A$44*$A$44*AV46*BM46</f>
        <v>720314.50349713687</v>
      </c>
      <c r="BT46" s="3" t="str">
        <f t="shared" ref="BT46:BT79" ca="1" si="277">IF(AND(BS46&lt;0,BS45&gt;0), "Cruce -", IF(AND(BS46&gt;0,BS45&lt;0),"Cruce +", ""))</f>
        <v/>
      </c>
      <c r="BU46" s="83">
        <f t="shared" ref="BU46:BU79" ca="1" si="278">+$A$44*$A$44*AW46*BN46-$A$44*$A$44*AX46*BO46</f>
        <v>9882483.6213869397</v>
      </c>
      <c r="BV46" s="83"/>
      <c r="BX46" s="83" t="e">
        <f t="shared" ref="BX46:BX79" ca="1" si="279">+$A$44*$A$44*BA46*BJ46-$A$44*$A$44*BB46*BK46</f>
        <v>#NUM!</v>
      </c>
      <c r="BY46" s="83" t="e">
        <f ca="1">IF(AND(BX46&lt;0,BX45&gt;0), "Cruce -", IF(AND(BX46&gt;0,BX45&lt;0),"Cruce +", ""))</f>
        <v>#NUM!</v>
      </c>
      <c r="BZ46" s="83">
        <f t="shared" ref="BZ46:BZ79" ca="1" si="280">+$A$44*$A$44*BC46*BL46-$A$44*$A$44*BD46*BM46</f>
        <v>5991707.0063625462</v>
      </c>
      <c r="CA46" s="83" t="str">
        <f ca="1">IF(AND(BZ46&lt;0,BZ45&gt;0), "Cruce -", IF(AND(BZ46&gt;0,BZ45&lt;0),"Cruce +", ""))</f>
        <v/>
      </c>
      <c r="CB46" s="83">
        <f t="shared" ref="CB46:CB79" ca="1" si="281">+$A$44*$A$44*BE46*BN46-$A$44*$A$44*BF46*BO46</f>
        <v>2582682.609562838</v>
      </c>
      <c r="CC46" s="83" t="str">
        <f ca="1">IF(AND(CB46&lt;0,CB45&gt;0), "Cruce -", IF(AND(CB46&gt;0,CB45&lt;0),"Cruce +", ""))</f>
        <v/>
      </c>
      <c r="CD46" s="83">
        <f>IF(RTD("tos.rtd",,CD$43,"."&amp;$A$43&amp;$AS$42&amp;"C"&amp;$A46)="N/A",0,RTD("tos.rtd",,CD$43,"."&amp;$A$43&amp;$AS$42&amp;"C"&amp;$A46))</f>
        <v>0</v>
      </c>
      <c r="CE46" s="83">
        <f>-IF(RTD("tos.rtd",,CE$43,"."&amp;$A$43&amp;$AS$42&amp;"P"&amp;$A46)="N/A",0,RTD("tos.rtd",,CE$43,"."&amp;$A$43&amp;$AS$42&amp;"P"&amp;$A46))</f>
        <v>0.95</v>
      </c>
      <c r="CF46" s="83">
        <f>IF(RTD("tos.rtd",,CF$2,"."&amp;$A$43&amp;$AU$1&amp;"C"&amp;$A46)="N/A",0,RTD("tos.rtd",,CF$2,"."&amp;$A$43&amp;$AU$1&amp;"C"&amp;$A46))</f>
        <v>0.2</v>
      </c>
      <c r="CG46" s="83">
        <f>-IF(RTD("tos.rtd",,CG$2,"."&amp;$A$43&amp;$AU$1&amp;"P"&amp;$A46)="N/A",0,RTD("tos.rtd",,CG$2,"."&amp;$A$43&amp;$AU$1&amp;"P"&amp;$A46))</f>
        <v>0.81</v>
      </c>
      <c r="CH46" s="83">
        <f>IF(RTD("tos.rtd",,CH$2,"."&amp;$A$43&amp;$AW$1&amp;"C"&amp;$A46)="N/A",0,RTD("tos.rtd",,CH$2,"."&amp;$A$43&amp;$AW$1&amp;"C"&amp;$A46))</f>
        <v>0.3</v>
      </c>
      <c r="CI46" s="83">
        <f>-IF(RTD("tos.rtd",,CI$2,"."&amp;$A$43&amp;$AW$1&amp;"P"&amp;$A46)="N/A",0,RTD("tos.rtd",,CI$2,"."&amp;$A$43&amp;$AW$1&amp;"P"&amp;$A46))</f>
        <v>0.71</v>
      </c>
      <c r="CK46" s="83">
        <f t="shared" ref="CK46:CK79" si="282">+AS46*CD46*100+AT46*CE46*100</f>
        <v>0</v>
      </c>
      <c r="CL46" s="83"/>
      <c r="CM46" s="83">
        <f t="shared" ref="CM46:CM79" si="283">+AU46*CF46*100+AV46*CG46*100</f>
        <v>3080</v>
      </c>
      <c r="CN46" s="83"/>
      <c r="CO46" s="83">
        <f t="shared" ref="CO46:CO79" si="284">+AW46*CH46*100+AX46*CI46*100</f>
        <v>64164</v>
      </c>
      <c r="CP46" s="83">
        <f t="shared" si="232"/>
        <v>67244</v>
      </c>
      <c r="CQ46" s="83">
        <f t="shared" si="246"/>
        <v>4858</v>
      </c>
      <c r="CR46" s="83"/>
      <c r="CS46" s="83">
        <f t="shared" si="247"/>
        <v>1281</v>
      </c>
      <c r="CT46" s="83"/>
      <c r="CU46" s="83">
        <f t="shared" si="248"/>
        <v>561</v>
      </c>
      <c r="CV46" s="83"/>
      <c r="CW46" s="83" t="e">
        <f t="shared" ca="1" si="249"/>
        <v>#NUM!</v>
      </c>
      <c r="CY46" s="83" t="e">
        <f t="shared" ca="1" si="250"/>
        <v>#NUM!</v>
      </c>
      <c r="CZ46" s="70" t="e">
        <f ca="1">IF(AND(CY46&lt;0,CY45&gt;0), "Cruce -", IF(AND(CY46&gt;0,CY45&lt;0),"Cruce +", ""))</f>
        <v>#NUM!</v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11.44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12.23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11.87</v>
      </c>
      <c r="DG46" s="86">
        <f t="shared" ref="DG46:DG79" si="285">+$A46-$A$44</f>
        <v>12.04000000000002</v>
      </c>
      <c r="DH46" s="83">
        <f t="shared" si="251"/>
        <v>0</v>
      </c>
      <c r="DI46" s="83">
        <f t="shared" si="252"/>
        <v>0</v>
      </c>
      <c r="DJ46" s="83">
        <f t="shared" si="253"/>
        <v>0</v>
      </c>
      <c r="DK46" s="83">
        <f t="shared" si="254"/>
        <v>0</v>
      </c>
      <c r="DL46" s="83">
        <f t="shared" si="255"/>
        <v>0</v>
      </c>
      <c r="DM46" s="83">
        <f t="shared" si="256"/>
        <v>0</v>
      </c>
      <c r="DN46" s="64" t="str">
        <f t="shared" si="257"/>
        <v>UNKNOWN</v>
      </c>
      <c r="DO46" s="64" t="str">
        <f t="shared" si="258"/>
        <v>UNKNOWN</v>
      </c>
      <c r="DP46" s="83">
        <f t="shared" si="259"/>
        <v>0</v>
      </c>
      <c r="DQ46" s="83">
        <f t="shared" si="260"/>
        <v>0</v>
      </c>
      <c r="DR46" s="83" t="e">
        <f t="shared" ca="1" si="261"/>
        <v>#NUM!</v>
      </c>
      <c r="DS46" s="83">
        <f t="shared" si="262"/>
        <v>0</v>
      </c>
      <c r="DT46" s="83">
        <f t="shared" ref="DT46:DT79" si="286">BA46-VLOOKUP(AZ46,$AO$45:$AQ$79,2,FALSE)</f>
        <v>0</v>
      </c>
      <c r="DU46" s="83">
        <f t="shared" ref="DU46:DU79" si="287">BB46-VLOOKUP(AZ46,$AO$45:$AQ$79,3,FALSE)</f>
        <v>0</v>
      </c>
      <c r="DV46" s="83">
        <f t="shared" si="263"/>
        <v>3650</v>
      </c>
      <c r="DW46" s="83">
        <f t="shared" si="264"/>
        <v>-2</v>
      </c>
      <c r="DX46" s="83" t="e">
        <f ca="1">(EXP(-POWER((LN($A$44/$A46)+($EC$1+POWER($EE46,2)/2)*($EM$1/$DY$1))/($EE46*SQRT($EM$1/$DY$1)),2)/2)/SQRT(2*PI())/($A$44*$EE46*SQRT($EM$1/$DY$1)))</f>
        <v>#NUM!</v>
      </c>
      <c r="DY46" s="83" t="e">
        <f ca="1">-(EXP(-POWER((LN($A$44/$A46)+($EC$1+POWER($EF46,2)/2)*($EM$1/$DY$1))/($EF46*SQRT($EM$1/$DY$1)),2)/2)/SQRT(2*PI())/($A$44*$EF46*SQRT($EM$1/$DY$1)))</f>
        <v>#NUM!</v>
      </c>
      <c r="DZ46" s="83">
        <f ca="1">(EXP(-POWER((LN($A$44/$A46)+($EC$1+POWER($EG46,2)/2)*($EO$1/$DY$1))/($EG46*SQRT($EO$1/$DY$1)),2)/2)/SQRT(2*PI())/($A$44*$EG46*SQRT($EO$1/$DY$1)))</f>
        <v>1.9563870229409988E-2</v>
      </c>
      <c r="EA46" s="83">
        <f ca="1">-(EXP(-POWER((LN($A$44/$A46)+($EC$1+POWER($EH46,2)/2)*($EO$1/$DY$1))/($EH46*SQRT($EO$1/$DY$1)),2)/2)/SQRT(2*PI())/($A$44*$EH46*SQRT($EO$1/$DY$1)))</f>
        <v>-1.9751645877107107E-2</v>
      </c>
      <c r="EB46" s="83">
        <f ca="1">(EXP(-POWER((LN($A$44/$A46)+($EC$1+POWER($EI46,2)/2)*($EO$1/$DY$1))/($EI46*SQRT($EO$1/$DY$1)),2)/2)/SQRT(2*PI())/($A$44*$EI46*SQRT($EO$1/$DY$1)))</f>
        <v>1.9252128068465834E-2</v>
      </c>
      <c r="EC46" s="83">
        <f ca="1">-(EXP(-POWER((LN($A$44/$A46)+($EC$1+POWER($EJ46,2)/2)*($EO$1/$DY$1))/($EJ46*SQRT($EO$1/$DY$1)),2)/2)/SQRT(2*PI())/($A$44*$EJ46*SQRT($EO$1/$DY$1)))</f>
        <v>-1.9114888434674814E-2</v>
      </c>
      <c r="EE46" s="84">
        <f t="shared" si="265"/>
        <v>1.1996</v>
      </c>
      <c r="EF46" s="84">
        <f t="shared" si="266"/>
        <v>1.6604000000000001</v>
      </c>
      <c r="EG46" s="84">
        <f t="shared" si="267"/>
        <v>0.2026</v>
      </c>
      <c r="EH46" s="84">
        <f t="shared" si="268"/>
        <v>0.19869999999999999</v>
      </c>
      <c r="EI46" s="84">
        <f t="shared" si="269"/>
        <v>0.20899999999999999</v>
      </c>
      <c r="EJ46" s="84">
        <f t="shared" si="270"/>
        <v>0.21179999999999999</v>
      </c>
      <c r="EL46" s="83" t="str">
        <f>RTD("tos.rtd",,EL$43,"."&amp;$A$43&amp;$AS$42&amp;"C"&amp;$A46)</f>
        <v>119.96%</v>
      </c>
      <c r="EM46" s="83" t="str">
        <f>RTD("tos.rtd",,EM$43,"."&amp;$A$43&amp;$AS$42&amp;"P"&amp;$A46)</f>
        <v>166.04%</v>
      </c>
      <c r="EN46" s="83" t="str">
        <f>RTD("tos.rtd",,EN$2,"."&amp;$A$43&amp;$AU$1&amp;"C"&amp;$A46)</f>
        <v>20.26%</v>
      </c>
      <c r="EO46" s="83" t="str">
        <f>RTD("tos.rtd",,EO$2,"."&amp;$A$43&amp;$AU$1&amp;"P"&amp;$A46)</f>
        <v>19.87%</v>
      </c>
      <c r="EP46" s="83" t="str">
        <f>RTD("tos.rtd",,EP$2,"."&amp;$A$43&amp;$AW$1&amp;"C"&amp;$A46)</f>
        <v>20.90%</v>
      </c>
      <c r="EQ46" s="83" t="str">
        <f>RTD("tos.rtd",,EQ$2,"."&amp;$A$43&amp;$AW$1&amp;"P"&amp;$A46)</f>
        <v>21.18%</v>
      </c>
      <c r="ET46" s="64" t="str">
        <f t="shared" ca="1" si="271"/>
        <v>501,00.00</v>
      </c>
      <c r="EU46" s="67">
        <v>560.41</v>
      </c>
      <c r="EV46" s="67" t="s">
        <v>387</v>
      </c>
      <c r="EW46" s="67">
        <v>482.36</v>
      </c>
      <c r="EX46" s="67" t="s">
        <v>388</v>
      </c>
      <c r="EY46" s="67">
        <v>5619.25</v>
      </c>
      <c r="EZ46" s="67" t="s">
        <v>389</v>
      </c>
      <c r="FA46" s="67">
        <v>19819.5</v>
      </c>
      <c r="FB46" s="67" t="s">
        <v>390</v>
      </c>
      <c r="FC46" s="67" t="s">
        <v>391</v>
      </c>
      <c r="FD46" s="67" t="s">
        <v>392</v>
      </c>
      <c r="FE46" s="68" t="s">
        <v>393</v>
      </c>
      <c r="FF46" s="68" t="s">
        <v>394</v>
      </c>
    </row>
    <row r="47" spans="1:162" ht="13.5" thickBot="1" x14ac:dyDescent="0.25">
      <c r="A47" s="2">
        <f t="shared" ref="A47:A79" si="288">+A46-$A$39</f>
        <v>500</v>
      </c>
      <c r="B47" s="3">
        <f t="shared" si="238"/>
        <v>18667</v>
      </c>
      <c r="C47" s="3">
        <f t="shared" si="239"/>
        <v>7523</v>
      </c>
      <c r="D47" s="3">
        <f t="shared" si="240"/>
        <v>60082</v>
      </c>
      <c r="E47" s="3">
        <f>SUM(B47:D47)</f>
        <v>86272</v>
      </c>
      <c r="F47" s="4">
        <f>+$F$44/$A$44*A47</f>
        <v>20647.905759162306</v>
      </c>
      <c r="AM47" s="1">
        <v>3294</v>
      </c>
      <c r="AN47" s="1">
        <v>-92</v>
      </c>
      <c r="AO47" s="1">
        <v>500</v>
      </c>
      <c r="AP47" s="1">
        <v>7516</v>
      </c>
      <c r="AQ47" s="1">
        <v>-760</v>
      </c>
      <c r="AS47" s="6">
        <f>IF(RTD("tos.rtd",,AS$43,"."&amp;$A$43&amp;$AS$42&amp;"C"&amp;$A47)="N/A",0,RTD("tos.rtd",,AS$43,"."&amp;$A$43&amp;$AS$42&amp;"C"&amp;$A47))</f>
        <v>18568</v>
      </c>
      <c r="AT47" s="7">
        <f>-IF(RTD("tos.rtd",,AT$43,"."&amp;$A$43&amp;$AS$42&amp;"P"&amp;$A47)="N/A",0,RTD("tos.rtd",,AT$43,"."&amp;$A$43&amp;$AS$42&amp;"P"&amp;$A47))</f>
        <v>-99</v>
      </c>
      <c r="AU47" s="6">
        <f>IF(RTD("tos.rtd",,AU$2,"."&amp;$A$43&amp;$AU$1&amp;"C"&amp;$A47)="N/A",0,RTD("tos.rtd",,AU$2,"."&amp;$A$43&amp;$AU$1&amp;"C"&amp;$A47))</f>
        <v>7512</v>
      </c>
      <c r="AV47" s="7">
        <f>-IF(RTD("tos.rtd",,AV$2,"."&amp;$A$43&amp;$AU$1&amp;"P"&amp;$A47)="N/A",0,RTD("tos.rtd",,AV$2,"."&amp;$A$43&amp;$AU$1&amp;"P"&amp;$A47))</f>
        <v>-11</v>
      </c>
      <c r="AW47" s="6">
        <f>IF(RTD("tos.rtd",,AW$2,"."&amp;$A$43&amp;$AW$1&amp;"C"&amp;$A47)="N/A",0,RTD("tos.rtd",,AW$2,"."&amp;$A$43&amp;$AW$1&amp;"C"&amp;$A47))</f>
        <v>57403</v>
      </c>
      <c r="AX47" s="7">
        <f>-IF(RTD("tos.rtd",,AX$2,"."&amp;$A$43&amp;$AW$1&amp;"P"&amp;$A47)="N/A",0,RTD("tos.rtd",,AX$2,"."&amp;$A$43&amp;$AW$1&amp;"P"&amp;$A47))</f>
        <v>-2679</v>
      </c>
      <c r="AY47" s="7">
        <f t="shared" si="272"/>
        <v>80694</v>
      </c>
      <c r="AZ47" s="8">
        <f t="shared" si="242"/>
        <v>500</v>
      </c>
      <c r="BA47" s="6">
        <f>IF(RTD("tos.rtd",,BA$43,"."&amp;$A$43&amp;$AS$42&amp;"C"&amp;$A47)="N/A",0,RTD("tos.rtd",,BA$43,"."&amp;$A$43&amp;$AS$42&amp;"C"&amp;$A47))</f>
        <v>7516</v>
      </c>
      <c r="BB47" s="7">
        <f>-IF(RTD("tos.rtd",,BB$43,"."&amp;$A$43&amp;$AS$42&amp;"P"&amp;$A47)="N/A",0,RTD("tos.rtd",,BB$43,"."&amp;$A$43&amp;$AS$42&amp;"P"&amp;$A47))</f>
        <v>-760</v>
      </c>
      <c r="BC47" s="6">
        <f>IF(RTD("tos.rtd",,BC$2,"."&amp;$A$43&amp;$AU$1&amp;"C"&amp;$A47)="N/A",0,RTD("tos.rtd",,BC$2,"."&amp;$A$43&amp;$AU$1&amp;"C"&amp;$A47))</f>
        <v>9291</v>
      </c>
      <c r="BD47" s="7">
        <f>-IF(RTD("tos.rtd",,BD$2,"."&amp;$A$43&amp;$AU$1&amp;"P"&amp;$A47)="N/A",0,RTD("tos.rtd",,BD$2,"."&amp;$A$43&amp;$AU$1&amp;"P"&amp;$A47))</f>
        <v>-198</v>
      </c>
      <c r="BE47" s="6">
        <f>IF(RTD("tos.rtd",,BE$2,"."&amp;$A$43&amp;$AW$1&amp;"C"&amp;$A47)="N/A",0,RTD("tos.rtd",,BE$2,"."&amp;$A$43&amp;$AW$1&amp;"C"&amp;$A47))</f>
        <v>16004</v>
      </c>
      <c r="BF47" s="7">
        <f>-IF(RTD("tos.rtd",,BF$2,"."&amp;$A$43&amp;$AW$1&amp;"P"&amp;$A47)="N/A",0,RTD("tos.rtd",,BF$2,"."&amp;$A$43&amp;$AW$1&amp;"P"&amp;$A47))</f>
        <v>-1093</v>
      </c>
      <c r="BG47" s="32" t="e">
        <f ca="1">+Hoja2!Y48</f>
        <v>#N/A</v>
      </c>
      <c r="BH47" s="7" t="e">
        <f t="shared" ca="1" si="273"/>
        <v>#N/A</v>
      </c>
      <c r="BI47" s="8" t="e">
        <f t="shared" ref="BI47:BI79" ca="1" si="289">IF(AND(BH47&lt;0,BH46&gt;0), "Cruce -", IF(AND(BH47&gt;0,BH46&lt;0),"Cruce +", ""))</f>
        <v>#N/A</v>
      </c>
      <c r="BJ47" s="83" t="e">
        <f ca="1">IF($BP$1=1,DX47,IF(RTD("tos.rtd",,BJ$43,"."&amp;$A$43&amp;$AS$42&amp;"C"&amp;$A47)="N/A",0,RTD("tos.rtd",,BJ$43,"."&amp;$A$43&amp;$AS$42&amp;"C"&amp;$A47)))</f>
        <v>#NUM!</v>
      </c>
      <c r="BK47" s="83" t="e">
        <f ca="1">IF($BP$1=1,DY47,-IF(RTD("tos.rtd",,BK$43,"."&amp;$A$43&amp;$AS$42&amp;"P"&amp;$A47)="N/A",0,RTD("tos.rtd",,BK$43,"."&amp;$A$43&amp;$AS$42&amp;"P"&amp;$A47)))</f>
        <v>#NUM!</v>
      </c>
      <c r="BL47" s="83">
        <f ca="1">IF($BP$1=1,DZ47,IF(RTD("tos.rtd",,BL$2,"."&amp;$A$43&amp;$AU$1&amp;"C"&amp;$A47)="N/A",0,RTD("tos.rtd",,BL$2,"."&amp;$A$43&amp;$AU$1&amp;"C"&amp;$A47)))</f>
        <v>2.0293804887945036E-2</v>
      </c>
      <c r="BM47" s="83">
        <f ca="1">IF($BP$1=1,EA47,-IF(RTD("tos.rtd",,BM$2,"."&amp;$A$43&amp;$AU$1&amp;"P"&amp;$A47)="N/A",0,RTD("tos.rtd",,BM$2,"."&amp;$A$43&amp;$AU$1&amp;"P"&amp;$A47)))</f>
        <v>-1.9544907674863797E-2</v>
      </c>
      <c r="BN47" s="83">
        <f ca="1">IF($BP$1=1,EB47,IF(RTD("tos.rtd",,BN$2,"."&amp;$A$43&amp;$AW$1&amp;"C"&amp;$A47)="N/A",0,RTD("tos.rtd",,BN$2,"."&amp;$A$43&amp;$AW$1&amp;"C"&amp;$A47)))</f>
        <v>1.9908648806894854E-2</v>
      </c>
      <c r="BO47" s="83">
        <f ca="1">IF($BP$1=1,EC47,-IF(RTD("tos.rtd",,BO$2,"."&amp;$A$43&amp;$AW$1&amp;"P"&amp;$A47)="N/A",0,RTD("tos.rtd",,BO$2,"."&amp;$A$43&amp;$AW$1&amp;"P"&amp;$A47)))</f>
        <v>-1.9740650308569772E-2</v>
      </c>
      <c r="BQ47" s="83" t="e">
        <f t="shared" ca="1" si="274"/>
        <v>#NUM!</v>
      </c>
      <c r="BR47" s="3" t="e">
        <f t="shared" ca="1" si="275"/>
        <v>#NUM!</v>
      </c>
      <c r="BS47" s="83">
        <f t="shared" ca="1" si="276"/>
        <v>36395929.337109365</v>
      </c>
      <c r="BT47" s="3" t="str">
        <f t="shared" ca="1" si="277"/>
        <v/>
      </c>
      <c r="BU47" s="83">
        <f t="shared" ca="1" si="278"/>
        <v>260582745.99456805</v>
      </c>
      <c r="BV47" s="83"/>
      <c r="BX47" s="83" t="e">
        <f t="shared" ca="1" si="279"/>
        <v>#NUM!</v>
      </c>
      <c r="BY47" s="83" t="e">
        <f t="shared" ref="BY47:CC79" ca="1" si="290">IF(AND(BX47&lt;0,BX46&gt;0), "Cruce -", IF(AND(BX47&gt;0,BX46&lt;0),"Cruce +", ""))</f>
        <v>#NUM!</v>
      </c>
      <c r="BZ47" s="83">
        <f t="shared" ca="1" si="280"/>
        <v>44153605.910695903</v>
      </c>
      <c r="CA47" s="83" t="str">
        <f t="shared" ca="1" si="290"/>
        <v/>
      </c>
      <c r="CB47" s="83">
        <f t="shared" ca="1" si="281"/>
        <v>71017237.079703659</v>
      </c>
      <c r="CC47" s="83" t="str">
        <f t="shared" ca="1" si="290"/>
        <v/>
      </c>
      <c r="CD47" s="83">
        <f>IF(RTD("tos.rtd",,CD$43,"."&amp;$A$43&amp;$AS$42&amp;"C"&amp;$A47)="N/A",0,RTD("tos.rtd",,CD$43,"."&amp;$A$43&amp;$AS$42&amp;"C"&amp;$A47))</f>
        <v>0</v>
      </c>
      <c r="CE47" s="83">
        <f>-IF(RTD("tos.rtd",,CE$43,"."&amp;$A$43&amp;$AS$42&amp;"P"&amp;$A47)="N/A",0,RTD("tos.rtd",,CE$43,"."&amp;$A$43&amp;$AS$42&amp;"P"&amp;$A47))</f>
        <v>0.95</v>
      </c>
      <c r="CF47" s="83">
        <f>IF(RTD("tos.rtd",,CF$2,"."&amp;$A$43&amp;$AU$1&amp;"C"&amp;$A47)="N/A",0,RTD("tos.rtd",,CF$2,"."&amp;$A$43&amp;$AU$1&amp;"C"&amp;$A47))</f>
        <v>0.23</v>
      </c>
      <c r="CG47" s="83">
        <f>-IF(RTD("tos.rtd",,CG$2,"."&amp;$A$43&amp;$AU$1&amp;"P"&amp;$A47)="N/A",0,RTD("tos.rtd",,CG$2,"."&amp;$A$43&amp;$AU$1&amp;"P"&amp;$A47))</f>
        <v>0.76</v>
      </c>
      <c r="CH47" s="83">
        <f>IF(RTD("tos.rtd",,CH$2,"."&amp;$A$43&amp;$AW$1&amp;"C"&amp;$A47)="N/A",0,RTD("tos.rtd",,CH$2,"."&amp;$A$43&amp;$AW$1&amp;"C"&amp;$A47))</f>
        <v>0.31</v>
      </c>
      <c r="CI47" s="83">
        <f>-IF(RTD("tos.rtd",,CI$2,"."&amp;$A$43&amp;$AW$1&amp;"P"&amp;$A47)="N/A",0,RTD("tos.rtd",,CI$2,"."&amp;$A$43&amp;$AW$1&amp;"P"&amp;$A47))</f>
        <v>0.69</v>
      </c>
      <c r="CK47" s="83">
        <f t="shared" si="282"/>
        <v>-9405</v>
      </c>
      <c r="CL47" s="83"/>
      <c r="CM47" s="83">
        <f t="shared" si="283"/>
        <v>171940</v>
      </c>
      <c r="CN47" s="83"/>
      <c r="CO47" s="83">
        <f t="shared" si="284"/>
        <v>1594642</v>
      </c>
      <c r="CP47" s="83">
        <f t="shared" si="232"/>
        <v>1757177</v>
      </c>
      <c r="CQ47" s="83">
        <f t="shared" si="246"/>
        <v>6756</v>
      </c>
      <c r="CR47" s="83"/>
      <c r="CS47" s="83">
        <f t="shared" si="247"/>
        <v>9093</v>
      </c>
      <c r="CT47" s="83"/>
      <c r="CU47" s="83">
        <f t="shared" si="248"/>
        <v>14911</v>
      </c>
      <c r="CV47" s="83"/>
      <c r="CW47" s="83" t="e">
        <f t="shared" ca="1" si="249"/>
        <v>#NUM!</v>
      </c>
      <c r="CY47" s="83" t="e">
        <f t="shared" ca="1" si="250"/>
        <v>#NUM!</v>
      </c>
      <c r="CZ47" s="70" t="e">
        <f t="shared" ref="CZ47:CZ79" ca="1" si="291">IF(AND(CY47&lt;0,CY46&gt;0), "Cruce -", IF(AND(CY47&gt;0,CY46&lt;0),"Cruce +", ""))</f>
        <v>#NUM!</v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11.05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11.2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10.95</v>
      </c>
      <c r="DG47" s="86">
        <f t="shared" si="285"/>
        <v>11.04000000000002</v>
      </c>
      <c r="DH47" s="83">
        <f t="shared" si="251"/>
        <v>0</v>
      </c>
      <c r="DI47" s="83">
        <f t="shared" si="252"/>
        <v>0</v>
      </c>
      <c r="DJ47" s="83">
        <f t="shared" si="253"/>
        <v>0</v>
      </c>
      <c r="DK47" s="83">
        <f t="shared" si="254"/>
        <v>0</v>
      </c>
      <c r="DL47" s="83">
        <f t="shared" si="255"/>
        <v>0</v>
      </c>
      <c r="DM47" s="83">
        <f t="shared" si="256"/>
        <v>0</v>
      </c>
      <c r="DN47" s="64" t="str">
        <f t="shared" si="257"/>
        <v>UNKNOWN</v>
      </c>
      <c r="DO47" s="64" t="str">
        <f t="shared" si="258"/>
        <v>UNKNOWN</v>
      </c>
      <c r="DP47" s="83">
        <f t="shared" si="259"/>
        <v>0</v>
      </c>
      <c r="DQ47" s="83">
        <f t="shared" si="260"/>
        <v>0</v>
      </c>
      <c r="DR47" s="83" t="e">
        <f t="shared" ca="1" si="261"/>
        <v>#NUM!</v>
      </c>
      <c r="DS47" s="83">
        <f t="shared" si="262"/>
        <v>0</v>
      </c>
      <c r="DT47" s="83">
        <f t="shared" si="286"/>
        <v>0</v>
      </c>
      <c r="DU47" s="83">
        <f t="shared" si="287"/>
        <v>0</v>
      </c>
      <c r="DV47" s="83">
        <f t="shared" si="263"/>
        <v>3294</v>
      </c>
      <c r="DW47" s="83">
        <f t="shared" si="264"/>
        <v>-92</v>
      </c>
      <c r="DX47" s="83" t="e">
        <f ca="1">(EXP(-POWER((LN($A$44/$A47)+($EC$1+POWER($EE47,2)/2)*($EM$1/$DY$1))/($EE47*SQRT($EM$1/$DY$1)),2)/2)/SQRT(2*PI())/($A$44*$EE47*SQRT($EM$1/$DY$1)))</f>
        <v>#NUM!</v>
      </c>
      <c r="DY47" s="83" t="e">
        <f ca="1">-(EXP(-POWER((LN($A$44/$A47)+($EC$1+POWER($EF47,2)/2)*($EM$1/$DY$1))/($EF47*SQRT($EM$1/$DY$1)),2)/2)/SQRT(2*PI())/($A$44*$EF47*SQRT($EM$1/$DY$1)))</f>
        <v>#NUM!</v>
      </c>
      <c r="DZ47" s="83">
        <f ca="1">(EXP(-POWER((LN($A$44/$A47)+($EC$1+POWER($EG47,2)/2)*($EO$1/$DY$1))/($EG47*SQRT($EO$1/$DY$1)),2)/2)/SQRT(2*PI())/($A$44*$EG47*SQRT($EO$1/$DY$1)))</f>
        <v>2.0293804887945036E-2</v>
      </c>
      <c r="EA47" s="83">
        <f ca="1">-(EXP(-POWER((LN($A$44/$A47)+($EC$1+POWER($EH47,2)/2)*($EO$1/$DY$1))/($EH47*SQRT($EO$1/$DY$1)),2)/2)/SQRT(2*PI())/($A$44*$EH47*SQRT($EO$1/$DY$1)))</f>
        <v>-1.9544907674863797E-2</v>
      </c>
      <c r="EB47" s="83">
        <f ca="1">(EXP(-POWER((LN($A$44/$A47)+($EC$1+POWER($EI47,2)/2)*($EO$1/$DY$1))/($EI47*SQRT($EO$1/$DY$1)),2)/2)/SQRT(2*PI())/($A$44*$EI47*SQRT($EO$1/$DY$1)))</f>
        <v>1.9908648806894854E-2</v>
      </c>
      <c r="EC47" s="83">
        <f ca="1">-(EXP(-POWER((LN($A$44/$A47)+($EC$1+POWER($EJ47,2)/2)*($EO$1/$DY$1))/($EJ47*SQRT($EO$1/$DY$1)),2)/2)/SQRT(2*PI())/($A$44*$EJ47*SQRT($EO$1/$DY$1)))</f>
        <v>-1.9740650308569772E-2</v>
      </c>
      <c r="EE47" s="84">
        <f t="shared" si="265"/>
        <v>1.111</v>
      </c>
      <c r="EF47" s="84">
        <f t="shared" si="266"/>
        <v>1.5955999999999999</v>
      </c>
      <c r="EG47" s="84">
        <f t="shared" si="267"/>
        <v>0.20380000000000001</v>
      </c>
      <c r="EH47" s="84">
        <f t="shared" si="268"/>
        <v>0.2167</v>
      </c>
      <c r="EI47" s="84">
        <f t="shared" si="269"/>
        <v>0.2104</v>
      </c>
      <c r="EJ47" s="84">
        <f t="shared" si="270"/>
        <v>0.21329999999999999</v>
      </c>
      <c r="EL47" s="83" t="str">
        <f>RTD("tos.rtd",,EL$43,"."&amp;$A$43&amp;$AS$42&amp;"C"&amp;$A47)</f>
        <v>111.10%</v>
      </c>
      <c r="EM47" s="83" t="str">
        <f>RTD("tos.rtd",,EM$43,"."&amp;$A$43&amp;$AS$42&amp;"P"&amp;$A47)</f>
        <v>159.56%</v>
      </c>
      <c r="EN47" s="83" t="str">
        <f>RTD("tos.rtd",,EN$2,"."&amp;$A$43&amp;$AU$1&amp;"C"&amp;$A47)</f>
        <v>20.38%</v>
      </c>
      <c r="EO47" s="83" t="str">
        <f>RTD("tos.rtd",,EO$2,"."&amp;$A$43&amp;$AU$1&amp;"P"&amp;$A47)</f>
        <v>21.67%</v>
      </c>
      <c r="EP47" s="83" t="str">
        <f>RTD("tos.rtd",,EP$2,"."&amp;$A$43&amp;$AW$1&amp;"C"&amp;$A47)</f>
        <v>21.04%</v>
      </c>
      <c r="EQ47" s="83" t="str">
        <f>RTD("tos.rtd",,EQ$2,"."&amp;$A$43&amp;$AW$1&amp;"P"&amp;$A47)</f>
        <v>21.33%</v>
      </c>
      <c r="ET47" s="64" t="str">
        <f t="shared" ca="1" si="271"/>
        <v>500,00.00</v>
      </c>
      <c r="EU47" s="67">
        <v>560.54999999999995</v>
      </c>
      <c r="EV47" s="67" t="s">
        <v>395</v>
      </c>
      <c r="EW47" s="67">
        <v>482.5</v>
      </c>
      <c r="EX47" s="67" t="s">
        <v>396</v>
      </c>
      <c r="EY47" s="67">
        <v>5620.5</v>
      </c>
      <c r="EZ47" s="67" t="s">
        <v>397</v>
      </c>
      <c r="FA47" s="67">
        <v>19826</v>
      </c>
      <c r="FB47" s="67" t="s">
        <v>398</v>
      </c>
      <c r="FC47" s="67" t="s">
        <v>399</v>
      </c>
      <c r="FD47" s="67" t="s">
        <v>400</v>
      </c>
      <c r="FE47" s="68" t="s">
        <v>401</v>
      </c>
      <c r="FF47" s="68" t="s">
        <v>402</v>
      </c>
    </row>
    <row r="48" spans="1:162" ht="13.5" thickBot="1" x14ac:dyDescent="0.25">
      <c r="A48" s="2">
        <f t="shared" si="288"/>
        <v>499</v>
      </c>
      <c r="B48" s="3">
        <f t="shared" si="238"/>
        <v>3864</v>
      </c>
      <c r="C48" s="3">
        <f t="shared" si="239"/>
        <v>587</v>
      </c>
      <c r="D48" s="3">
        <f t="shared" si="240"/>
        <v>0</v>
      </c>
      <c r="E48" s="3">
        <f t="shared" si="241"/>
        <v>4451</v>
      </c>
      <c r="F48" s="4">
        <f t="shared" ref="F48:F79" si="292">+$F$44/$A$44*A48</f>
        <v>20606.609947643981</v>
      </c>
      <c r="AM48" s="1">
        <v>-103</v>
      </c>
      <c r="AN48" s="1">
        <v>0</v>
      </c>
      <c r="AO48" s="1">
        <v>499</v>
      </c>
      <c r="AP48" s="1">
        <v>4175</v>
      </c>
      <c r="AQ48" s="1">
        <v>-140</v>
      </c>
      <c r="AS48" s="6">
        <f>IF(RTD("tos.rtd",,AS$43,"."&amp;$A$43&amp;$AS$42&amp;"C"&amp;$A48)="N/A",0,RTD("tos.rtd",,AS$43,"."&amp;$A$43&amp;$AS$42&amp;"C"&amp;$A48))</f>
        <v>3864</v>
      </c>
      <c r="AT48" s="7">
        <f>-IF(RTD("tos.rtd",,AT$43,"."&amp;$A$43&amp;$AS$42&amp;"P"&amp;$A48)="N/A",0,RTD("tos.rtd",,AT$43,"."&amp;$A$43&amp;$AS$42&amp;"P"&amp;$A48))</f>
        <v>0</v>
      </c>
      <c r="AU48" s="6">
        <f>IF(RTD("tos.rtd",,AU$2,"."&amp;$A$43&amp;$AU$1&amp;"C"&amp;$A48)="N/A",0,RTD("tos.rtd",,AU$2,"."&amp;$A$43&amp;$AU$1&amp;"C"&amp;$A48))</f>
        <v>587</v>
      </c>
      <c r="AV48" s="7">
        <f>-IF(RTD("tos.rtd",,AV$2,"."&amp;$A$43&amp;$AU$1&amp;"P"&amp;$A48)="N/A",0,RTD("tos.rtd",,AV$2,"."&amp;$A$43&amp;$AU$1&amp;"P"&amp;$A48))</f>
        <v>0</v>
      </c>
      <c r="AW48" s="6">
        <f>IF(RTD("tos.rtd",,AW$2,"."&amp;$A$43&amp;$AW$1&amp;"C"&amp;$A48)="N/A",0,RTD("tos.rtd",,AW$2,"."&amp;$A$43&amp;$AW$1&amp;"C"&amp;$A48))</f>
        <v>0</v>
      </c>
      <c r="AX48" s="7">
        <f>-IF(RTD("tos.rtd",,AX$2,"."&amp;$A$43&amp;$AW$1&amp;"P"&amp;$A48)="N/A",0,RTD("tos.rtd",,AX$2,"."&amp;$A$43&amp;$AW$1&amp;"P"&amp;$A48))</f>
        <v>0</v>
      </c>
      <c r="AY48" s="7">
        <f t="shared" si="272"/>
        <v>4451</v>
      </c>
      <c r="AZ48" s="8">
        <f t="shared" si="242"/>
        <v>499</v>
      </c>
      <c r="BA48" s="6">
        <f>IF(RTD("tos.rtd",,BA$43,"."&amp;$A$43&amp;$AS$42&amp;"C"&amp;$A48)="N/A",0,RTD("tos.rtd",,BA$43,"."&amp;$A$43&amp;$AS$42&amp;"C"&amp;$A48))</f>
        <v>4175</v>
      </c>
      <c r="BB48" s="7">
        <f>-IF(RTD("tos.rtd",,BB$43,"."&amp;$A$43&amp;$AS$42&amp;"P"&amp;$A48)="N/A",0,RTD("tos.rtd",,BB$43,"."&amp;$A$43&amp;$AS$42&amp;"P"&amp;$A48))</f>
        <v>-140</v>
      </c>
      <c r="BC48" s="6">
        <f>IF(RTD("tos.rtd",,BC$2,"."&amp;$A$43&amp;$AU$1&amp;"C"&amp;$A48)="N/A",0,RTD("tos.rtd",,BC$2,"."&amp;$A$43&amp;$AU$1&amp;"C"&amp;$A48))</f>
        <v>1074</v>
      </c>
      <c r="BD48" s="7">
        <f>-IF(RTD("tos.rtd",,BD$2,"."&amp;$A$43&amp;$AU$1&amp;"P"&amp;$A48)="N/A",0,RTD("tos.rtd",,BD$2,"."&amp;$A$43&amp;$AU$1&amp;"P"&amp;$A48))</f>
        <v>-7</v>
      </c>
      <c r="BE48" s="6">
        <f>IF(RTD("tos.rtd",,BE$2,"."&amp;$A$43&amp;$AW$1&amp;"C"&amp;$A48)="N/A",0,RTD("tos.rtd",,BE$2,"."&amp;$A$43&amp;$AW$1&amp;"C"&amp;$A48))</f>
        <v>0</v>
      </c>
      <c r="BF48" s="7">
        <f>-IF(RTD("tos.rtd",,BF$2,"."&amp;$A$43&amp;$AW$1&amp;"P"&amp;$A48)="N/A",0,RTD("tos.rtd",,BF$2,"."&amp;$A$43&amp;$AW$1&amp;"P"&amp;$A48))</f>
        <v>0</v>
      </c>
      <c r="BG48" s="32" t="e">
        <f ca="1">+Hoja2!Y49</f>
        <v>#N/A</v>
      </c>
      <c r="BH48" s="7" t="e">
        <f t="shared" ca="1" si="273"/>
        <v>#N/A</v>
      </c>
      <c r="BI48" s="8" t="e">
        <f t="shared" ca="1" si="289"/>
        <v>#N/A</v>
      </c>
      <c r="BJ48" s="83" t="e">
        <f ca="1">IF($BP$1=1,DX48,IF(RTD("tos.rtd",,BJ$43,"."&amp;$A$43&amp;$AS$42&amp;"C"&amp;$A48)="N/A",0,RTD("tos.rtd",,BJ$43,"."&amp;$A$43&amp;$AS$42&amp;"C"&amp;$A48)))</f>
        <v>#NUM!</v>
      </c>
      <c r="BK48" s="83" t="e">
        <f ca="1">IF($BP$1=1,DY48,-IF(RTD("tos.rtd",,BK$43,"."&amp;$A$43&amp;$AS$42&amp;"P"&amp;$A48)="N/A",0,RTD("tos.rtd",,BK$43,"."&amp;$A$43&amp;$AS$42&amp;"P"&amp;$A48)))</f>
        <v>#NUM!</v>
      </c>
      <c r="BL48" s="83">
        <f ca="1">IF($BP$1=1,DZ48,IF(RTD("tos.rtd",,BL$2,"."&amp;$A$43&amp;$AU$1&amp;"C"&amp;$A48)="N/A",0,RTD("tos.rtd",,BL$2,"."&amp;$A$43&amp;$AU$1&amp;"C"&amp;$A48)))</f>
        <v>2.092230372425305E-2</v>
      </c>
      <c r="BM48" s="83">
        <f ca="1">IF($BP$1=1,EA48,-IF(RTD("tos.rtd",,BM$2,"."&amp;$A$43&amp;$AU$1&amp;"P"&amp;$A48)="N/A",0,RTD("tos.rtd",,BM$2,"."&amp;$A$43&amp;$AU$1&amp;"P"&amp;$A48)))</f>
        <v>-2.1788203397635795E-2</v>
      </c>
      <c r="BN48" s="83">
        <f ca="1">IF($BP$1=1,EB48,IF(RTD("tos.rtd",,BN$2,"."&amp;$A$43&amp;$AW$1&amp;"C"&amp;$A48)="N/A",0,RTD("tos.rtd",,BN$2,"."&amp;$A$43&amp;$AW$1&amp;"C"&amp;$A48)))</f>
        <v>1.8149083188953728E-2</v>
      </c>
      <c r="BO48" s="83">
        <f ca="1">IF($BP$1=1,EC48,-IF(RTD("tos.rtd",,BO$2,"."&amp;$A$43&amp;$AW$1&amp;"P"&amp;$A48)="N/A",0,RTD("tos.rtd",,BO$2,"."&amp;$A$43&amp;$AW$1&amp;"P"&amp;$A48)))</f>
        <v>-1.8149083188953728E-2</v>
      </c>
      <c r="BQ48" s="83" t="e">
        <f t="shared" ca="1" si="274"/>
        <v>#NUM!</v>
      </c>
      <c r="BR48" s="3" t="e">
        <f t="shared" ca="1" si="275"/>
        <v>#NUM!</v>
      </c>
      <c r="BS48" s="83">
        <f t="shared" ca="1" si="276"/>
        <v>2936258.3764372491</v>
      </c>
      <c r="BT48" s="3" t="str">
        <f t="shared" ca="1" si="277"/>
        <v/>
      </c>
      <c r="BU48" s="83">
        <f t="shared" ca="1" si="278"/>
        <v>0</v>
      </c>
      <c r="BV48" s="83"/>
      <c r="BX48" s="83" t="e">
        <f t="shared" ca="1" si="279"/>
        <v>#NUM!</v>
      </c>
      <c r="BY48" s="83" t="e">
        <f t="shared" ca="1" si="290"/>
        <v>#NUM!</v>
      </c>
      <c r="BZ48" s="83">
        <f t="shared" ca="1" si="280"/>
        <v>5335838.2260394571</v>
      </c>
      <c r="CA48" s="83" t="str">
        <f t="shared" ca="1" si="290"/>
        <v/>
      </c>
      <c r="CB48" s="83">
        <f t="shared" ca="1" si="281"/>
        <v>0</v>
      </c>
      <c r="CC48" s="83" t="str">
        <f t="shared" ca="1" si="290"/>
        <v/>
      </c>
      <c r="CD48" s="83">
        <f>IF(RTD("tos.rtd",,CD$43,"."&amp;$A$43&amp;$AS$42&amp;"C"&amp;$A48)="N/A",0,RTD("tos.rtd",,CD$43,"."&amp;$A$43&amp;$AS$42&amp;"C"&amp;$A48))</f>
        <v>0</v>
      </c>
      <c r="CE48" s="83">
        <f>-IF(RTD("tos.rtd",,CE$43,"."&amp;$A$43&amp;$AS$42&amp;"P"&amp;$A48)="N/A",0,RTD("tos.rtd",,CE$43,"."&amp;$A$43&amp;$AS$42&amp;"P"&amp;$A48))</f>
        <v>0.95</v>
      </c>
      <c r="CF48" s="83">
        <f>IF(RTD("tos.rtd",,CF$2,"."&amp;$A$43&amp;$AU$1&amp;"C"&amp;$A48)="N/A",0,RTD("tos.rtd",,CF$2,"."&amp;$A$43&amp;$AU$1&amp;"C"&amp;$A48))</f>
        <v>0.25</v>
      </c>
      <c r="CG48" s="83">
        <f>-IF(RTD("tos.rtd",,CG$2,"."&amp;$A$43&amp;$AU$1&amp;"P"&amp;$A48)="N/A",0,RTD("tos.rtd",,CG$2,"."&amp;$A$43&amp;$AU$1&amp;"P"&amp;$A48))</f>
        <v>0.77</v>
      </c>
      <c r="CH48" s="83">
        <f>IF(RTD("tos.rtd",,CH$2,"."&amp;$A$43&amp;$AW$1&amp;"C"&amp;$A48)="N/A",0,RTD("tos.rtd",,CH$2,"."&amp;$A$43&amp;$AW$1&amp;"C"&amp;$A48))</f>
        <v>0</v>
      </c>
      <c r="CI48" s="83">
        <f>-IF(RTD("tos.rtd",,CI$2,"."&amp;$A$43&amp;$AW$1&amp;"P"&amp;$A48)="N/A",0,RTD("tos.rtd",,CI$2,"."&amp;$A$43&amp;$AW$1&amp;"P"&amp;$A48))</f>
        <v>0</v>
      </c>
      <c r="CK48" s="83">
        <f t="shared" si="282"/>
        <v>0</v>
      </c>
      <c r="CL48" s="83"/>
      <c r="CM48" s="83">
        <f t="shared" si="283"/>
        <v>14675</v>
      </c>
      <c r="CN48" s="83"/>
      <c r="CO48" s="83">
        <f t="shared" si="284"/>
        <v>0</v>
      </c>
      <c r="CP48" s="83">
        <f t="shared" si="232"/>
        <v>14675</v>
      </c>
      <c r="CQ48" s="83">
        <f t="shared" si="246"/>
        <v>4035</v>
      </c>
      <c r="CR48" s="83"/>
      <c r="CS48" s="83">
        <f t="shared" si="247"/>
        <v>1067</v>
      </c>
      <c r="CT48" s="83"/>
      <c r="CU48" s="83">
        <f t="shared" si="248"/>
        <v>0</v>
      </c>
      <c r="CV48" s="83"/>
      <c r="CW48" s="83" t="e">
        <f t="shared" ca="1" si="249"/>
        <v>#NUM!</v>
      </c>
      <c r="CY48" s="83" t="e">
        <f t="shared" ca="1" si="250"/>
        <v>#NUM!</v>
      </c>
      <c r="CZ48" s="70" t="e">
        <f t="shared" ca="1" si="291"/>
        <v>#NUM!</v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8.6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10.23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9.91</v>
      </c>
      <c r="DG48" s="86">
        <f t="shared" si="285"/>
        <v>10.04000000000002</v>
      </c>
      <c r="DH48" s="83">
        <f t="shared" si="251"/>
        <v>0</v>
      </c>
      <c r="DI48" s="83">
        <f t="shared" si="252"/>
        <v>0</v>
      </c>
      <c r="DJ48" s="83">
        <f t="shared" si="253"/>
        <v>0</v>
      </c>
      <c r="DK48" s="83">
        <f t="shared" si="254"/>
        <v>0</v>
      </c>
      <c r="DL48" s="83">
        <f t="shared" si="255"/>
        <v>0</v>
      </c>
      <c r="DM48" s="83">
        <f t="shared" si="256"/>
        <v>0</v>
      </c>
      <c r="DN48" s="64" t="str">
        <f t="shared" si="257"/>
        <v>UNKNOWN</v>
      </c>
      <c r="DO48" s="64" t="str">
        <f t="shared" si="258"/>
        <v>UNKNOWN</v>
      </c>
      <c r="DP48" s="83">
        <f t="shared" si="259"/>
        <v>0</v>
      </c>
      <c r="DQ48" s="83">
        <f t="shared" si="260"/>
        <v>0</v>
      </c>
      <c r="DR48" s="83" t="e">
        <f t="shared" ca="1" si="261"/>
        <v>#NUM!</v>
      </c>
      <c r="DS48" s="83">
        <f t="shared" si="262"/>
        <v>0</v>
      </c>
      <c r="DT48" s="83">
        <f t="shared" si="286"/>
        <v>0</v>
      </c>
      <c r="DU48" s="83">
        <f t="shared" si="287"/>
        <v>0</v>
      </c>
      <c r="DV48" s="83">
        <f t="shared" si="263"/>
        <v>-103</v>
      </c>
      <c r="DW48" s="83">
        <f t="shared" si="264"/>
        <v>0</v>
      </c>
      <c r="DX48" s="83" t="e">
        <f ca="1">(EXP(-POWER((LN($A$44/$A48)+($EC$1+POWER($EE48,2)/2)*($EM$1/$DY$1))/($EE48*SQRT($EM$1/$DY$1)),2)/2)/SQRT(2*PI())/($A$44*$EE48*SQRT($EM$1/$DY$1)))</f>
        <v>#NUM!</v>
      </c>
      <c r="DY48" s="83" t="e">
        <f ca="1">-(EXP(-POWER((LN($A$44/$A48)+($EC$1+POWER($EF48,2)/2)*($EM$1/$DY$1))/($EF48*SQRT($EM$1/$DY$1)),2)/2)/SQRT(2*PI())/($A$44*$EF48*SQRT($EM$1/$DY$1)))</f>
        <v>#NUM!</v>
      </c>
      <c r="DZ48" s="83">
        <f ca="1">(EXP(-POWER((LN($A$44/$A48)+($EC$1+POWER($EG48,2)/2)*($EO$1/$DY$1))/($EG48*SQRT($EO$1/$DY$1)),2)/2)/SQRT(2*PI())/($A$44*$EG48*SQRT($EO$1/$DY$1)))</f>
        <v>2.092230372425305E-2</v>
      </c>
      <c r="EA48" s="83">
        <f ca="1">-(EXP(-POWER((LN($A$44/$A48)+($EC$1+POWER($EH48,2)/2)*($EO$1/$DY$1))/($EH48*SQRT($EO$1/$DY$1)),2)/2)/SQRT(2*PI())/($A$44*$EH48*SQRT($EO$1/$DY$1)))</f>
        <v>-2.1788203397635795E-2</v>
      </c>
      <c r="EB48" s="83">
        <f ca="1">(EXP(-POWER((LN($A$44/$A48)+($EC$1+POWER($EI48,2)/2)*($EO$1/$DY$1))/($EI48*SQRT($EO$1/$DY$1)),2)/2)/SQRT(2*PI())/($A$44*$EI48*SQRT($EO$1/$DY$1)))</f>
        <v>1.8149083188953728E-2</v>
      </c>
      <c r="EC48" s="83">
        <f ca="1">-(EXP(-POWER((LN($A$44/$A48)+($EC$1+POWER($EJ48,2)/2)*($EO$1/$DY$1))/($EJ48*SQRT($EO$1/$DY$1)),2)/2)/SQRT(2*PI())/($A$44*$EJ48*SQRT($EO$1/$DY$1)))</f>
        <v>-1.8149083188953728E-2</v>
      </c>
      <c r="EE48" s="84">
        <f t="shared" si="265"/>
        <v>1.0215000000000001</v>
      </c>
      <c r="EF48" s="84">
        <f t="shared" si="266"/>
        <v>1.4443999999999999</v>
      </c>
      <c r="EG48" s="84">
        <f t="shared" si="267"/>
        <v>0.20549999999999999</v>
      </c>
      <c r="EH48" s="84">
        <f t="shared" si="268"/>
        <v>0.193</v>
      </c>
      <c r="EI48" s="84">
        <f t="shared" si="269"/>
        <v>0.25</v>
      </c>
      <c r="EJ48" s="84">
        <f t="shared" si="270"/>
        <v>0.25</v>
      </c>
      <c r="EL48" s="83" t="str">
        <f>RTD("tos.rtd",,EL$43,"."&amp;$A$43&amp;$AS$42&amp;"C"&amp;$A48)</f>
        <v>102.15%</v>
      </c>
      <c r="EM48" s="83" t="str">
        <f>RTD("tos.rtd",,EM$43,"."&amp;$A$43&amp;$AS$42&amp;"P"&amp;$A48)</f>
        <v>144.44%</v>
      </c>
      <c r="EN48" s="83" t="str">
        <f>RTD("tos.rtd",,EN$2,"."&amp;$A$43&amp;$AU$1&amp;"C"&amp;$A48)</f>
        <v>20.55%</v>
      </c>
      <c r="EO48" s="83" t="str">
        <f>RTD("tos.rtd",,EO$2,"."&amp;$A$43&amp;$AU$1&amp;"P"&amp;$A48)</f>
        <v>19.30%</v>
      </c>
      <c r="EP48" s="83" t="str">
        <f>RTD("tos.rtd",,EP$2,"."&amp;$A$43&amp;$AW$1&amp;"C"&amp;$A48)</f>
        <v>N/A</v>
      </c>
      <c r="EQ48" s="83" t="str">
        <f>RTD("tos.rtd",,EQ$2,"."&amp;$A$43&amp;$AW$1&amp;"P"&amp;$A48)</f>
        <v>N/A</v>
      </c>
      <c r="ET48" s="64" t="str">
        <f t="shared" ca="1" si="271"/>
        <v>499,00.00</v>
      </c>
      <c r="EU48" s="67">
        <v>560.62</v>
      </c>
      <c r="EV48" s="67" t="s">
        <v>403</v>
      </c>
      <c r="EW48" s="67">
        <v>482.61</v>
      </c>
      <c r="EX48" s="67" t="s">
        <v>404</v>
      </c>
      <c r="EY48" s="67">
        <v>5621.5</v>
      </c>
      <c r="EZ48" s="67" t="s">
        <v>405</v>
      </c>
      <c r="FA48" s="67">
        <v>19828.25</v>
      </c>
      <c r="FB48" s="67" t="s">
        <v>406</v>
      </c>
      <c r="FC48" s="67" t="s">
        <v>407</v>
      </c>
      <c r="FD48" s="67" t="s">
        <v>408</v>
      </c>
      <c r="FE48" s="68" t="s">
        <v>409</v>
      </c>
      <c r="FF48" s="68" t="s">
        <v>410</v>
      </c>
    </row>
    <row r="49" spans="1:162" ht="13.5" thickBot="1" x14ac:dyDescent="0.25">
      <c r="A49" s="2">
        <f t="shared" si="288"/>
        <v>498</v>
      </c>
      <c r="B49" s="3">
        <f t="shared" ref="B49:B56" si="293">+IF($A$1="ABS",AS49-AT49,AS49+AT49)</f>
        <v>1319</v>
      </c>
      <c r="C49" s="3">
        <f t="shared" ref="C49:C56" si="294">+IF($A$1="ABS",AU49-AV49,AU49+AV49)</f>
        <v>496</v>
      </c>
      <c r="D49" s="3">
        <f t="shared" ref="D49:D56" si="295">+IF($A$1="ABS",AW49-AX49,AW49+AX49)</f>
        <v>0</v>
      </c>
      <c r="E49" s="3">
        <f t="shared" ref="E49:E56" si="296">SUM(B49:D49)</f>
        <v>1815</v>
      </c>
      <c r="F49" s="4">
        <f t="shared" ref="F49:F56" si="297">+$F$44/$A$44*A49</f>
        <v>20565.314136125657</v>
      </c>
      <c r="AM49" s="1">
        <v>-189</v>
      </c>
      <c r="AN49" s="1">
        <v>-53</v>
      </c>
      <c r="AO49" s="1">
        <v>498</v>
      </c>
      <c r="AP49" s="1">
        <v>4382</v>
      </c>
      <c r="AQ49" s="1">
        <v>-74</v>
      </c>
      <c r="AS49" s="6">
        <f>IF(RTD("tos.rtd",,AS$43,"."&amp;$A$43&amp;$AS$42&amp;"C"&amp;$A49)="N/A",0,RTD("tos.rtd",,AS$43,"."&amp;$A$43&amp;$AS$42&amp;"C"&amp;$A49))</f>
        <v>1319</v>
      </c>
      <c r="AT49" s="7">
        <f>-IF(RTD("tos.rtd",,AT$43,"."&amp;$A$43&amp;$AS$42&amp;"P"&amp;$A49)="N/A",0,RTD("tos.rtd",,AT$43,"."&amp;$A$43&amp;$AS$42&amp;"P"&amp;$A49))</f>
        <v>0</v>
      </c>
      <c r="AU49" s="6">
        <f>IF(RTD("tos.rtd",,AU$2,"."&amp;$A$43&amp;$AU$1&amp;"C"&amp;$A49)="N/A",0,RTD("tos.rtd",,AU$2,"."&amp;$A$43&amp;$AU$1&amp;"C"&amp;$A49))</f>
        <v>496</v>
      </c>
      <c r="AV49" s="7">
        <f>-IF(RTD("tos.rtd",,AV$2,"."&amp;$A$43&amp;$AU$1&amp;"P"&amp;$A49)="N/A",0,RTD("tos.rtd",,AV$2,"."&amp;$A$43&amp;$AU$1&amp;"P"&amp;$A49))</f>
        <v>0</v>
      </c>
      <c r="AW49" s="6">
        <f>IF(RTD("tos.rtd",,AW$2,"."&amp;$A$43&amp;$AW$1&amp;"C"&amp;$A49)="N/A",0,RTD("tos.rtd",,AW$2,"."&amp;$A$43&amp;$AW$1&amp;"C"&amp;$A49))</f>
        <v>0</v>
      </c>
      <c r="AX49" s="7">
        <f>-IF(RTD("tos.rtd",,AX$2,"."&amp;$A$43&amp;$AW$1&amp;"P"&amp;$A49)="N/A",0,RTD("tos.rtd",,AX$2,"."&amp;$A$43&amp;$AW$1&amp;"P"&amp;$A49))</f>
        <v>0</v>
      </c>
      <c r="AY49" s="7">
        <f t="shared" ref="AY49:AY56" si="298">SUM(AS49:AX49)</f>
        <v>1815</v>
      </c>
      <c r="AZ49" s="8">
        <f t="shared" si="242"/>
        <v>498</v>
      </c>
      <c r="BA49" s="6">
        <f>IF(RTD("tos.rtd",,BA$43,"."&amp;$A$43&amp;$AS$42&amp;"C"&amp;$A49)="N/A",0,RTD("tos.rtd",,BA$43,"."&amp;$A$43&amp;$AS$42&amp;"C"&amp;$A49))</f>
        <v>4382</v>
      </c>
      <c r="BB49" s="7">
        <f>-IF(RTD("tos.rtd",,BB$43,"."&amp;$A$43&amp;$AS$42&amp;"P"&amp;$A49)="N/A",0,RTD("tos.rtd",,BB$43,"."&amp;$A$43&amp;$AS$42&amp;"P"&amp;$A49))</f>
        <v>-74</v>
      </c>
      <c r="BC49" s="6">
        <f>IF(RTD("tos.rtd",,BC$2,"."&amp;$A$43&amp;$AU$1&amp;"C"&amp;$A49)="N/A",0,RTD("tos.rtd",,BC$2,"."&amp;$A$43&amp;$AU$1&amp;"C"&amp;$A49))</f>
        <v>700</v>
      </c>
      <c r="BD49" s="7">
        <f>-IF(RTD("tos.rtd",,BD$2,"."&amp;$A$43&amp;$AU$1&amp;"P"&amp;$A49)="N/A",0,RTD("tos.rtd",,BD$2,"."&amp;$A$43&amp;$AU$1&amp;"P"&amp;$A49))</f>
        <v>-53</v>
      </c>
      <c r="BE49" s="6">
        <f>IF(RTD("tos.rtd",,BE$2,"."&amp;$A$43&amp;$AW$1&amp;"C"&amp;$A49)="N/A",0,RTD("tos.rtd",,BE$2,"."&amp;$A$43&amp;$AW$1&amp;"C"&amp;$A49))</f>
        <v>0</v>
      </c>
      <c r="BF49" s="7">
        <f>-IF(RTD("tos.rtd",,BF$2,"."&amp;$A$43&amp;$AW$1&amp;"P"&amp;$A49)="N/A",0,RTD("tos.rtd",,BF$2,"."&amp;$A$43&amp;$AW$1&amp;"P"&amp;$A49))</f>
        <v>0</v>
      </c>
      <c r="BG49" s="32" t="e">
        <f ca="1">+Hoja2!Y50</f>
        <v>#N/A</v>
      </c>
      <c r="BH49" s="7" t="e">
        <f t="shared" ca="1" si="273"/>
        <v>#N/A</v>
      </c>
      <c r="BI49" s="8" t="e">
        <f t="shared" ca="1" si="289"/>
        <v>#N/A</v>
      </c>
      <c r="BJ49" s="83" t="e">
        <f ca="1">IF($BP$1=1,DX49,IF(RTD("tos.rtd",,BJ$43,"."&amp;$A$43&amp;$AS$42&amp;"C"&amp;$A49)="N/A",0,RTD("tos.rtd",,BJ$43,"."&amp;$A$43&amp;$AS$42&amp;"C"&amp;$A49)))</f>
        <v>#NUM!</v>
      </c>
      <c r="BK49" s="83" t="e">
        <f ca="1">IF($BP$1=1,DY49,-IF(RTD("tos.rtd",,BK$43,"."&amp;$A$43&amp;$AS$42&amp;"P"&amp;$A49)="N/A",0,RTD("tos.rtd",,BK$43,"."&amp;$A$43&amp;$AS$42&amp;"P"&amp;$A49)))</f>
        <v>#NUM!</v>
      </c>
      <c r="BL49" s="83">
        <f ca="1">IF($BP$1=1,DZ49,IF(RTD("tos.rtd",,BL$2,"."&amp;$A$43&amp;$AU$1&amp;"C"&amp;$A49)="N/A",0,RTD("tos.rtd",,BL$2,"."&amp;$A$43&amp;$AU$1&amp;"C"&amp;$A49)))</f>
        <v>2.1492247603862029E-2</v>
      </c>
      <c r="BM49" s="83">
        <f ca="1">IF($BP$1=1,EA49,-IF(RTD("tos.rtd",,BM$2,"."&amp;$A$43&amp;$AU$1&amp;"P"&amp;$A49)="N/A",0,RTD("tos.rtd",,BM$2,"."&amp;$A$43&amp;$AU$1&amp;"P"&amp;$A49)))</f>
        <v>-2.1840728453539918E-2</v>
      </c>
      <c r="BN49" s="83">
        <f ca="1">IF($BP$1=1,EB49,IF(RTD("tos.rtd",,BN$2,"."&amp;$A$43&amp;$AW$1&amp;"C"&amp;$A49)="N/A",0,RTD("tos.rtd",,BN$2,"."&amp;$A$43&amp;$AW$1&amp;"C"&amp;$A49)))</f>
        <v>1.8538118717894077E-2</v>
      </c>
      <c r="BO49" s="83">
        <f ca="1">IF($BP$1=1,EC49,-IF(RTD("tos.rtd",,BO$2,"."&amp;$A$43&amp;$AW$1&amp;"P"&amp;$A49)="N/A",0,RTD("tos.rtd",,BO$2,"."&amp;$A$43&amp;$AW$1&amp;"P"&amp;$A49)))</f>
        <v>-1.8538118717894077E-2</v>
      </c>
      <c r="BQ49" s="83" t="e">
        <f t="shared" ref="BQ49:BQ56" ca="1" si="299">+$A$44*$A$44*AS49*BJ49-$A$44*$A$44*AT49*BK49</f>
        <v>#NUM!</v>
      </c>
      <c r="BR49" s="3" t="e">
        <f t="shared" ca="1" si="275"/>
        <v>#NUM!</v>
      </c>
      <c r="BS49" s="83">
        <f t="shared" ref="BS49:BS56" ca="1" si="300">+$A$44*$A$44*AU49*BL49-$A$44*$A$44*AV49*BM49</f>
        <v>2548649.870484435</v>
      </c>
      <c r="BT49" s="3" t="str">
        <f t="shared" ca="1" si="277"/>
        <v/>
      </c>
      <c r="BU49" s="83">
        <f t="shared" ref="BU49:BU56" ca="1" si="301">+$A$44*$A$44*AW49*BN49-$A$44*$A$44*AX49*BO49</f>
        <v>0</v>
      </c>
      <c r="BV49" s="83"/>
      <c r="BX49" s="83" t="e">
        <f t="shared" ref="BX49:BX56" ca="1" si="302">+$A$44*$A$44*BA49*BJ49-$A$44*$A$44*BB49*BK49</f>
        <v>#NUM!</v>
      </c>
      <c r="BY49" s="83" t="e">
        <f t="shared" ca="1" si="290"/>
        <v>#NUM!</v>
      </c>
      <c r="BZ49" s="83">
        <f t="shared" ref="BZ49:BZ56" ca="1" si="303">+$A$44*$A$44*BC49*BL49-$A$44*$A$44*BD49*BM49</f>
        <v>3320133.6077891877</v>
      </c>
      <c r="CA49" s="83" t="str">
        <f t="shared" ca="1" si="290"/>
        <v/>
      </c>
      <c r="CB49" s="83">
        <f t="shared" ref="CB49:CB56" ca="1" si="304">+$A$44*$A$44*BE49*BN49-$A$44*$A$44*BF49*BO49</f>
        <v>0</v>
      </c>
      <c r="CC49" s="83" t="str">
        <f t="shared" ca="1" si="290"/>
        <v/>
      </c>
      <c r="CD49" s="83">
        <f>IF(RTD("tos.rtd",,CD$43,"."&amp;$A$43&amp;$AS$42&amp;"C"&amp;$A49)="N/A",0,RTD("tos.rtd",,CD$43,"."&amp;$A$43&amp;$AS$42&amp;"C"&amp;$A49))</f>
        <v>0</v>
      </c>
      <c r="CE49" s="83">
        <f>-IF(RTD("tos.rtd",,CE$43,"."&amp;$A$43&amp;$AS$42&amp;"P"&amp;$A49)="N/A",0,RTD("tos.rtd",,CE$43,"."&amp;$A$43&amp;$AS$42&amp;"P"&amp;$A49))</f>
        <v>0.95</v>
      </c>
      <c r="CF49" s="83">
        <f>IF(RTD("tos.rtd",,CF$2,"."&amp;$A$43&amp;$AU$1&amp;"C"&amp;$A49)="N/A",0,RTD("tos.rtd",,CF$2,"."&amp;$A$43&amp;$AU$1&amp;"C"&amp;$A49))</f>
        <v>0.27</v>
      </c>
      <c r="CG49" s="83">
        <f>-IF(RTD("tos.rtd",,CG$2,"."&amp;$A$43&amp;$AU$1&amp;"P"&amp;$A49)="N/A",0,RTD("tos.rtd",,CG$2,"."&amp;$A$43&amp;$AU$1&amp;"P"&amp;$A49))</f>
        <v>0.73</v>
      </c>
      <c r="CH49" s="83">
        <f>IF(RTD("tos.rtd",,CH$2,"."&amp;$A$43&amp;$AW$1&amp;"C"&amp;$A49)="N/A",0,RTD("tos.rtd",,CH$2,"."&amp;$A$43&amp;$AW$1&amp;"C"&amp;$A49))</f>
        <v>0</v>
      </c>
      <c r="CI49" s="83">
        <f>-IF(RTD("tos.rtd",,CI$2,"."&amp;$A$43&amp;$AW$1&amp;"P"&amp;$A49)="N/A",0,RTD("tos.rtd",,CI$2,"."&amp;$A$43&amp;$AW$1&amp;"P"&amp;$A49))</f>
        <v>0</v>
      </c>
      <c r="CK49" s="83">
        <f t="shared" ref="CK49:CK56" si="305">+AS49*CD49*100+AT49*CE49*100</f>
        <v>0</v>
      </c>
      <c r="CL49" s="83"/>
      <c r="CM49" s="83">
        <f t="shared" ref="CM49:CM56" si="306">+AU49*CF49*100+AV49*CG49*100</f>
        <v>13392.000000000002</v>
      </c>
      <c r="CN49" s="83"/>
      <c r="CO49" s="83">
        <f t="shared" ref="CO49:CO56" si="307">+AW49*CH49*100+AX49*CI49*100</f>
        <v>0</v>
      </c>
      <c r="CP49" s="83">
        <f t="shared" ref="CP49:CP56" si="308">+CK49+CM49+CO49</f>
        <v>13392.000000000002</v>
      </c>
      <c r="CQ49" s="83">
        <f t="shared" ref="CQ49:CQ56" si="309">+BA49+BB49</f>
        <v>4308</v>
      </c>
      <c r="CR49" s="83"/>
      <c r="CS49" s="83">
        <f t="shared" ref="CS49:CS56" si="310">+BC49+BD49</f>
        <v>647</v>
      </c>
      <c r="CT49" s="83"/>
      <c r="CU49" s="83">
        <f t="shared" ref="CU49:CU56" si="311">+BE49+BF49</f>
        <v>0</v>
      </c>
      <c r="CV49" s="83"/>
      <c r="CW49" s="83" t="e">
        <f t="shared" ref="CW49:CW56" ca="1" si="312">+BQ49+BS49+BU49</f>
        <v>#NUM!</v>
      </c>
      <c r="CY49" s="83" t="e">
        <f t="shared" ref="CY49:CY56" ca="1" si="313">+BX49+BZ49+CB49</f>
        <v>#NUM!</v>
      </c>
      <c r="CZ49" s="70" t="e">
        <f t="shared" ca="1" si="291"/>
        <v>#NUM!</v>
      </c>
      <c r="DA49" s="83">
        <f>IF(RTD("tos.rtd",,DA$43,"."&amp;$A$43&amp;$AS$42&amp;"C"&amp;$A49)="N/A",0,RTD("tos.rtd",,DA$43,"."&amp;$A$43&amp;$AS$42&amp;"C"&amp;$A49))</f>
        <v>0.14000000000000001</v>
      </c>
      <c r="DB49" s="83">
        <f>IF(RTD("tos.rtd",,DB$43,"."&amp;$A$43&amp;$AS$42&amp;"P"&amp;$A49)="N/A",0,RTD("tos.rtd",,DB$43,"."&amp;$A$43&amp;$AS$42&amp;"P"&amp;$A49))</f>
        <v>9.35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9.2200000000000006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8.9499999999999993</v>
      </c>
      <c r="DG49" s="86">
        <f t="shared" si="285"/>
        <v>9.0400000000000205</v>
      </c>
      <c r="DH49" s="83">
        <f t="shared" ref="DH49:DH56" si="314">((DA49-DE49)/(DC49-DE49))*(BA49-AP49)</f>
        <v>0</v>
      </c>
      <c r="DI49" s="83">
        <f t="shared" ref="DI49:DI56" si="315">((DB49-DF49)/(DD49-DF49))*(BB49-AQ49)</f>
        <v>0</v>
      </c>
      <c r="DJ49" s="83">
        <f t="shared" ref="DJ49:DJ56" si="316">IF(DA49&gt;=(DE49+(DC49-DE49)*0.6),(BA49-AP49),IF(DA49&lt;=(DE49+(DC49-DE49)*0.4),-(BA49-AP49),0))</f>
        <v>0</v>
      </c>
      <c r="DK49" s="83">
        <f t="shared" si="254"/>
        <v>0</v>
      </c>
      <c r="DL49" s="83">
        <f t="shared" si="255"/>
        <v>0</v>
      </c>
      <c r="DM49" s="83">
        <f t="shared" si="256"/>
        <v>0</v>
      </c>
      <c r="DN49" s="64" t="str">
        <f t="shared" si="257"/>
        <v>UNKNOWN</v>
      </c>
      <c r="DO49" s="64" t="str">
        <f t="shared" si="258"/>
        <v>UNKNOWN</v>
      </c>
      <c r="DP49" s="83">
        <f t="shared" si="259"/>
        <v>0</v>
      </c>
      <c r="DQ49" s="83">
        <f t="shared" si="260"/>
        <v>0</v>
      </c>
      <c r="DR49" s="83" t="e">
        <f t="shared" ca="1" si="261"/>
        <v>#NUM!</v>
      </c>
      <c r="DS49" s="83">
        <f t="shared" si="262"/>
        <v>0</v>
      </c>
      <c r="DT49" s="83">
        <f t="shared" si="286"/>
        <v>0</v>
      </c>
      <c r="DU49" s="83">
        <f t="shared" si="287"/>
        <v>0</v>
      </c>
      <c r="DV49" s="83">
        <f t="shared" si="263"/>
        <v>-189</v>
      </c>
      <c r="DW49" s="83">
        <f t="shared" si="264"/>
        <v>-53</v>
      </c>
      <c r="DX49" s="83" t="e">
        <f t="shared" ref="DX49:DX56" ca="1" si="317">(EXP(-POWER((LN($A$44/$A49)+($EC$1+POWER($EE49,2)/2)*($EM$1/$DY$1))/($EE49*SQRT($EM$1/$DY$1)),2)/2)/SQRT(2*PI())/($A$44*$EE49*SQRT($EM$1/$DY$1)))</f>
        <v>#NUM!</v>
      </c>
      <c r="DY49" s="83" t="e">
        <f t="shared" ref="DY49:DY56" ca="1" si="318">-(EXP(-POWER((LN($A$44/$A49)+($EC$1+POWER($EF49,2)/2)*($EM$1/$DY$1))/($EF49*SQRT($EM$1/$DY$1)),2)/2)/SQRT(2*PI())/($A$44*$EF49*SQRT($EM$1/$DY$1)))</f>
        <v>#NUM!</v>
      </c>
      <c r="DZ49" s="83">
        <f t="shared" ref="DZ49:DZ56" ca="1" si="319">(EXP(-POWER((LN($A$44/$A49)+($EC$1+POWER($EG49,2)/2)*($EO$1/$DY$1))/($EG49*SQRT($EO$1/$DY$1)),2)/2)/SQRT(2*PI())/($A$44*$EG49*SQRT($EO$1/$DY$1)))</f>
        <v>2.1492247603862029E-2</v>
      </c>
      <c r="EA49" s="83">
        <f t="shared" ref="EA49:EA56" ca="1" si="320">-(EXP(-POWER((LN($A$44/$A49)+($EC$1+POWER($EH49,2)/2)*($EO$1/$DY$1))/($EH49*SQRT($EO$1/$DY$1)),2)/2)/SQRT(2*PI())/($A$44*$EH49*SQRT($EO$1/$DY$1)))</f>
        <v>-2.1840728453539918E-2</v>
      </c>
      <c r="EB49" s="83">
        <f t="shared" ref="EB49:EB56" ca="1" si="321">(EXP(-POWER((LN($A$44/$A49)+($EC$1+POWER($EI49,2)/2)*($EO$1/$DY$1))/($EI49*SQRT($EO$1/$DY$1)),2)/2)/SQRT(2*PI())/($A$44*$EI49*SQRT($EO$1/$DY$1)))</f>
        <v>1.8538118717894077E-2</v>
      </c>
      <c r="EC49" s="83">
        <f t="shared" ref="EC49:EC56" ca="1" si="322">-(EXP(-POWER((LN($A$44/$A49)+($EC$1+POWER($EJ49,2)/2)*($EO$1/$DY$1))/($EJ49*SQRT($EO$1/$DY$1)),2)/2)/SQRT(2*PI())/($A$44*$EJ49*SQRT($EO$1/$DY$1)))</f>
        <v>-1.8538118717894077E-2</v>
      </c>
      <c r="EE49" s="84">
        <f t="shared" ref="EE49:EE56" si="323">IFERROR(VALUE(IF(OR(EL49="--",EL49="0.00%"),$EE$1,EL49)),$EE$1)</f>
        <v>0.93100000000000005</v>
      </c>
      <c r="EF49" s="84">
        <f t="shared" ref="EF49:EF56" si="324">IFERROR(VALUE(IF(OR(EM49="--",EM49="0.00%"),$EE$1,EM49)),$EE$1)</f>
        <v>1.3501000000000001</v>
      </c>
      <c r="EG49" s="84">
        <f t="shared" ref="EG49:EG56" si="325">IFERROR(VALUE(IF(OR(EN49="--",EN49="0.00%"),$EE$1,EN49)),$EE$1)</f>
        <v>0.2069</v>
      </c>
      <c r="EH49" s="84">
        <f t="shared" ref="EH49:EH56" si="326">IFERROR(VALUE(IF(OR(EO49="--",EO49="0.00%"),$EE$1,EO49)),$EE$1)</f>
        <v>0.2024</v>
      </c>
      <c r="EI49" s="84">
        <f t="shared" ref="EI49:EI56" si="327">IFERROR(VALUE(IF(OR(EP49="--",EP49="0.00%"),$EE$1,EP49)),$EE$1)</f>
        <v>0.25</v>
      </c>
      <c r="EJ49" s="84">
        <f t="shared" ref="EJ49:EJ56" si="328">IFERROR(VALUE(IF(OR(EQ49="--",EQ49="0.00%"),$EE$1,EQ49)),$EE$1)</f>
        <v>0.25</v>
      </c>
      <c r="EL49" s="83" t="str">
        <f>RTD("tos.rtd",,EL$43,"."&amp;$A$43&amp;$AS$42&amp;"C"&amp;$A49)</f>
        <v>93.10%</v>
      </c>
      <c r="EM49" s="83" t="str">
        <f>RTD("tos.rtd",,EM$43,"."&amp;$A$43&amp;$AS$42&amp;"P"&amp;$A49)</f>
        <v>135.01%</v>
      </c>
      <c r="EN49" s="83" t="str">
        <f>RTD("tos.rtd",,EN$2,"."&amp;$A$43&amp;$AU$1&amp;"C"&amp;$A49)</f>
        <v>20.69%</v>
      </c>
      <c r="EO49" s="83" t="str">
        <f>RTD("tos.rtd",,EO$2,"."&amp;$A$43&amp;$AU$1&amp;"P"&amp;$A49)</f>
        <v>20.24%</v>
      </c>
      <c r="EP49" s="83" t="str">
        <f>RTD("tos.rtd",,EP$2,"."&amp;$A$43&amp;$AW$1&amp;"C"&amp;$A49)</f>
        <v>N/A</v>
      </c>
      <c r="EQ49" s="83" t="str">
        <f>RTD("tos.rtd",,EQ$2,"."&amp;$A$43&amp;$AW$1&amp;"P"&amp;$A49)</f>
        <v>N/A</v>
      </c>
      <c r="ET49" s="64" t="str">
        <f t="shared" ca="1" si="271"/>
        <v>498,00.00</v>
      </c>
      <c r="EU49" s="68">
        <v>560.51</v>
      </c>
      <c r="EV49" s="68" t="s">
        <v>411</v>
      </c>
      <c r="EW49" s="68">
        <v>482.49</v>
      </c>
      <c r="EX49" s="68" t="s">
        <v>412</v>
      </c>
      <c r="EY49" s="68">
        <v>5620.5</v>
      </c>
      <c r="EZ49" s="68" t="s">
        <v>413</v>
      </c>
      <c r="FA49" s="68">
        <v>19824.5</v>
      </c>
      <c r="FB49" s="68" t="s">
        <v>414</v>
      </c>
      <c r="FC49" s="68" t="s">
        <v>415</v>
      </c>
      <c r="FD49" s="68" t="s">
        <v>416</v>
      </c>
      <c r="FE49" s="68" t="s">
        <v>417</v>
      </c>
      <c r="FF49" s="68" t="s">
        <v>418</v>
      </c>
    </row>
    <row r="50" spans="1:162" ht="13.5" thickBot="1" x14ac:dyDescent="0.25">
      <c r="A50" s="2">
        <f t="shared" si="288"/>
        <v>497</v>
      </c>
      <c r="B50" s="3">
        <f t="shared" si="293"/>
        <v>1674</v>
      </c>
      <c r="C50" s="3">
        <f t="shared" si="294"/>
        <v>697</v>
      </c>
      <c r="D50" s="3">
        <f t="shared" si="295"/>
        <v>0</v>
      </c>
      <c r="E50" s="3">
        <f t="shared" si="296"/>
        <v>2371</v>
      </c>
      <c r="F50" s="4">
        <f t="shared" si="297"/>
        <v>20524.018324607332</v>
      </c>
      <c r="AM50" s="1">
        <v>1587</v>
      </c>
      <c r="AN50" s="1">
        <v>-64</v>
      </c>
      <c r="AO50" s="1">
        <v>497</v>
      </c>
      <c r="AP50" s="1">
        <v>4824</v>
      </c>
      <c r="AQ50" s="1">
        <v>-220</v>
      </c>
      <c r="AS50" s="6">
        <f>IF(RTD("tos.rtd",,AS$43,"."&amp;$A$43&amp;$AS$42&amp;"C"&amp;$A50)="N/A",0,RTD("tos.rtd",,AS$43,"."&amp;$A$43&amp;$AS$42&amp;"C"&amp;$A50))</f>
        <v>1674</v>
      </c>
      <c r="AT50" s="7">
        <f>-IF(RTD("tos.rtd",,AT$43,"."&amp;$A$43&amp;$AS$42&amp;"P"&amp;$A50)="N/A",0,RTD("tos.rtd",,AT$43,"."&amp;$A$43&amp;$AS$42&amp;"P"&amp;$A50))</f>
        <v>0</v>
      </c>
      <c r="AU50" s="6">
        <f>IF(RTD("tos.rtd",,AU$2,"."&amp;$A$43&amp;$AU$1&amp;"C"&amp;$A50)="N/A",0,RTD("tos.rtd",,AU$2,"."&amp;$A$43&amp;$AU$1&amp;"C"&amp;$A50))</f>
        <v>696</v>
      </c>
      <c r="AV50" s="7">
        <f>-IF(RTD("tos.rtd",,AV$2,"."&amp;$A$43&amp;$AU$1&amp;"P"&amp;$A50)="N/A",0,RTD("tos.rtd",,AV$2,"."&amp;$A$43&amp;$AU$1&amp;"P"&amp;$A50))</f>
        <v>-1</v>
      </c>
      <c r="AW50" s="6">
        <f>IF(RTD("tos.rtd",,AW$2,"."&amp;$A$43&amp;$AW$1&amp;"C"&amp;$A50)="N/A",0,RTD("tos.rtd",,AW$2,"."&amp;$A$43&amp;$AW$1&amp;"C"&amp;$A50))</f>
        <v>0</v>
      </c>
      <c r="AX50" s="7">
        <f>-IF(RTD("tos.rtd",,AX$2,"."&amp;$A$43&amp;$AW$1&amp;"P"&amp;$A50)="N/A",0,RTD("tos.rtd",,AX$2,"."&amp;$A$43&amp;$AW$1&amp;"P"&amp;$A50))</f>
        <v>0</v>
      </c>
      <c r="AY50" s="7">
        <f t="shared" si="298"/>
        <v>2369</v>
      </c>
      <c r="AZ50" s="8">
        <f t="shared" si="242"/>
        <v>497</v>
      </c>
      <c r="BA50" s="6">
        <f>IF(RTD("tos.rtd",,BA$43,"."&amp;$A$43&amp;$AS$42&amp;"C"&amp;$A50)="N/A",0,RTD("tos.rtd",,BA$43,"."&amp;$A$43&amp;$AS$42&amp;"C"&amp;$A50))</f>
        <v>4824</v>
      </c>
      <c r="BB50" s="7">
        <f>-IF(RTD("tos.rtd",,BB$43,"."&amp;$A$43&amp;$AS$42&amp;"P"&amp;$A50)="N/A",0,RTD("tos.rtd",,BB$43,"."&amp;$A$43&amp;$AS$42&amp;"P"&amp;$A50))</f>
        <v>-220</v>
      </c>
      <c r="BC50" s="6">
        <f>IF(RTD("tos.rtd",,BC$2,"."&amp;$A$43&amp;$AU$1&amp;"C"&amp;$A50)="N/A",0,RTD("tos.rtd",,BC$2,"."&amp;$A$43&amp;$AU$1&amp;"C"&amp;$A50))</f>
        <v>560</v>
      </c>
      <c r="BD50" s="7">
        <f>-IF(RTD("tos.rtd",,BD$2,"."&amp;$A$43&amp;$AU$1&amp;"P"&amp;$A50)="N/A",0,RTD("tos.rtd",,BD$2,"."&amp;$A$43&amp;$AU$1&amp;"P"&amp;$A50))</f>
        <v>-12</v>
      </c>
      <c r="BE50" s="6">
        <f>IF(RTD("tos.rtd",,BE$2,"."&amp;$A$43&amp;$AW$1&amp;"C"&amp;$A50)="N/A",0,RTD("tos.rtd",,BE$2,"."&amp;$A$43&amp;$AW$1&amp;"C"&amp;$A50))</f>
        <v>0</v>
      </c>
      <c r="BF50" s="7">
        <f>-IF(RTD("tos.rtd",,BF$2,"."&amp;$A$43&amp;$AW$1&amp;"P"&amp;$A50)="N/A",0,RTD("tos.rtd",,BF$2,"."&amp;$A$43&amp;$AW$1&amp;"P"&amp;$A50))</f>
        <v>0</v>
      </c>
      <c r="BG50" s="32" t="e">
        <f ca="1">+Hoja2!Y51</f>
        <v>#N/A</v>
      </c>
      <c r="BH50" s="7" t="e">
        <f t="shared" ca="1" si="273"/>
        <v>#N/A</v>
      </c>
      <c r="BI50" s="8" t="e">
        <f t="shared" ca="1" si="289"/>
        <v>#N/A</v>
      </c>
      <c r="BJ50" s="83" t="e">
        <f ca="1">IF($BP$1=1,DX50,IF(RTD("tos.rtd",,BJ$43,"."&amp;$A$43&amp;$AS$42&amp;"C"&amp;$A50)="N/A",0,RTD("tos.rtd",,BJ$43,"."&amp;$A$43&amp;$AS$42&amp;"C"&amp;$A50)))</f>
        <v>#NUM!</v>
      </c>
      <c r="BK50" s="83" t="e">
        <f ca="1">IF($BP$1=1,DY50,-IF(RTD("tos.rtd",,BK$43,"."&amp;$A$43&amp;$AS$42&amp;"P"&amp;$A50)="N/A",0,RTD("tos.rtd",,BK$43,"."&amp;$A$43&amp;$AS$42&amp;"P"&amp;$A50)))</f>
        <v>#NUM!</v>
      </c>
      <c r="BL50" s="83">
        <f ca="1">IF($BP$1=1,DZ50,IF(RTD("tos.rtd",,BL$2,"."&amp;$A$43&amp;$AU$1&amp;"C"&amp;$A50)="N/A",0,RTD("tos.rtd",,BL$2,"."&amp;$A$43&amp;$AU$1&amp;"C"&amp;$A50)))</f>
        <v>2.1956873650122985E-2</v>
      </c>
      <c r="BM50" s="83">
        <f ca="1">IF($BP$1=1,EA50,-IF(RTD("tos.rtd",,BM$2,"."&amp;$A$43&amp;$AU$1&amp;"P"&amp;$A50)="N/A",0,RTD("tos.rtd",,BM$2,"."&amp;$A$43&amp;$AU$1&amp;"P"&amp;$A50)))</f>
        <v>-2.1308939177949356E-2</v>
      </c>
      <c r="BN50" s="83">
        <f ca="1">IF($BP$1=1,EB50,IF(RTD("tos.rtd",,BN$2,"."&amp;$A$43&amp;$AW$1&amp;"C"&amp;$A50)="N/A",0,RTD("tos.rtd",,BN$2,"."&amp;$A$43&amp;$AW$1&amp;"C"&amp;$A50)))</f>
        <v>1.8889900296833979E-2</v>
      </c>
      <c r="BO50" s="83">
        <f ca="1">IF($BP$1=1,EC50,-IF(RTD("tos.rtd",,BO$2,"."&amp;$A$43&amp;$AW$1&amp;"P"&amp;$A50)="N/A",0,RTD("tos.rtd",,BO$2,"."&amp;$A$43&amp;$AW$1&amp;"P"&amp;$A50)))</f>
        <v>-1.8889900296833979E-2</v>
      </c>
      <c r="BQ50" s="83" t="e">
        <f t="shared" ca="1" si="299"/>
        <v>#NUM!</v>
      </c>
      <c r="BR50" s="3" t="e">
        <f t="shared" ca="1" si="275"/>
        <v>#NUM!</v>
      </c>
      <c r="BS50" s="83">
        <f t="shared" ca="1" si="300"/>
        <v>3648550.9224885409</v>
      </c>
      <c r="BT50" s="3" t="str">
        <f t="shared" ca="1" si="277"/>
        <v/>
      </c>
      <c r="BU50" s="83">
        <f t="shared" ca="1" si="301"/>
        <v>0</v>
      </c>
      <c r="BV50" s="83"/>
      <c r="BX50" s="83" t="e">
        <f t="shared" ca="1" si="302"/>
        <v>#NUM!</v>
      </c>
      <c r="BY50" s="83" t="e">
        <f t="shared" ca="1" si="290"/>
        <v>#NUM!</v>
      </c>
      <c r="BZ50" s="83">
        <f t="shared" ca="1" si="303"/>
        <v>2878579.7978591542</v>
      </c>
      <c r="CA50" s="83" t="str">
        <f t="shared" ca="1" si="290"/>
        <v/>
      </c>
      <c r="CB50" s="83">
        <f t="shared" ca="1" si="304"/>
        <v>0</v>
      </c>
      <c r="CC50" s="83" t="str">
        <f t="shared" ca="1" si="290"/>
        <v/>
      </c>
      <c r="CD50" s="83">
        <f>IF(RTD("tos.rtd",,CD$43,"."&amp;$A$43&amp;$AS$42&amp;"C"&amp;$A50)="N/A",0,RTD("tos.rtd",,CD$43,"."&amp;$A$43&amp;$AS$42&amp;"C"&amp;$A50))</f>
        <v>0.01</v>
      </c>
      <c r="CE50" s="83">
        <f>-IF(RTD("tos.rtd",,CE$43,"."&amp;$A$43&amp;$AS$42&amp;"P"&amp;$A50)="N/A",0,RTD("tos.rtd",,CE$43,"."&amp;$A$43&amp;$AS$42&amp;"P"&amp;$A50))</f>
        <v>0.95</v>
      </c>
      <c r="CF50" s="83">
        <f>IF(RTD("tos.rtd",,CF$2,"."&amp;$A$43&amp;$AU$1&amp;"C"&amp;$A50)="N/A",0,RTD("tos.rtd",,CF$2,"."&amp;$A$43&amp;$AU$1&amp;"C"&amp;$A50))</f>
        <v>0.3</v>
      </c>
      <c r="CG50" s="83">
        <f>-IF(RTD("tos.rtd",,CG$2,"."&amp;$A$43&amp;$AU$1&amp;"P"&amp;$A50)="N/A",0,RTD("tos.rtd",,CG$2,"."&amp;$A$43&amp;$AU$1&amp;"P"&amp;$A50))</f>
        <v>0.7</v>
      </c>
      <c r="CH50" s="83">
        <f>IF(RTD("tos.rtd",,CH$2,"."&amp;$A$43&amp;$AW$1&amp;"C"&amp;$A50)="N/A",0,RTD("tos.rtd",,CH$2,"."&amp;$A$43&amp;$AW$1&amp;"C"&amp;$A50))</f>
        <v>0</v>
      </c>
      <c r="CI50" s="83">
        <f>-IF(RTD("tos.rtd",,CI$2,"."&amp;$A$43&amp;$AW$1&amp;"P"&amp;$A50)="N/A",0,RTD("tos.rtd",,CI$2,"."&amp;$A$43&amp;$AW$1&amp;"P"&amp;$A50))</f>
        <v>0</v>
      </c>
      <c r="CK50" s="83">
        <f t="shared" si="305"/>
        <v>1674.0000000000002</v>
      </c>
      <c r="CL50" s="83"/>
      <c r="CM50" s="83">
        <f t="shared" si="306"/>
        <v>20810</v>
      </c>
      <c r="CN50" s="83"/>
      <c r="CO50" s="83">
        <f t="shared" si="307"/>
        <v>0</v>
      </c>
      <c r="CP50" s="83">
        <f t="shared" si="308"/>
        <v>22484</v>
      </c>
      <c r="CQ50" s="83">
        <f t="shared" si="309"/>
        <v>4604</v>
      </c>
      <c r="CR50" s="83"/>
      <c r="CS50" s="83">
        <f t="shared" si="310"/>
        <v>548</v>
      </c>
      <c r="CT50" s="83"/>
      <c r="CU50" s="83">
        <f t="shared" si="311"/>
        <v>0</v>
      </c>
      <c r="CV50" s="83"/>
      <c r="CW50" s="83" t="e">
        <f t="shared" ca="1" si="312"/>
        <v>#NUM!</v>
      </c>
      <c r="CY50" s="83" t="e">
        <f t="shared" ca="1" si="313"/>
        <v>#NUM!</v>
      </c>
      <c r="CZ50" s="70" t="e">
        <f t="shared" ca="1" si="291"/>
        <v>#NUM!</v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7.56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8.23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7.93</v>
      </c>
      <c r="DG50" s="86">
        <f t="shared" si="285"/>
        <v>8.0400000000000205</v>
      </c>
      <c r="DH50" s="83">
        <f t="shared" si="314"/>
        <v>0</v>
      </c>
      <c r="DI50" s="83">
        <f t="shared" si="315"/>
        <v>0</v>
      </c>
      <c r="DJ50" s="83">
        <f t="shared" si="316"/>
        <v>0</v>
      </c>
      <c r="DK50" s="83">
        <f t="shared" si="254"/>
        <v>0</v>
      </c>
      <c r="DL50" s="83">
        <f t="shared" si="255"/>
        <v>0</v>
      </c>
      <c r="DM50" s="83">
        <f t="shared" si="256"/>
        <v>0</v>
      </c>
      <c r="DN50" s="64" t="str">
        <f t="shared" si="257"/>
        <v>UNKNOWN</v>
      </c>
      <c r="DO50" s="64" t="str">
        <f t="shared" si="258"/>
        <v>UNKNOWN</v>
      </c>
      <c r="DP50" s="83">
        <f t="shared" si="259"/>
        <v>0</v>
      </c>
      <c r="DQ50" s="83">
        <f t="shared" si="260"/>
        <v>0</v>
      </c>
      <c r="DR50" s="83" t="e">
        <f t="shared" ca="1" si="261"/>
        <v>#NUM!</v>
      </c>
      <c r="DS50" s="83">
        <f t="shared" si="262"/>
        <v>0</v>
      </c>
      <c r="DT50" s="83">
        <f t="shared" si="286"/>
        <v>0</v>
      </c>
      <c r="DU50" s="83">
        <f t="shared" si="287"/>
        <v>0</v>
      </c>
      <c r="DV50" s="83">
        <f t="shared" si="263"/>
        <v>1587</v>
      </c>
      <c r="DW50" s="83">
        <f t="shared" si="264"/>
        <v>-64</v>
      </c>
      <c r="DX50" s="83" t="e">
        <f t="shared" ca="1" si="317"/>
        <v>#NUM!</v>
      </c>
      <c r="DY50" s="83" t="e">
        <f t="shared" ca="1" si="318"/>
        <v>#NUM!</v>
      </c>
      <c r="DZ50" s="83">
        <f t="shared" ca="1" si="319"/>
        <v>2.1956873650122985E-2</v>
      </c>
      <c r="EA50" s="83">
        <f t="shared" ca="1" si="320"/>
        <v>-2.1308939177949356E-2</v>
      </c>
      <c r="EB50" s="83">
        <f t="shared" ca="1" si="321"/>
        <v>1.8889900296833979E-2</v>
      </c>
      <c r="EC50" s="83">
        <f t="shared" ca="1" si="322"/>
        <v>-1.8889900296833979E-2</v>
      </c>
      <c r="EE50" s="84">
        <f t="shared" si="323"/>
        <v>0.83940000000000003</v>
      </c>
      <c r="EF50" s="84">
        <f t="shared" si="324"/>
        <v>1.2025999999999999</v>
      </c>
      <c r="EG50" s="84">
        <f t="shared" si="325"/>
        <v>0.20860000000000001</v>
      </c>
      <c r="EH50" s="84">
        <f t="shared" si="326"/>
        <v>0.2165</v>
      </c>
      <c r="EI50" s="84">
        <f t="shared" si="327"/>
        <v>0.25</v>
      </c>
      <c r="EJ50" s="84">
        <f t="shared" si="328"/>
        <v>0.25</v>
      </c>
      <c r="EL50" s="83" t="str">
        <f>RTD("tos.rtd",,EL$43,"."&amp;$A$43&amp;$AS$42&amp;"C"&amp;$A50)</f>
        <v>83.94%</v>
      </c>
      <c r="EM50" s="83" t="str">
        <f>RTD("tos.rtd",,EM$43,"."&amp;$A$43&amp;$AS$42&amp;"P"&amp;$A50)</f>
        <v>120.26%</v>
      </c>
      <c r="EN50" s="83" t="str">
        <f>RTD("tos.rtd",,EN$2,"."&amp;$A$43&amp;$AU$1&amp;"C"&amp;$A50)</f>
        <v>20.86%</v>
      </c>
      <c r="EO50" s="83" t="str">
        <f>RTD("tos.rtd",,EO$2,"."&amp;$A$43&amp;$AU$1&amp;"P"&amp;$A50)</f>
        <v>21.65%</v>
      </c>
      <c r="EP50" s="83" t="str">
        <f>RTD("tos.rtd",,EP$2,"."&amp;$A$43&amp;$AW$1&amp;"C"&amp;$A50)</f>
        <v>N/A</v>
      </c>
      <c r="EQ50" s="83" t="str">
        <f>RTD("tos.rtd",,EQ$2,"."&amp;$A$43&amp;$AW$1&amp;"P"&amp;$A50)</f>
        <v>N/A</v>
      </c>
      <c r="ET50" s="64" t="str">
        <f t="shared" ca="1" si="271"/>
        <v>497,00.00</v>
      </c>
      <c r="EU50" s="68">
        <v>560.33000000000004</v>
      </c>
      <c r="EV50" s="68" t="s">
        <v>419</v>
      </c>
      <c r="EW50" s="68">
        <v>482.34</v>
      </c>
      <c r="EX50" s="68" t="s">
        <v>420</v>
      </c>
      <c r="EY50" s="68">
        <v>5618.75</v>
      </c>
      <c r="EZ50" s="68" t="s">
        <v>421</v>
      </c>
      <c r="FA50" s="68">
        <v>19817.5</v>
      </c>
      <c r="FB50" s="68" t="s">
        <v>422</v>
      </c>
      <c r="FC50" s="68" t="s">
        <v>423</v>
      </c>
      <c r="FD50" s="68" t="s">
        <v>424</v>
      </c>
      <c r="FE50" s="68" t="s">
        <v>425</v>
      </c>
      <c r="FF50" s="68" t="s">
        <v>426</v>
      </c>
    </row>
    <row r="51" spans="1:162" ht="13.5" thickBot="1" x14ac:dyDescent="0.25">
      <c r="A51" s="2">
        <f t="shared" si="288"/>
        <v>496</v>
      </c>
      <c r="B51" s="3">
        <f t="shared" si="293"/>
        <v>1138</v>
      </c>
      <c r="C51" s="3">
        <f t="shared" si="294"/>
        <v>322</v>
      </c>
      <c r="D51" s="3">
        <f t="shared" si="295"/>
        <v>0</v>
      </c>
      <c r="E51" s="3">
        <f t="shared" si="296"/>
        <v>1460</v>
      </c>
      <c r="F51" s="4">
        <f t="shared" si="297"/>
        <v>20482.722513089007</v>
      </c>
      <c r="AM51" s="1">
        <v>1768</v>
      </c>
      <c r="AN51" s="1">
        <v>-81</v>
      </c>
      <c r="AO51" s="1">
        <v>496</v>
      </c>
      <c r="AP51" s="1">
        <v>8022</v>
      </c>
      <c r="AQ51" s="1">
        <v>-377</v>
      </c>
      <c r="AS51" s="6">
        <f>IF(RTD("tos.rtd",,AS$43,"."&amp;$A$43&amp;$AS$42&amp;"C"&amp;$A51)="N/A",0,RTD("tos.rtd",,AS$43,"."&amp;$A$43&amp;$AS$42&amp;"C"&amp;$A51))</f>
        <v>1092</v>
      </c>
      <c r="AT51" s="7">
        <f>-IF(RTD("tos.rtd",,AT$43,"."&amp;$A$43&amp;$AS$42&amp;"P"&amp;$A51)="N/A",0,RTD("tos.rtd",,AT$43,"."&amp;$A$43&amp;$AS$42&amp;"P"&amp;$A51))</f>
        <v>-46</v>
      </c>
      <c r="AU51" s="6">
        <f>IF(RTD("tos.rtd",,AU$2,"."&amp;$A$43&amp;$AU$1&amp;"C"&amp;$A51)="N/A",0,RTD("tos.rtd",,AU$2,"."&amp;$A$43&amp;$AU$1&amp;"C"&amp;$A51))</f>
        <v>322</v>
      </c>
      <c r="AV51" s="7">
        <f>-IF(RTD("tos.rtd",,AV$2,"."&amp;$A$43&amp;$AU$1&amp;"P"&amp;$A51)="N/A",0,RTD("tos.rtd",,AV$2,"."&amp;$A$43&amp;$AU$1&amp;"P"&amp;$A51))</f>
        <v>0</v>
      </c>
      <c r="AW51" s="6">
        <f>IF(RTD("tos.rtd",,AW$2,"."&amp;$A$43&amp;$AW$1&amp;"C"&amp;$A51)="N/A",0,RTD("tos.rtd",,AW$2,"."&amp;$A$43&amp;$AW$1&amp;"C"&amp;$A51))</f>
        <v>0</v>
      </c>
      <c r="AX51" s="7">
        <f>-IF(RTD("tos.rtd",,AX$2,"."&amp;$A$43&amp;$AW$1&amp;"P"&amp;$A51)="N/A",0,RTD("tos.rtd",,AX$2,"."&amp;$A$43&amp;$AW$1&amp;"P"&amp;$A51))</f>
        <v>0</v>
      </c>
      <c r="AY51" s="7">
        <f t="shared" si="298"/>
        <v>1368</v>
      </c>
      <c r="AZ51" s="8">
        <f t="shared" si="242"/>
        <v>496</v>
      </c>
      <c r="BA51" s="6">
        <f>IF(RTD("tos.rtd",,BA$43,"."&amp;$A$43&amp;$AS$42&amp;"C"&amp;$A51)="N/A",0,RTD("tos.rtd",,BA$43,"."&amp;$A$43&amp;$AS$42&amp;"C"&amp;$A51))</f>
        <v>8022</v>
      </c>
      <c r="BB51" s="7">
        <f>-IF(RTD("tos.rtd",,BB$43,"."&amp;$A$43&amp;$AS$42&amp;"P"&amp;$A51)="N/A",0,RTD("tos.rtd",,BB$43,"."&amp;$A$43&amp;$AS$42&amp;"P"&amp;$A51))</f>
        <v>-377</v>
      </c>
      <c r="BC51" s="6">
        <f>IF(RTD("tos.rtd",,BC$2,"."&amp;$A$43&amp;$AU$1&amp;"C"&amp;$A51)="N/A",0,RTD("tos.rtd",,BC$2,"."&amp;$A$43&amp;$AU$1&amp;"C"&amp;$A51))</f>
        <v>269</v>
      </c>
      <c r="BD51" s="7">
        <f>-IF(RTD("tos.rtd",,BD$2,"."&amp;$A$43&amp;$AU$1&amp;"P"&amp;$A51)="N/A",0,RTD("tos.rtd",,BD$2,"."&amp;$A$43&amp;$AU$1&amp;"P"&amp;$A51))</f>
        <v>-33</v>
      </c>
      <c r="BE51" s="6">
        <f>IF(RTD("tos.rtd",,BE$2,"."&amp;$A$43&amp;$AW$1&amp;"C"&amp;$A51)="N/A",0,RTD("tos.rtd",,BE$2,"."&amp;$A$43&amp;$AW$1&amp;"C"&amp;$A51))</f>
        <v>0</v>
      </c>
      <c r="BF51" s="7">
        <f>-IF(RTD("tos.rtd",,BF$2,"."&amp;$A$43&amp;$AW$1&amp;"P"&amp;$A51)="N/A",0,RTD("tos.rtd",,BF$2,"."&amp;$A$43&amp;$AW$1&amp;"P"&amp;$A51))</f>
        <v>0</v>
      </c>
      <c r="BG51" s="32" t="e">
        <f ca="1">+Hoja2!Y52</f>
        <v>#N/A</v>
      </c>
      <c r="BH51" s="7" t="e">
        <f t="shared" ca="1" si="273"/>
        <v>#N/A</v>
      </c>
      <c r="BI51" s="8" t="e">
        <f t="shared" ca="1" si="289"/>
        <v>#N/A</v>
      </c>
      <c r="BJ51" s="83" t="e">
        <f ca="1">IF($BP$1=1,DX51,IF(RTD("tos.rtd",,BJ$43,"."&amp;$A$43&amp;$AS$42&amp;"C"&amp;$A51)="N/A",0,RTD("tos.rtd",,BJ$43,"."&amp;$A$43&amp;$AS$42&amp;"C"&amp;$A51)))</f>
        <v>#NUM!</v>
      </c>
      <c r="BK51" s="83" t="e">
        <f ca="1">IF($BP$1=1,DY51,-IF(RTD("tos.rtd",,BK$43,"."&amp;$A$43&amp;$AS$42&amp;"P"&amp;$A51)="N/A",0,RTD("tos.rtd",,BK$43,"."&amp;$A$43&amp;$AS$42&amp;"P"&amp;$A51)))</f>
        <v>#NUM!</v>
      </c>
      <c r="BL51" s="83">
        <f ca="1">IF($BP$1=1,DZ51,IF(RTD("tos.rtd",,BL$2,"."&amp;$A$43&amp;$AU$1&amp;"C"&amp;$A51)="N/A",0,RTD("tos.rtd",,BL$2,"."&amp;$A$43&amp;$AU$1&amp;"C"&amp;$A51)))</f>
        <v>2.2352759345029248E-2</v>
      </c>
      <c r="BM51" s="83">
        <f ca="1">IF($BP$1=1,EA51,-IF(RTD("tos.rtd",,BM$2,"."&amp;$A$43&amp;$AU$1&amp;"P"&amp;$A51)="N/A",0,RTD("tos.rtd",,BM$2,"."&amp;$A$43&amp;$AU$1&amp;"P"&amp;$A51)))</f>
        <v>-2.2146320514352735E-2</v>
      </c>
      <c r="BN51" s="83">
        <f ca="1">IF($BP$1=1,EB51,IF(RTD("tos.rtd",,BN$2,"."&amp;$A$43&amp;$AW$1&amp;"C"&amp;$A51)="N/A",0,RTD("tos.rtd",,BN$2,"."&amp;$A$43&amp;$AW$1&amp;"C"&amp;$A51)))</f>
        <v>1.9201729423978808E-2</v>
      </c>
      <c r="BO51" s="83">
        <f ca="1">IF($BP$1=1,EC51,-IF(RTD("tos.rtd",,BO$2,"."&amp;$A$43&amp;$AW$1&amp;"P"&amp;$A51)="N/A",0,RTD("tos.rtd",,BO$2,"."&amp;$A$43&amp;$AW$1&amp;"P"&amp;$A51)))</f>
        <v>-1.9201729423978808E-2</v>
      </c>
      <c r="BQ51" s="83" t="e">
        <f t="shared" ca="1" si="299"/>
        <v>#NUM!</v>
      </c>
      <c r="BR51" s="3" t="e">
        <f t="shared" ca="1" si="275"/>
        <v>#NUM!</v>
      </c>
      <c r="BS51" s="83">
        <f t="shared" ca="1" si="300"/>
        <v>1720813.0037380275</v>
      </c>
      <c r="BT51" s="3" t="str">
        <f t="shared" ca="1" si="277"/>
        <v/>
      </c>
      <c r="BU51" s="83">
        <f t="shared" ca="1" si="301"/>
        <v>0</v>
      </c>
      <c r="BV51" s="83"/>
      <c r="BX51" s="83" t="e">
        <f t="shared" ca="1" si="302"/>
        <v>#NUM!</v>
      </c>
      <c r="BY51" s="83" t="e">
        <f t="shared" ca="1" si="290"/>
        <v>#NUM!</v>
      </c>
      <c r="BZ51" s="83">
        <f t="shared" ca="1" si="303"/>
        <v>1262845.7249805557</v>
      </c>
      <c r="CA51" s="83" t="str">
        <f t="shared" ca="1" si="290"/>
        <v/>
      </c>
      <c r="CB51" s="83">
        <f t="shared" ca="1" si="304"/>
        <v>0</v>
      </c>
      <c r="CC51" s="83" t="str">
        <f t="shared" ca="1" si="290"/>
        <v/>
      </c>
      <c r="CD51" s="83">
        <f>IF(RTD("tos.rtd",,CD$43,"."&amp;$A$43&amp;$AS$42&amp;"C"&amp;$A51)="N/A",0,RTD("tos.rtd",,CD$43,"."&amp;$A$43&amp;$AS$42&amp;"C"&amp;$A51))</f>
        <v>0.01</v>
      </c>
      <c r="CE51" s="83">
        <f>-IF(RTD("tos.rtd",,CE$43,"."&amp;$A$43&amp;$AS$42&amp;"P"&amp;$A51)="N/A",0,RTD("tos.rtd",,CE$43,"."&amp;$A$43&amp;$AS$42&amp;"P"&amp;$A51))</f>
        <v>0.95</v>
      </c>
      <c r="CF51" s="83">
        <f>IF(RTD("tos.rtd",,CF$2,"."&amp;$A$43&amp;$AU$1&amp;"C"&amp;$A51)="N/A",0,RTD("tos.rtd",,CF$2,"."&amp;$A$43&amp;$AU$1&amp;"C"&amp;$A51))</f>
        <v>0.33</v>
      </c>
      <c r="CG51" s="83">
        <f>-IF(RTD("tos.rtd",,CG$2,"."&amp;$A$43&amp;$AU$1&amp;"P"&amp;$A51)="N/A",0,RTD("tos.rtd",,CG$2,"."&amp;$A$43&amp;$AU$1&amp;"P"&amp;$A51))</f>
        <v>0.68</v>
      </c>
      <c r="CH51" s="83">
        <f>IF(RTD("tos.rtd",,CH$2,"."&amp;$A$43&amp;$AW$1&amp;"C"&amp;$A51)="N/A",0,RTD("tos.rtd",,CH$2,"."&amp;$A$43&amp;$AW$1&amp;"C"&amp;$A51))</f>
        <v>0</v>
      </c>
      <c r="CI51" s="83">
        <f>-IF(RTD("tos.rtd",,CI$2,"."&amp;$A$43&amp;$AW$1&amp;"P"&amp;$A51)="N/A",0,RTD("tos.rtd",,CI$2,"."&amp;$A$43&amp;$AW$1&amp;"P"&amp;$A51))</f>
        <v>0</v>
      </c>
      <c r="CK51" s="83">
        <f t="shared" si="305"/>
        <v>-3278</v>
      </c>
      <c r="CL51" s="83"/>
      <c r="CM51" s="83">
        <f t="shared" si="306"/>
        <v>10626</v>
      </c>
      <c r="CN51" s="83"/>
      <c r="CO51" s="83">
        <f t="shared" si="307"/>
        <v>0</v>
      </c>
      <c r="CP51" s="83">
        <f t="shared" si="308"/>
        <v>7348</v>
      </c>
      <c r="CQ51" s="83">
        <f t="shared" si="309"/>
        <v>7645</v>
      </c>
      <c r="CR51" s="83"/>
      <c r="CS51" s="83">
        <f t="shared" si="310"/>
        <v>236</v>
      </c>
      <c r="CT51" s="83"/>
      <c r="CU51" s="83">
        <f t="shared" si="311"/>
        <v>0</v>
      </c>
      <c r="CV51" s="83"/>
      <c r="CW51" s="83" t="e">
        <f t="shared" ca="1" si="312"/>
        <v>#NUM!</v>
      </c>
      <c r="CY51" s="83" t="e">
        <f t="shared" ca="1" si="313"/>
        <v>#NUM!</v>
      </c>
      <c r="CZ51" s="70" t="e">
        <f t="shared" ca="1" si="291"/>
        <v>#NUM!</v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7.11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7.23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6.95</v>
      </c>
      <c r="DG51" s="86">
        <f t="shared" si="285"/>
        <v>7.0400000000000205</v>
      </c>
      <c r="DH51" s="83">
        <f t="shared" si="314"/>
        <v>0</v>
      </c>
      <c r="DI51" s="83">
        <f t="shared" si="315"/>
        <v>0</v>
      </c>
      <c r="DJ51" s="83">
        <f t="shared" si="316"/>
        <v>0</v>
      </c>
      <c r="DK51" s="83">
        <f t="shared" si="254"/>
        <v>0</v>
      </c>
      <c r="DL51" s="83">
        <f t="shared" si="255"/>
        <v>0</v>
      </c>
      <c r="DM51" s="83">
        <f t="shared" si="256"/>
        <v>0</v>
      </c>
      <c r="DN51" s="64" t="str">
        <f t="shared" si="257"/>
        <v>UNKNOWN</v>
      </c>
      <c r="DO51" s="64" t="str">
        <f t="shared" si="258"/>
        <v>UNKNOWN</v>
      </c>
      <c r="DP51" s="83">
        <f t="shared" si="259"/>
        <v>0</v>
      </c>
      <c r="DQ51" s="83">
        <f t="shared" si="260"/>
        <v>0</v>
      </c>
      <c r="DR51" s="83" t="e">
        <f t="shared" ca="1" si="261"/>
        <v>#NUM!</v>
      </c>
      <c r="DS51" s="83">
        <f t="shared" si="262"/>
        <v>0</v>
      </c>
      <c r="DT51" s="83">
        <f t="shared" si="286"/>
        <v>0</v>
      </c>
      <c r="DU51" s="83">
        <f t="shared" si="287"/>
        <v>0</v>
      </c>
      <c r="DV51" s="83">
        <f t="shared" si="263"/>
        <v>1768</v>
      </c>
      <c r="DW51" s="83">
        <f t="shared" si="264"/>
        <v>-81</v>
      </c>
      <c r="DX51" s="83" t="e">
        <f t="shared" ca="1" si="317"/>
        <v>#NUM!</v>
      </c>
      <c r="DY51" s="83" t="e">
        <f t="shared" ca="1" si="318"/>
        <v>#NUM!</v>
      </c>
      <c r="DZ51" s="83">
        <f t="shared" ca="1" si="319"/>
        <v>2.2352759345029248E-2</v>
      </c>
      <c r="EA51" s="83">
        <f t="shared" ca="1" si="320"/>
        <v>-2.2146320514352735E-2</v>
      </c>
      <c r="EB51" s="83">
        <f t="shared" ca="1" si="321"/>
        <v>1.9201729423978808E-2</v>
      </c>
      <c r="EC51" s="83">
        <f t="shared" ca="1" si="322"/>
        <v>-1.9201729423978808E-2</v>
      </c>
      <c r="EE51" s="84">
        <f t="shared" si="323"/>
        <v>0.74670000000000003</v>
      </c>
      <c r="EF51" s="84">
        <f t="shared" si="324"/>
        <v>1.0933999999999999</v>
      </c>
      <c r="EG51" s="84">
        <f t="shared" si="325"/>
        <v>0.21010000000000001</v>
      </c>
      <c r="EH51" s="84">
        <f t="shared" si="326"/>
        <v>0.21240000000000001</v>
      </c>
      <c r="EI51" s="84">
        <f t="shared" si="327"/>
        <v>0.25</v>
      </c>
      <c r="EJ51" s="84">
        <f t="shared" si="328"/>
        <v>0.25</v>
      </c>
      <c r="EL51" s="83" t="str">
        <f>RTD("tos.rtd",,EL$43,"."&amp;$A$43&amp;$AS$42&amp;"C"&amp;$A51)</f>
        <v>74.67%</v>
      </c>
      <c r="EM51" s="83" t="str">
        <f>RTD("tos.rtd",,EM$43,"."&amp;$A$43&amp;$AS$42&amp;"P"&amp;$A51)</f>
        <v>109.34%</v>
      </c>
      <c r="EN51" s="83" t="str">
        <f>RTD("tos.rtd",,EN$2,"."&amp;$A$43&amp;$AU$1&amp;"C"&amp;$A51)</f>
        <v>21.01%</v>
      </c>
      <c r="EO51" s="83" t="str">
        <f>RTD("tos.rtd",,EO$2,"."&amp;$A$43&amp;$AU$1&amp;"P"&amp;$A51)</f>
        <v>21.24%</v>
      </c>
      <c r="EP51" s="83" t="str">
        <f>RTD("tos.rtd",,EP$2,"."&amp;$A$43&amp;$AW$1&amp;"C"&amp;$A51)</f>
        <v>N/A</v>
      </c>
      <c r="EQ51" s="83" t="str">
        <f>RTD("tos.rtd",,EQ$2,"."&amp;$A$43&amp;$AW$1&amp;"P"&amp;$A51)</f>
        <v>N/A</v>
      </c>
      <c r="ET51" s="64" t="str">
        <f t="shared" ca="1" si="271"/>
        <v>496,00.00</v>
      </c>
      <c r="EU51" s="68">
        <v>560.20000000000005</v>
      </c>
      <c r="EV51" s="68" t="s">
        <v>427</v>
      </c>
      <c r="EW51" s="68">
        <v>482.22</v>
      </c>
      <c r="EX51" s="68" t="s">
        <v>428</v>
      </c>
      <c r="EY51" s="68">
        <v>5617</v>
      </c>
      <c r="EZ51" s="68" t="s">
        <v>429</v>
      </c>
      <c r="FA51" s="68">
        <v>19812</v>
      </c>
      <c r="FB51" s="68" t="s">
        <v>430</v>
      </c>
      <c r="FC51" s="68" t="s">
        <v>431</v>
      </c>
      <c r="FD51" s="68" t="s">
        <v>432</v>
      </c>
      <c r="FE51" s="68" t="s">
        <v>433</v>
      </c>
      <c r="FF51" s="68" t="s">
        <v>434</v>
      </c>
    </row>
    <row r="52" spans="1:162" ht="13.5" thickBot="1" x14ac:dyDescent="0.25">
      <c r="A52" s="2">
        <f t="shared" si="288"/>
        <v>495</v>
      </c>
      <c r="B52" s="3">
        <f t="shared" si="293"/>
        <v>8398</v>
      </c>
      <c r="C52" s="3">
        <f t="shared" si="294"/>
        <v>3046</v>
      </c>
      <c r="D52" s="3">
        <f t="shared" si="295"/>
        <v>37307</v>
      </c>
      <c r="E52" s="3">
        <f t="shared" si="296"/>
        <v>48751</v>
      </c>
      <c r="F52" s="4">
        <f t="shared" si="297"/>
        <v>20441.426701570683</v>
      </c>
      <c r="AM52" s="1">
        <v>-6988</v>
      </c>
      <c r="AN52" s="1">
        <v>-386</v>
      </c>
      <c r="AO52" s="1">
        <v>495</v>
      </c>
      <c r="AP52" s="1">
        <v>27999</v>
      </c>
      <c r="AQ52" s="1">
        <v>-2361</v>
      </c>
      <c r="AS52" s="6">
        <f>IF(RTD("tos.rtd",,AS$43,"."&amp;$A$43&amp;$AS$42&amp;"C"&amp;$A52)="N/A",0,RTD("tos.rtd",,AS$43,"."&amp;$A$43&amp;$AS$42&amp;"C"&amp;$A52))</f>
        <v>8346</v>
      </c>
      <c r="AT52" s="7">
        <f>-IF(RTD("tos.rtd",,AT$43,"."&amp;$A$43&amp;$AS$42&amp;"P"&amp;$A52)="N/A",0,RTD("tos.rtd",,AT$43,"."&amp;$A$43&amp;$AS$42&amp;"P"&amp;$A52))</f>
        <v>-52</v>
      </c>
      <c r="AU52" s="6">
        <f>IF(RTD("tos.rtd",,AU$2,"."&amp;$A$43&amp;$AU$1&amp;"C"&amp;$A52)="N/A",0,RTD("tos.rtd",,AU$2,"."&amp;$A$43&amp;$AU$1&amp;"C"&amp;$A52))</f>
        <v>2996</v>
      </c>
      <c r="AV52" s="7">
        <f>-IF(RTD("tos.rtd",,AV$2,"."&amp;$A$43&amp;$AU$1&amp;"P"&amp;$A52)="N/A",0,RTD("tos.rtd",,AV$2,"."&amp;$A$43&amp;$AU$1&amp;"P"&amp;$A52))</f>
        <v>-50</v>
      </c>
      <c r="AW52" s="6">
        <f>IF(RTD("tos.rtd",,AW$2,"."&amp;$A$43&amp;$AW$1&amp;"C"&amp;$A52)="N/A",0,RTD("tos.rtd",,AW$2,"."&amp;$A$43&amp;$AW$1&amp;"C"&amp;$A52))</f>
        <v>35238</v>
      </c>
      <c r="AX52" s="7">
        <f>-IF(RTD("tos.rtd",,AX$2,"."&amp;$A$43&amp;$AW$1&amp;"P"&amp;$A52)="N/A",0,RTD("tos.rtd",,AX$2,"."&amp;$A$43&amp;$AW$1&amp;"P"&amp;$A52))</f>
        <v>-2069</v>
      </c>
      <c r="AY52" s="7">
        <f t="shared" si="298"/>
        <v>44409</v>
      </c>
      <c r="AZ52" s="8">
        <f t="shared" si="242"/>
        <v>495</v>
      </c>
      <c r="BA52" s="6">
        <f>IF(RTD("tos.rtd",,BA$43,"."&amp;$A$43&amp;$AS$42&amp;"C"&amp;$A52)="N/A",0,RTD("tos.rtd",,BA$43,"."&amp;$A$43&amp;$AS$42&amp;"C"&amp;$A52))</f>
        <v>27999</v>
      </c>
      <c r="BB52" s="7">
        <f>-IF(RTD("tos.rtd",,BB$43,"."&amp;$A$43&amp;$AS$42&amp;"P"&amp;$A52)="N/A",0,RTD("tos.rtd",,BB$43,"."&amp;$A$43&amp;$AS$42&amp;"P"&amp;$A52))</f>
        <v>-2361</v>
      </c>
      <c r="BC52" s="6">
        <f>IF(RTD("tos.rtd",,BC$2,"."&amp;$A$43&amp;$AU$1&amp;"C"&amp;$A52)="N/A",0,RTD("tos.rtd",,BC$2,"."&amp;$A$43&amp;$AU$1&amp;"C"&amp;$A52))</f>
        <v>3109</v>
      </c>
      <c r="BD52" s="7">
        <f>-IF(RTD("tos.rtd",,BD$2,"."&amp;$A$43&amp;$AU$1&amp;"P"&amp;$A52)="N/A",0,RTD("tos.rtd",,BD$2,"."&amp;$A$43&amp;$AU$1&amp;"P"&amp;$A52))</f>
        <v>-541</v>
      </c>
      <c r="BE52" s="6">
        <f>IF(RTD("tos.rtd",,BE$2,"."&amp;$A$43&amp;$AW$1&amp;"C"&amp;$A52)="N/A",0,RTD("tos.rtd",,BE$2,"."&amp;$A$43&amp;$AW$1&amp;"C"&amp;$A52))</f>
        <v>6748</v>
      </c>
      <c r="BF52" s="7">
        <f>-IF(RTD("tos.rtd",,BF$2,"."&amp;$A$43&amp;$AW$1&amp;"P"&amp;$A52)="N/A",0,RTD("tos.rtd",,BF$2,"."&amp;$A$43&amp;$AW$1&amp;"P"&amp;$A52))</f>
        <v>-382</v>
      </c>
      <c r="BG52" s="32" t="e">
        <f ca="1">+Hoja2!Y53</f>
        <v>#N/A</v>
      </c>
      <c r="BH52" s="7" t="e">
        <f t="shared" ca="1" si="273"/>
        <v>#N/A</v>
      </c>
      <c r="BI52" s="8" t="e">
        <f t="shared" ca="1" si="289"/>
        <v>#N/A</v>
      </c>
      <c r="BJ52" s="83" t="e">
        <f ca="1">IF($BP$1=1,DX52,IF(RTD("tos.rtd",,BJ$43,"."&amp;$A$43&amp;$AS$42&amp;"C"&amp;$A52)="N/A",0,RTD("tos.rtd",,BJ$43,"."&amp;$A$43&amp;$AS$42&amp;"C"&amp;$A52)))</f>
        <v>#NUM!</v>
      </c>
      <c r="BK52" s="83" t="e">
        <f ca="1">IF($BP$1=1,DY52,-IF(RTD("tos.rtd",,BK$43,"."&amp;$A$43&amp;$AS$42&amp;"P"&amp;$A52)="N/A",0,RTD("tos.rtd",,BK$43,"."&amp;$A$43&amp;$AS$42&amp;"P"&amp;$A52)))</f>
        <v>#NUM!</v>
      </c>
      <c r="BL52" s="83">
        <f ca="1">IF($BP$1=1,DZ52,IF(RTD("tos.rtd",,BL$2,"."&amp;$A$43&amp;$AU$1&amp;"C"&amp;$A52)="N/A",0,RTD("tos.rtd",,BL$2,"."&amp;$A$43&amp;$AU$1&amp;"C"&amp;$A52)))</f>
        <v>2.2624868387338397E-2</v>
      </c>
      <c r="BM52" s="83">
        <f ca="1">IF($BP$1=1,EA52,-IF(RTD("tos.rtd",,BM$2,"."&amp;$A$43&amp;$AU$1&amp;"P"&amp;$A52)="N/A",0,RTD("tos.rtd",,BM$2,"."&amp;$A$43&amp;$AU$1&amp;"P"&amp;$A52)))</f>
        <v>-2.2444768096220664E-2</v>
      </c>
      <c r="BN52" s="83">
        <f ca="1">IF($BP$1=1,EB52,IF(RTD("tos.rtd",,BN$2,"."&amp;$A$43&amp;$AW$1&amp;"C"&amp;$A52)="N/A",0,RTD("tos.rtd",,BN$2,"."&amp;$A$43&amp;$AW$1&amp;"C"&amp;$A52)))</f>
        <v>2.1947165946556105E-2</v>
      </c>
      <c r="BO52" s="83">
        <f ca="1">IF($BP$1=1,EC52,-IF(RTD("tos.rtd",,BO$2,"."&amp;$A$43&amp;$AW$1&amp;"P"&amp;$A52)="N/A",0,RTD("tos.rtd",,BO$2,"."&amp;$A$43&amp;$AW$1&amp;"P"&amp;$A52)))</f>
        <v>-2.1803657097819975E-2</v>
      </c>
      <c r="BQ52" s="83" t="e">
        <f t="shared" ca="1" si="299"/>
        <v>#NUM!</v>
      </c>
      <c r="BR52" s="3" t="e">
        <f t="shared" ca="1" si="275"/>
        <v>#NUM!</v>
      </c>
      <c r="BS52" s="83">
        <f t="shared" ca="1" si="300"/>
        <v>15937644.66114567</v>
      </c>
      <c r="BT52" s="3" t="str">
        <f t="shared" ca="1" si="277"/>
        <v/>
      </c>
      <c r="BU52" s="83">
        <f t="shared" ca="1" si="301"/>
        <v>174114360.93038094</v>
      </c>
      <c r="BV52" s="83"/>
      <c r="BX52" s="83" t="e">
        <f t="shared" ca="1" si="302"/>
        <v>#NUM!</v>
      </c>
      <c r="BY52" s="83" t="e">
        <f t="shared" ca="1" si="290"/>
        <v>#NUM!</v>
      </c>
      <c r="BZ52" s="83">
        <f t="shared" ca="1" si="303"/>
        <v>13914110.363246996</v>
      </c>
      <c r="CA52" s="83" t="str">
        <f t="shared" ca="1" si="290"/>
        <v/>
      </c>
      <c r="CB52" s="83">
        <f t="shared" ca="1" si="304"/>
        <v>33416589.062678993</v>
      </c>
      <c r="CC52" s="83" t="str">
        <f t="shared" ca="1" si="290"/>
        <v/>
      </c>
      <c r="CD52" s="83">
        <f>IF(RTD("tos.rtd",,CD$43,"."&amp;$A$43&amp;$AS$42&amp;"C"&amp;$A52)="N/A",0,RTD("tos.rtd",,CD$43,"."&amp;$A$43&amp;$AS$42&amp;"C"&amp;$A52))</f>
        <v>0.01</v>
      </c>
      <c r="CE52" s="83">
        <f>-IF(RTD("tos.rtd",,CE$43,"."&amp;$A$43&amp;$AS$42&amp;"P"&amp;$A52)="N/A",0,RTD("tos.rtd",,CE$43,"."&amp;$A$43&amp;$AS$42&amp;"P"&amp;$A52))</f>
        <v>0.95</v>
      </c>
      <c r="CF52" s="83">
        <f>IF(RTD("tos.rtd",,CF$2,"."&amp;$A$43&amp;$AU$1&amp;"C"&amp;$A52)="N/A",0,RTD("tos.rtd",,CF$2,"."&amp;$A$43&amp;$AU$1&amp;"C"&amp;$A52))</f>
        <v>0.35</v>
      </c>
      <c r="CG52" s="83">
        <f>-IF(RTD("tos.rtd",,CG$2,"."&amp;$A$43&amp;$AU$1&amp;"P"&amp;$A52)="N/A",0,RTD("tos.rtd",,CG$2,"."&amp;$A$43&amp;$AU$1&amp;"P"&amp;$A52))</f>
        <v>0.65</v>
      </c>
      <c r="CH52" s="83">
        <f>IF(RTD("tos.rtd",,CH$2,"."&amp;$A$43&amp;$AW$1&amp;"C"&amp;$A52)="N/A",0,RTD("tos.rtd",,CH$2,"."&amp;$A$43&amp;$AW$1&amp;"C"&amp;$A52))</f>
        <v>0.41</v>
      </c>
      <c r="CI52" s="83">
        <f>-IF(RTD("tos.rtd",,CI$2,"."&amp;$A$43&amp;$AW$1&amp;"P"&amp;$A52)="N/A",0,RTD("tos.rtd",,CI$2,"."&amp;$A$43&amp;$AW$1&amp;"P"&amp;$A52))</f>
        <v>0.59</v>
      </c>
      <c r="CK52" s="83">
        <f t="shared" si="305"/>
        <v>3406</v>
      </c>
      <c r="CL52" s="83"/>
      <c r="CM52" s="83">
        <f t="shared" si="306"/>
        <v>101609.99999999999</v>
      </c>
      <c r="CN52" s="83"/>
      <c r="CO52" s="83">
        <f t="shared" si="307"/>
        <v>1322687</v>
      </c>
      <c r="CP52" s="83">
        <f t="shared" si="308"/>
        <v>1427703</v>
      </c>
      <c r="CQ52" s="83">
        <f t="shared" si="309"/>
        <v>25638</v>
      </c>
      <c r="CR52" s="83"/>
      <c r="CS52" s="83">
        <f t="shared" si="310"/>
        <v>2568</v>
      </c>
      <c r="CT52" s="83"/>
      <c r="CU52" s="83">
        <f t="shared" si="311"/>
        <v>6366</v>
      </c>
      <c r="CV52" s="83"/>
      <c r="CW52" s="83" t="e">
        <f t="shared" ca="1" si="312"/>
        <v>#NUM!</v>
      </c>
      <c r="CY52" s="83" t="e">
        <f t="shared" ca="1" si="313"/>
        <v>#NUM!</v>
      </c>
      <c r="CZ52" s="70" t="e">
        <f t="shared" ca="1" si="291"/>
        <v>#NUM!</v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5.89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6.2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5.95</v>
      </c>
      <c r="DG52" s="86">
        <f t="shared" si="285"/>
        <v>6.0400000000000205</v>
      </c>
      <c r="DH52" s="83">
        <f t="shared" si="314"/>
        <v>0</v>
      </c>
      <c r="DI52" s="83">
        <f t="shared" si="315"/>
        <v>0</v>
      </c>
      <c r="DJ52" s="83">
        <f t="shared" si="316"/>
        <v>0</v>
      </c>
      <c r="DK52" s="83">
        <f t="shared" si="254"/>
        <v>0</v>
      </c>
      <c r="DL52" s="83">
        <f t="shared" si="255"/>
        <v>0</v>
      </c>
      <c r="DM52" s="83">
        <f t="shared" si="256"/>
        <v>0</v>
      </c>
      <c r="DN52" s="64" t="str">
        <f t="shared" si="257"/>
        <v>UNKNOWN</v>
      </c>
      <c r="DO52" s="64" t="str">
        <f t="shared" si="258"/>
        <v>UNKNOWN</v>
      </c>
      <c r="DP52" s="83">
        <f t="shared" si="259"/>
        <v>0</v>
      </c>
      <c r="DQ52" s="83">
        <f t="shared" si="260"/>
        <v>0</v>
      </c>
      <c r="DR52" s="83" t="e">
        <f t="shared" ca="1" si="261"/>
        <v>#NUM!</v>
      </c>
      <c r="DS52" s="83">
        <f t="shared" si="262"/>
        <v>0</v>
      </c>
      <c r="DT52" s="83">
        <f t="shared" si="286"/>
        <v>0</v>
      </c>
      <c r="DU52" s="83">
        <f t="shared" si="287"/>
        <v>0</v>
      </c>
      <c r="DV52" s="83">
        <f t="shared" si="263"/>
        <v>-6988</v>
      </c>
      <c r="DW52" s="83">
        <f t="shared" si="264"/>
        <v>-386</v>
      </c>
      <c r="DX52" s="83" t="e">
        <f t="shared" ca="1" si="317"/>
        <v>#NUM!</v>
      </c>
      <c r="DY52" s="83" t="e">
        <f t="shared" ca="1" si="318"/>
        <v>#NUM!</v>
      </c>
      <c r="DZ52" s="83">
        <f t="shared" ca="1" si="319"/>
        <v>2.2624868387338397E-2</v>
      </c>
      <c r="EA52" s="83">
        <f t="shared" ca="1" si="320"/>
        <v>-2.2444768096220664E-2</v>
      </c>
      <c r="EB52" s="83">
        <f t="shared" ca="1" si="321"/>
        <v>2.1947165946556105E-2</v>
      </c>
      <c r="EC52" s="83">
        <f t="shared" ca="1" si="322"/>
        <v>-2.1803657097819975E-2</v>
      </c>
      <c r="EE52" s="84">
        <f t="shared" si="323"/>
        <v>0.65249999999999997</v>
      </c>
      <c r="EF52" s="84">
        <f t="shared" si="324"/>
        <v>0.91779999999999995</v>
      </c>
      <c r="EG52" s="84">
        <f t="shared" si="325"/>
        <v>0.21199999999999999</v>
      </c>
      <c r="EH52" s="84">
        <f t="shared" si="326"/>
        <v>0.21390000000000001</v>
      </c>
      <c r="EI52" s="84">
        <f t="shared" si="327"/>
        <v>0.21929999999999999</v>
      </c>
      <c r="EJ52" s="84">
        <f t="shared" si="328"/>
        <v>0.22090000000000001</v>
      </c>
      <c r="EL52" s="83" t="str">
        <f>RTD("tos.rtd",,EL$43,"."&amp;$A$43&amp;$AS$42&amp;"C"&amp;$A52)</f>
        <v>65.25%</v>
      </c>
      <c r="EM52" s="83" t="str">
        <f>RTD("tos.rtd",,EM$43,"."&amp;$A$43&amp;$AS$42&amp;"P"&amp;$A52)</f>
        <v>91.78%</v>
      </c>
      <c r="EN52" s="83" t="str">
        <f>RTD("tos.rtd",,EN$2,"."&amp;$A$43&amp;$AU$1&amp;"C"&amp;$A52)</f>
        <v>21.20%</v>
      </c>
      <c r="EO52" s="83" t="str">
        <f>RTD("tos.rtd",,EO$2,"."&amp;$A$43&amp;$AU$1&amp;"P"&amp;$A52)</f>
        <v>21.39%</v>
      </c>
      <c r="EP52" s="83" t="str">
        <f>RTD("tos.rtd",,EP$2,"."&amp;$A$43&amp;$AW$1&amp;"C"&amp;$A52)</f>
        <v>21.93%</v>
      </c>
      <c r="EQ52" s="83" t="str">
        <f>RTD("tos.rtd",,EQ$2,"."&amp;$A$43&amp;$AW$1&amp;"P"&amp;$A52)</f>
        <v>22.09%</v>
      </c>
      <c r="ET52" s="64" t="str">
        <f t="shared" ca="1" si="271"/>
        <v>495,00.00</v>
      </c>
      <c r="EU52" s="68">
        <v>560.38</v>
      </c>
      <c r="EV52" s="68" t="s">
        <v>435</v>
      </c>
      <c r="EW52" s="68">
        <v>482.38</v>
      </c>
      <c r="EX52" s="68" t="s">
        <v>436</v>
      </c>
      <c r="EY52" s="68">
        <v>5619</v>
      </c>
      <c r="EZ52" s="68" t="s">
        <v>437</v>
      </c>
      <c r="FA52" s="68">
        <v>19819.5</v>
      </c>
      <c r="FB52" s="68" t="s">
        <v>438</v>
      </c>
      <c r="FC52" s="68" t="s">
        <v>439</v>
      </c>
      <c r="FD52" s="68" t="s">
        <v>440</v>
      </c>
      <c r="FE52" s="68" t="s">
        <v>441</v>
      </c>
      <c r="FF52" s="68" t="s">
        <v>442</v>
      </c>
    </row>
    <row r="53" spans="1:162" ht="13.5" thickBot="1" x14ac:dyDescent="0.25">
      <c r="A53" s="2">
        <f t="shared" si="288"/>
        <v>494</v>
      </c>
      <c r="B53" s="3">
        <f t="shared" si="293"/>
        <v>2011</v>
      </c>
      <c r="C53" s="3">
        <f t="shared" si="294"/>
        <v>1085</v>
      </c>
      <c r="D53" s="3">
        <f t="shared" si="295"/>
        <v>0</v>
      </c>
      <c r="E53" s="3">
        <f t="shared" si="296"/>
        <v>3096</v>
      </c>
      <c r="F53" s="4">
        <f t="shared" si="297"/>
        <v>20400.130890052358</v>
      </c>
      <c r="AM53" s="1">
        <v>-7044</v>
      </c>
      <c r="AN53" s="1">
        <v>-574</v>
      </c>
      <c r="AO53" s="1">
        <v>494</v>
      </c>
      <c r="AP53" s="1">
        <v>21317</v>
      </c>
      <c r="AQ53" s="1">
        <v>-1510</v>
      </c>
      <c r="AS53" s="6">
        <f>IF(RTD("tos.rtd",,AS$43,"."&amp;$A$43&amp;$AS$42&amp;"C"&amp;$A53)="N/A",0,RTD("tos.rtd",,AS$43,"."&amp;$A$43&amp;$AS$42&amp;"C"&amp;$A53))</f>
        <v>1899</v>
      </c>
      <c r="AT53" s="7">
        <f>-IF(RTD("tos.rtd",,AT$43,"."&amp;$A$43&amp;$AS$42&amp;"P"&amp;$A53)="N/A",0,RTD("tos.rtd",,AT$43,"."&amp;$A$43&amp;$AS$42&amp;"P"&amp;$A53))</f>
        <v>-112</v>
      </c>
      <c r="AU53" s="6">
        <f>IF(RTD("tos.rtd",,AU$2,"."&amp;$A$43&amp;$AU$1&amp;"C"&amp;$A53)="N/A",0,RTD("tos.rtd",,AU$2,"."&amp;$A$43&amp;$AU$1&amp;"C"&amp;$A53))</f>
        <v>988</v>
      </c>
      <c r="AV53" s="7">
        <f>-IF(RTD("tos.rtd",,AV$2,"."&amp;$A$43&amp;$AU$1&amp;"P"&amp;$A53)="N/A",0,RTD("tos.rtd",,AV$2,"."&amp;$A$43&amp;$AU$1&amp;"P"&amp;$A53))</f>
        <v>-97</v>
      </c>
      <c r="AW53" s="6">
        <f>IF(RTD("tos.rtd",,AW$2,"."&amp;$A$43&amp;$AW$1&amp;"C"&amp;$A53)="N/A",0,RTD("tos.rtd",,AW$2,"."&amp;$A$43&amp;$AW$1&amp;"C"&amp;$A53))</f>
        <v>0</v>
      </c>
      <c r="AX53" s="7">
        <f>-IF(RTD("tos.rtd",,AX$2,"."&amp;$A$43&amp;$AW$1&amp;"P"&amp;$A53)="N/A",0,RTD("tos.rtd",,AX$2,"."&amp;$A$43&amp;$AW$1&amp;"P"&amp;$A53))</f>
        <v>0</v>
      </c>
      <c r="AY53" s="7">
        <f t="shared" si="298"/>
        <v>2678</v>
      </c>
      <c r="AZ53" s="8">
        <f t="shared" si="242"/>
        <v>494</v>
      </c>
      <c r="BA53" s="6">
        <f>IF(RTD("tos.rtd",,BA$43,"."&amp;$A$43&amp;$AS$42&amp;"C"&amp;$A53)="N/A",0,RTD("tos.rtd",,BA$43,"."&amp;$A$43&amp;$AS$42&amp;"C"&amp;$A53))</f>
        <v>21317</v>
      </c>
      <c r="BB53" s="7">
        <f>-IF(RTD("tos.rtd",,BB$43,"."&amp;$A$43&amp;$AS$42&amp;"P"&amp;$A53)="N/A",0,RTD("tos.rtd",,BB$43,"."&amp;$A$43&amp;$AS$42&amp;"P"&amp;$A53))</f>
        <v>-1510</v>
      </c>
      <c r="BC53" s="6">
        <f>IF(RTD("tos.rtd",,BC$2,"."&amp;$A$43&amp;$AU$1&amp;"C"&amp;$A53)="N/A",0,RTD("tos.rtd",,BC$2,"."&amp;$A$43&amp;$AU$1&amp;"C"&amp;$A53))</f>
        <v>867</v>
      </c>
      <c r="BD53" s="7">
        <f>-IF(RTD("tos.rtd",,BD$2,"."&amp;$A$43&amp;$AU$1&amp;"P"&amp;$A53)="N/A",0,RTD("tos.rtd",,BD$2,"."&amp;$A$43&amp;$AU$1&amp;"P"&amp;$A53))</f>
        <v>-10</v>
      </c>
      <c r="BE53" s="6">
        <f>IF(RTD("tos.rtd",,BE$2,"."&amp;$A$43&amp;$AW$1&amp;"C"&amp;$A53)="N/A",0,RTD("tos.rtd",,BE$2,"."&amp;$A$43&amp;$AW$1&amp;"C"&amp;$A53))</f>
        <v>0</v>
      </c>
      <c r="BF53" s="7">
        <f>-IF(RTD("tos.rtd",,BF$2,"."&amp;$A$43&amp;$AW$1&amp;"P"&amp;$A53)="N/A",0,RTD("tos.rtd",,BF$2,"."&amp;$A$43&amp;$AW$1&amp;"P"&amp;$A53))</f>
        <v>0</v>
      </c>
      <c r="BG53" s="32" t="e">
        <f ca="1">+Hoja2!Y54</f>
        <v>#N/A</v>
      </c>
      <c r="BH53" s="7" t="e">
        <f t="shared" ca="1" si="273"/>
        <v>#N/A</v>
      </c>
      <c r="BI53" s="8" t="e">
        <f t="shared" ca="1" si="289"/>
        <v>#N/A</v>
      </c>
      <c r="BJ53" s="83" t="e">
        <f ca="1">IF($BP$1=1,DX53,IF(RTD("tos.rtd",,BJ$43,"."&amp;$A$43&amp;$AS$42&amp;"C"&amp;$A53)="N/A",0,RTD("tos.rtd",,BJ$43,"."&amp;$A$43&amp;$AS$42&amp;"C"&amp;$A53)))</f>
        <v>#NUM!</v>
      </c>
      <c r="BK53" s="83" t="e">
        <f ca="1">IF($BP$1=1,DY53,-IF(RTD("tos.rtd",,BK$43,"."&amp;$A$43&amp;$AS$42&amp;"P"&amp;$A53)="N/A",0,RTD("tos.rtd",,BK$43,"."&amp;$A$43&amp;$AS$42&amp;"P"&amp;$A53)))</f>
        <v>#NUM!</v>
      </c>
      <c r="BL53" s="83">
        <f ca="1">IF($BP$1=1,DZ53,IF(RTD("tos.rtd",,BL$2,"."&amp;$A$43&amp;$AU$1&amp;"C"&amp;$A53)="N/A",0,RTD("tos.rtd",,BL$2,"."&amp;$A$43&amp;$AU$1&amp;"C"&amp;$A53)))</f>
        <v>2.2817820196640883E-2</v>
      </c>
      <c r="BM53" s="83">
        <f ca="1">IF($BP$1=1,EA53,-IF(RTD("tos.rtd",,BM$2,"."&amp;$A$43&amp;$AU$1&amp;"P"&amp;$A53)="N/A",0,RTD("tos.rtd",,BM$2,"."&amp;$A$43&amp;$AU$1&amp;"P"&amp;$A53)))</f>
        <v>-2.2650142584610174E-2</v>
      </c>
      <c r="BN53" s="83">
        <f ca="1">IF($BP$1=1,EB53,IF(RTD("tos.rtd",,BN$2,"."&amp;$A$43&amp;$AW$1&amp;"C"&amp;$A53)="N/A",0,RTD("tos.rtd",,BN$2,"."&amp;$A$43&amp;$AW$1&amp;"C"&amp;$A53)))</f>
        <v>1.969590891466045E-2</v>
      </c>
      <c r="BO53" s="83">
        <f ca="1">IF($BP$1=1,EC53,-IF(RTD("tos.rtd",,BO$2,"."&amp;$A$43&amp;$AW$1&amp;"P"&amp;$A53)="N/A",0,RTD("tos.rtd",,BO$2,"."&amp;$A$43&amp;$AW$1&amp;"P"&amp;$A53)))</f>
        <v>-1.969590891466045E-2</v>
      </c>
      <c r="BQ53" s="83" t="e">
        <f t="shared" ca="1" si="299"/>
        <v>#NUM!</v>
      </c>
      <c r="BR53" s="3" t="e">
        <f t="shared" ca="1" si="275"/>
        <v>#NUM!</v>
      </c>
      <c r="BS53" s="83">
        <f t="shared" ca="1" si="300"/>
        <v>4864585.3033431256</v>
      </c>
      <c r="BT53" s="3" t="str">
        <f t="shared" ca="1" si="277"/>
        <v/>
      </c>
      <c r="BU53" s="83">
        <f t="shared" ca="1" si="301"/>
        <v>0</v>
      </c>
      <c r="BV53" s="83"/>
      <c r="BX53" s="83" t="e">
        <f t="shared" ca="1" si="302"/>
        <v>#NUM!</v>
      </c>
      <c r="BY53" s="83" t="e">
        <f t="shared" ca="1" si="290"/>
        <v>#NUM!</v>
      </c>
      <c r="BZ53" s="83">
        <f t="shared" ca="1" si="303"/>
        <v>4675616.4571261061</v>
      </c>
      <c r="CA53" s="83" t="str">
        <f t="shared" ca="1" si="290"/>
        <v/>
      </c>
      <c r="CB53" s="83">
        <f t="shared" ca="1" si="304"/>
        <v>0</v>
      </c>
      <c r="CC53" s="83" t="str">
        <f t="shared" ca="1" si="290"/>
        <v/>
      </c>
      <c r="CD53" s="83">
        <f>IF(RTD("tos.rtd",,CD$43,"."&amp;$A$43&amp;$AS$42&amp;"C"&amp;$A53)="N/A",0,RTD("tos.rtd",,CD$43,"."&amp;$A$43&amp;$AS$42&amp;"C"&amp;$A53))</f>
        <v>0.01</v>
      </c>
      <c r="CE53" s="83">
        <f>-IF(RTD("tos.rtd",,CE$43,"."&amp;$A$43&amp;$AS$42&amp;"P"&amp;$A53)="N/A",0,RTD("tos.rtd",,CE$43,"."&amp;$A$43&amp;$AS$42&amp;"P"&amp;$A53))</f>
        <v>0.95</v>
      </c>
      <c r="CF53" s="83">
        <f>IF(RTD("tos.rtd",,CF$2,"."&amp;$A$43&amp;$AU$1&amp;"C"&amp;$A53)="N/A",0,RTD("tos.rtd",,CF$2,"."&amp;$A$43&amp;$AU$1&amp;"C"&amp;$A53))</f>
        <v>0.38</v>
      </c>
      <c r="CG53" s="83">
        <f>-IF(RTD("tos.rtd",,CG$2,"."&amp;$A$43&amp;$AU$1&amp;"P"&amp;$A53)="N/A",0,RTD("tos.rtd",,CG$2,"."&amp;$A$43&amp;$AU$1&amp;"P"&amp;$A53))</f>
        <v>0.62</v>
      </c>
      <c r="CH53" s="83">
        <f>IF(RTD("tos.rtd",,CH$2,"."&amp;$A$43&amp;$AW$1&amp;"C"&amp;$A53)="N/A",0,RTD("tos.rtd",,CH$2,"."&amp;$A$43&amp;$AW$1&amp;"C"&amp;$A53))</f>
        <v>0</v>
      </c>
      <c r="CI53" s="83">
        <f>-IF(RTD("tos.rtd",,CI$2,"."&amp;$A$43&amp;$AW$1&amp;"P"&amp;$A53)="N/A",0,RTD("tos.rtd",,CI$2,"."&amp;$A$43&amp;$AW$1&amp;"P"&amp;$A53))</f>
        <v>0</v>
      </c>
      <c r="CK53" s="83">
        <f t="shared" si="305"/>
        <v>-8741</v>
      </c>
      <c r="CL53" s="83"/>
      <c r="CM53" s="83">
        <f t="shared" si="306"/>
        <v>31530</v>
      </c>
      <c r="CN53" s="83"/>
      <c r="CO53" s="83">
        <f t="shared" si="307"/>
        <v>0</v>
      </c>
      <c r="CP53" s="83">
        <f t="shared" si="308"/>
        <v>22789</v>
      </c>
      <c r="CQ53" s="83">
        <f t="shared" si="309"/>
        <v>19807</v>
      </c>
      <c r="CR53" s="83"/>
      <c r="CS53" s="83">
        <f t="shared" si="310"/>
        <v>857</v>
      </c>
      <c r="CT53" s="83"/>
      <c r="CU53" s="83">
        <f t="shared" si="311"/>
        <v>0</v>
      </c>
      <c r="CV53" s="83"/>
      <c r="CW53" s="83" t="e">
        <f t="shared" ca="1" si="312"/>
        <v>#NUM!</v>
      </c>
      <c r="CY53" s="83" t="e">
        <f t="shared" ca="1" si="313"/>
        <v>#NUM!</v>
      </c>
      <c r="CZ53" s="70" t="e">
        <f t="shared" ca="1" si="291"/>
        <v>#NUM!</v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5.2</v>
      </c>
      <c r="DC53" s="83">
        <f>IF(RTD("tos.rtd",,DC$43,"."&amp;$A$43&amp;$AS$42&amp;"C"&amp;$A53)="N/A",0,RTD("tos.rtd",,DC$43,"."&amp;$A$43&amp;$AS$42&amp;"C"&amp;$A53))</f>
        <v>0.01</v>
      </c>
      <c r="DD53" s="83">
        <f>IF(RTD("tos.rtd",,DD$43,"."&amp;$A$43&amp;$AS$42&amp;"P"&amp;$A53)="N/A",0,RTD("tos.rtd",,DD$43,"."&amp;$A$43&amp;$AS$42&amp;"P"&amp;$A53))</f>
        <v>5.22</v>
      </c>
      <c r="DE53" s="83">
        <f>IF(RTD("tos.rtd",,DE$43,"."&amp;$A$43&amp;$AS$42&amp;"C"&amp;$A53)="N/A",0,RTD("tos.rtd",,DE$43,"."&amp;$A$43&amp;$AS$42&amp;"C"&amp;$A53))</f>
        <v>0</v>
      </c>
      <c r="DF53" s="83">
        <f>IF(RTD("tos.rtd",,DF$43,"."&amp;$A$43&amp;$AS$42&amp;"P"&amp;$A53)="N/A",0,RTD("tos.rtd",,DF$43,"."&amp;$A$43&amp;$AS$42&amp;"P"&amp;$A53))</f>
        <v>4.93</v>
      </c>
      <c r="DG53" s="86">
        <f t="shared" si="285"/>
        <v>5.0400000000000205</v>
      </c>
      <c r="DH53" s="83">
        <f t="shared" si="314"/>
        <v>0</v>
      </c>
      <c r="DI53" s="83">
        <f t="shared" si="315"/>
        <v>0</v>
      </c>
      <c r="DJ53" s="83">
        <f t="shared" si="316"/>
        <v>0</v>
      </c>
      <c r="DK53" s="83">
        <f t="shared" si="254"/>
        <v>0</v>
      </c>
      <c r="DL53" s="83">
        <f t="shared" si="255"/>
        <v>0</v>
      </c>
      <c r="DM53" s="83">
        <f t="shared" si="256"/>
        <v>0</v>
      </c>
      <c r="DN53" s="64" t="str">
        <f t="shared" si="257"/>
        <v>UNKNOWN</v>
      </c>
      <c r="DO53" s="64" t="str">
        <f t="shared" si="258"/>
        <v>UNKNOWN</v>
      </c>
      <c r="DP53" s="83">
        <f t="shared" si="259"/>
        <v>0</v>
      </c>
      <c r="DQ53" s="83">
        <f t="shared" si="260"/>
        <v>0</v>
      </c>
      <c r="DR53" s="83" t="e">
        <f t="shared" ca="1" si="261"/>
        <v>#NUM!</v>
      </c>
      <c r="DS53" s="83">
        <f t="shared" si="262"/>
        <v>0</v>
      </c>
      <c r="DT53" s="83">
        <f t="shared" si="286"/>
        <v>0</v>
      </c>
      <c r="DU53" s="83">
        <f t="shared" si="287"/>
        <v>0</v>
      </c>
      <c r="DV53" s="83">
        <f t="shared" si="263"/>
        <v>-7044</v>
      </c>
      <c r="DW53" s="83">
        <f t="shared" si="264"/>
        <v>-574</v>
      </c>
      <c r="DX53" s="83" t="e">
        <f t="shared" ca="1" si="317"/>
        <v>#NUM!</v>
      </c>
      <c r="DY53" s="83" t="e">
        <f t="shared" ca="1" si="318"/>
        <v>#NUM!</v>
      </c>
      <c r="DZ53" s="83">
        <f t="shared" ca="1" si="319"/>
        <v>2.2817820196640883E-2</v>
      </c>
      <c r="EA53" s="83">
        <f t="shared" ca="1" si="320"/>
        <v>-2.2650142584610174E-2</v>
      </c>
      <c r="EB53" s="83">
        <f t="shared" ca="1" si="321"/>
        <v>1.969590891466045E-2</v>
      </c>
      <c r="EC53" s="83">
        <f t="shared" ca="1" si="322"/>
        <v>-1.969590891466045E-2</v>
      </c>
      <c r="EE53" s="84">
        <f t="shared" si="323"/>
        <v>0.55669999999999997</v>
      </c>
      <c r="EF53" s="84">
        <f t="shared" si="324"/>
        <v>0.78149999999999997</v>
      </c>
      <c r="EG53" s="84">
        <f t="shared" si="325"/>
        <v>0.21379999999999999</v>
      </c>
      <c r="EH53" s="84">
        <f t="shared" si="326"/>
        <v>0.2155</v>
      </c>
      <c r="EI53" s="84">
        <f t="shared" si="327"/>
        <v>0.25</v>
      </c>
      <c r="EJ53" s="84">
        <f t="shared" si="328"/>
        <v>0.25</v>
      </c>
      <c r="EL53" s="83" t="str">
        <f>RTD("tos.rtd",,EL$43,"."&amp;$A$43&amp;$AS$42&amp;"C"&amp;$A53)</f>
        <v>55.67%</v>
      </c>
      <c r="EM53" s="83" t="str">
        <f>RTD("tos.rtd",,EM$43,"."&amp;$A$43&amp;$AS$42&amp;"P"&amp;$A53)</f>
        <v>78.15%</v>
      </c>
      <c r="EN53" s="83" t="str">
        <f>RTD("tos.rtd",,EN$2,"."&amp;$A$43&amp;$AU$1&amp;"C"&amp;$A53)</f>
        <v>21.38%</v>
      </c>
      <c r="EO53" s="83" t="str">
        <f>RTD("tos.rtd",,EO$2,"."&amp;$A$43&amp;$AU$1&amp;"P"&amp;$A53)</f>
        <v>21.55%</v>
      </c>
      <c r="EP53" s="83" t="str">
        <f>RTD("tos.rtd",,EP$2,"."&amp;$A$43&amp;$AW$1&amp;"C"&amp;$A53)</f>
        <v>N/A</v>
      </c>
      <c r="EQ53" s="83" t="str">
        <f>RTD("tos.rtd",,EQ$2,"."&amp;$A$43&amp;$AW$1&amp;"P"&amp;$A53)</f>
        <v>N/A</v>
      </c>
      <c r="ET53" s="64" t="str">
        <f t="shared" ca="1" si="271"/>
        <v>494,00.00</v>
      </c>
      <c r="EU53" s="68">
        <v>560.48</v>
      </c>
      <c r="EV53" s="68" t="s">
        <v>443</v>
      </c>
      <c r="EW53" s="68">
        <v>482.31</v>
      </c>
      <c r="EX53" s="68" t="s">
        <v>444</v>
      </c>
      <c r="EY53" s="68">
        <v>5618.5</v>
      </c>
      <c r="EZ53" s="68" t="s">
        <v>445</v>
      </c>
      <c r="FA53" s="68">
        <v>19821.25</v>
      </c>
      <c r="FB53" s="68" t="s">
        <v>446</v>
      </c>
      <c r="FC53" s="68" t="s">
        <v>447</v>
      </c>
      <c r="FD53" s="68" t="s">
        <v>448</v>
      </c>
      <c r="FE53" s="68" t="s">
        <v>449</v>
      </c>
      <c r="FF53" s="68" t="s">
        <v>450</v>
      </c>
    </row>
    <row r="54" spans="1:162" ht="13.5" thickBot="1" x14ac:dyDescent="0.25">
      <c r="A54" s="2">
        <f t="shared" si="288"/>
        <v>493</v>
      </c>
      <c r="B54" s="3">
        <f t="shared" si="293"/>
        <v>2349</v>
      </c>
      <c r="C54" s="3">
        <f t="shared" si="294"/>
        <v>493</v>
      </c>
      <c r="D54" s="3">
        <f t="shared" si="295"/>
        <v>0</v>
      </c>
      <c r="E54" s="3">
        <f t="shared" si="296"/>
        <v>2842</v>
      </c>
      <c r="F54" s="4">
        <f t="shared" si="297"/>
        <v>20358.835078534034</v>
      </c>
      <c r="AM54" s="1">
        <v>1833</v>
      </c>
      <c r="AN54" s="1">
        <v>85</v>
      </c>
      <c r="AO54" s="1">
        <v>493</v>
      </c>
      <c r="AP54" s="1">
        <v>27106</v>
      </c>
      <c r="AQ54" s="1">
        <v>-1989</v>
      </c>
      <c r="AS54" s="6">
        <f>IF(RTD("tos.rtd",,AS$43,"."&amp;$A$43&amp;$AS$42&amp;"C"&amp;$A54)="N/A",0,RTD("tos.rtd",,AS$43,"."&amp;$A$43&amp;$AS$42&amp;"C"&amp;$A54))</f>
        <v>2245</v>
      </c>
      <c r="AT54" s="7">
        <f>-IF(RTD("tos.rtd",,AT$43,"."&amp;$A$43&amp;$AS$42&amp;"P"&amp;$A54)="N/A",0,RTD("tos.rtd",,AT$43,"."&amp;$A$43&amp;$AS$42&amp;"P"&amp;$A54))</f>
        <v>-104</v>
      </c>
      <c r="AU54" s="6">
        <f>IF(RTD("tos.rtd",,AU$2,"."&amp;$A$43&amp;$AU$1&amp;"C"&amp;$A54)="N/A",0,RTD("tos.rtd",,AU$2,"."&amp;$A$43&amp;$AU$1&amp;"C"&amp;$A54))</f>
        <v>333</v>
      </c>
      <c r="AV54" s="7">
        <f>-IF(RTD("tos.rtd",,AV$2,"."&amp;$A$43&amp;$AU$1&amp;"P"&amp;$A54)="N/A",0,RTD("tos.rtd",,AV$2,"."&amp;$A$43&amp;$AU$1&amp;"P"&amp;$A54))</f>
        <v>-160</v>
      </c>
      <c r="AW54" s="6">
        <f>IF(RTD("tos.rtd",,AW$2,"."&amp;$A$43&amp;$AW$1&amp;"C"&amp;$A54)="N/A",0,RTD("tos.rtd",,AW$2,"."&amp;$A$43&amp;$AW$1&amp;"C"&amp;$A54))</f>
        <v>0</v>
      </c>
      <c r="AX54" s="7">
        <f>-IF(RTD("tos.rtd",,AX$2,"."&amp;$A$43&amp;$AW$1&amp;"P"&amp;$A54)="N/A",0,RTD("tos.rtd",,AX$2,"."&amp;$A$43&amp;$AW$1&amp;"P"&amp;$A54))</f>
        <v>0</v>
      </c>
      <c r="AY54" s="7">
        <f t="shared" si="298"/>
        <v>2314</v>
      </c>
      <c r="AZ54" s="8">
        <f t="shared" si="242"/>
        <v>493</v>
      </c>
      <c r="BA54" s="6">
        <f>IF(RTD("tos.rtd",,BA$43,"."&amp;$A$43&amp;$AS$42&amp;"C"&amp;$A54)="N/A",0,RTD("tos.rtd",,BA$43,"."&amp;$A$43&amp;$AS$42&amp;"C"&amp;$A54))</f>
        <v>27506</v>
      </c>
      <c r="BB54" s="7">
        <f>-IF(RTD("tos.rtd",,BB$43,"."&amp;$A$43&amp;$AS$42&amp;"P"&amp;$A54)="N/A",0,RTD("tos.rtd",,BB$43,"."&amp;$A$43&amp;$AS$42&amp;"P"&amp;$A54))</f>
        <v>-1989</v>
      </c>
      <c r="BC54" s="6">
        <f>IF(RTD("tos.rtd",,BC$2,"."&amp;$A$43&amp;$AU$1&amp;"C"&amp;$A54)="N/A",0,RTD("tos.rtd",,BC$2,"."&amp;$A$43&amp;$AU$1&amp;"C"&amp;$A54))</f>
        <v>714</v>
      </c>
      <c r="BD54" s="7">
        <f>-IF(RTD("tos.rtd",,BD$2,"."&amp;$A$43&amp;$AU$1&amp;"P"&amp;$A54)="N/A",0,RTD("tos.rtd",,BD$2,"."&amp;$A$43&amp;$AU$1&amp;"P"&amp;$A54))</f>
        <v>-42</v>
      </c>
      <c r="BE54" s="6">
        <f>IF(RTD("tos.rtd",,BE$2,"."&amp;$A$43&amp;$AW$1&amp;"C"&amp;$A54)="N/A",0,RTD("tos.rtd",,BE$2,"."&amp;$A$43&amp;$AW$1&amp;"C"&amp;$A54))</f>
        <v>0</v>
      </c>
      <c r="BF54" s="7">
        <f>-IF(RTD("tos.rtd",,BF$2,"."&amp;$A$43&amp;$AW$1&amp;"P"&amp;$A54)="N/A",0,RTD("tos.rtd",,BF$2,"."&amp;$A$43&amp;$AW$1&amp;"P"&amp;$A54))</f>
        <v>0</v>
      </c>
      <c r="BG54" s="32" t="e">
        <f ca="1">+Hoja2!Y55</f>
        <v>#N/A</v>
      </c>
      <c r="BH54" s="7" t="e">
        <f t="shared" ca="1" si="273"/>
        <v>#N/A</v>
      </c>
      <c r="BI54" s="8" t="e">
        <f t="shared" ca="1" si="289"/>
        <v>#N/A</v>
      </c>
      <c r="BJ54" s="83" t="e">
        <f ca="1">IF($BP$1=1,DX54,IF(RTD("tos.rtd",,BJ$43,"."&amp;$A$43&amp;$AS$42&amp;"C"&amp;$A54)="N/A",0,RTD("tos.rtd",,BJ$43,"."&amp;$A$43&amp;$AS$42&amp;"C"&amp;$A54)))</f>
        <v>#NUM!</v>
      </c>
      <c r="BK54" s="83" t="e">
        <f ca="1">IF($BP$1=1,DY54,-IF(RTD("tos.rtd",,BK$43,"."&amp;$A$43&amp;$AS$42&amp;"P"&amp;$A54)="N/A",0,RTD("tos.rtd",,BK$43,"."&amp;$A$43&amp;$AS$42&amp;"P"&amp;$A54)))</f>
        <v>#NUM!</v>
      </c>
      <c r="BL54" s="83">
        <f ca="1">IF($BP$1=1,DZ54,IF(RTD("tos.rtd",,BL$2,"."&amp;$A$43&amp;$AU$1&amp;"C"&amp;$A54)="N/A",0,RTD("tos.rtd",,BL$2,"."&amp;$A$43&amp;$AU$1&amp;"C"&amp;$A54)))</f>
        <v>2.2924231857545333E-2</v>
      </c>
      <c r="BM54" s="83">
        <f ca="1">IF($BP$1=1,EA54,-IF(RTD("tos.rtd",,BM$2,"."&amp;$A$43&amp;$AU$1&amp;"P"&amp;$A54)="N/A",0,RTD("tos.rtd",,BM$2,"."&amp;$A$43&amp;$AU$1&amp;"P"&amp;$A54)))</f>
        <v>-2.2742142551826466E-2</v>
      </c>
      <c r="BN54" s="83">
        <f ca="1">IF($BP$1=1,EB54,IF(RTD("tos.rtd",,BN$2,"."&amp;$A$43&amp;$AW$1&amp;"C"&amp;$A54)="N/A",0,RTD("tos.rtd",,BN$2,"."&amp;$A$43&amp;$AW$1&amp;"C"&amp;$A54)))</f>
        <v>1.9874126958812115E-2</v>
      </c>
      <c r="BO54" s="83">
        <f ca="1">IF($BP$1=1,EC54,-IF(RTD("tos.rtd",,BO$2,"."&amp;$A$43&amp;$AW$1&amp;"P"&amp;$A54)="N/A",0,RTD("tos.rtd",,BO$2,"."&amp;$A$43&amp;$AW$1&amp;"P"&amp;$A54)))</f>
        <v>-1.9874126958812115E-2</v>
      </c>
      <c r="BQ54" s="83" t="e">
        <f t="shared" ca="1" si="299"/>
        <v>#NUM!</v>
      </c>
      <c r="BR54" s="3" t="e">
        <f t="shared" ca="1" si="275"/>
        <v>#NUM!</v>
      </c>
      <c r="BS54" s="83">
        <f t="shared" ca="1" si="300"/>
        <v>955138.42881831259</v>
      </c>
      <c r="BT54" s="3" t="str">
        <f t="shared" ca="1" si="277"/>
        <v/>
      </c>
      <c r="BU54" s="83">
        <f t="shared" ca="1" si="301"/>
        <v>0</v>
      </c>
      <c r="BV54" s="83"/>
      <c r="BX54" s="83" t="e">
        <f t="shared" ca="1" si="302"/>
        <v>#NUM!</v>
      </c>
      <c r="BY54" s="83" t="e">
        <f t="shared" ca="1" si="290"/>
        <v>#NUM!</v>
      </c>
      <c r="BZ54" s="83">
        <f t="shared" ca="1" si="303"/>
        <v>3684904.8617478772</v>
      </c>
      <c r="CA54" s="83" t="str">
        <f t="shared" ca="1" si="290"/>
        <v/>
      </c>
      <c r="CB54" s="83">
        <f t="shared" ca="1" si="304"/>
        <v>0</v>
      </c>
      <c r="CC54" s="83" t="str">
        <f t="shared" ca="1" si="290"/>
        <v/>
      </c>
      <c r="CD54" s="83">
        <f>IF(RTD("tos.rtd",,CD$43,"."&amp;$A$43&amp;$AS$42&amp;"C"&amp;$A54)="N/A",0,RTD("tos.rtd",,CD$43,"."&amp;$A$43&amp;$AS$42&amp;"C"&amp;$A54))</f>
        <v>0.02</v>
      </c>
      <c r="CE54" s="83">
        <f>-IF(RTD("tos.rtd",,CE$43,"."&amp;$A$43&amp;$AS$42&amp;"P"&amp;$A54)="N/A",0,RTD("tos.rtd",,CE$43,"."&amp;$A$43&amp;$AS$42&amp;"P"&amp;$A54))</f>
        <v>0.93</v>
      </c>
      <c r="CF54" s="83">
        <f>IF(RTD("tos.rtd",,CF$2,"."&amp;$A$43&amp;$AU$1&amp;"C"&amp;$A54)="N/A",0,RTD("tos.rtd",,CF$2,"."&amp;$A$43&amp;$AU$1&amp;"C"&amp;$A54))</f>
        <v>0.41</v>
      </c>
      <c r="CG54" s="83">
        <f>-IF(RTD("tos.rtd",,CG$2,"."&amp;$A$43&amp;$AU$1&amp;"P"&amp;$A54)="N/A",0,RTD("tos.rtd",,CG$2,"."&amp;$A$43&amp;$AU$1&amp;"P"&amp;$A54))</f>
        <v>0.59</v>
      </c>
      <c r="CH54" s="83">
        <f>IF(RTD("tos.rtd",,CH$2,"."&amp;$A$43&amp;$AW$1&amp;"C"&amp;$A54)="N/A",0,RTD("tos.rtd",,CH$2,"."&amp;$A$43&amp;$AW$1&amp;"C"&amp;$A54))</f>
        <v>0</v>
      </c>
      <c r="CI54" s="83">
        <f>-IF(RTD("tos.rtd",,CI$2,"."&amp;$A$43&amp;$AW$1&amp;"P"&amp;$A54)="N/A",0,RTD("tos.rtd",,CI$2,"."&amp;$A$43&amp;$AW$1&amp;"P"&amp;$A54))</f>
        <v>0</v>
      </c>
      <c r="CK54" s="83">
        <f t="shared" si="305"/>
        <v>-5182</v>
      </c>
      <c r="CL54" s="83"/>
      <c r="CM54" s="83">
        <f t="shared" si="306"/>
        <v>4213</v>
      </c>
      <c r="CN54" s="83"/>
      <c r="CO54" s="83">
        <f t="shared" si="307"/>
        <v>0</v>
      </c>
      <c r="CP54" s="83">
        <f t="shared" si="308"/>
        <v>-969</v>
      </c>
      <c r="CQ54" s="83">
        <f t="shared" si="309"/>
        <v>25517</v>
      </c>
      <c r="CR54" s="83"/>
      <c r="CS54" s="83">
        <f t="shared" si="310"/>
        <v>672</v>
      </c>
      <c r="CT54" s="83"/>
      <c r="CU54" s="83">
        <f t="shared" si="311"/>
        <v>0</v>
      </c>
      <c r="CV54" s="83"/>
      <c r="CW54" s="83" t="e">
        <f t="shared" ca="1" si="312"/>
        <v>#NUM!</v>
      </c>
      <c r="CY54" s="83" t="e">
        <f t="shared" ca="1" si="313"/>
        <v>#NUM!</v>
      </c>
      <c r="CZ54" s="70" t="e">
        <f t="shared" ca="1" si="291"/>
        <v>#NUM!</v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4.13</v>
      </c>
      <c r="DC54" s="83">
        <f>IF(RTD("tos.rtd",,DC$43,"."&amp;$A$43&amp;$AS$42&amp;"C"&amp;$A54)="N/A",0,RTD("tos.rtd",,DC$43,"."&amp;$A$43&amp;$AS$42&amp;"C"&amp;$A54))</f>
        <v>0.02</v>
      </c>
      <c r="DD54" s="83">
        <f>IF(RTD("tos.rtd",,DD$43,"."&amp;$A$43&amp;$AS$42&amp;"P"&amp;$A54)="N/A",0,RTD("tos.rtd",,DD$43,"."&amp;$A$43&amp;$AS$42&amp;"P"&amp;$A54))</f>
        <v>4.24</v>
      </c>
      <c r="DE54" s="83">
        <f>IF(RTD("tos.rtd",,DE$43,"."&amp;$A$43&amp;$AS$42&amp;"C"&amp;$A54)="N/A",0,RTD("tos.rtd",,DE$43,"."&amp;$A$43&amp;$AS$42&amp;"C"&amp;$A54))</f>
        <v>0.01</v>
      </c>
      <c r="DF54" s="83">
        <f>IF(RTD("tos.rtd",,DF$43,"."&amp;$A$43&amp;$AS$42&amp;"P"&amp;$A54)="N/A",0,RTD("tos.rtd",,DF$43,"."&amp;$A$43&amp;$AS$42&amp;"P"&amp;$A54))</f>
        <v>3.95</v>
      </c>
      <c r="DG54" s="86">
        <f t="shared" si="285"/>
        <v>4.0400000000000205</v>
      </c>
      <c r="DH54" s="83">
        <f t="shared" si="314"/>
        <v>0</v>
      </c>
      <c r="DI54" s="83">
        <f t="shared" si="315"/>
        <v>0</v>
      </c>
      <c r="DJ54" s="83">
        <f t="shared" si="316"/>
        <v>-400</v>
      </c>
      <c r="DK54" s="83">
        <f t="shared" si="254"/>
        <v>0</v>
      </c>
      <c r="DL54" s="83">
        <f t="shared" si="255"/>
        <v>0</v>
      </c>
      <c r="DM54" s="83">
        <f t="shared" si="256"/>
        <v>-400</v>
      </c>
      <c r="DN54" s="64" t="str">
        <f t="shared" si="257"/>
        <v>SELL</v>
      </c>
      <c r="DO54" s="64" t="str">
        <f t="shared" si="258"/>
        <v>UNKNOWN</v>
      </c>
      <c r="DP54" s="83">
        <f t="shared" si="259"/>
        <v>0</v>
      </c>
      <c r="DQ54" s="83">
        <f t="shared" si="260"/>
        <v>-4</v>
      </c>
      <c r="DR54" s="83" t="e">
        <f t="shared" ca="1" si="261"/>
        <v>#NUM!</v>
      </c>
      <c r="DS54" s="83">
        <f t="shared" si="262"/>
        <v>-8</v>
      </c>
      <c r="DT54" s="83">
        <f t="shared" si="286"/>
        <v>400</v>
      </c>
      <c r="DU54" s="83">
        <f t="shared" si="287"/>
        <v>0</v>
      </c>
      <c r="DV54" s="83">
        <f t="shared" si="263"/>
        <v>1433</v>
      </c>
      <c r="DW54" s="83">
        <f t="shared" si="264"/>
        <v>85</v>
      </c>
      <c r="DX54" s="83" t="e">
        <f t="shared" ca="1" si="317"/>
        <v>#NUM!</v>
      </c>
      <c r="DY54" s="83" t="e">
        <f t="shared" ca="1" si="318"/>
        <v>#NUM!</v>
      </c>
      <c r="DZ54" s="83">
        <f t="shared" ca="1" si="319"/>
        <v>2.2924231857545333E-2</v>
      </c>
      <c r="EA54" s="83">
        <f t="shared" ca="1" si="320"/>
        <v>-2.2742142551826466E-2</v>
      </c>
      <c r="EB54" s="83">
        <f t="shared" ca="1" si="321"/>
        <v>1.9874126958812115E-2</v>
      </c>
      <c r="EC54" s="83">
        <f t="shared" ca="1" si="322"/>
        <v>-1.9874126958812115E-2</v>
      </c>
      <c r="EE54" s="84">
        <f t="shared" si="323"/>
        <v>0.53449999999999998</v>
      </c>
      <c r="EF54" s="84">
        <f t="shared" si="324"/>
        <v>0.69069999999999998</v>
      </c>
      <c r="EG54" s="84">
        <f t="shared" si="325"/>
        <v>0.21560000000000001</v>
      </c>
      <c r="EH54" s="84">
        <f t="shared" si="326"/>
        <v>0.21740000000000001</v>
      </c>
      <c r="EI54" s="84">
        <f t="shared" si="327"/>
        <v>0.25</v>
      </c>
      <c r="EJ54" s="84">
        <f t="shared" si="328"/>
        <v>0.25</v>
      </c>
      <c r="EL54" s="83" t="str">
        <f>RTD("tos.rtd",,EL$43,"."&amp;$A$43&amp;$AS$42&amp;"C"&amp;$A54)</f>
        <v>53.45%</v>
      </c>
      <c r="EM54" s="83" t="str">
        <f>RTD("tos.rtd",,EM$43,"."&amp;$A$43&amp;$AS$42&amp;"P"&amp;$A54)</f>
        <v>69.07%</v>
      </c>
      <c r="EN54" s="83" t="str">
        <f>RTD("tos.rtd",,EN$2,"."&amp;$A$43&amp;$AU$1&amp;"C"&amp;$A54)</f>
        <v>21.56%</v>
      </c>
      <c r="EO54" s="83" t="str">
        <f>RTD("tos.rtd",,EO$2,"."&amp;$A$43&amp;$AU$1&amp;"P"&amp;$A54)</f>
        <v>21.74%</v>
      </c>
      <c r="EP54" s="83" t="str">
        <f>RTD("tos.rtd",,EP$2,"."&amp;$A$43&amp;$AW$1&amp;"C"&amp;$A54)</f>
        <v>N/A</v>
      </c>
      <c r="EQ54" s="83" t="str">
        <f>RTD("tos.rtd",,EQ$2,"."&amp;$A$43&amp;$AW$1&amp;"P"&amp;$A54)</f>
        <v>N/A</v>
      </c>
      <c r="ET54" s="64" t="str">
        <f t="shared" ca="1" si="271"/>
        <v>493,00.00</v>
      </c>
      <c r="EU54" s="68">
        <v>560.42999999999995</v>
      </c>
      <c r="EV54" s="68" t="s">
        <v>451</v>
      </c>
      <c r="EW54" s="68">
        <v>482.39</v>
      </c>
      <c r="EX54" s="68" t="s">
        <v>452</v>
      </c>
      <c r="EY54" s="68">
        <v>5619.5</v>
      </c>
      <c r="EZ54" s="68" t="s">
        <v>453</v>
      </c>
      <c r="FA54" s="68">
        <v>19820.25</v>
      </c>
      <c r="FB54" s="68" t="s">
        <v>454</v>
      </c>
      <c r="FC54" s="68" t="s">
        <v>455</v>
      </c>
      <c r="FD54" s="68" t="s">
        <v>456</v>
      </c>
      <c r="FE54" s="68" t="s">
        <v>457</v>
      </c>
      <c r="FF54" s="68" t="s">
        <v>458</v>
      </c>
    </row>
    <row r="55" spans="1:162" ht="13.5" thickBot="1" x14ac:dyDescent="0.25">
      <c r="A55" s="2">
        <f t="shared" si="288"/>
        <v>492</v>
      </c>
      <c r="B55" s="3">
        <f t="shared" ref="B55" si="329">+IF($A$1="ABS",AS55-AT55,AS55+AT55)</f>
        <v>4145</v>
      </c>
      <c r="C55" s="3">
        <f t="shared" ref="C55" si="330">+IF($A$1="ABS",AU55-AV55,AU55+AV55)</f>
        <v>606</v>
      </c>
      <c r="D55" s="3">
        <f t="shared" ref="D55" si="331">+IF($A$1="ABS",AW55-AX55,AW55+AX55)</f>
        <v>0</v>
      </c>
      <c r="E55" s="3">
        <f t="shared" ref="E55" si="332">SUM(B55:D55)</f>
        <v>4751</v>
      </c>
      <c r="F55" s="4">
        <f t="shared" ref="F55" si="333">+$F$44/$A$44*A55</f>
        <v>20317.539267015709</v>
      </c>
      <c r="AM55" s="1">
        <v>494</v>
      </c>
      <c r="AN55" s="1">
        <v>-4288</v>
      </c>
      <c r="AO55" s="1">
        <v>492</v>
      </c>
      <c r="AP55" s="1">
        <v>88829</v>
      </c>
      <c r="AQ55" s="1">
        <v>-14022</v>
      </c>
      <c r="AS55" s="6">
        <f>IF(RTD("tos.rtd",,AS$43,"."&amp;$A$43&amp;$AS$42&amp;"C"&amp;$A55)="N/A",0,RTD("tos.rtd",,AS$43,"."&amp;$A$43&amp;$AS$42&amp;"C"&amp;$A55))</f>
        <v>4027</v>
      </c>
      <c r="AT55" s="7">
        <f>-IF(RTD("tos.rtd",,AT$43,"."&amp;$A$43&amp;$AS$42&amp;"P"&amp;$A55)="N/A",0,RTD("tos.rtd",,AT$43,"."&amp;$A$43&amp;$AS$42&amp;"P"&amp;$A55))</f>
        <v>-118</v>
      </c>
      <c r="AU55" s="6">
        <f>IF(RTD("tos.rtd",,AU$2,"."&amp;$A$43&amp;$AU$1&amp;"C"&amp;$A55)="N/A",0,RTD("tos.rtd",,AU$2,"."&amp;$A$43&amp;$AU$1&amp;"C"&amp;$A55))</f>
        <v>475</v>
      </c>
      <c r="AV55" s="7">
        <f>-IF(RTD("tos.rtd",,AV$2,"."&amp;$A$43&amp;$AU$1&amp;"P"&amp;$A55)="N/A",0,RTD("tos.rtd",,AV$2,"."&amp;$A$43&amp;$AU$1&amp;"P"&amp;$A55))</f>
        <v>-131</v>
      </c>
      <c r="AW55" s="6">
        <f>IF(RTD("tos.rtd",,AW$2,"."&amp;$A$43&amp;$AW$1&amp;"C"&amp;$A55)="N/A",0,RTD("tos.rtd",,AW$2,"."&amp;$A$43&amp;$AW$1&amp;"C"&amp;$A55))</f>
        <v>0</v>
      </c>
      <c r="AX55" s="7">
        <f>-IF(RTD("tos.rtd",,AX$2,"."&amp;$A$43&amp;$AW$1&amp;"P"&amp;$A55)="N/A",0,RTD("tos.rtd",,AX$2,"."&amp;$A$43&amp;$AW$1&amp;"P"&amp;$A55))</f>
        <v>0</v>
      </c>
      <c r="AY55" s="7">
        <f t="shared" ref="AY55" si="334">SUM(AS55:AX55)</f>
        <v>4253</v>
      </c>
      <c r="AZ55" s="8">
        <f t="shared" si="242"/>
        <v>492</v>
      </c>
      <c r="BA55" s="6">
        <f>IF(RTD("tos.rtd",,BA$43,"."&amp;$A$43&amp;$AS$42&amp;"C"&amp;$A55)="N/A",0,RTD("tos.rtd",,BA$43,"."&amp;$A$43&amp;$AS$42&amp;"C"&amp;$A55))</f>
        <v>88841</v>
      </c>
      <c r="BB55" s="7">
        <f>-IF(RTD("tos.rtd",,BB$43,"."&amp;$A$43&amp;$AS$42&amp;"P"&amp;$A55)="N/A",0,RTD("tos.rtd",,BB$43,"."&amp;$A$43&amp;$AS$42&amp;"P"&amp;$A55))</f>
        <v>-14027</v>
      </c>
      <c r="BC55" s="6">
        <f>IF(RTD("tos.rtd",,BC$2,"."&amp;$A$43&amp;$AU$1&amp;"C"&amp;$A55)="N/A",0,RTD("tos.rtd",,BC$2,"."&amp;$A$43&amp;$AU$1&amp;"C"&amp;$A55))</f>
        <v>1062</v>
      </c>
      <c r="BD55" s="7">
        <f>-IF(RTD("tos.rtd",,BD$2,"."&amp;$A$43&amp;$AU$1&amp;"P"&amp;$A55)="N/A",0,RTD("tos.rtd",,BD$2,"."&amp;$A$43&amp;$AU$1&amp;"P"&amp;$A55))</f>
        <v>-198</v>
      </c>
      <c r="BE55" s="6">
        <f>IF(RTD("tos.rtd",,BE$2,"."&amp;$A$43&amp;$AW$1&amp;"C"&amp;$A55)="N/A",0,RTD("tos.rtd",,BE$2,"."&amp;$A$43&amp;$AW$1&amp;"C"&amp;$A55))</f>
        <v>0</v>
      </c>
      <c r="BF55" s="7">
        <f>-IF(RTD("tos.rtd",,BF$2,"."&amp;$A$43&amp;$AW$1&amp;"P"&amp;$A55)="N/A",0,RTD("tos.rtd",,BF$2,"."&amp;$A$43&amp;$AW$1&amp;"P"&amp;$A55))</f>
        <v>0</v>
      </c>
      <c r="BG55" s="32" t="e">
        <f ca="1">+Hoja2!Y56</f>
        <v>#N/A</v>
      </c>
      <c r="BH55" s="7" t="e">
        <f t="shared" ca="1" si="273"/>
        <v>#N/A</v>
      </c>
      <c r="BI55" s="8" t="e">
        <f t="shared" ca="1" si="289"/>
        <v>#N/A</v>
      </c>
      <c r="BJ55" s="83" t="e">
        <f ca="1">IF($BP$1=1,DX55,IF(RTD("tos.rtd",,BJ$43,"."&amp;$A$43&amp;$AS$42&amp;"C"&amp;$A55)="N/A",0,RTD("tos.rtd",,BJ$43,"."&amp;$A$43&amp;$AS$42&amp;"C"&amp;$A55)))</f>
        <v>#NUM!</v>
      </c>
      <c r="BK55" s="83" t="e">
        <f ca="1">IF($BP$1=1,DY55,-IF(RTD("tos.rtd",,BK$43,"."&amp;$A$43&amp;$AS$42&amp;"P"&amp;$A55)="N/A",0,RTD("tos.rtd",,BK$43,"."&amp;$A$43&amp;$AS$42&amp;"P"&amp;$A55)))</f>
        <v>#NUM!</v>
      </c>
      <c r="BL55" s="83">
        <f ca="1">IF($BP$1=1,DZ55,IF(RTD("tos.rtd",,BL$2,"."&amp;$A$43&amp;$AU$1&amp;"C"&amp;$A55)="N/A",0,RTD("tos.rtd",,BL$2,"."&amp;$A$43&amp;$AU$1&amp;"C"&amp;$A55)))</f>
        <v>2.2895087430339169E-2</v>
      </c>
      <c r="BM55" s="83">
        <f ca="1">IF($BP$1=1,EA55,-IF(RTD("tos.rtd",,BM$2,"."&amp;$A$43&amp;$AU$1&amp;"P"&amp;$A55)="N/A",0,RTD("tos.rtd",,BM$2,"."&amp;$A$43&amp;$AU$1&amp;"P"&amp;$A55)))</f>
        <v>-2.2762054503505501E-2</v>
      </c>
      <c r="BN55" s="83">
        <f ca="1">IF($BP$1=1,EB55,IF(RTD("tos.rtd",,BN$2,"."&amp;$A$43&amp;$AW$1&amp;"C"&amp;$A55)="N/A",0,RTD("tos.rtd",,BN$2,"."&amp;$A$43&amp;$AW$1&amp;"C"&amp;$A55)))</f>
        <v>2.0004183387526887E-2</v>
      </c>
      <c r="BO55" s="83">
        <f ca="1">IF($BP$1=1,EC55,-IF(RTD("tos.rtd",,BO$2,"."&amp;$A$43&amp;$AW$1&amp;"P"&amp;$A55)="N/A",0,RTD("tos.rtd",,BO$2,"."&amp;$A$43&amp;$AW$1&amp;"P"&amp;$A55)))</f>
        <v>-2.0004183387526887E-2</v>
      </c>
      <c r="BQ55" s="83" t="e">
        <f t="shared" ref="BQ55" ca="1" si="335">+$A$44*$A$44*AS55*BJ55-$A$44*$A$44*AT55*BK55</f>
        <v>#NUM!</v>
      </c>
      <c r="BR55" s="3" t="e">
        <f t="shared" ca="1" si="275"/>
        <v>#NUM!</v>
      </c>
      <c r="BS55" s="83">
        <f t="shared" ref="BS55" ca="1" si="336">+$A$44*$A$44*AU55*BL55-$A$44*$A$44*AV55*BM55</f>
        <v>1887153.9551737886</v>
      </c>
      <c r="BT55" s="3" t="str">
        <f t="shared" ca="1" si="277"/>
        <v/>
      </c>
      <c r="BU55" s="83">
        <f t="shared" ref="BU55" ca="1" si="337">+$A$44*$A$44*AW55*BN55-$A$44*$A$44*AX55*BO55</f>
        <v>0</v>
      </c>
      <c r="BV55" s="83"/>
      <c r="BX55" s="83" t="e">
        <f t="shared" ref="BX55" ca="1" si="338">+$A$44*$A$44*BA55*BJ55-$A$44*$A$44*BB55*BK55</f>
        <v>#NUM!</v>
      </c>
      <c r="BY55" s="83" t="e">
        <f t="shared" ca="1" si="290"/>
        <v>#NUM!</v>
      </c>
      <c r="BZ55" s="83">
        <f t="shared" ref="BZ55" ca="1" si="339">+$A$44*$A$44*BC55*BL55-$A$44*$A$44*BD55*BM55</f>
        <v>4735661.2440245915</v>
      </c>
      <c r="CA55" s="83" t="str">
        <f t="shared" ca="1" si="290"/>
        <v/>
      </c>
      <c r="CB55" s="83">
        <f t="shared" ref="CB55" ca="1" si="340">+$A$44*$A$44*BE55*BN55-$A$44*$A$44*BF55*BO55</f>
        <v>0</v>
      </c>
      <c r="CC55" s="83" t="str">
        <f t="shared" ca="1" si="290"/>
        <v/>
      </c>
      <c r="CD55" s="83">
        <f>IF(RTD("tos.rtd",,CD$43,"."&amp;$A$43&amp;$AS$42&amp;"C"&amp;$A55)="N/A",0,RTD("tos.rtd",,CD$43,"."&amp;$A$43&amp;$AS$42&amp;"C"&amp;$A55))</f>
        <v>0.03</v>
      </c>
      <c r="CE55" s="83">
        <f>-IF(RTD("tos.rtd",,CE$43,"."&amp;$A$43&amp;$AS$42&amp;"P"&amp;$A55)="N/A",0,RTD("tos.rtd",,CE$43,"."&amp;$A$43&amp;$AS$42&amp;"P"&amp;$A55))</f>
        <v>0.93</v>
      </c>
      <c r="CF55" s="83">
        <f>IF(RTD("tos.rtd",,CF$2,"."&amp;$A$43&amp;$AU$1&amp;"C"&amp;$A55)="N/A",0,RTD("tos.rtd",,CF$2,"."&amp;$A$43&amp;$AU$1&amp;"C"&amp;$A55))</f>
        <v>0.43</v>
      </c>
      <c r="CG55" s="83">
        <f>-IF(RTD("tos.rtd",,CG$2,"."&amp;$A$43&amp;$AU$1&amp;"P"&amp;$A55)="N/A",0,RTD("tos.rtd",,CG$2,"."&amp;$A$43&amp;$AU$1&amp;"P"&amp;$A55))</f>
        <v>0.56999999999999995</v>
      </c>
      <c r="CH55" s="83">
        <f>IF(RTD("tos.rtd",,CH$2,"."&amp;$A$43&amp;$AW$1&amp;"C"&amp;$A55)="N/A",0,RTD("tos.rtd",,CH$2,"."&amp;$A$43&amp;$AW$1&amp;"C"&amp;$A55))</f>
        <v>0</v>
      </c>
      <c r="CI55" s="83">
        <f>-IF(RTD("tos.rtd",,CI$2,"."&amp;$A$43&amp;$AW$1&amp;"P"&amp;$A55)="N/A",0,RTD("tos.rtd",,CI$2,"."&amp;$A$43&amp;$AW$1&amp;"P"&amp;$A55))</f>
        <v>0</v>
      </c>
      <c r="CK55" s="83">
        <f t="shared" ref="CK55" si="341">+AS55*CD55*100+AT55*CE55*100</f>
        <v>1107</v>
      </c>
      <c r="CL55" s="83"/>
      <c r="CM55" s="83">
        <f t="shared" ref="CM55" si="342">+AU55*CF55*100+AV55*CG55*100</f>
        <v>12958</v>
      </c>
      <c r="CN55" s="83"/>
      <c r="CO55" s="83">
        <f t="shared" ref="CO55" si="343">+AW55*CH55*100+AX55*CI55*100</f>
        <v>0</v>
      </c>
      <c r="CP55" s="83">
        <f t="shared" ref="CP55" si="344">+CK55+CM55+CO55</f>
        <v>14065</v>
      </c>
      <c r="CQ55" s="83">
        <f t="shared" ref="CQ55" si="345">+BA55+BB55</f>
        <v>74814</v>
      </c>
      <c r="CR55" s="83"/>
      <c r="CS55" s="83">
        <f t="shared" ref="CS55" si="346">+BC55+BD55</f>
        <v>864</v>
      </c>
      <c r="CT55" s="83"/>
      <c r="CU55" s="83">
        <f t="shared" ref="CU55" si="347">+BE55+BF55</f>
        <v>0</v>
      </c>
      <c r="CV55" s="83"/>
      <c r="CW55" s="83" t="e">
        <f t="shared" ref="CW55" ca="1" si="348">+BQ55+BS55+BU55</f>
        <v>#NUM!</v>
      </c>
      <c r="CY55" s="83" t="e">
        <f t="shared" ref="CY55" ca="1" si="349">+BX55+BZ55+CB55</f>
        <v>#NUM!</v>
      </c>
      <c r="CZ55" s="70" t="e">
        <f t="shared" ca="1" si="291"/>
        <v>#NUM!</v>
      </c>
      <c r="DA55" s="83">
        <f>IF(RTD("tos.rtd",,DA$43,"."&amp;$A$43&amp;$AS$42&amp;"C"&amp;$A55)="N/A",0,RTD("tos.rtd",,DA$43,"."&amp;$A$43&amp;$AS$42&amp;"C"&amp;$A55))</f>
        <v>0.01</v>
      </c>
      <c r="DB55" s="83">
        <f>IF(RTD("tos.rtd",,DB$43,"."&amp;$A$43&amp;$AS$42&amp;"P"&amp;$A55)="N/A",0,RTD("tos.rtd",,DB$43,"."&amp;$A$43&amp;$AS$42&amp;"P"&amp;$A55))</f>
        <v>2.98</v>
      </c>
      <c r="DC55" s="83">
        <f>IF(RTD("tos.rtd",,DC$43,"."&amp;$A$43&amp;$AS$42&amp;"C"&amp;$A55)="N/A",0,RTD("tos.rtd",,DC$43,"."&amp;$A$43&amp;$AS$42&amp;"C"&amp;$A55))</f>
        <v>0.02</v>
      </c>
      <c r="DD55" s="83">
        <f>IF(RTD("tos.rtd",,DD$43,"."&amp;$A$43&amp;$AS$42&amp;"P"&amp;$A55)="N/A",0,RTD("tos.rtd",,DD$43,"."&amp;$A$43&amp;$AS$42&amp;"P"&amp;$A55))</f>
        <v>3.25</v>
      </c>
      <c r="DE55" s="83">
        <f>IF(RTD("tos.rtd",,DE$43,"."&amp;$A$43&amp;$AS$42&amp;"C"&amp;$A55)="N/A",0,RTD("tos.rtd",,DE$43,"."&amp;$A$43&amp;$AS$42&amp;"C"&amp;$A55))</f>
        <v>0.01</v>
      </c>
      <c r="DF55" s="83">
        <f>IF(RTD("tos.rtd",,DF$43,"."&amp;$A$43&amp;$AS$42&amp;"P"&amp;$A55)="N/A",0,RTD("tos.rtd",,DF$43,"."&amp;$A$43&amp;$AS$42&amp;"P"&amp;$A55))</f>
        <v>2.92</v>
      </c>
      <c r="DG55" s="86">
        <f t="shared" si="285"/>
        <v>3.0400000000000205</v>
      </c>
      <c r="DH55" s="83">
        <f t="shared" ref="DH55" si="350">((DA55-DE55)/(DC55-DE55))*(BA55-AP55)</f>
        <v>0</v>
      </c>
      <c r="DI55" s="83">
        <f t="shared" ref="DI55" si="351">((DB55-DF55)/(DD55-DF55))*(BB55-AQ55)</f>
        <v>-0.90909090909090962</v>
      </c>
      <c r="DJ55" s="83">
        <f t="shared" ref="DJ55" si="352">IF(DA55&gt;=(DE55+(DC55-DE55)*0.6),(BA55-AP55),IF(DA55&lt;=(DE55+(DC55-DE55)*0.4),-(BA55-AP55),0))</f>
        <v>-12</v>
      </c>
      <c r="DK55" s="83">
        <f t="shared" si="254"/>
        <v>5</v>
      </c>
      <c r="DL55" s="83">
        <f t="shared" si="255"/>
        <v>-0.90909090909090962</v>
      </c>
      <c r="DM55" s="83">
        <f t="shared" si="256"/>
        <v>-7</v>
      </c>
      <c r="DN55" s="64" t="str">
        <f t="shared" si="257"/>
        <v>SELL</v>
      </c>
      <c r="DO55" s="64" t="str">
        <f t="shared" si="258"/>
        <v>SELL</v>
      </c>
      <c r="DP55" s="83">
        <f t="shared" si="259"/>
        <v>-2.7090909090909108</v>
      </c>
      <c r="DQ55" s="83">
        <f t="shared" si="260"/>
        <v>14.780000000000001</v>
      </c>
      <c r="DR55" s="83" t="e">
        <f t="shared" ca="1" si="261"/>
        <v>#NUM!</v>
      </c>
      <c r="DS55" s="83">
        <f t="shared" si="262"/>
        <v>4.29</v>
      </c>
      <c r="DT55" s="83">
        <f t="shared" si="286"/>
        <v>12</v>
      </c>
      <c r="DU55" s="83">
        <f t="shared" si="287"/>
        <v>-5</v>
      </c>
      <c r="DV55" s="83">
        <f t="shared" si="263"/>
        <v>482</v>
      </c>
      <c r="DW55" s="83">
        <f t="shared" si="264"/>
        <v>-4283</v>
      </c>
      <c r="DX55" s="83" t="e">
        <f t="shared" ca="1" si="317"/>
        <v>#NUM!</v>
      </c>
      <c r="DY55" s="83" t="e">
        <f t="shared" ca="1" si="318"/>
        <v>#NUM!</v>
      </c>
      <c r="DZ55" s="83">
        <f t="shared" ca="1" si="319"/>
        <v>2.2895087430339169E-2</v>
      </c>
      <c r="EA55" s="83">
        <f t="shared" ca="1" si="320"/>
        <v>-2.2762054503505501E-2</v>
      </c>
      <c r="EB55" s="83">
        <f t="shared" ca="1" si="321"/>
        <v>2.0004183387526887E-2</v>
      </c>
      <c r="EC55" s="83">
        <f t="shared" ca="1" si="322"/>
        <v>-2.0004183387526887E-2</v>
      </c>
      <c r="EE55" s="84">
        <f t="shared" ref="EE55" si="353">IFERROR(VALUE(IF(OR(EL55="--",EL55="0.00%"),$EE$1,EL55)),$EE$1)</f>
        <v>0.42059999999999997</v>
      </c>
      <c r="EF55" s="84">
        <f t="shared" ref="EF55" si="354">IFERROR(VALUE(IF(OR(EM55="--",EM55="0.00%"),$EE$1,EM55)),$EE$1)</f>
        <v>0.52810000000000001</v>
      </c>
      <c r="EG55" s="84">
        <f t="shared" ref="EG55" si="355">IFERROR(VALUE(IF(OR(EN55="--",EN55="0.00%"),$EE$1,EN55)),$EE$1)</f>
        <v>0.21790000000000001</v>
      </c>
      <c r="EH55" s="84">
        <f t="shared" ref="EH55" si="356">IFERROR(VALUE(IF(OR(EO55="--",EO55="0.00%"),$EE$1,EO55)),$EE$1)</f>
        <v>0.21920000000000001</v>
      </c>
      <c r="EI55" s="84">
        <f t="shared" ref="EI55" si="357">IFERROR(VALUE(IF(OR(EP55="--",EP55="0.00%"),$EE$1,EP55)),$EE$1)</f>
        <v>0.25</v>
      </c>
      <c r="EJ55" s="84">
        <f t="shared" ref="EJ55" si="358">IFERROR(VALUE(IF(OR(EQ55="--",EQ55="0.00%"),$EE$1,EQ55)),$EE$1)</f>
        <v>0.25</v>
      </c>
      <c r="EL55" s="83" t="str">
        <f>RTD("tos.rtd",,EL$43,"."&amp;$A$43&amp;$AS$42&amp;"C"&amp;$A55)</f>
        <v>42.06%</v>
      </c>
      <c r="EM55" s="83" t="str">
        <f>RTD("tos.rtd",,EM$43,"."&amp;$A$43&amp;$AS$42&amp;"P"&amp;$A55)</f>
        <v>52.81%</v>
      </c>
      <c r="EN55" s="83" t="str">
        <f>RTD("tos.rtd",,EN$2,"."&amp;$A$43&amp;$AU$1&amp;"C"&amp;$A55)</f>
        <v>21.79%</v>
      </c>
      <c r="EO55" s="83" t="str">
        <f>RTD("tos.rtd",,EO$2,"."&amp;$A$43&amp;$AU$1&amp;"P"&amp;$A55)</f>
        <v>21.92%</v>
      </c>
      <c r="EP55" s="83" t="str">
        <f>RTD("tos.rtd",,EP$2,"."&amp;$A$43&amp;$AW$1&amp;"C"&amp;$A55)</f>
        <v>N/A</v>
      </c>
      <c r="EQ55" s="83" t="str">
        <f>RTD("tos.rtd",,EQ$2,"."&amp;$A$43&amp;$AW$1&amp;"P"&amp;$A55)</f>
        <v>N/A</v>
      </c>
      <c r="ET55" s="64" t="str">
        <f t="shared" ca="1" si="271"/>
        <v>492,00.00</v>
      </c>
      <c r="EU55" s="68">
        <v>560.4</v>
      </c>
      <c r="EV55" s="68" t="s">
        <v>459</v>
      </c>
      <c r="EW55" s="68">
        <v>482.36</v>
      </c>
      <c r="EX55" s="68" t="s">
        <v>460</v>
      </c>
      <c r="EY55" s="68">
        <v>5619.25</v>
      </c>
      <c r="EZ55" s="68" t="s">
        <v>461</v>
      </c>
      <c r="FA55" s="68">
        <v>19818</v>
      </c>
      <c r="FB55" s="68" t="s">
        <v>462</v>
      </c>
      <c r="FC55" s="68" t="s">
        <v>463</v>
      </c>
      <c r="FD55" s="68" t="s">
        <v>464</v>
      </c>
      <c r="FE55" s="68" t="s">
        <v>465</v>
      </c>
      <c r="FF55" s="68" t="s">
        <v>466</v>
      </c>
    </row>
    <row r="56" spans="1:162" ht="13.5" thickBot="1" x14ac:dyDescent="0.25">
      <c r="A56" s="2">
        <f t="shared" si="288"/>
        <v>491</v>
      </c>
      <c r="B56" s="3">
        <f t="shared" si="293"/>
        <v>3601</v>
      </c>
      <c r="C56" s="3">
        <f t="shared" si="294"/>
        <v>883</v>
      </c>
      <c r="D56" s="3">
        <f t="shared" si="295"/>
        <v>0</v>
      </c>
      <c r="E56" s="3">
        <f t="shared" si="296"/>
        <v>4484</v>
      </c>
      <c r="F56" s="4">
        <f t="shared" si="297"/>
        <v>20276.243455497384</v>
      </c>
      <c r="AM56" s="1">
        <v>43850</v>
      </c>
      <c r="AN56" s="1">
        <v>471</v>
      </c>
      <c r="AO56" s="1">
        <v>491</v>
      </c>
      <c r="AP56" s="1">
        <v>220060</v>
      </c>
      <c r="AQ56" s="1">
        <v>-23234</v>
      </c>
      <c r="AS56" s="6">
        <f>IF(RTD("tos.rtd",,AS$43,"."&amp;$A$43&amp;$AS$42&amp;"C"&amp;$A56)="N/A",0,RTD("tos.rtd",,AS$43,"."&amp;$A$43&amp;$AS$42&amp;"C"&amp;$A56))</f>
        <v>3500</v>
      </c>
      <c r="AT56" s="7">
        <f>-IF(RTD("tos.rtd",,AT$43,"."&amp;$A$43&amp;$AS$42&amp;"P"&amp;$A56)="N/A",0,RTD("tos.rtd",,AT$43,"."&amp;$A$43&amp;$AS$42&amp;"P"&amp;$A56))</f>
        <v>-101</v>
      </c>
      <c r="AU56" s="6">
        <f>IF(RTD("tos.rtd",,AU$2,"."&amp;$A$43&amp;$AU$1&amp;"C"&amp;$A56)="N/A",0,RTD("tos.rtd",,AU$2,"."&amp;$A$43&amp;$AU$1&amp;"C"&amp;$A56))</f>
        <v>514</v>
      </c>
      <c r="AV56" s="7">
        <f>-IF(RTD("tos.rtd",,AV$2,"."&amp;$A$43&amp;$AU$1&amp;"P"&amp;$A56)="N/A",0,RTD("tos.rtd",,AV$2,"."&amp;$A$43&amp;$AU$1&amp;"P"&amp;$A56))</f>
        <v>-369</v>
      </c>
      <c r="AW56" s="6">
        <f>IF(RTD("tos.rtd",,AW$2,"."&amp;$A$43&amp;$AW$1&amp;"C"&amp;$A56)="N/A",0,RTD("tos.rtd",,AW$2,"."&amp;$A$43&amp;$AW$1&amp;"C"&amp;$A56))</f>
        <v>0</v>
      </c>
      <c r="AX56" s="7">
        <f>-IF(RTD("tos.rtd",,AX$2,"."&amp;$A$43&amp;$AW$1&amp;"P"&amp;$A56)="N/A",0,RTD("tos.rtd",,AX$2,"."&amp;$A$43&amp;$AW$1&amp;"P"&amp;$A56))</f>
        <v>0</v>
      </c>
      <c r="AY56" s="7">
        <f t="shared" si="298"/>
        <v>3544</v>
      </c>
      <c r="AZ56" s="8">
        <f t="shared" si="242"/>
        <v>491</v>
      </c>
      <c r="BA56" s="6">
        <f>IF(RTD("tos.rtd",,BA$43,"."&amp;$A$43&amp;$AS$42&amp;"C"&amp;$A56)="N/A",0,RTD("tos.rtd",,BA$43,"."&amp;$A$43&amp;$AS$42&amp;"C"&amp;$A56))</f>
        <v>220150</v>
      </c>
      <c r="BB56" s="7">
        <f>-IF(RTD("tos.rtd",,BB$43,"."&amp;$A$43&amp;$AS$42&amp;"P"&amp;$A56)="N/A",0,RTD("tos.rtd",,BB$43,"."&amp;$A$43&amp;$AS$42&amp;"P"&amp;$A56))</f>
        <v>-23234</v>
      </c>
      <c r="BC56" s="6">
        <f>IF(RTD("tos.rtd",,BC$2,"."&amp;$A$43&amp;$AU$1&amp;"C"&amp;$A56)="N/A",0,RTD("tos.rtd",,BC$2,"."&amp;$A$43&amp;$AU$1&amp;"C"&amp;$A56))</f>
        <v>1199</v>
      </c>
      <c r="BD56" s="7">
        <f>-IF(RTD("tos.rtd",,BD$2,"."&amp;$A$43&amp;$AU$1&amp;"P"&amp;$A56)="N/A",0,RTD("tos.rtd",,BD$2,"."&amp;$A$43&amp;$AU$1&amp;"P"&amp;$A56))</f>
        <v>-644</v>
      </c>
      <c r="BE56" s="6">
        <f>IF(RTD("tos.rtd",,BE$2,"."&amp;$A$43&amp;$AW$1&amp;"C"&amp;$A56)="N/A",0,RTD("tos.rtd",,BE$2,"."&amp;$A$43&amp;$AW$1&amp;"C"&amp;$A56))</f>
        <v>0</v>
      </c>
      <c r="BF56" s="7">
        <f>-IF(RTD("tos.rtd",,BF$2,"."&amp;$A$43&amp;$AW$1&amp;"P"&amp;$A56)="N/A",0,RTD("tos.rtd",,BF$2,"."&amp;$A$43&amp;$AW$1&amp;"P"&amp;$A56))</f>
        <v>0</v>
      </c>
      <c r="BG56" s="32" t="e">
        <f ca="1">+Hoja2!Y57</f>
        <v>#N/A</v>
      </c>
      <c r="BH56" s="7" t="e">
        <f t="shared" ca="1" si="273"/>
        <v>#N/A</v>
      </c>
      <c r="BI56" s="8" t="e">
        <f t="shared" ca="1" si="289"/>
        <v>#N/A</v>
      </c>
      <c r="BJ56" s="83" t="e">
        <f ca="1">IF($BP$1=1,DX56,IF(RTD("tos.rtd",,BJ$43,"."&amp;$A$43&amp;$AS$42&amp;"C"&amp;$A56)="N/A",0,RTD("tos.rtd",,BJ$43,"."&amp;$A$43&amp;$AS$42&amp;"C"&amp;$A56)))</f>
        <v>#NUM!</v>
      </c>
      <c r="BK56" s="83" t="e">
        <f ca="1">IF($BP$1=1,DY56,-IF(RTD("tos.rtd",,BK$43,"."&amp;$A$43&amp;$AS$42&amp;"P"&amp;$A56)="N/A",0,RTD("tos.rtd",,BK$43,"."&amp;$A$43&amp;$AS$42&amp;"P"&amp;$A56)))</f>
        <v>#NUM!</v>
      </c>
      <c r="BL56" s="83">
        <f ca="1">IF($BP$1=1,DZ56,IF(RTD("tos.rtd",,BL$2,"."&amp;$A$43&amp;$AU$1&amp;"C"&amp;$A56)="N/A",0,RTD("tos.rtd",,BL$2,"."&amp;$A$43&amp;$AU$1&amp;"C"&amp;$A56)))</f>
        <v>2.2805818381972976E-2</v>
      </c>
      <c r="BM56" s="83">
        <f ca="1">IF($BP$1=1,EA56,-IF(RTD("tos.rtd",,BM$2,"."&amp;$A$43&amp;$AU$1&amp;"P"&amp;$A56)="N/A",0,RTD("tos.rtd",,BM$2,"."&amp;$A$43&amp;$AU$1&amp;"P"&amp;$A56)))</f>
        <v>-2.2662610470736928E-2</v>
      </c>
      <c r="BN56" s="83">
        <f ca="1">IF($BP$1=1,EB56,IF(RTD("tos.rtd",,BN$2,"."&amp;$A$43&amp;$AW$1&amp;"C"&amp;$A56)="N/A",0,RTD("tos.rtd",,BN$2,"."&amp;$A$43&amp;$AW$1&amp;"C"&amp;$A56)))</f>
        <v>2.0084809804662852E-2</v>
      </c>
      <c r="BO56" s="83">
        <f ca="1">IF($BP$1=1,EC56,-IF(RTD("tos.rtd",,BO$2,"."&amp;$A$43&amp;$AW$1&amp;"P"&amp;$A56)="N/A",0,RTD("tos.rtd",,BO$2,"."&amp;$A$43&amp;$AW$1&amp;"P"&amp;$A56)))</f>
        <v>-2.0084809804662852E-2</v>
      </c>
      <c r="BQ56" s="83" t="e">
        <f t="shared" ca="1" si="299"/>
        <v>#NUM!</v>
      </c>
      <c r="BR56" s="3" t="e">
        <f t="shared" ca="1" si="275"/>
        <v>#NUM!</v>
      </c>
      <c r="BS56" s="83">
        <f t="shared" ca="1" si="300"/>
        <v>803240.38150564511</v>
      </c>
      <c r="BT56" s="3" t="str">
        <f t="shared" ca="1" si="277"/>
        <v/>
      </c>
      <c r="BU56" s="83">
        <f t="shared" ca="1" si="301"/>
        <v>0</v>
      </c>
      <c r="BV56" s="83"/>
      <c r="BX56" s="83" t="e">
        <f t="shared" ca="1" si="302"/>
        <v>#NUM!</v>
      </c>
      <c r="BY56" s="83" t="e">
        <f t="shared" ca="1" si="290"/>
        <v>#NUM!</v>
      </c>
      <c r="BZ56" s="83">
        <f t="shared" ca="1" si="303"/>
        <v>3048163.7139250697</v>
      </c>
      <c r="CA56" s="83" t="str">
        <f t="shared" ca="1" si="290"/>
        <v/>
      </c>
      <c r="CB56" s="83">
        <f t="shared" ca="1" si="304"/>
        <v>0</v>
      </c>
      <c r="CC56" s="83" t="str">
        <f t="shared" ca="1" si="290"/>
        <v/>
      </c>
      <c r="CD56" s="83">
        <f>IF(RTD("tos.rtd",,CD$43,"."&amp;$A$43&amp;$AS$42&amp;"C"&amp;$A56)="N/A",0,RTD("tos.rtd",,CD$43,"."&amp;$A$43&amp;$AS$42&amp;"C"&amp;$A56))</f>
        <v>0.03</v>
      </c>
      <c r="CE56" s="83">
        <f>-IF(RTD("tos.rtd",,CE$43,"."&amp;$A$43&amp;$AS$42&amp;"P"&amp;$A56)="N/A",0,RTD("tos.rtd",,CE$43,"."&amp;$A$43&amp;$AS$42&amp;"P"&amp;$A56))</f>
        <v>0.9</v>
      </c>
      <c r="CF56" s="83">
        <f>IF(RTD("tos.rtd",,CF$2,"."&amp;$A$43&amp;$AU$1&amp;"C"&amp;$A56)="N/A",0,RTD("tos.rtd",,CF$2,"."&amp;$A$43&amp;$AU$1&amp;"C"&amp;$A56))</f>
        <v>0.46</v>
      </c>
      <c r="CG56" s="83">
        <f>-IF(RTD("tos.rtd",,CG$2,"."&amp;$A$43&amp;$AU$1&amp;"P"&amp;$A56)="N/A",0,RTD("tos.rtd",,CG$2,"."&amp;$A$43&amp;$AU$1&amp;"P"&amp;$A56))</f>
        <v>0.54</v>
      </c>
      <c r="CH56" s="83">
        <f>IF(RTD("tos.rtd",,CH$2,"."&amp;$A$43&amp;$AW$1&amp;"C"&amp;$A56)="N/A",0,RTD("tos.rtd",,CH$2,"."&amp;$A$43&amp;$AW$1&amp;"C"&amp;$A56))</f>
        <v>0</v>
      </c>
      <c r="CI56" s="83">
        <f>-IF(RTD("tos.rtd",,CI$2,"."&amp;$A$43&amp;$AW$1&amp;"P"&amp;$A56)="N/A",0,RTD("tos.rtd",,CI$2,"."&amp;$A$43&amp;$AW$1&amp;"P"&amp;$A56))</f>
        <v>0</v>
      </c>
      <c r="CK56" s="83">
        <f t="shared" si="305"/>
        <v>1410</v>
      </c>
      <c r="CL56" s="83"/>
      <c r="CM56" s="83">
        <f t="shared" si="306"/>
        <v>3717.9999999999964</v>
      </c>
      <c r="CN56" s="83"/>
      <c r="CO56" s="83">
        <f t="shared" si="307"/>
        <v>0</v>
      </c>
      <c r="CP56" s="83">
        <f t="shared" si="308"/>
        <v>5127.9999999999964</v>
      </c>
      <c r="CQ56" s="83">
        <f t="shared" si="309"/>
        <v>196916</v>
      </c>
      <c r="CR56" s="83"/>
      <c r="CS56" s="83">
        <f t="shared" si="310"/>
        <v>555</v>
      </c>
      <c r="CT56" s="83"/>
      <c r="CU56" s="83">
        <f t="shared" si="311"/>
        <v>0</v>
      </c>
      <c r="CV56" s="83"/>
      <c r="CW56" s="83" t="e">
        <f t="shared" ca="1" si="312"/>
        <v>#NUM!</v>
      </c>
      <c r="CY56" s="83" t="e">
        <f t="shared" ca="1" si="313"/>
        <v>#NUM!</v>
      </c>
      <c r="CZ56" s="70" t="e">
        <f t="shared" ca="1" si="291"/>
        <v>#NUM!</v>
      </c>
      <c r="DA56" s="83">
        <f>IF(RTD("tos.rtd",,DA$43,"."&amp;$A$43&amp;$AS$42&amp;"C"&amp;$A56)="N/A",0,RTD("tos.rtd",,DA$43,"."&amp;$A$43&amp;$AS$42&amp;"C"&amp;$A56))</f>
        <v>0.01</v>
      </c>
      <c r="DB56" s="83">
        <f>IF(RTD("tos.rtd",,DB$43,"."&amp;$A$43&amp;$AS$42&amp;"P"&amp;$A56)="N/A",0,RTD("tos.rtd",,DB$43,"."&amp;$A$43&amp;$AS$42&amp;"P"&amp;$A56))</f>
        <v>2.12</v>
      </c>
      <c r="DC56" s="83">
        <f>IF(RTD("tos.rtd",,DC$43,"."&amp;$A$43&amp;$AS$42&amp;"C"&amp;$A56)="N/A",0,RTD("tos.rtd",,DC$43,"."&amp;$A$43&amp;$AS$42&amp;"C"&amp;$A56))</f>
        <v>0.02</v>
      </c>
      <c r="DD56" s="83">
        <f>IF(RTD("tos.rtd",,DD$43,"."&amp;$A$43&amp;$AS$42&amp;"P"&amp;$A56)="N/A",0,RTD("tos.rtd",,DD$43,"."&amp;$A$43&amp;$AS$42&amp;"P"&amp;$A56))</f>
        <v>2.2000000000000002</v>
      </c>
      <c r="DE56" s="83">
        <f>IF(RTD("tos.rtd",,DE$43,"."&amp;$A$43&amp;$AS$42&amp;"C"&amp;$A56)="N/A",0,RTD("tos.rtd",,DE$43,"."&amp;$A$43&amp;$AS$42&amp;"C"&amp;$A56))</f>
        <v>0.01</v>
      </c>
      <c r="DF56" s="83">
        <f>IF(RTD("tos.rtd",,DF$43,"."&amp;$A$43&amp;$AS$42&amp;"P"&amp;$A56)="N/A",0,RTD("tos.rtd",,DF$43,"."&amp;$A$43&amp;$AS$42&amp;"P"&amp;$A56))</f>
        <v>2.02</v>
      </c>
      <c r="DG56" s="86">
        <f t="shared" si="285"/>
        <v>2.0400000000000205</v>
      </c>
      <c r="DH56" s="83">
        <f t="shared" si="314"/>
        <v>0</v>
      </c>
      <c r="DI56" s="83">
        <f t="shared" si="315"/>
        <v>0</v>
      </c>
      <c r="DJ56" s="83">
        <f t="shared" si="316"/>
        <v>-90</v>
      </c>
      <c r="DK56" s="83">
        <f t="shared" si="254"/>
        <v>0</v>
      </c>
      <c r="DL56" s="83">
        <f t="shared" si="255"/>
        <v>0</v>
      </c>
      <c r="DM56" s="83">
        <f t="shared" si="256"/>
        <v>-90</v>
      </c>
      <c r="DN56" s="64" t="str">
        <f t="shared" si="257"/>
        <v>SELL</v>
      </c>
      <c r="DO56" s="64" t="str">
        <f t="shared" si="258"/>
        <v>UNKNOWN</v>
      </c>
      <c r="DP56" s="83">
        <f t="shared" si="259"/>
        <v>0</v>
      </c>
      <c r="DQ56" s="83">
        <f t="shared" si="260"/>
        <v>-0.9</v>
      </c>
      <c r="DR56" s="83" t="e">
        <f t="shared" ca="1" si="261"/>
        <v>#NUM!</v>
      </c>
      <c r="DS56" s="83">
        <f t="shared" si="262"/>
        <v>-2.6999999999999997</v>
      </c>
      <c r="DT56" s="83">
        <f t="shared" si="286"/>
        <v>90</v>
      </c>
      <c r="DU56" s="83">
        <f t="shared" si="287"/>
        <v>0</v>
      </c>
      <c r="DV56" s="83">
        <f t="shared" si="263"/>
        <v>43760</v>
      </c>
      <c r="DW56" s="83">
        <f t="shared" si="264"/>
        <v>471</v>
      </c>
      <c r="DX56" s="83" t="e">
        <f t="shared" ca="1" si="317"/>
        <v>#NUM!</v>
      </c>
      <c r="DY56" s="83" t="e">
        <f t="shared" ca="1" si="318"/>
        <v>#NUM!</v>
      </c>
      <c r="DZ56" s="83">
        <f t="shared" ca="1" si="319"/>
        <v>2.2805818381972976E-2</v>
      </c>
      <c r="EA56" s="83">
        <f t="shared" ca="1" si="320"/>
        <v>-2.2662610470736928E-2</v>
      </c>
      <c r="EB56" s="83">
        <f t="shared" ca="1" si="321"/>
        <v>2.0084809804662852E-2</v>
      </c>
      <c r="EC56" s="83">
        <f t="shared" ca="1" si="322"/>
        <v>-2.0084809804662852E-2</v>
      </c>
      <c r="EE56" s="84">
        <f t="shared" si="323"/>
        <v>0.30209999999999998</v>
      </c>
      <c r="EF56" s="84">
        <f t="shared" si="324"/>
        <v>0.42599999999999999</v>
      </c>
      <c r="EG56" s="84">
        <f t="shared" si="325"/>
        <v>0.22</v>
      </c>
      <c r="EH56" s="84">
        <f t="shared" si="326"/>
        <v>0.22140000000000001</v>
      </c>
      <c r="EI56" s="84">
        <f t="shared" si="327"/>
        <v>0.25</v>
      </c>
      <c r="EJ56" s="84">
        <f t="shared" si="328"/>
        <v>0.25</v>
      </c>
      <c r="EL56" s="83" t="str">
        <f>RTD("tos.rtd",,EL$43,"."&amp;$A$43&amp;$AS$42&amp;"C"&amp;$A56)</f>
        <v>30.21%</v>
      </c>
      <c r="EM56" s="83" t="str">
        <f>RTD("tos.rtd",,EM$43,"."&amp;$A$43&amp;$AS$42&amp;"P"&amp;$A56)</f>
        <v>42.60%</v>
      </c>
      <c r="EN56" s="83" t="str">
        <f>RTD("tos.rtd",,EN$2,"."&amp;$A$43&amp;$AU$1&amp;"C"&amp;$A56)</f>
        <v>22.00%</v>
      </c>
      <c r="EO56" s="83" t="str">
        <f>RTD("tos.rtd",,EO$2,"."&amp;$A$43&amp;$AU$1&amp;"P"&amp;$A56)</f>
        <v>22.14%</v>
      </c>
      <c r="EP56" s="83" t="str">
        <f>RTD("tos.rtd",,EP$2,"."&amp;$A$43&amp;$AW$1&amp;"C"&amp;$A56)</f>
        <v>N/A</v>
      </c>
      <c r="EQ56" s="83" t="str">
        <f>RTD("tos.rtd",,EQ$2,"."&amp;$A$43&amp;$AW$1&amp;"P"&amp;$A56)</f>
        <v>N/A</v>
      </c>
      <c r="ET56" s="64" t="str">
        <f t="shared" ca="1" si="271"/>
        <v>491,00.00</v>
      </c>
      <c r="EU56" s="68">
        <v>560.36</v>
      </c>
      <c r="EV56" s="68" t="s">
        <v>467</v>
      </c>
      <c r="EW56" s="68">
        <v>482.35</v>
      </c>
      <c r="EX56" s="68" t="s">
        <v>468</v>
      </c>
      <c r="EY56" s="68">
        <v>5619</v>
      </c>
      <c r="EZ56" s="68" t="s">
        <v>469</v>
      </c>
      <c r="FA56" s="68">
        <v>19817.25</v>
      </c>
      <c r="FB56" s="68" t="s">
        <v>470</v>
      </c>
      <c r="FC56" s="68" t="s">
        <v>471</v>
      </c>
      <c r="FD56" s="68" t="s">
        <v>472</v>
      </c>
      <c r="FE56" s="68" t="s">
        <v>473</v>
      </c>
      <c r="FF56" s="68" t="s">
        <v>474</v>
      </c>
    </row>
    <row r="57" spans="1:162" ht="13.5" thickBot="1" x14ac:dyDescent="0.25">
      <c r="A57" s="2">
        <f t="shared" si="288"/>
        <v>490</v>
      </c>
      <c r="B57" s="3">
        <f t="shared" si="238"/>
        <v>10604</v>
      </c>
      <c r="C57" s="3">
        <f t="shared" si="239"/>
        <v>5068</v>
      </c>
      <c r="D57" s="3">
        <f t="shared" si="240"/>
        <v>81294</v>
      </c>
      <c r="E57" s="3">
        <f t="shared" si="241"/>
        <v>96966</v>
      </c>
      <c r="F57" s="4">
        <f t="shared" si="292"/>
        <v>20234.94764397906</v>
      </c>
      <c r="AM57" s="1">
        <v>-34822</v>
      </c>
      <c r="AN57" s="1">
        <v>-14730</v>
      </c>
      <c r="AO57" s="1">
        <v>490</v>
      </c>
      <c r="AP57" s="1">
        <v>303391</v>
      </c>
      <c r="AQ57" s="1">
        <v>-128344</v>
      </c>
      <c r="AS57" s="6">
        <f>IF(RTD("tos.rtd",,AS$43,"."&amp;$A$43&amp;$AS$42&amp;"C"&amp;$A57)="N/A",0,RTD("tos.rtd",,AS$43,"."&amp;$A$43&amp;$AS$42&amp;"C"&amp;$A57))</f>
        <v>9909</v>
      </c>
      <c r="AT57" s="7">
        <f>-IF(RTD("tos.rtd",,AT$43,"."&amp;$A$43&amp;$AS$42&amp;"P"&amp;$A57)="N/A",0,RTD("tos.rtd",,AT$43,"."&amp;$A$43&amp;$AS$42&amp;"P"&amp;$A57))</f>
        <v>-695</v>
      </c>
      <c r="AU57" s="6">
        <f>IF(RTD("tos.rtd",,AU$2,"."&amp;$A$43&amp;$AU$1&amp;"C"&amp;$A57)="N/A",0,RTD("tos.rtd",,AU$2,"."&amp;$A$43&amp;$AU$1&amp;"C"&amp;$A57))</f>
        <v>4669</v>
      </c>
      <c r="AV57" s="7">
        <f>-IF(RTD("tos.rtd",,AV$2,"."&amp;$A$43&amp;$AU$1&amp;"P"&amp;$A57)="N/A",0,RTD("tos.rtd",,AV$2,"."&amp;$A$43&amp;$AU$1&amp;"P"&amp;$A57))</f>
        <v>-399</v>
      </c>
      <c r="AW57" s="6">
        <f>IF(RTD("tos.rtd",,AW$2,"."&amp;$A$43&amp;$AW$1&amp;"C"&amp;$A57)="N/A",0,RTD("tos.rtd",,AW$2,"."&amp;$A$43&amp;$AW$1&amp;"C"&amp;$A57))</f>
        <v>68049</v>
      </c>
      <c r="AX57" s="7">
        <f>-IF(RTD("tos.rtd",,AX$2,"."&amp;$A$43&amp;$AW$1&amp;"P"&amp;$A57)="N/A",0,RTD("tos.rtd",,AX$2,"."&amp;$A$43&amp;$AW$1&amp;"P"&amp;$A57))</f>
        <v>-13245</v>
      </c>
      <c r="AY57" s="7">
        <f t="shared" si="272"/>
        <v>68288</v>
      </c>
      <c r="AZ57" s="8">
        <f t="shared" si="242"/>
        <v>490</v>
      </c>
      <c r="BA57" s="6">
        <f>IF(RTD("tos.rtd",,BA$43,"."&amp;$A$43&amp;$AS$42&amp;"C"&amp;$A57)="N/A",0,RTD("tos.rtd",,BA$43,"."&amp;$A$43&amp;$AS$42&amp;"C"&amp;$A57))</f>
        <v>303446</v>
      </c>
      <c r="BB57" s="7">
        <f>-IF(RTD("tos.rtd",,BB$43,"."&amp;$A$43&amp;$AS$42&amp;"P"&amp;$A57)="N/A",0,RTD("tos.rtd",,BB$43,"."&amp;$A$43&amp;$AS$42&amp;"P"&amp;$A57))</f>
        <v>-128384</v>
      </c>
      <c r="BC57" s="6">
        <f>IF(RTD("tos.rtd",,BC$2,"."&amp;$A$43&amp;$AU$1&amp;"C"&amp;$A57)="N/A",0,RTD("tos.rtd",,BC$2,"."&amp;$A$43&amp;$AU$1&amp;"C"&amp;$A57))</f>
        <v>10305</v>
      </c>
      <c r="BD57" s="7">
        <f>-IF(RTD("tos.rtd",,BD$2,"."&amp;$A$43&amp;$AU$1&amp;"P"&amp;$A57)="N/A",0,RTD("tos.rtd",,BD$2,"."&amp;$A$43&amp;$AU$1&amp;"P"&amp;$A57))</f>
        <v>-7368</v>
      </c>
      <c r="BE57" s="6">
        <f>IF(RTD("tos.rtd",,BE$2,"."&amp;$A$43&amp;$AW$1&amp;"C"&amp;$A57)="N/A",0,RTD("tos.rtd",,BE$2,"."&amp;$A$43&amp;$AW$1&amp;"C"&amp;$A57))</f>
        <v>16260</v>
      </c>
      <c r="BF57" s="7">
        <f>-IF(RTD("tos.rtd",,BF$2,"."&amp;$A$43&amp;$AW$1&amp;"P"&amp;$A57)="N/A",0,RTD("tos.rtd",,BF$2,"."&amp;$A$43&amp;$AW$1&amp;"P"&amp;$A57))</f>
        <v>-6702</v>
      </c>
      <c r="BG57" s="32" t="e">
        <f ca="1">+Hoja2!Y58</f>
        <v>#N/A</v>
      </c>
      <c r="BH57" s="7" t="e">
        <f t="shared" ca="1" si="273"/>
        <v>#N/A</v>
      </c>
      <c r="BI57" s="8" t="e">
        <f t="shared" ca="1" si="289"/>
        <v>#N/A</v>
      </c>
      <c r="BJ57" s="83" t="e">
        <f ca="1">IF($BP$1=1,DX57,IF(RTD("tos.rtd",,BJ$43,"."&amp;$A$43&amp;$AS$42&amp;"C"&amp;$A57)="N/A",0,RTD("tos.rtd",,BJ$43,"."&amp;$A$43&amp;$AS$42&amp;"C"&amp;$A57)))</f>
        <v>#NUM!</v>
      </c>
      <c r="BK57" s="83" t="e">
        <f ca="1">IF($BP$1=1,DY57,-IF(RTD("tos.rtd",,BK$43,"."&amp;$A$43&amp;$AS$42&amp;"P"&amp;$A57)="N/A",0,RTD("tos.rtd",,BK$43,"."&amp;$A$43&amp;$AS$42&amp;"P"&amp;$A57)))</f>
        <v>#NUM!</v>
      </c>
      <c r="BL57" s="83">
        <f ca="1">IF($BP$1=1,DZ57,IF(RTD("tos.rtd",,BL$2,"."&amp;$A$43&amp;$AU$1&amp;"C"&amp;$A57)="N/A",0,RTD("tos.rtd",,BL$2,"."&amp;$A$43&amp;$AU$1&amp;"C"&amp;$A57)))</f>
        <v>2.2641008141965388E-2</v>
      </c>
      <c r="BM57" s="83">
        <f ca="1">IF($BP$1=1,EA57,-IF(RTD("tos.rtd",,BM$2,"."&amp;$A$43&amp;$AU$1&amp;"P"&amp;$A57)="N/A",0,RTD("tos.rtd",,BM$2,"."&amp;$A$43&amp;$AU$1&amp;"P"&amp;$A57)))</f>
        <v>-2.2509318100276971E-2</v>
      </c>
      <c r="BN57" s="83">
        <f ca="1">IF($BP$1=1,EB57,IF(RTD("tos.rtd",,BN$2,"."&amp;$A$43&amp;$AW$1&amp;"C"&amp;$A57)="N/A",0,RTD("tos.rtd",,BN$2,"."&amp;$A$43&amp;$AW$1&amp;"C"&amp;$A57)))</f>
        <v>2.1978295375745839E-2</v>
      </c>
      <c r="BO57" s="83">
        <f ca="1">IF($BP$1=1,EC57,-IF(RTD("tos.rtd",,BO$2,"."&amp;$A$43&amp;$AW$1&amp;"P"&amp;$A57)="N/A",0,RTD("tos.rtd",,BO$2,"."&amp;$A$43&amp;$AW$1&amp;"P"&amp;$A57)))</f>
        <v>-2.1968697597650591E-2</v>
      </c>
      <c r="BQ57" s="83" t="e">
        <f t="shared" ca="1" si="274"/>
        <v>#NUM!</v>
      </c>
      <c r="BR57" s="3" t="e">
        <f t="shared" ca="1" si="275"/>
        <v>#NUM!</v>
      </c>
      <c r="BS57" s="83">
        <f t="shared" ca="1" si="276"/>
        <v>23126306.511620544</v>
      </c>
      <c r="BT57" s="3" t="str">
        <f t="shared" ca="1" si="277"/>
        <v/>
      </c>
      <c r="BU57" s="83">
        <f t="shared" ca="1" si="278"/>
        <v>288004160.41339433</v>
      </c>
      <c r="BV57" s="83"/>
      <c r="BX57" s="83" t="e">
        <f t="shared" ca="1" si="279"/>
        <v>#NUM!</v>
      </c>
      <c r="BY57" s="83" t="e">
        <f t="shared" ca="1" si="290"/>
        <v>#NUM!</v>
      </c>
      <c r="BZ57" s="83">
        <f t="shared" ca="1" si="280"/>
        <v>16130121.320919521</v>
      </c>
      <c r="CA57" s="83" t="str">
        <f t="shared" ca="1" si="290"/>
        <v/>
      </c>
      <c r="CB57" s="83">
        <f t="shared" ca="1" si="281"/>
        <v>50238962.306663208</v>
      </c>
      <c r="CC57" s="83" t="str">
        <f t="shared" ca="1" si="290"/>
        <v/>
      </c>
      <c r="CD57" s="83">
        <f>IF(RTD("tos.rtd",,CD$43,"."&amp;$A$43&amp;$AS$42&amp;"C"&amp;$A57)="N/A",0,RTD("tos.rtd",,CD$43,"."&amp;$A$43&amp;$AS$42&amp;"C"&amp;$A57))</f>
        <v>0.09</v>
      </c>
      <c r="CE57" s="83">
        <f>-IF(RTD("tos.rtd",,CE$43,"."&amp;$A$43&amp;$AS$42&amp;"P"&amp;$A57)="N/A",0,RTD("tos.rtd",,CE$43,"."&amp;$A$43&amp;$AS$42&amp;"P"&amp;$A57))</f>
        <v>0.84</v>
      </c>
      <c r="CF57" s="83">
        <f>IF(RTD("tos.rtd",,CF$2,"."&amp;$A$43&amp;$AU$1&amp;"C"&amp;$A57)="N/A",0,RTD("tos.rtd",,CF$2,"."&amp;$A$43&amp;$AU$1&amp;"C"&amp;$A57))</f>
        <v>0.49</v>
      </c>
      <c r="CG57" s="83">
        <f>-IF(RTD("tos.rtd",,CG$2,"."&amp;$A$43&amp;$AU$1&amp;"P"&amp;$A57)="N/A",0,RTD("tos.rtd",,CG$2,"."&amp;$A$43&amp;$AU$1&amp;"P"&amp;$A57))</f>
        <v>0.51</v>
      </c>
      <c r="CH57" s="83">
        <f>IF(RTD("tos.rtd",,CH$2,"."&amp;$A$43&amp;$AW$1&amp;"C"&amp;$A57)="N/A",0,RTD("tos.rtd",,CH$2,"."&amp;$A$43&amp;$AW$1&amp;"C"&amp;$A57))</f>
        <v>0.5</v>
      </c>
      <c r="CI57" s="83">
        <f>-IF(RTD("tos.rtd",,CI$2,"."&amp;$A$43&amp;$AW$1&amp;"P"&amp;$A57)="N/A",0,RTD("tos.rtd",,CI$2,"."&amp;$A$43&amp;$AW$1&amp;"P"&amp;$A57))</f>
        <v>0.5</v>
      </c>
      <c r="CK57" s="83">
        <f t="shared" si="282"/>
        <v>30801.000000000007</v>
      </c>
      <c r="CL57" s="83"/>
      <c r="CM57" s="83">
        <f t="shared" si="283"/>
        <v>208432</v>
      </c>
      <c r="CN57" s="83"/>
      <c r="CO57" s="83">
        <f t="shared" si="284"/>
        <v>2740200</v>
      </c>
      <c r="CP57" s="83">
        <f t="shared" si="232"/>
        <v>2979433</v>
      </c>
      <c r="CQ57" s="83">
        <f t="shared" si="246"/>
        <v>175062</v>
      </c>
      <c r="CR57" s="83"/>
      <c r="CS57" s="83">
        <f t="shared" si="247"/>
        <v>2937</v>
      </c>
      <c r="CT57" s="83"/>
      <c r="CU57" s="83">
        <f t="shared" si="248"/>
        <v>9558</v>
      </c>
      <c r="CV57" s="83"/>
      <c r="CW57" s="83" t="e">
        <f t="shared" ca="1" si="249"/>
        <v>#NUM!</v>
      </c>
      <c r="CY57" s="83" t="e">
        <f t="shared" ca="1" si="250"/>
        <v>#NUM!</v>
      </c>
      <c r="CZ57" s="70" t="e">
        <f t="shared" ca="1" si="291"/>
        <v>#NUM!</v>
      </c>
      <c r="DA57" s="83">
        <f>IF(RTD("tos.rtd",,DA$43,"."&amp;$A$43&amp;$AS$42&amp;"C"&amp;$A57)="N/A",0,RTD("tos.rtd",,DA$43,"."&amp;$A$43&amp;$AS$42&amp;"C"&amp;$A57))</f>
        <v>0.05</v>
      </c>
      <c r="DB57" s="83">
        <f>IF(RTD("tos.rtd",,DB$43,"."&amp;$A$43&amp;$AS$42&amp;"P"&amp;$A57)="N/A",0,RTD("tos.rtd",,DB$43,"."&amp;$A$43&amp;$AS$42&amp;"P"&amp;$A57))</f>
        <v>1.1499999999999999</v>
      </c>
      <c r="DC57" s="83">
        <f>IF(RTD("tos.rtd",,DC$43,"."&amp;$A$43&amp;$AS$42&amp;"C"&amp;$A57)="N/A",0,RTD("tos.rtd",,DC$43,"."&amp;$A$43&amp;$AS$42&amp;"C"&amp;$A57))</f>
        <v>0.04</v>
      </c>
      <c r="DD57" s="83">
        <f>IF(RTD("tos.rtd",,DD$43,"."&amp;$A$43&amp;$AS$42&amp;"P"&amp;$A57)="N/A",0,RTD("tos.rtd",,DD$43,"."&amp;$A$43&amp;$AS$42&amp;"P"&amp;$A57))</f>
        <v>1.2</v>
      </c>
      <c r="DE57" s="83">
        <f>IF(RTD("tos.rtd",,DE$43,"."&amp;$A$43&amp;$AS$42&amp;"C"&amp;$A57)="N/A",0,RTD("tos.rtd",,DE$43,"."&amp;$A$43&amp;$AS$42&amp;"C"&amp;$A57))</f>
        <v>0.03</v>
      </c>
      <c r="DF57" s="83">
        <f>IF(RTD("tos.rtd",,DF$43,"."&amp;$A$43&amp;$AS$42&amp;"P"&amp;$A57)="N/A",0,RTD("tos.rtd",,DF$43,"."&amp;$A$43&amp;$AS$42&amp;"P"&amp;$A57))</f>
        <v>1.04</v>
      </c>
      <c r="DG57" s="86">
        <f t="shared" si="285"/>
        <v>1.0400000000000205</v>
      </c>
      <c r="DH57" s="83">
        <f t="shared" si="251"/>
        <v>110</v>
      </c>
      <c r="DI57" s="83">
        <f t="shared" si="252"/>
        <v>-27.499999999999982</v>
      </c>
      <c r="DJ57" s="83">
        <f t="shared" si="253"/>
        <v>55</v>
      </c>
      <c r="DK57" s="83">
        <f t="shared" si="254"/>
        <v>-40</v>
      </c>
      <c r="DL57" s="83">
        <f t="shared" si="255"/>
        <v>82.500000000000014</v>
      </c>
      <c r="DM57" s="83">
        <f t="shared" si="256"/>
        <v>15</v>
      </c>
      <c r="DN57" s="64" t="str">
        <f t="shared" si="257"/>
        <v>BUY</v>
      </c>
      <c r="DO57" s="64" t="str">
        <f t="shared" si="258"/>
        <v>BUY</v>
      </c>
      <c r="DP57" s="83">
        <f t="shared" si="259"/>
        <v>-26.124999999999979</v>
      </c>
      <c r="DQ57" s="83">
        <f t="shared" si="260"/>
        <v>-43.25</v>
      </c>
      <c r="DR57" s="83" t="e">
        <f t="shared" ca="1" si="261"/>
        <v>#NUM!</v>
      </c>
      <c r="DS57" s="83">
        <f t="shared" si="262"/>
        <v>-28.650000000000002</v>
      </c>
      <c r="DT57" s="83">
        <f t="shared" si="286"/>
        <v>55</v>
      </c>
      <c r="DU57" s="83">
        <f t="shared" si="287"/>
        <v>-40</v>
      </c>
      <c r="DV57" s="83">
        <f t="shared" si="263"/>
        <v>-34767</v>
      </c>
      <c r="DW57" s="83">
        <f t="shared" si="264"/>
        <v>-14770</v>
      </c>
      <c r="DX57" s="83" t="e">
        <f t="shared" ref="DX57:DX64" ca="1" si="359">(EXP(-POWER((LN($A$44/$A57)+($EC$1+POWER($EE57,2)/2)*($EM$1/$DY$1))/($EE57*SQRT($EM$1/$DY$1)),2)/2)/SQRT(2*PI())/($A$44*$EE57*SQRT($EM$1/$DY$1)))</f>
        <v>#NUM!</v>
      </c>
      <c r="DY57" s="83" t="e">
        <f t="shared" ref="DY57:DY64" ca="1" si="360">-(EXP(-POWER((LN($A$44/$A57)+($EC$1+POWER($EF57,2)/2)*($EM$1/$DY$1))/($EF57*SQRT($EM$1/$DY$1)),2)/2)/SQRT(2*PI())/($A$44*$EF57*SQRT($EM$1/$DY$1)))</f>
        <v>#NUM!</v>
      </c>
      <c r="DZ57" s="83">
        <f t="shared" ref="DZ57:DZ64" ca="1" si="361">(EXP(-POWER((LN($A$44/$A57)+($EC$1+POWER($EG57,2)/2)*($EO$1/$DY$1))/($EG57*SQRT($EO$1/$DY$1)),2)/2)/SQRT(2*PI())/($A$44*$EG57*SQRT($EO$1/$DY$1)))</f>
        <v>2.2641008141965388E-2</v>
      </c>
      <c r="EA57" s="83">
        <f t="shared" ref="EA57:EA64" ca="1" si="362">-(EXP(-POWER((LN($A$44/$A57)+($EC$1+POWER($EH57,2)/2)*($EO$1/$DY$1))/($EH57*SQRT($EO$1/$DY$1)),2)/2)/SQRT(2*PI())/($A$44*$EH57*SQRT($EO$1/$DY$1)))</f>
        <v>-2.2509318100276971E-2</v>
      </c>
      <c r="EB57" s="83">
        <f t="shared" ref="EB57:EB64" ca="1" si="363">(EXP(-POWER((LN($A$44/$A57)+($EC$1+POWER($EI57,2)/2)*($EO$1/$DY$1))/($EI57*SQRT($EO$1/$DY$1)),2)/2)/SQRT(2*PI())/($A$44*$EI57*SQRT($EO$1/$DY$1)))</f>
        <v>2.1978295375745839E-2</v>
      </c>
      <c r="EC57" s="83">
        <f t="shared" ref="EC57:EC64" ca="1" si="364">-(EXP(-POWER((LN($A$44/$A57)+($EC$1+POWER($EJ57,2)/2)*($EO$1/$DY$1))/($EJ57*SQRT($EO$1/$DY$1)),2)/2)/SQRT(2*PI())/($A$44*$EJ57*SQRT($EO$1/$DY$1)))</f>
        <v>-2.1968697597650591E-2</v>
      </c>
      <c r="EE57" s="84">
        <f t="shared" si="265"/>
        <v>0.2142</v>
      </c>
      <c r="EF57" s="84">
        <f t="shared" si="266"/>
        <v>0.27539999999999998</v>
      </c>
      <c r="EG57" s="84">
        <f t="shared" si="267"/>
        <v>0.22209999999999999</v>
      </c>
      <c r="EH57" s="84">
        <f t="shared" si="268"/>
        <v>0.22339999999999999</v>
      </c>
      <c r="EI57" s="84">
        <f t="shared" si="269"/>
        <v>0.2288</v>
      </c>
      <c r="EJ57" s="84">
        <f t="shared" si="270"/>
        <v>0.22889999999999999</v>
      </c>
      <c r="EL57" s="83" t="str">
        <f>RTD("tos.rtd",,EL$43,"."&amp;$A$43&amp;$AS$42&amp;"C"&amp;$A57)</f>
        <v>21.42%</v>
      </c>
      <c r="EM57" s="83" t="str">
        <f>RTD("tos.rtd",,EM$43,"."&amp;$A$43&amp;$AS$42&amp;"P"&amp;$A57)</f>
        <v>27.54%</v>
      </c>
      <c r="EN57" s="83" t="str">
        <f>RTD("tos.rtd",,EN$2,"."&amp;$A$43&amp;$AU$1&amp;"C"&amp;$A57)</f>
        <v>22.21%</v>
      </c>
      <c r="EO57" s="83" t="str">
        <f>RTD("tos.rtd",,EO$2,"."&amp;$A$43&amp;$AU$1&amp;"P"&amp;$A57)</f>
        <v>22.34%</v>
      </c>
      <c r="EP57" s="83" t="str">
        <f>RTD("tos.rtd",,EP$2,"."&amp;$A$43&amp;$AW$1&amp;"C"&amp;$A57)</f>
        <v>22.88%</v>
      </c>
      <c r="EQ57" s="83" t="str">
        <f>RTD("tos.rtd",,EQ$2,"."&amp;$A$43&amp;$AW$1&amp;"P"&amp;$A57)</f>
        <v>22.89%</v>
      </c>
      <c r="ET57" s="64" t="str">
        <f t="shared" ca="1" si="271"/>
        <v>490,00.00</v>
      </c>
      <c r="EU57" s="68">
        <v>560.47</v>
      </c>
      <c r="EV57" s="68" t="s">
        <v>475</v>
      </c>
      <c r="EW57" s="68">
        <v>482.49</v>
      </c>
      <c r="EX57" s="68" t="s">
        <v>476</v>
      </c>
      <c r="EY57" s="68">
        <v>5620</v>
      </c>
      <c r="EZ57" s="68" t="s">
        <v>477</v>
      </c>
      <c r="FA57" s="68">
        <v>19823.5</v>
      </c>
      <c r="FB57" s="68" t="s">
        <v>478</v>
      </c>
      <c r="FC57" s="68" t="s">
        <v>479</v>
      </c>
      <c r="FD57" s="68" t="s">
        <v>480</v>
      </c>
      <c r="FE57" s="68" t="s">
        <v>481</v>
      </c>
      <c r="FF57" s="68" t="s">
        <v>482</v>
      </c>
    </row>
    <row r="58" spans="1:162" ht="13.5" thickBot="1" x14ac:dyDescent="0.25">
      <c r="A58" s="2">
        <f t="shared" si="288"/>
        <v>489</v>
      </c>
      <c r="B58" s="3">
        <f t="shared" si="238"/>
        <v>2943</v>
      </c>
      <c r="C58" s="3">
        <f t="shared" si="239"/>
        <v>120</v>
      </c>
      <c r="D58" s="3">
        <f t="shared" si="240"/>
        <v>0</v>
      </c>
      <c r="E58" s="3">
        <f t="shared" si="241"/>
        <v>3063</v>
      </c>
      <c r="F58" s="4">
        <f t="shared" si="292"/>
        <v>20193.651832460735</v>
      </c>
      <c r="AM58" s="1">
        <v>-23231</v>
      </c>
      <c r="AN58" s="1">
        <v>-7677</v>
      </c>
      <c r="AO58" s="1">
        <v>489</v>
      </c>
      <c r="AP58" s="1">
        <v>163417</v>
      </c>
      <c r="AQ58" s="1">
        <v>-157271</v>
      </c>
      <c r="AS58" s="6">
        <f>IF(RTD("tos.rtd",,AS$43,"."&amp;$A$43&amp;$AS$42&amp;"C"&amp;$A58)="N/A",0,RTD("tos.rtd",,AS$43,"."&amp;$A$43&amp;$AS$42&amp;"C"&amp;$A58))</f>
        <v>2811</v>
      </c>
      <c r="AT58" s="7">
        <f>-IF(RTD("tos.rtd",,AT$43,"."&amp;$A$43&amp;$AS$42&amp;"P"&amp;$A58)="N/A",0,RTD("tos.rtd",,AT$43,"."&amp;$A$43&amp;$AS$42&amp;"P"&amp;$A58))</f>
        <v>-132</v>
      </c>
      <c r="AU58" s="6">
        <v>1</v>
      </c>
      <c r="AV58" s="7">
        <f>-IF(RTD("tos.rtd",,AV$2,"."&amp;$A$43&amp;$AU$1&amp;"P"&amp;$A58)="N/A",0,RTD("tos.rtd",,AV$2,"."&amp;$A$43&amp;$AU$1&amp;"P"&amp;$A58))</f>
        <v>-119</v>
      </c>
      <c r="AW58" s="6">
        <f>IF(RTD("tos.rtd",,AW$2,"."&amp;$A$43&amp;$AW$1&amp;"C"&amp;$A58)="N/A",0,RTD("tos.rtd",,AW$2,"."&amp;$A$43&amp;$AW$1&amp;"C"&amp;$A58))</f>
        <v>0</v>
      </c>
      <c r="AX58" s="7">
        <f>-IF(RTD("tos.rtd",,AX$2,"."&amp;$A$43&amp;$AW$1&amp;"P"&amp;$A58)="N/A",0,RTD("tos.rtd",,AX$2,"."&amp;$A$43&amp;$AW$1&amp;"P"&amp;$A58))</f>
        <v>0</v>
      </c>
      <c r="AY58" s="7">
        <f t="shared" si="272"/>
        <v>2561</v>
      </c>
      <c r="AZ58" s="8">
        <f t="shared" si="242"/>
        <v>489</v>
      </c>
      <c r="BA58" s="6">
        <f>IF(RTD("tos.rtd",,BA$43,"."&amp;$A$43&amp;$AS$42&amp;"C"&amp;$A58)="N/A",0,RTD("tos.rtd",,BA$43,"."&amp;$A$43&amp;$AS$42&amp;"C"&amp;$A58))</f>
        <v>163517</v>
      </c>
      <c r="BB58" s="7">
        <f>-IF(RTD("tos.rtd",,BB$43,"."&amp;$A$43&amp;$AS$42&amp;"P"&amp;$A58)="N/A",0,RTD("tos.rtd",,BB$43,"."&amp;$A$43&amp;$AS$42&amp;"P"&amp;$A58))</f>
        <v>-157305</v>
      </c>
      <c r="BC58" s="6">
        <f>IF(RTD("tos.rtd",,BC$2,"."&amp;$A$43&amp;$AU$1&amp;"C"&amp;$A58)="N/A",0,RTD("tos.rtd",,BC$2,"."&amp;$A$43&amp;$AU$1&amp;"C"&amp;$A58))</f>
        <v>1656</v>
      </c>
      <c r="BD58" s="7">
        <f>-IF(RTD("tos.rtd",,BD$2,"."&amp;$A$43&amp;$AU$1&amp;"P"&amp;$A58)="N/A",0,RTD("tos.rtd",,BD$2,"."&amp;$A$43&amp;$AU$1&amp;"P"&amp;$A58))</f>
        <v>-3759</v>
      </c>
      <c r="BE58" s="6">
        <f>IF(RTD("tos.rtd",,BE$2,"."&amp;$A$43&amp;$AW$1&amp;"C"&amp;$A58)="N/A",0,RTD("tos.rtd",,BE$2,"."&amp;$A$43&amp;$AW$1&amp;"C"&amp;$A58))</f>
        <v>0</v>
      </c>
      <c r="BF58" s="7">
        <f>-IF(RTD("tos.rtd",,BF$2,"."&amp;$A$43&amp;$AW$1&amp;"P"&amp;$A58)="N/A",0,RTD("tos.rtd",,BF$2,"."&amp;$A$43&amp;$AW$1&amp;"P"&amp;$A58))</f>
        <v>0</v>
      </c>
      <c r="BG58" s="32" t="e">
        <f ca="1">+Hoja2!Y59</f>
        <v>#N/A</v>
      </c>
      <c r="BH58" s="7" t="e">
        <f t="shared" ca="1" si="273"/>
        <v>#N/A</v>
      </c>
      <c r="BI58" s="8" t="e">
        <f t="shared" ca="1" si="289"/>
        <v>#N/A</v>
      </c>
      <c r="BJ58" s="83" t="e">
        <f ca="1">IF($BP$1=1,DX58,IF(RTD("tos.rtd",,BJ$43,"."&amp;$A$43&amp;$AS$42&amp;"C"&amp;$A58)="N/A",0,RTD("tos.rtd",,BJ$43,"."&amp;$A$43&amp;$AS$42&amp;"C"&amp;$A58)))</f>
        <v>#NUM!</v>
      </c>
      <c r="BK58" s="83" t="e">
        <f ca="1">IF($BP$1=1,DY58,-IF(RTD("tos.rtd",,BK$43,"."&amp;$A$43&amp;$AS$42&amp;"P"&amp;$A58)="N/A",0,RTD("tos.rtd",,BK$43,"."&amp;$A$43&amp;$AS$42&amp;"P"&amp;$A58)))</f>
        <v>#NUM!</v>
      </c>
      <c r="BL58" s="83">
        <f ca="1">IF($BP$1=1,DZ58,IF(RTD("tos.rtd",,BL$2,"."&amp;$A$43&amp;$AU$1&amp;"C"&amp;$A58)="N/A",0,RTD("tos.rtd",,BL$2,"."&amp;$A$43&amp;$AU$1&amp;"C"&amp;$A58)))</f>
        <v>2.2386096790643989E-2</v>
      </c>
      <c r="BM58" s="83">
        <f ca="1">IF($BP$1=1,EA58,-IF(RTD("tos.rtd",,BM$2,"."&amp;$A$43&amp;$AU$1&amp;"P"&amp;$A58)="N/A",0,RTD("tos.rtd",,BM$2,"."&amp;$A$43&amp;$AU$1&amp;"P"&amp;$A58)))</f>
        <v>-2.2257214271821649E-2</v>
      </c>
      <c r="BN58" s="83">
        <f ca="1">IF($BP$1=1,EB58,IF(RTD("tos.rtd",,BN$2,"."&amp;$A$43&amp;$AW$1&amp;"C"&amp;$A58)="N/A",0,RTD("tos.rtd",,BN$2,"."&amp;$A$43&amp;$AW$1&amp;"C"&amp;$A58)))</f>
        <v>2.0094501213409721E-2</v>
      </c>
      <c r="BO58" s="83">
        <f ca="1">IF($BP$1=1,EC58,-IF(RTD("tos.rtd",,BO$2,"."&amp;$A$43&amp;$AW$1&amp;"P"&amp;$A58)="N/A",0,RTD("tos.rtd",,BO$2,"."&amp;$A$43&amp;$AW$1&amp;"P"&amp;$A58)))</f>
        <v>-2.0094501213409721E-2</v>
      </c>
      <c r="BQ58" s="83" t="e">
        <f t="shared" ca="1" si="274"/>
        <v>#NUM!</v>
      </c>
      <c r="BR58" s="3" t="e">
        <f t="shared" ca="1" si="275"/>
        <v>#NUM!</v>
      </c>
      <c r="BS58" s="83">
        <f t="shared" ca="1" si="276"/>
        <v>-627882.19326411083</v>
      </c>
      <c r="BT58" s="3" t="str">
        <f t="shared" ca="1" si="277"/>
        <v>Cruce -</v>
      </c>
      <c r="BU58" s="83">
        <f t="shared" ca="1" si="278"/>
        <v>0</v>
      </c>
      <c r="BV58" s="83"/>
      <c r="BX58" s="83" t="e">
        <f t="shared" ca="1" si="279"/>
        <v>#NUM!</v>
      </c>
      <c r="BY58" s="83" t="e">
        <f t="shared" ca="1" si="290"/>
        <v>#NUM!</v>
      </c>
      <c r="BZ58" s="83">
        <f t="shared" ca="1" si="280"/>
        <v>-11139659.776518451</v>
      </c>
      <c r="CA58" s="83" t="str">
        <f t="shared" ca="1" si="290"/>
        <v>Cruce -</v>
      </c>
      <c r="CB58" s="83">
        <f t="shared" ca="1" si="281"/>
        <v>0</v>
      </c>
      <c r="CC58" s="83" t="str">
        <f t="shared" ca="1" si="290"/>
        <v/>
      </c>
      <c r="CD58" s="83">
        <f>IF(RTD("tos.rtd",,CD$43,"."&amp;$A$43&amp;$AS$42&amp;"C"&amp;$A58)="N/A",0,RTD("tos.rtd",,CD$43,"."&amp;$A$43&amp;$AS$42&amp;"C"&amp;$A58))</f>
        <v>0.48</v>
      </c>
      <c r="CE58" s="83">
        <f>-IF(RTD("tos.rtd",,CE$43,"."&amp;$A$43&amp;$AS$42&amp;"P"&amp;$A58)="N/A",0,RTD("tos.rtd",,CE$43,"."&amp;$A$43&amp;$AS$42&amp;"P"&amp;$A58))</f>
        <v>0.52</v>
      </c>
      <c r="CF58" s="83">
        <f>IF(RTD("tos.rtd",,CF$2,"."&amp;$A$43&amp;$AU$1&amp;"C"&amp;$A58)="N/A",0,RTD("tos.rtd",,CF$2,"."&amp;$A$43&amp;$AU$1&amp;"C"&amp;$A58))</f>
        <v>0.51</v>
      </c>
      <c r="CG58" s="83">
        <f>-IF(RTD("tos.rtd",,CG$2,"."&amp;$A$43&amp;$AU$1&amp;"P"&amp;$A58)="N/A",0,RTD("tos.rtd",,CG$2,"."&amp;$A$43&amp;$AU$1&amp;"P"&amp;$A58))</f>
        <v>0.49</v>
      </c>
      <c r="CH58" s="83">
        <f>IF(RTD("tos.rtd",,CH$2,"."&amp;$A$43&amp;$AW$1&amp;"C"&amp;$A58)="N/A",0,RTD("tos.rtd",,CH$2,"."&amp;$A$43&amp;$AW$1&amp;"C"&amp;$A58))</f>
        <v>0</v>
      </c>
      <c r="CI58" s="83">
        <f>-IF(RTD("tos.rtd",,CI$2,"."&amp;$A$43&amp;$AW$1&amp;"P"&amp;$A58)="N/A",0,RTD("tos.rtd",,CI$2,"."&amp;$A$43&amp;$AW$1&amp;"P"&amp;$A58))</f>
        <v>0</v>
      </c>
      <c r="CK58" s="83">
        <f t="shared" si="282"/>
        <v>128064</v>
      </c>
      <c r="CL58" s="83"/>
      <c r="CM58" s="83">
        <f t="shared" si="283"/>
        <v>-5780</v>
      </c>
      <c r="CN58" s="83"/>
      <c r="CO58" s="83">
        <f t="shared" si="284"/>
        <v>0</v>
      </c>
      <c r="CP58" s="83">
        <f t="shared" si="232"/>
        <v>122284</v>
      </c>
      <c r="CQ58" s="83">
        <f t="shared" si="246"/>
        <v>6212</v>
      </c>
      <c r="CR58" s="83"/>
      <c r="CS58" s="83">
        <f t="shared" si="247"/>
        <v>-2103</v>
      </c>
      <c r="CT58" s="83"/>
      <c r="CU58" s="83">
        <f t="shared" si="248"/>
        <v>0</v>
      </c>
      <c r="CV58" s="83"/>
      <c r="CW58" s="83" t="e">
        <f t="shared" ca="1" si="249"/>
        <v>#NUM!</v>
      </c>
      <c r="CY58" s="83" t="e">
        <f t="shared" ca="1" si="250"/>
        <v>#NUM!</v>
      </c>
      <c r="CZ58" s="70" t="e">
        <f t="shared" ca="1" si="291"/>
        <v>#NUM!</v>
      </c>
      <c r="DA58" s="83">
        <f>IF(RTD("tos.rtd",,DA$43,"."&amp;$A$43&amp;$AS$42&amp;"C"&amp;$A58)="N/A",0,RTD("tos.rtd",,DA$43,"."&amp;$A$43&amp;$AS$42&amp;"C"&amp;$A58))</f>
        <v>0.32</v>
      </c>
      <c r="DB58" s="83">
        <f>IF(RTD("tos.rtd",,DB$43,"."&amp;$A$43&amp;$AS$42&amp;"P"&amp;$A58)="N/A",0,RTD("tos.rtd",,DB$43,"."&amp;$A$43&amp;$AS$42&amp;"P"&amp;$A58))</f>
        <v>0.36</v>
      </c>
      <c r="DC58" s="83">
        <f>IF(RTD("tos.rtd",,DC$43,"."&amp;$A$43&amp;$AS$42&amp;"C"&amp;$A58)="N/A",0,RTD("tos.rtd",,DC$43,"."&amp;$A$43&amp;$AS$42&amp;"C"&amp;$A58))</f>
        <v>0.33</v>
      </c>
      <c r="DD58" s="83">
        <f>IF(RTD("tos.rtd",,DD$43,"."&amp;$A$43&amp;$AS$42&amp;"P"&amp;$A58)="N/A",0,RTD("tos.rtd",,DD$43,"."&amp;$A$43&amp;$AS$42&amp;"P"&amp;$A58))</f>
        <v>0.36</v>
      </c>
      <c r="DE58" s="83">
        <f>IF(RTD("tos.rtd",,DE$43,"."&amp;$A$43&amp;$AS$42&amp;"C"&amp;$A58)="N/A",0,RTD("tos.rtd",,DE$43,"."&amp;$A$43&amp;$AS$42&amp;"C"&amp;$A58))</f>
        <v>0.3</v>
      </c>
      <c r="DF58" s="83">
        <f>IF(RTD("tos.rtd",,DF$43,"."&amp;$A$43&amp;$AS$42&amp;"P"&amp;$A58)="N/A",0,RTD("tos.rtd",,DF$43,"."&amp;$A$43&amp;$AS$42&amp;"P"&amp;$A58))</f>
        <v>0.34</v>
      </c>
      <c r="DG58" s="86">
        <f t="shared" si="285"/>
        <v>4.0000000000020464E-2</v>
      </c>
      <c r="DH58" s="83">
        <f t="shared" si="251"/>
        <v>66.666666666666657</v>
      </c>
      <c r="DI58" s="83">
        <f t="shared" si="252"/>
        <v>-34</v>
      </c>
      <c r="DJ58" s="83">
        <f t="shared" si="253"/>
        <v>100</v>
      </c>
      <c r="DK58" s="83">
        <f t="shared" si="254"/>
        <v>-34</v>
      </c>
      <c r="DL58" s="83">
        <f t="shared" si="255"/>
        <v>32.666666666666657</v>
      </c>
      <c r="DM58" s="83">
        <f t="shared" si="256"/>
        <v>66</v>
      </c>
      <c r="DN58" s="64" t="str">
        <f t="shared" si="257"/>
        <v>BUY</v>
      </c>
      <c r="DO58" s="64" t="str">
        <f t="shared" si="258"/>
        <v>BUY</v>
      </c>
      <c r="DP58" s="83">
        <f t="shared" si="259"/>
        <v>9.0933333333333319</v>
      </c>
      <c r="DQ58" s="83">
        <f t="shared" si="260"/>
        <v>19.759999999999998</v>
      </c>
      <c r="DR58" s="83" t="e">
        <f t="shared" ca="1" si="261"/>
        <v>#NUM!</v>
      </c>
      <c r="DS58" s="83">
        <f t="shared" si="262"/>
        <v>30.32</v>
      </c>
      <c r="DT58" s="83">
        <f t="shared" si="286"/>
        <v>100</v>
      </c>
      <c r="DU58" s="83">
        <f t="shared" si="287"/>
        <v>-34</v>
      </c>
      <c r="DV58" s="83">
        <f t="shared" si="263"/>
        <v>-23131</v>
      </c>
      <c r="DW58" s="83">
        <f t="shared" si="264"/>
        <v>-7711</v>
      </c>
      <c r="DX58" s="83" t="e">
        <f t="shared" ca="1" si="359"/>
        <v>#NUM!</v>
      </c>
      <c r="DY58" s="83" t="e">
        <f t="shared" ca="1" si="360"/>
        <v>#NUM!</v>
      </c>
      <c r="DZ58" s="83">
        <f t="shared" ca="1" si="361"/>
        <v>2.2386096790643989E-2</v>
      </c>
      <c r="EA58" s="83">
        <f t="shared" ca="1" si="362"/>
        <v>-2.2257214271821649E-2</v>
      </c>
      <c r="EB58" s="83">
        <f t="shared" ca="1" si="363"/>
        <v>2.0094501213409721E-2</v>
      </c>
      <c r="EC58" s="83">
        <f t="shared" ca="1" si="364"/>
        <v>-2.0094501213409721E-2</v>
      </c>
      <c r="EE58" s="84">
        <f t="shared" si="265"/>
        <v>0.2268</v>
      </c>
      <c r="EF58" s="84">
        <f t="shared" si="266"/>
        <v>0.22409999999999999</v>
      </c>
      <c r="EG58" s="84">
        <f t="shared" si="267"/>
        <v>0.22439999999999999</v>
      </c>
      <c r="EH58" s="84">
        <f t="shared" si="268"/>
        <v>0.22570000000000001</v>
      </c>
      <c r="EI58" s="84">
        <f t="shared" si="269"/>
        <v>0.25</v>
      </c>
      <c r="EJ58" s="84">
        <f t="shared" si="270"/>
        <v>0.25</v>
      </c>
      <c r="EL58" s="83" t="str">
        <f>RTD("tos.rtd",,EL$43,"."&amp;$A$43&amp;$AS$42&amp;"C"&amp;$A58)</f>
        <v>22.68%</v>
      </c>
      <c r="EM58" s="83" t="str">
        <f>RTD("tos.rtd",,EM$43,"."&amp;$A$43&amp;$AS$42&amp;"P"&amp;$A58)</f>
        <v>22.41%</v>
      </c>
      <c r="EN58" s="83" t="str">
        <f>RTD("tos.rtd",,EN$2,"."&amp;$A$43&amp;$AU$1&amp;"C"&amp;$A58)</f>
        <v>22.44%</v>
      </c>
      <c r="EO58" s="83" t="str">
        <f>RTD("tos.rtd",,EO$2,"."&amp;$A$43&amp;$AU$1&amp;"P"&amp;$A58)</f>
        <v>22.57%</v>
      </c>
      <c r="EP58" s="83" t="str">
        <f>RTD("tos.rtd",,EP$2,"."&amp;$A$43&amp;$AW$1&amp;"C"&amp;$A58)</f>
        <v>N/A</v>
      </c>
      <c r="EQ58" s="83" t="str">
        <f>RTD("tos.rtd",,EQ$2,"."&amp;$A$43&amp;$AW$1&amp;"P"&amp;$A58)</f>
        <v>N/A</v>
      </c>
      <c r="ET58" s="64" t="str">
        <f t="shared" ca="1" si="271"/>
        <v>489,00.00</v>
      </c>
      <c r="EU58" s="68">
        <v>560.54999999999995</v>
      </c>
      <c r="EV58" s="68" t="s">
        <v>483</v>
      </c>
      <c r="EW58" s="68">
        <v>482.53</v>
      </c>
      <c r="EX58" s="68" t="s">
        <v>484</v>
      </c>
      <c r="EY58" s="68">
        <v>5620.5</v>
      </c>
      <c r="EZ58" s="68" t="s">
        <v>485</v>
      </c>
      <c r="FA58" s="68">
        <v>19825.5</v>
      </c>
      <c r="FB58" s="68" t="s">
        <v>486</v>
      </c>
      <c r="FC58" s="68" t="s">
        <v>487</v>
      </c>
      <c r="FD58" s="68" t="s">
        <v>488</v>
      </c>
      <c r="FE58" s="68" t="s">
        <v>489</v>
      </c>
      <c r="FF58" s="68" t="s">
        <v>490</v>
      </c>
    </row>
    <row r="59" spans="1:162" ht="13.5" thickBot="1" x14ac:dyDescent="0.25">
      <c r="A59" s="2">
        <f t="shared" si="288"/>
        <v>488</v>
      </c>
      <c r="B59" s="3">
        <f t="shared" si="238"/>
        <v>4240</v>
      </c>
      <c r="C59" s="3">
        <f t="shared" si="239"/>
        <v>1031</v>
      </c>
      <c r="D59" s="3">
        <f t="shared" si="240"/>
        <v>0</v>
      </c>
      <c r="E59" s="3">
        <f>SUM(B59:D59)</f>
        <v>5271</v>
      </c>
      <c r="F59" s="4">
        <f>+$F$44/$A$44*A59</f>
        <v>20152.35602094241</v>
      </c>
      <c r="AM59" s="1">
        <v>-3825</v>
      </c>
      <c r="AN59" s="1">
        <v>19635</v>
      </c>
      <c r="AO59" s="1">
        <v>488</v>
      </c>
      <c r="AP59" s="1">
        <v>104911</v>
      </c>
      <c r="AQ59" s="1">
        <v>-155102</v>
      </c>
      <c r="AS59" s="6">
        <f>IF(RTD("tos.rtd",,AS$43,"."&amp;$A$43&amp;$AS$42&amp;"C"&amp;$A59)="N/A",0,RTD("tos.rtd",,AS$43,"."&amp;$A$43&amp;$AS$42&amp;"C"&amp;$A59))</f>
        <v>3988</v>
      </c>
      <c r="AT59" s="7">
        <f>-IF(RTD("tos.rtd",,AT$43,"."&amp;$A$43&amp;$AS$42&amp;"P"&amp;$A59)="N/A",0,RTD("tos.rtd",,AT$43,"."&amp;$A$43&amp;$AS$42&amp;"P"&amp;$A59))</f>
        <v>-252</v>
      </c>
      <c r="AU59" s="6">
        <f>IF(RTD("tos.rtd",,AU$2,"."&amp;$A$43&amp;$AU$1&amp;"C"&amp;$A59)="N/A",0,RTD("tos.rtd",,AU$2,"."&amp;$A$43&amp;$AU$1&amp;"C"&amp;$A59))</f>
        <v>657</v>
      </c>
      <c r="AV59" s="7">
        <f>-IF(RTD("tos.rtd",,AV$2,"."&amp;$A$43&amp;$AU$1&amp;"P"&amp;$A59)="N/A",0,RTD("tos.rtd",,AV$2,"."&amp;$A$43&amp;$AU$1&amp;"P"&amp;$A59))</f>
        <v>-374</v>
      </c>
      <c r="AW59" s="6">
        <f>IF(RTD("tos.rtd",,AW$2,"."&amp;$A$43&amp;$AW$1&amp;"C"&amp;$A59)="N/A",0,RTD("tos.rtd",,AW$2,"."&amp;$A$43&amp;$AW$1&amp;"C"&amp;$A59))</f>
        <v>0</v>
      </c>
      <c r="AX59" s="7">
        <f>-IF(RTD("tos.rtd",,AX$2,"."&amp;$A$43&amp;$AW$1&amp;"P"&amp;$A59)="N/A",0,RTD("tos.rtd",,AX$2,"."&amp;$A$43&amp;$AW$1&amp;"P"&amp;$A59))</f>
        <v>0</v>
      </c>
      <c r="AY59" s="7">
        <f>SUM(AS59:AX59)</f>
        <v>4019</v>
      </c>
      <c r="AZ59" s="8">
        <f t="shared" si="242"/>
        <v>488</v>
      </c>
      <c r="BA59" s="6">
        <f>IF(RTD("tos.rtd",,BA$43,"."&amp;$A$43&amp;$AS$42&amp;"C"&amp;$A59)="N/A",0,RTD("tos.rtd",,BA$43,"."&amp;$A$43&amp;$AS$42&amp;"C"&amp;$A59))</f>
        <v>104959</v>
      </c>
      <c r="BB59" s="7">
        <f>-IF(RTD("tos.rtd",,BB$43,"."&amp;$A$43&amp;$AS$42&amp;"P"&amp;$A59)="N/A",0,RTD("tos.rtd",,BB$43,"."&amp;$A$43&amp;$AS$42&amp;"P"&amp;$A59))</f>
        <v>-155343</v>
      </c>
      <c r="BC59" s="6">
        <f>IF(RTD("tos.rtd",,BC$2,"."&amp;$A$43&amp;$AU$1&amp;"C"&amp;$A59)="N/A",0,RTD("tos.rtd",,BC$2,"."&amp;$A$43&amp;$AU$1&amp;"C"&amp;$A59))</f>
        <v>1203</v>
      </c>
      <c r="BD59" s="7">
        <f>-IF(RTD("tos.rtd",,BD$2,"."&amp;$A$43&amp;$AU$1&amp;"P"&amp;$A59)="N/A",0,RTD("tos.rtd",,BD$2,"."&amp;$A$43&amp;$AU$1&amp;"P"&amp;$A59))</f>
        <v>-4096</v>
      </c>
      <c r="BE59" s="6">
        <f>IF(RTD("tos.rtd",,BE$2,"."&amp;$A$43&amp;$AW$1&amp;"C"&amp;$A59)="N/A",0,RTD("tos.rtd",,BE$2,"."&amp;$A$43&amp;$AW$1&amp;"C"&amp;$A59))</f>
        <v>0</v>
      </c>
      <c r="BF59" s="7">
        <f>-IF(RTD("tos.rtd",,BF$2,"."&amp;$A$43&amp;$AW$1&amp;"P"&amp;$A59)="N/A",0,RTD("tos.rtd",,BF$2,"."&amp;$A$43&amp;$AW$1&amp;"P"&amp;$A59))</f>
        <v>0</v>
      </c>
      <c r="BG59" s="32" t="e">
        <f ca="1">+Hoja2!Y60</f>
        <v>#N/A</v>
      </c>
      <c r="BH59" s="7" t="e">
        <f t="shared" ca="1" si="273"/>
        <v>#N/A</v>
      </c>
      <c r="BI59" s="8" t="e">
        <f t="shared" ca="1" si="289"/>
        <v>#N/A</v>
      </c>
      <c r="BJ59" s="83" t="e">
        <f ca="1">IF($BP$1=1,DX59,IF(RTD("tos.rtd",,BJ$43,"."&amp;$A$43&amp;$AS$42&amp;"C"&amp;$A59)="N/A",0,RTD("tos.rtd",,BJ$43,"."&amp;$A$43&amp;$AS$42&amp;"C"&amp;$A59)))</f>
        <v>#NUM!</v>
      </c>
      <c r="BK59" s="83" t="e">
        <f ca="1">IF($BP$1=1,DY59,-IF(RTD("tos.rtd",,BK$43,"."&amp;$A$43&amp;$AS$42&amp;"P"&amp;$A59)="N/A",0,RTD("tos.rtd",,BK$43,"."&amp;$A$43&amp;$AS$42&amp;"P"&amp;$A59)))</f>
        <v>#NUM!</v>
      </c>
      <c r="BL59" s="83">
        <f ca="1">IF($BP$1=1,DZ59,IF(RTD("tos.rtd",,BL$2,"."&amp;$A$43&amp;$AU$1&amp;"C"&amp;$A59)="N/A",0,RTD("tos.rtd",,BL$2,"."&amp;$A$43&amp;$AU$1&amp;"C"&amp;$A59)))</f>
        <v>2.205827164669389E-2</v>
      </c>
      <c r="BM59" s="83">
        <f ca="1">IF($BP$1=1,EA59,-IF(RTD("tos.rtd",,BM$2,"."&amp;$A$43&amp;$AU$1&amp;"P"&amp;$A59)="N/A",0,RTD("tos.rtd",,BM$2,"."&amp;$A$43&amp;$AU$1&amp;"P"&amp;$A59)))</f>
        <v>-2.1952503492149084E-2</v>
      </c>
      <c r="BN59" s="83">
        <f ca="1">IF($BP$1=1,EB59,IF(RTD("tos.rtd",,BN$2,"."&amp;$A$43&amp;$AW$1&amp;"C"&amp;$A59)="N/A",0,RTD("tos.rtd",,BN$2,"."&amp;$A$43&amp;$AW$1&amp;"C"&amp;$A59)))</f>
        <v>2.0022872431459983E-2</v>
      </c>
      <c r="BO59" s="83">
        <f ca="1">IF($BP$1=1,EC59,-IF(RTD("tos.rtd",,BO$2,"."&amp;$A$43&amp;$AW$1&amp;"P"&amp;$A59)="N/A",0,RTD("tos.rtd",,BO$2,"."&amp;$A$43&amp;$AW$1&amp;"P"&amp;$A59)))</f>
        <v>-2.0022872431459983E-2</v>
      </c>
      <c r="BQ59" s="83" t="e">
        <f t="shared" ca="1" si="274"/>
        <v>#NUM!</v>
      </c>
      <c r="BR59" s="3" t="e">
        <f t="shared" ca="1" si="275"/>
        <v>#NUM!</v>
      </c>
      <c r="BS59" s="83">
        <f t="shared" ca="1" si="276"/>
        <v>1501923.8957846705</v>
      </c>
      <c r="BT59" s="3" t="str">
        <f t="shared" ca="1" si="277"/>
        <v>Cruce +</v>
      </c>
      <c r="BU59" s="83">
        <f t="shared" ca="1" si="278"/>
        <v>0</v>
      </c>
      <c r="BV59" s="83"/>
      <c r="BX59" s="83" t="e">
        <f t="shared" ca="1" si="279"/>
        <v>#NUM!</v>
      </c>
      <c r="BY59" s="83" t="e">
        <f t="shared" ca="1" si="290"/>
        <v>#NUM!</v>
      </c>
      <c r="BZ59" s="83">
        <f t="shared" ca="1" si="280"/>
        <v>-15153333.256211704</v>
      </c>
      <c r="CA59" s="83" t="str">
        <f t="shared" ca="1" si="290"/>
        <v/>
      </c>
      <c r="CB59" s="83">
        <f t="shared" ca="1" si="281"/>
        <v>0</v>
      </c>
      <c r="CC59" s="83" t="str">
        <f t="shared" ca="1" si="290"/>
        <v/>
      </c>
      <c r="CD59" s="83">
        <f>IF(RTD("tos.rtd",,CD$43,"."&amp;$A$43&amp;$AS$42&amp;"C"&amp;$A59)="N/A",0,RTD("tos.rtd",,CD$43,"."&amp;$A$43&amp;$AS$42&amp;"C"&amp;$A59))</f>
        <v>0.85</v>
      </c>
      <c r="CE59" s="83">
        <f>-IF(RTD("tos.rtd",,CE$43,"."&amp;$A$43&amp;$AS$42&amp;"P"&amp;$A59)="N/A",0,RTD("tos.rtd",,CE$43,"."&amp;$A$43&amp;$AS$42&amp;"P"&amp;$A59))</f>
        <v>0.15</v>
      </c>
      <c r="CF59" s="83">
        <f>IF(RTD("tos.rtd",,CF$2,"."&amp;$A$43&amp;$AU$1&amp;"C"&amp;$A59)="N/A",0,RTD("tos.rtd",,CF$2,"."&amp;$A$43&amp;$AU$1&amp;"C"&amp;$A59))</f>
        <v>0.54</v>
      </c>
      <c r="CG59" s="83">
        <f>-IF(RTD("tos.rtd",,CG$2,"."&amp;$A$43&amp;$AU$1&amp;"P"&amp;$A59)="N/A",0,RTD("tos.rtd",,CG$2,"."&amp;$A$43&amp;$AU$1&amp;"P"&amp;$A59))</f>
        <v>0.46</v>
      </c>
      <c r="CH59" s="83">
        <f>IF(RTD("tos.rtd",,CH$2,"."&amp;$A$43&amp;$AW$1&amp;"C"&amp;$A59)="N/A",0,RTD("tos.rtd",,CH$2,"."&amp;$A$43&amp;$AW$1&amp;"C"&amp;$A59))</f>
        <v>0</v>
      </c>
      <c r="CI59" s="83">
        <f>-IF(RTD("tos.rtd",,CI$2,"."&amp;$A$43&amp;$AW$1&amp;"P"&amp;$A59)="N/A",0,RTD("tos.rtd",,CI$2,"."&amp;$A$43&amp;$AW$1&amp;"P"&amp;$A59))</f>
        <v>0</v>
      </c>
      <c r="CK59" s="83">
        <f t="shared" si="282"/>
        <v>335200</v>
      </c>
      <c r="CL59" s="83"/>
      <c r="CM59" s="83">
        <f t="shared" si="283"/>
        <v>18273.999999999996</v>
      </c>
      <c r="CN59" s="83"/>
      <c r="CO59" s="83">
        <f t="shared" si="284"/>
        <v>0</v>
      </c>
      <c r="CP59" s="83">
        <f t="shared" si="232"/>
        <v>353474</v>
      </c>
      <c r="CQ59" s="83">
        <f t="shared" si="246"/>
        <v>-50384</v>
      </c>
      <c r="CR59" s="83"/>
      <c r="CS59" s="83">
        <f t="shared" si="247"/>
        <v>-2893</v>
      </c>
      <c r="CT59" s="83"/>
      <c r="CU59" s="83">
        <f t="shared" si="248"/>
        <v>0</v>
      </c>
      <c r="CV59" s="83"/>
      <c r="CW59" s="83" t="e">
        <f ca="1">+BQ59+BS59+BU59</f>
        <v>#NUM!</v>
      </c>
      <c r="CY59" s="83" t="e">
        <f t="shared" ca="1" si="250"/>
        <v>#NUM!</v>
      </c>
      <c r="CZ59" s="70" t="e">
        <f t="shared" ca="1" si="291"/>
        <v>#NUM!</v>
      </c>
      <c r="DA59" s="83">
        <f>IF(RTD("tos.rtd",,DA$43,"."&amp;$A$43&amp;$AS$42&amp;"C"&amp;$A59)="N/A",0,RTD("tos.rtd",,DA$43,"."&amp;$A$43&amp;$AS$42&amp;"C"&amp;$A59))</f>
        <v>0.97</v>
      </c>
      <c r="DB59" s="83">
        <f>IF(RTD("tos.rtd",,DB$43,"."&amp;$A$43&amp;$AS$42&amp;"P"&amp;$A59)="N/A",0,RTD("tos.rtd",,DB$43,"."&amp;$A$43&amp;$AS$42&amp;"P"&amp;$A59))</f>
        <v>0.08</v>
      </c>
      <c r="DC59" s="83">
        <f>IF(RTD("tos.rtd",,DC$43,"."&amp;$A$43&amp;$AS$42&amp;"C"&amp;$A59)="N/A",0,RTD("tos.rtd",,DC$43,"."&amp;$A$43&amp;$AS$42&amp;"C"&amp;$A59))</f>
        <v>1.08</v>
      </c>
      <c r="DD59" s="83">
        <f>IF(RTD("tos.rtd",,DD$43,"."&amp;$A$43&amp;$AS$42&amp;"P"&amp;$A59)="N/A",0,RTD("tos.rtd",,DD$43,"."&amp;$A$43&amp;$AS$42&amp;"P"&amp;$A59))</f>
        <v>0.08</v>
      </c>
      <c r="DE59" s="83">
        <f>IF(RTD("tos.rtd",,DE$43,"."&amp;$A$43&amp;$AS$42&amp;"C"&amp;$A59)="N/A",0,RTD("tos.rtd",,DE$43,"."&amp;$A$43&amp;$AS$42&amp;"C"&amp;$A59))</f>
        <v>0.98</v>
      </c>
      <c r="DF59" s="83">
        <f>IF(RTD("tos.rtd",,DF$43,"."&amp;$A$43&amp;$AS$42&amp;"P"&amp;$A59)="N/A",0,RTD("tos.rtd",,DF$43,"."&amp;$A$43&amp;$AS$42&amp;"P"&amp;$A59))</f>
        <v>0.06</v>
      </c>
      <c r="DG59" s="86">
        <f t="shared" si="285"/>
        <v>-0.95999999999997954</v>
      </c>
      <c r="DH59" s="83">
        <f t="shared" si="251"/>
        <v>-4.8000000000000007</v>
      </c>
      <c r="DI59" s="83">
        <f t="shared" si="252"/>
        <v>-241</v>
      </c>
      <c r="DJ59" s="83">
        <f t="shared" si="253"/>
        <v>-48</v>
      </c>
      <c r="DK59" s="83">
        <f t="shared" si="254"/>
        <v>-241</v>
      </c>
      <c r="DL59" s="83">
        <f t="shared" si="255"/>
        <v>-245.8</v>
      </c>
      <c r="DM59" s="83">
        <f t="shared" si="256"/>
        <v>-289</v>
      </c>
      <c r="DN59" s="64" t="str">
        <f t="shared" si="257"/>
        <v>SELL</v>
      </c>
      <c r="DO59" s="64" t="str">
        <f t="shared" si="258"/>
        <v>BUY</v>
      </c>
      <c r="DP59" s="83">
        <f t="shared" si="259"/>
        <v>-23.936</v>
      </c>
      <c r="DQ59" s="83">
        <f t="shared" si="260"/>
        <v>-65.84</v>
      </c>
      <c r="DR59" s="83" t="e">
        <f t="shared" ca="1" si="261"/>
        <v>#NUM!</v>
      </c>
      <c r="DS59" s="83">
        <f t="shared" si="262"/>
        <v>-76.949999999999989</v>
      </c>
      <c r="DT59" s="83">
        <f t="shared" si="286"/>
        <v>48</v>
      </c>
      <c r="DU59" s="83">
        <f t="shared" si="287"/>
        <v>-241</v>
      </c>
      <c r="DV59" s="83">
        <f t="shared" si="263"/>
        <v>-3873</v>
      </c>
      <c r="DW59" s="83">
        <f t="shared" si="264"/>
        <v>19394</v>
      </c>
      <c r="DX59" s="83" t="e">
        <f t="shared" ca="1" si="359"/>
        <v>#NUM!</v>
      </c>
      <c r="DY59" s="83" t="e">
        <f t="shared" ca="1" si="360"/>
        <v>#NUM!</v>
      </c>
      <c r="DZ59" s="83">
        <f t="shared" ca="1" si="361"/>
        <v>2.205827164669389E-2</v>
      </c>
      <c r="EA59" s="83">
        <f t="shared" ca="1" si="362"/>
        <v>-2.1952503492149084E-2</v>
      </c>
      <c r="EB59" s="83">
        <f t="shared" ca="1" si="363"/>
        <v>2.0022872431459983E-2</v>
      </c>
      <c r="EC59" s="83">
        <f t="shared" ca="1" si="364"/>
        <v>-2.0022872431459983E-2</v>
      </c>
      <c r="EE59" s="84">
        <f t="shared" si="265"/>
        <v>0.24790000000000001</v>
      </c>
      <c r="EF59" s="84">
        <f t="shared" si="266"/>
        <v>0.249</v>
      </c>
      <c r="EG59" s="84">
        <f t="shared" si="267"/>
        <v>0.2268</v>
      </c>
      <c r="EH59" s="84">
        <f t="shared" si="268"/>
        <v>0.22789999999999999</v>
      </c>
      <c r="EI59" s="84">
        <f t="shared" si="269"/>
        <v>0.25</v>
      </c>
      <c r="EJ59" s="84">
        <f t="shared" si="270"/>
        <v>0.25</v>
      </c>
      <c r="EL59" s="83" t="str">
        <f>RTD("tos.rtd",,EL$43,"."&amp;$A$43&amp;$AS$42&amp;"C"&amp;$A59)</f>
        <v>24.79%</v>
      </c>
      <c r="EM59" s="83" t="str">
        <f>RTD("tos.rtd",,EM$43,"."&amp;$A$43&amp;$AS$42&amp;"P"&amp;$A59)</f>
        <v>24.90%</v>
      </c>
      <c r="EN59" s="83" t="str">
        <f>RTD("tos.rtd",,EN$2,"."&amp;$A$43&amp;$AU$1&amp;"C"&amp;$A59)</f>
        <v>22.68%</v>
      </c>
      <c r="EO59" s="83" t="str">
        <f>RTD("tos.rtd",,EO$2,"."&amp;$A$43&amp;$AU$1&amp;"P"&amp;$A59)</f>
        <v>22.79%</v>
      </c>
      <c r="EP59" s="83" t="str">
        <f>RTD("tos.rtd",,EP$2,"."&amp;$A$43&amp;$AW$1&amp;"C"&amp;$A59)</f>
        <v>N/A</v>
      </c>
      <c r="EQ59" s="83" t="str">
        <f>RTD("tos.rtd",,EQ$2,"."&amp;$A$43&amp;$AW$1&amp;"P"&amp;$A59)</f>
        <v>N/A</v>
      </c>
      <c r="ET59" s="64" t="str">
        <f t="shared" ca="1" si="271"/>
        <v>488,00.00</v>
      </c>
      <c r="EU59" s="68">
        <v>560.52</v>
      </c>
      <c r="EV59" s="68" t="s">
        <v>491</v>
      </c>
      <c r="EW59" s="68">
        <v>482.46</v>
      </c>
      <c r="EX59" s="68" t="s">
        <v>492</v>
      </c>
      <c r="EY59" s="68">
        <v>5620.5</v>
      </c>
      <c r="EZ59" s="68" t="s">
        <v>493</v>
      </c>
      <c r="FA59" s="68">
        <v>19823</v>
      </c>
      <c r="FB59" s="68" t="s">
        <v>494</v>
      </c>
      <c r="FC59" s="68" t="s">
        <v>495</v>
      </c>
      <c r="FD59" s="68" t="s">
        <v>496</v>
      </c>
      <c r="FE59" s="68" t="s">
        <v>497</v>
      </c>
      <c r="FF59" s="68" t="s">
        <v>498</v>
      </c>
    </row>
    <row r="60" spans="1:162" ht="13.5" thickBot="1" x14ac:dyDescent="0.25">
      <c r="A60" s="2">
        <f t="shared" si="288"/>
        <v>487</v>
      </c>
      <c r="B60" s="3">
        <f t="shared" si="238"/>
        <v>3833</v>
      </c>
      <c r="C60" s="3">
        <f t="shared" si="239"/>
        <v>1282</v>
      </c>
      <c r="D60" s="3">
        <f t="shared" si="240"/>
        <v>0</v>
      </c>
      <c r="E60" s="3">
        <f t="shared" si="241"/>
        <v>5115</v>
      </c>
      <c r="F60" s="4">
        <f t="shared" si="292"/>
        <v>20111.060209424086</v>
      </c>
      <c r="AM60" s="1">
        <v>6567</v>
      </c>
      <c r="AN60" s="1">
        <v>-4879</v>
      </c>
      <c r="AO60" s="1">
        <v>487</v>
      </c>
      <c r="AP60" s="1">
        <v>75343</v>
      </c>
      <c r="AQ60" s="1">
        <v>-101110</v>
      </c>
      <c r="AS60" s="6">
        <f>IF(RTD("tos.rtd",,AS$43,"."&amp;$A$43&amp;$AS$42&amp;"C"&amp;$A60)="N/A",0,RTD("tos.rtd",,AS$43,"."&amp;$A$43&amp;$AS$42&amp;"C"&amp;$A60))</f>
        <v>3278</v>
      </c>
      <c r="AT60" s="7">
        <f>-IF(RTD("tos.rtd",,AT$43,"."&amp;$A$43&amp;$AS$42&amp;"P"&amp;$A60)="N/A",0,RTD("tos.rtd",,AT$43,"."&amp;$A$43&amp;$AS$42&amp;"P"&amp;$A60))</f>
        <v>-555</v>
      </c>
      <c r="AU60" s="6">
        <f>IF(RTD("tos.rtd",,AU$2,"."&amp;$A$43&amp;$AU$1&amp;"C"&amp;$A60)="N/A",0,RTD("tos.rtd",,AU$2,"."&amp;$A$43&amp;$AU$1&amp;"C"&amp;$A60))</f>
        <v>801</v>
      </c>
      <c r="AV60" s="7">
        <f>-IF(RTD("tos.rtd",,AV$2,"."&amp;$A$43&amp;$AU$1&amp;"P"&amp;$A60)="N/A",0,RTD("tos.rtd",,AV$2,"."&amp;$A$43&amp;$AU$1&amp;"P"&amp;$A60))</f>
        <v>-481</v>
      </c>
      <c r="AW60" s="6">
        <f>IF(RTD("tos.rtd",,AW$2,"."&amp;$A$43&amp;$AW$1&amp;"C"&amp;$A60)="N/A",0,RTD("tos.rtd",,AW$2,"."&amp;$A$43&amp;$AW$1&amp;"C"&amp;$A60))</f>
        <v>0</v>
      </c>
      <c r="AX60" s="7">
        <f>-IF(RTD("tos.rtd",,AX$2,"."&amp;$A$43&amp;$AW$1&amp;"P"&amp;$A60)="N/A",0,RTD("tos.rtd",,AX$2,"."&amp;$A$43&amp;$AW$1&amp;"P"&amp;$A60))</f>
        <v>0</v>
      </c>
      <c r="AY60" s="7">
        <f t="shared" si="272"/>
        <v>3043</v>
      </c>
      <c r="AZ60" s="8">
        <f t="shared" si="242"/>
        <v>487</v>
      </c>
      <c r="BA60" s="6">
        <f>IF(RTD("tos.rtd",,BA$43,"."&amp;$A$43&amp;$AS$42&amp;"C"&amp;$A60)="N/A",0,RTD("tos.rtd",,BA$43,"."&amp;$A$43&amp;$AS$42&amp;"C"&amp;$A60))</f>
        <v>75397</v>
      </c>
      <c r="BB60" s="7">
        <f>-IF(RTD("tos.rtd",,BB$43,"."&amp;$A$43&amp;$AS$42&amp;"P"&amp;$A60)="N/A",0,RTD("tos.rtd",,BB$43,"."&amp;$A$43&amp;$AS$42&amp;"P"&amp;$A60))</f>
        <v>-101164</v>
      </c>
      <c r="BC60" s="6">
        <f>IF(RTD("tos.rtd",,BC$2,"."&amp;$A$43&amp;$AU$1&amp;"C"&amp;$A60)="N/A",0,RTD("tos.rtd",,BC$2,"."&amp;$A$43&amp;$AU$1&amp;"C"&amp;$A60))</f>
        <v>1385</v>
      </c>
      <c r="BD60" s="7">
        <f>-IF(RTD("tos.rtd",,BD$2,"."&amp;$A$43&amp;$AU$1&amp;"P"&amp;$A60)="N/A",0,RTD("tos.rtd",,BD$2,"."&amp;$A$43&amp;$AU$1&amp;"P"&amp;$A60))</f>
        <v>-1520</v>
      </c>
      <c r="BE60" s="6">
        <f>IF(RTD("tos.rtd",,BE$2,"."&amp;$A$43&amp;$AW$1&amp;"C"&amp;$A60)="N/A",0,RTD("tos.rtd",,BE$2,"."&amp;$A$43&amp;$AW$1&amp;"C"&amp;$A60))</f>
        <v>0</v>
      </c>
      <c r="BF60" s="7">
        <f>-IF(RTD("tos.rtd",,BF$2,"."&amp;$A$43&amp;$AW$1&amp;"P"&amp;$A60)="N/A",0,RTD("tos.rtd",,BF$2,"."&amp;$A$43&amp;$AW$1&amp;"P"&amp;$A60))</f>
        <v>0</v>
      </c>
      <c r="BG60" s="32" t="e">
        <f ca="1">+Hoja2!Y61</f>
        <v>#N/A</v>
      </c>
      <c r="BH60" s="7" t="e">
        <f t="shared" ca="1" si="273"/>
        <v>#N/A</v>
      </c>
      <c r="BI60" s="8" t="e">
        <f t="shared" ca="1" si="289"/>
        <v>#N/A</v>
      </c>
      <c r="BJ60" s="83" t="e">
        <f ca="1">IF($BP$1=1,DX60,IF(RTD("tos.rtd",,BJ$43,"."&amp;$A$43&amp;$AS$42&amp;"C"&amp;$A60)="N/A",0,RTD("tos.rtd",,BJ$43,"."&amp;$A$43&amp;$AS$42&amp;"C"&amp;$A60)))</f>
        <v>#NUM!</v>
      </c>
      <c r="BK60" s="83" t="e">
        <f ca="1">IF($BP$1=1,DY60,-IF(RTD("tos.rtd",,BK$43,"."&amp;$A$43&amp;$AS$42&amp;"P"&amp;$A60)="N/A",0,RTD("tos.rtd",,BK$43,"."&amp;$A$43&amp;$AS$42&amp;"P"&amp;$A60)))</f>
        <v>#NUM!</v>
      </c>
      <c r="BL60" s="83">
        <f ca="1">IF($BP$1=1,DZ60,IF(RTD("tos.rtd",,BL$2,"."&amp;$A$43&amp;$AU$1&amp;"C"&amp;$A60)="N/A",0,RTD("tos.rtd",,BL$2,"."&amp;$A$43&amp;$AU$1&amp;"C"&amp;$A60)))</f>
        <v>2.1692889381552779E-2</v>
      </c>
      <c r="BM60" s="83">
        <f ca="1">IF($BP$1=1,EA60,-IF(RTD("tos.rtd",,BM$2,"."&amp;$A$43&amp;$AU$1&amp;"P"&amp;$A60)="N/A",0,RTD("tos.rtd",,BM$2,"."&amp;$A$43&amp;$AU$1&amp;"P"&amp;$A60)))</f>
        <v>-2.1563511946469903E-2</v>
      </c>
      <c r="BN60" s="83">
        <f ca="1">IF($BP$1=1,EB60,IF(RTD("tos.rtd",,BN$2,"."&amp;$A$43&amp;$AW$1&amp;"C"&amp;$A60)="N/A",0,RTD("tos.rtd",,BN$2,"."&amp;$A$43&amp;$AW$1&amp;"C"&amp;$A60)))</f>
        <v>1.9900442621141382E-2</v>
      </c>
      <c r="BO60" s="83">
        <f ca="1">IF($BP$1=1,EC60,-IF(RTD("tos.rtd",,BO$2,"."&amp;$A$43&amp;$AW$1&amp;"P"&amp;$A60)="N/A",0,RTD("tos.rtd",,BO$2,"."&amp;$A$43&amp;$AW$1&amp;"P"&amp;$A60)))</f>
        <v>-1.9900442621141382E-2</v>
      </c>
      <c r="BQ60" s="83" t="e">
        <f t="shared" ca="1" si="274"/>
        <v>#NUM!</v>
      </c>
      <c r="BR60" s="3" t="e">
        <f t="shared" ca="1" si="275"/>
        <v>#NUM!</v>
      </c>
      <c r="BS60" s="83">
        <f t="shared" ca="1" si="276"/>
        <v>1674518.7755147261</v>
      </c>
      <c r="BT60" s="3" t="str">
        <f t="shared" ca="1" si="277"/>
        <v/>
      </c>
      <c r="BU60" s="83">
        <f t="shared" ca="1" si="278"/>
        <v>0</v>
      </c>
      <c r="BV60" s="83"/>
      <c r="BX60" s="83" t="e">
        <f t="shared" ca="1" si="279"/>
        <v>#NUM!</v>
      </c>
      <c r="BY60" s="83" t="e">
        <f t="shared" ca="1" si="290"/>
        <v>#NUM!</v>
      </c>
      <c r="BZ60" s="83">
        <f t="shared" ca="1" si="280"/>
        <v>-653144.53250549361</v>
      </c>
      <c r="CA60" s="83" t="str">
        <f t="shared" ca="1" si="290"/>
        <v/>
      </c>
      <c r="CB60" s="83">
        <f t="shared" ca="1" si="281"/>
        <v>0</v>
      </c>
      <c r="CC60" s="83" t="str">
        <f t="shared" ca="1" si="290"/>
        <v/>
      </c>
      <c r="CD60" s="83">
        <f>IF(RTD("tos.rtd",,CD$43,"."&amp;$A$43&amp;$AS$42&amp;"C"&amp;$A60)="N/A",0,RTD("tos.rtd",,CD$43,"."&amp;$A$43&amp;$AS$42&amp;"C"&amp;$A60))</f>
        <v>1</v>
      </c>
      <c r="CE60" s="83">
        <f>-IF(RTD("tos.rtd",,CE$43,"."&amp;$A$43&amp;$AS$42&amp;"P"&amp;$A60)="N/A",0,RTD("tos.rtd",,CE$43,"."&amp;$A$43&amp;$AS$42&amp;"P"&amp;$A60))</f>
        <v>0.05</v>
      </c>
      <c r="CF60" s="83">
        <f>IF(RTD("tos.rtd",,CF$2,"."&amp;$A$43&amp;$AU$1&amp;"C"&amp;$A60)="N/A",0,RTD("tos.rtd",,CF$2,"."&amp;$A$43&amp;$AU$1&amp;"C"&amp;$A60))</f>
        <v>0.56999999999999995</v>
      </c>
      <c r="CG60" s="83">
        <f>-IF(RTD("tos.rtd",,CG$2,"."&amp;$A$43&amp;$AU$1&amp;"P"&amp;$A60)="N/A",0,RTD("tos.rtd",,CG$2,"."&amp;$A$43&amp;$AU$1&amp;"P"&amp;$A60))</f>
        <v>0.44</v>
      </c>
      <c r="CH60" s="83">
        <f>IF(RTD("tos.rtd",,CH$2,"."&amp;$A$43&amp;$AW$1&amp;"C"&amp;$A60)="N/A",0,RTD("tos.rtd",,CH$2,"."&amp;$A$43&amp;$AW$1&amp;"C"&amp;$A60))</f>
        <v>0</v>
      </c>
      <c r="CI60" s="83">
        <f>-IF(RTD("tos.rtd",,CI$2,"."&amp;$A$43&amp;$AW$1&amp;"P"&amp;$A60)="N/A",0,RTD("tos.rtd",,CI$2,"."&amp;$A$43&amp;$AW$1&amp;"P"&amp;$A60))</f>
        <v>0</v>
      </c>
      <c r="CK60" s="83">
        <f t="shared" si="282"/>
        <v>325025</v>
      </c>
      <c r="CL60" s="83"/>
      <c r="CM60" s="83">
        <f t="shared" si="283"/>
        <v>24492.999999999993</v>
      </c>
      <c r="CN60" s="83"/>
      <c r="CO60" s="83">
        <f t="shared" si="284"/>
        <v>0</v>
      </c>
      <c r="CP60" s="83">
        <f t="shared" si="232"/>
        <v>349518</v>
      </c>
      <c r="CQ60" s="83">
        <f t="shared" si="246"/>
        <v>-25767</v>
      </c>
      <c r="CR60" s="83"/>
      <c r="CS60" s="83">
        <f t="shared" si="247"/>
        <v>-135</v>
      </c>
      <c r="CT60" s="83"/>
      <c r="CU60" s="83">
        <f t="shared" si="248"/>
        <v>0</v>
      </c>
      <c r="CV60" s="83"/>
      <c r="CW60" s="83" t="e">
        <f t="shared" ca="1" si="249"/>
        <v>#NUM!</v>
      </c>
      <c r="CY60" s="83" t="e">
        <f t="shared" ca="1" si="250"/>
        <v>#NUM!</v>
      </c>
      <c r="CZ60" s="70" t="e">
        <f t="shared" ca="1" si="291"/>
        <v>#NUM!</v>
      </c>
      <c r="DA60" s="83">
        <f>IF(RTD("tos.rtd",,DA$43,"."&amp;$A$43&amp;$AS$42&amp;"C"&amp;$A60)="N/A",0,RTD("tos.rtd",,DA$43,"."&amp;$A$43&amp;$AS$42&amp;"C"&amp;$A60))</f>
        <v>1.94</v>
      </c>
      <c r="DB60" s="83">
        <f>IF(RTD("tos.rtd",,DB$43,"."&amp;$A$43&amp;$AS$42&amp;"P"&amp;$A60)="N/A",0,RTD("tos.rtd",,DB$43,"."&amp;$A$43&amp;$AS$42&amp;"P"&amp;$A60))</f>
        <v>0.02</v>
      </c>
      <c r="DC60" s="83">
        <f>IF(RTD("tos.rtd",,DC$43,"."&amp;$A$43&amp;$AS$42&amp;"C"&amp;$A60)="N/A",0,RTD("tos.rtd",,DC$43,"."&amp;$A$43&amp;$AS$42&amp;"C"&amp;$A60))</f>
        <v>2.04</v>
      </c>
      <c r="DD60" s="83">
        <f>IF(RTD("tos.rtd",,DD$43,"."&amp;$A$43&amp;$AS$42&amp;"P"&amp;$A60)="N/A",0,RTD("tos.rtd",,DD$43,"."&amp;$A$43&amp;$AS$42&amp;"P"&amp;$A60))</f>
        <v>0.03</v>
      </c>
      <c r="DE60" s="83">
        <f>IF(RTD("tos.rtd",,DE$43,"."&amp;$A$43&amp;$AS$42&amp;"C"&amp;$A60)="N/A",0,RTD("tos.rtd",,DE$43,"."&amp;$A$43&amp;$AS$42&amp;"C"&amp;$A60))</f>
        <v>1.84</v>
      </c>
      <c r="DF60" s="83">
        <f>IF(RTD("tos.rtd",,DF$43,"."&amp;$A$43&amp;$AS$42&amp;"P"&amp;$A60)="N/A",0,RTD("tos.rtd",,DF$43,"."&amp;$A$43&amp;$AS$42&amp;"P"&amp;$A60))</f>
        <v>0.02</v>
      </c>
      <c r="DG60" s="86">
        <f t="shared" si="285"/>
        <v>-1.9599999999999795</v>
      </c>
      <c r="DH60" s="83">
        <f t="shared" si="251"/>
        <v>26.999999999999972</v>
      </c>
      <c r="DI60" s="83">
        <f t="shared" si="252"/>
        <v>0</v>
      </c>
      <c r="DJ60" s="83">
        <f t="shared" si="253"/>
        <v>0</v>
      </c>
      <c r="DK60" s="83">
        <f t="shared" si="254"/>
        <v>54</v>
      </c>
      <c r="DL60" s="83">
        <f t="shared" si="255"/>
        <v>26.999999999999972</v>
      </c>
      <c r="DM60" s="83">
        <f t="shared" si="256"/>
        <v>54</v>
      </c>
      <c r="DN60" s="64" t="str">
        <f t="shared" si="257"/>
        <v>UNKNOWN</v>
      </c>
      <c r="DO60" s="64" t="str">
        <f t="shared" si="258"/>
        <v>SELL</v>
      </c>
      <c r="DP60" s="83">
        <f t="shared" si="259"/>
        <v>52.379999999999946</v>
      </c>
      <c r="DQ60" s="83">
        <f t="shared" si="260"/>
        <v>1.08</v>
      </c>
      <c r="DR60" s="83" t="e">
        <f t="shared" ca="1" si="261"/>
        <v>#NUM!</v>
      </c>
      <c r="DS60" s="83">
        <f t="shared" si="262"/>
        <v>2.7</v>
      </c>
      <c r="DT60" s="83">
        <f t="shared" si="286"/>
        <v>54</v>
      </c>
      <c r="DU60" s="83">
        <f t="shared" si="287"/>
        <v>-54</v>
      </c>
      <c r="DV60" s="83">
        <f t="shared" si="263"/>
        <v>6567</v>
      </c>
      <c r="DW60" s="83">
        <f t="shared" si="264"/>
        <v>-4825</v>
      </c>
      <c r="DX60" s="83" t="e">
        <f t="shared" ca="1" si="359"/>
        <v>#NUM!</v>
      </c>
      <c r="DY60" s="83" t="e">
        <f t="shared" ca="1" si="360"/>
        <v>#NUM!</v>
      </c>
      <c r="DZ60" s="83">
        <f t="shared" ca="1" si="361"/>
        <v>2.1692889381552779E-2</v>
      </c>
      <c r="EA60" s="83">
        <f t="shared" ca="1" si="362"/>
        <v>-2.1563511946469903E-2</v>
      </c>
      <c r="EB60" s="83">
        <f t="shared" ca="1" si="363"/>
        <v>1.9900442621141382E-2</v>
      </c>
      <c r="EC60" s="83">
        <f t="shared" ca="1" si="364"/>
        <v>-1.9900442621141382E-2</v>
      </c>
      <c r="EE60" s="84">
        <f t="shared" si="265"/>
        <v>0.25</v>
      </c>
      <c r="EF60" s="84">
        <f t="shared" si="266"/>
        <v>0.32479999999999998</v>
      </c>
      <c r="EG60" s="84">
        <f t="shared" si="267"/>
        <v>0.22900000000000001</v>
      </c>
      <c r="EH60" s="84">
        <f t="shared" si="268"/>
        <v>0.23039999999999999</v>
      </c>
      <c r="EI60" s="84">
        <f t="shared" si="269"/>
        <v>0.25</v>
      </c>
      <c r="EJ60" s="84">
        <f t="shared" si="270"/>
        <v>0.25</v>
      </c>
      <c r="EL60" s="83" t="str">
        <f>RTD("tos.rtd",,EL$43,"."&amp;$A$43&amp;$AS$42&amp;"C"&amp;$A60)</f>
        <v>--</v>
      </c>
      <c r="EM60" s="83" t="str">
        <f>RTD("tos.rtd",,EM$43,"."&amp;$A$43&amp;$AS$42&amp;"P"&amp;$A60)</f>
        <v>32.48%</v>
      </c>
      <c r="EN60" s="83" t="str">
        <f>RTD("tos.rtd",,EN$2,"."&amp;$A$43&amp;$AU$1&amp;"C"&amp;$A60)</f>
        <v>22.90%</v>
      </c>
      <c r="EO60" s="83" t="str">
        <f>RTD("tos.rtd",,EO$2,"."&amp;$A$43&amp;$AU$1&amp;"P"&amp;$A60)</f>
        <v>23.04%</v>
      </c>
      <c r="EP60" s="83" t="str">
        <f>RTD("tos.rtd",,EP$2,"."&amp;$A$43&amp;$AW$1&amp;"C"&amp;$A60)</f>
        <v>N/A</v>
      </c>
      <c r="EQ60" s="83" t="str">
        <f>RTD("tos.rtd",,EQ$2,"."&amp;$A$43&amp;$AW$1&amp;"P"&amp;$A60)</f>
        <v>N/A</v>
      </c>
      <c r="ET60" s="64" t="str">
        <f t="shared" ca="1" si="271"/>
        <v>487,00.00</v>
      </c>
      <c r="EU60" s="68">
        <v>560.48</v>
      </c>
      <c r="EV60" s="68" t="s">
        <v>499</v>
      </c>
      <c r="EW60" s="68">
        <v>482.49</v>
      </c>
      <c r="EX60" s="68" t="s">
        <v>500</v>
      </c>
      <c r="EY60" s="68">
        <v>5620</v>
      </c>
      <c r="EZ60" s="68" t="s">
        <v>501</v>
      </c>
      <c r="FA60" s="68">
        <v>19823.5</v>
      </c>
      <c r="FB60" s="68" t="s">
        <v>502</v>
      </c>
      <c r="FC60" s="68" t="s">
        <v>503</v>
      </c>
      <c r="FD60" s="68" t="s">
        <v>504</v>
      </c>
      <c r="FE60" s="68" t="s">
        <v>505</v>
      </c>
      <c r="FF60" s="68" t="s">
        <v>506</v>
      </c>
    </row>
    <row r="61" spans="1:162" ht="13.5" thickBot="1" x14ac:dyDescent="0.25">
      <c r="A61" s="2">
        <f t="shared" si="288"/>
        <v>486</v>
      </c>
      <c r="B61" s="3">
        <f t="shared" si="238"/>
        <v>9967</v>
      </c>
      <c r="C61" s="3">
        <f t="shared" si="239"/>
        <v>1371</v>
      </c>
      <c r="D61" s="3">
        <f t="shared" si="240"/>
        <v>0</v>
      </c>
      <c r="E61" s="3">
        <f t="shared" si="241"/>
        <v>11338</v>
      </c>
      <c r="F61" s="4">
        <f t="shared" si="292"/>
        <v>20069.764397905761</v>
      </c>
      <c r="AM61" s="1">
        <v>-5856</v>
      </c>
      <c r="AN61" s="1">
        <v>1770</v>
      </c>
      <c r="AO61" s="1">
        <v>486</v>
      </c>
      <c r="AP61" s="1">
        <v>41593</v>
      </c>
      <c r="AQ61" s="1">
        <v>-96561</v>
      </c>
      <c r="AS61" s="6">
        <f>IF(RTD("tos.rtd",,AS$43,"."&amp;$A$43&amp;$AS$42&amp;"C"&amp;$A61)="N/A",0,RTD("tos.rtd",,AS$43,"."&amp;$A$43&amp;$AS$42&amp;"C"&amp;$A61))</f>
        <v>7464</v>
      </c>
      <c r="AT61" s="7">
        <f>-IF(RTD("tos.rtd",,AT$43,"."&amp;$A$43&amp;$AS$42&amp;"P"&amp;$A61)="N/A",0,RTD("tos.rtd",,AT$43,"."&amp;$A$43&amp;$AS$42&amp;"P"&amp;$A61))</f>
        <v>-2503</v>
      </c>
      <c r="AU61" s="6">
        <f>IF(RTD("tos.rtd",,AU$2,"."&amp;$A$43&amp;$AU$1&amp;"C"&amp;$A61)="N/A",0,RTD("tos.rtd",,AU$2,"."&amp;$A$43&amp;$AU$1&amp;"C"&amp;$A61))</f>
        <v>649</v>
      </c>
      <c r="AV61" s="7">
        <f>-IF(RTD("tos.rtd",,AV$2,"."&amp;$A$43&amp;$AU$1&amp;"P"&amp;$A61)="N/A",0,RTD("tos.rtd",,AV$2,"."&amp;$A$43&amp;$AU$1&amp;"P"&amp;$A61))</f>
        <v>-722</v>
      </c>
      <c r="AW61" s="6">
        <f>IF(RTD("tos.rtd",,AW$2,"."&amp;$A$43&amp;$AW$1&amp;"C"&amp;$A61)="N/A",0,RTD("tos.rtd",,AW$2,"."&amp;$A$43&amp;$AW$1&amp;"C"&amp;$A61))</f>
        <v>0</v>
      </c>
      <c r="AX61" s="7">
        <f>-IF(RTD("tos.rtd",,AX$2,"."&amp;$A$43&amp;$AW$1&amp;"P"&amp;$A61)="N/A",0,RTD("tos.rtd",,AX$2,"."&amp;$A$43&amp;$AW$1&amp;"P"&amp;$A61))</f>
        <v>0</v>
      </c>
      <c r="AY61" s="7">
        <f t="shared" si="272"/>
        <v>4888</v>
      </c>
      <c r="AZ61" s="8">
        <f t="shared" si="242"/>
        <v>486</v>
      </c>
      <c r="BA61" s="6">
        <f>IF(RTD("tos.rtd",,BA$43,"."&amp;$A$43&amp;$AS$42&amp;"C"&amp;$A61)="N/A",0,RTD("tos.rtd",,BA$43,"."&amp;$A$43&amp;$AS$42&amp;"C"&amp;$A61))</f>
        <v>41603</v>
      </c>
      <c r="BB61" s="7">
        <f>-IF(RTD("tos.rtd",,BB$43,"."&amp;$A$43&amp;$AS$42&amp;"P"&amp;$A61)="N/A",0,RTD("tos.rtd",,BB$43,"."&amp;$A$43&amp;$AS$42&amp;"P"&amp;$A61))</f>
        <v>-96591</v>
      </c>
      <c r="BC61" s="6">
        <f>IF(RTD("tos.rtd",,BC$2,"."&amp;$A$43&amp;$AU$1&amp;"C"&amp;$A61)="N/A",0,RTD("tos.rtd",,BC$2,"."&amp;$A$43&amp;$AU$1&amp;"C"&amp;$A61))</f>
        <v>2048</v>
      </c>
      <c r="BD61" s="7">
        <f>-IF(RTD("tos.rtd",,BD$2,"."&amp;$A$43&amp;$AU$1&amp;"P"&amp;$A61)="N/A",0,RTD("tos.rtd",,BD$2,"."&amp;$A$43&amp;$AU$1&amp;"P"&amp;$A61))</f>
        <v>-1794</v>
      </c>
      <c r="BE61" s="6">
        <f>IF(RTD("tos.rtd",,BE$2,"."&amp;$A$43&amp;$AW$1&amp;"C"&amp;$A61)="N/A",0,RTD("tos.rtd",,BE$2,"."&amp;$A$43&amp;$AW$1&amp;"C"&amp;$A61))</f>
        <v>0</v>
      </c>
      <c r="BF61" s="7">
        <f>-IF(RTD("tos.rtd",,BF$2,"."&amp;$A$43&amp;$AW$1&amp;"P"&amp;$A61)="N/A",0,RTD("tos.rtd",,BF$2,"."&amp;$A$43&amp;$AW$1&amp;"P"&amp;$A61))</f>
        <v>0</v>
      </c>
      <c r="BG61" s="32" t="e">
        <f ca="1">+Hoja2!Y62</f>
        <v>#N/A</v>
      </c>
      <c r="BH61" s="7" t="e">
        <f t="shared" ca="1" si="273"/>
        <v>#N/A</v>
      </c>
      <c r="BI61" s="8" t="e">
        <f t="shared" ca="1" si="289"/>
        <v>#N/A</v>
      </c>
      <c r="BJ61" s="83" t="e">
        <f ca="1">IF($BP$1=1,DX61,IF(RTD("tos.rtd",,BJ$43,"."&amp;$A$43&amp;$AS$42&amp;"C"&amp;$A61)="N/A",0,RTD("tos.rtd",,BJ$43,"."&amp;$A$43&amp;$AS$42&amp;"C"&amp;$A61)))</f>
        <v>#NUM!</v>
      </c>
      <c r="BK61" s="83" t="e">
        <f ca="1">IF($BP$1=1,DY61,-IF(RTD("tos.rtd",,BK$43,"."&amp;$A$43&amp;$AS$42&amp;"P"&amp;$A61)="N/A",0,RTD("tos.rtd",,BK$43,"."&amp;$A$43&amp;$AS$42&amp;"P"&amp;$A61)))</f>
        <v>#NUM!</v>
      </c>
      <c r="BL61" s="83">
        <f ca="1">IF($BP$1=1,DZ61,IF(RTD("tos.rtd",,BL$2,"."&amp;$A$43&amp;$AU$1&amp;"C"&amp;$A61)="N/A",0,RTD("tos.rtd",,BL$2,"."&amp;$A$43&amp;$AU$1&amp;"C"&amp;$A61)))</f>
        <v>2.1249609739743776E-2</v>
      </c>
      <c r="BM61" s="83">
        <f ca="1">IF($BP$1=1,EA61,-IF(RTD("tos.rtd",,BM$2,"."&amp;$A$43&amp;$AU$1&amp;"P"&amp;$A61)="N/A",0,RTD("tos.rtd",,BM$2,"."&amp;$A$43&amp;$AU$1&amp;"P"&amp;$A61)))</f>
        <v>-2.1170276725987314E-2</v>
      </c>
      <c r="BN61" s="83">
        <f ca="1">IF($BP$1=1,EB61,IF(RTD("tos.rtd",,BN$2,"."&amp;$A$43&amp;$AW$1&amp;"C"&amp;$A61)="N/A",0,RTD("tos.rtd",,BN$2,"."&amp;$A$43&amp;$AW$1&amp;"C"&amp;$A61)))</f>
        <v>1.9727835570527895E-2</v>
      </c>
      <c r="BO61" s="83">
        <f ca="1">IF($BP$1=1,EC61,-IF(RTD("tos.rtd",,BO$2,"."&amp;$A$43&amp;$AW$1&amp;"P"&amp;$A61)="N/A",0,RTD("tos.rtd",,BO$2,"."&amp;$A$43&amp;$AW$1&amp;"P"&amp;$A61)))</f>
        <v>-1.9727835570527895E-2</v>
      </c>
      <c r="BQ61" s="83" t="e">
        <f t="shared" ca="1" si="274"/>
        <v>#NUM!</v>
      </c>
      <c r="BR61" s="3" t="e">
        <f t="shared" ca="1" si="275"/>
        <v>#NUM!</v>
      </c>
      <c r="BS61" s="83">
        <f t="shared" ca="1" si="276"/>
        <v>-357174.72139081731</v>
      </c>
      <c r="BT61" s="3" t="str">
        <f t="shared" ca="1" si="277"/>
        <v>Cruce -</v>
      </c>
      <c r="BU61" s="83">
        <f t="shared" ca="1" si="278"/>
        <v>0</v>
      </c>
      <c r="BV61" s="83"/>
      <c r="BX61" s="83" t="e">
        <f t="shared" ca="1" si="279"/>
        <v>#NUM!</v>
      </c>
      <c r="BY61" s="83" t="e">
        <f t="shared" ca="1" si="290"/>
        <v>#NUM!</v>
      </c>
      <c r="BZ61" s="83">
        <f t="shared" ca="1" si="280"/>
        <v>1324447.7093264777</v>
      </c>
      <c r="CA61" s="83" t="str">
        <f t="shared" ca="1" si="290"/>
        <v>Cruce +</v>
      </c>
      <c r="CB61" s="83">
        <f t="shared" ca="1" si="281"/>
        <v>0</v>
      </c>
      <c r="CC61" s="83" t="str">
        <f t="shared" ca="1" si="290"/>
        <v/>
      </c>
      <c r="CD61" s="83">
        <f>IF(RTD("tos.rtd",,CD$43,"."&amp;$A$43&amp;$AS$42&amp;"C"&amp;$A61)="N/A",0,RTD("tos.rtd",,CD$43,"."&amp;$A$43&amp;$AS$42&amp;"C"&amp;$A61))</f>
        <v>0.96</v>
      </c>
      <c r="CE61" s="83">
        <f>-IF(RTD("tos.rtd",,CE$43,"."&amp;$A$43&amp;$AS$42&amp;"P"&amp;$A61)="N/A",0,RTD("tos.rtd",,CE$43,"."&amp;$A$43&amp;$AS$42&amp;"P"&amp;$A61))</f>
        <v>0.03</v>
      </c>
      <c r="CF61" s="83">
        <f>IF(RTD("tos.rtd",,CF$2,"."&amp;$A$43&amp;$AU$1&amp;"C"&amp;$A61)="N/A",0,RTD("tos.rtd",,CF$2,"."&amp;$A$43&amp;$AU$1&amp;"C"&amp;$A61))</f>
        <v>0.59</v>
      </c>
      <c r="CG61" s="83">
        <f>-IF(RTD("tos.rtd",,CG$2,"."&amp;$A$43&amp;$AU$1&amp;"P"&amp;$A61)="N/A",0,RTD("tos.rtd",,CG$2,"."&amp;$A$43&amp;$AU$1&amp;"P"&amp;$A61))</f>
        <v>0.41</v>
      </c>
      <c r="CH61" s="83">
        <f>IF(RTD("tos.rtd",,CH$2,"."&amp;$A$43&amp;$AW$1&amp;"C"&amp;$A61)="N/A",0,RTD("tos.rtd",,CH$2,"."&amp;$A$43&amp;$AW$1&amp;"C"&amp;$A61))</f>
        <v>0</v>
      </c>
      <c r="CI61" s="83">
        <f>-IF(RTD("tos.rtd",,CI$2,"."&amp;$A$43&amp;$AW$1&amp;"P"&amp;$A61)="N/A",0,RTD("tos.rtd",,CI$2,"."&amp;$A$43&amp;$AW$1&amp;"P"&amp;$A61))</f>
        <v>0</v>
      </c>
      <c r="CK61" s="83">
        <f t="shared" si="282"/>
        <v>709035</v>
      </c>
      <c r="CL61" s="83"/>
      <c r="CM61" s="83">
        <f t="shared" si="283"/>
        <v>8689</v>
      </c>
      <c r="CN61" s="83"/>
      <c r="CO61" s="83">
        <f t="shared" si="284"/>
        <v>0</v>
      </c>
      <c r="CP61" s="83">
        <f t="shared" si="232"/>
        <v>717724</v>
      </c>
      <c r="CQ61" s="83">
        <f t="shared" si="246"/>
        <v>-54988</v>
      </c>
      <c r="CR61" s="83"/>
      <c r="CS61" s="83">
        <f t="shared" si="247"/>
        <v>254</v>
      </c>
      <c r="CT61" s="83"/>
      <c r="CU61" s="83">
        <f t="shared" si="248"/>
        <v>0</v>
      </c>
      <c r="CV61" s="83"/>
      <c r="CW61" s="83" t="e">
        <f t="shared" ca="1" si="249"/>
        <v>#NUM!</v>
      </c>
      <c r="CY61" s="83" t="e">
        <f t="shared" ca="1" si="250"/>
        <v>#NUM!</v>
      </c>
      <c r="CZ61" s="70" t="e">
        <f t="shared" ca="1" si="291"/>
        <v>#NUM!</v>
      </c>
      <c r="DA61" s="83">
        <f>IF(RTD("tos.rtd",,DA$43,"."&amp;$A$43&amp;$AS$42&amp;"C"&amp;$A61)="N/A",0,RTD("tos.rtd",,DA$43,"."&amp;$A$43&amp;$AS$42&amp;"C"&amp;$A61))</f>
        <v>2.77</v>
      </c>
      <c r="DB61" s="83">
        <f>IF(RTD("tos.rtd",,DB$43,"."&amp;$A$43&amp;$AS$42&amp;"P"&amp;$A61)="N/A",0,RTD("tos.rtd",,DB$43,"."&amp;$A$43&amp;$AS$42&amp;"P"&amp;$A61))</f>
        <v>0.01</v>
      </c>
      <c r="DC61" s="83">
        <f>IF(RTD("tos.rtd",,DC$43,"."&amp;$A$43&amp;$AS$42&amp;"C"&amp;$A61)="N/A",0,RTD("tos.rtd",,DC$43,"."&amp;$A$43&amp;$AS$42&amp;"C"&amp;$A61))</f>
        <v>3.1</v>
      </c>
      <c r="DD61" s="83">
        <f>IF(RTD("tos.rtd",,DD$43,"."&amp;$A$43&amp;$AS$42&amp;"P"&amp;$A61)="N/A",0,RTD("tos.rtd",,DD$43,"."&amp;$A$43&amp;$AS$42&amp;"P"&amp;$A61))</f>
        <v>0.02</v>
      </c>
      <c r="DE61" s="83">
        <f>IF(RTD("tos.rtd",,DE$43,"."&amp;$A$43&amp;$AS$42&amp;"C"&amp;$A61)="N/A",0,RTD("tos.rtd",,DE$43,"."&amp;$A$43&amp;$AS$42&amp;"C"&amp;$A61))</f>
        <v>2.87</v>
      </c>
      <c r="DF61" s="83">
        <f>IF(RTD("tos.rtd",,DF$43,"."&amp;$A$43&amp;$AS$42&amp;"P"&amp;$A61)="N/A",0,RTD("tos.rtd",,DF$43,"."&amp;$A$43&amp;$AS$42&amp;"P"&amp;$A61))</f>
        <v>0.01</v>
      </c>
      <c r="DG61" s="86">
        <f t="shared" si="285"/>
        <v>-2.9599999999999795</v>
      </c>
      <c r="DH61" s="83">
        <f t="shared" si="251"/>
        <v>-4.3478260869565259</v>
      </c>
      <c r="DI61" s="83">
        <f t="shared" si="252"/>
        <v>0</v>
      </c>
      <c r="DJ61" s="83">
        <f t="shared" si="253"/>
        <v>-10</v>
      </c>
      <c r="DK61" s="83">
        <f t="shared" si="254"/>
        <v>30</v>
      </c>
      <c r="DL61" s="83">
        <f t="shared" si="255"/>
        <v>-4.3478260869565259</v>
      </c>
      <c r="DM61" s="83">
        <f t="shared" si="256"/>
        <v>20</v>
      </c>
      <c r="DN61" s="64" t="str">
        <f t="shared" si="257"/>
        <v>SELL</v>
      </c>
      <c r="DO61" s="64" t="str">
        <f t="shared" si="258"/>
        <v>SELL</v>
      </c>
      <c r="DP61" s="83">
        <f t="shared" si="259"/>
        <v>-12.043478260869577</v>
      </c>
      <c r="DQ61" s="83">
        <f t="shared" si="260"/>
        <v>-27.4</v>
      </c>
      <c r="DR61" s="83" t="e">
        <f t="shared" ca="1" si="261"/>
        <v>#NUM!</v>
      </c>
      <c r="DS61" s="83">
        <f t="shared" si="262"/>
        <v>-8.6999999999999993</v>
      </c>
      <c r="DT61" s="83">
        <f t="shared" si="286"/>
        <v>10</v>
      </c>
      <c r="DU61" s="83">
        <f t="shared" si="287"/>
        <v>-30</v>
      </c>
      <c r="DV61" s="83">
        <f t="shared" si="263"/>
        <v>-5866</v>
      </c>
      <c r="DW61" s="83">
        <f t="shared" si="264"/>
        <v>1800</v>
      </c>
      <c r="DX61" s="83" t="e">
        <f t="shared" ca="1" si="359"/>
        <v>#NUM!</v>
      </c>
      <c r="DY61" s="83" t="e">
        <f t="shared" ca="1" si="360"/>
        <v>#NUM!</v>
      </c>
      <c r="DZ61" s="83">
        <f t="shared" ca="1" si="361"/>
        <v>2.1249609739743776E-2</v>
      </c>
      <c r="EA61" s="83">
        <f t="shared" ca="1" si="362"/>
        <v>-2.1170276725987314E-2</v>
      </c>
      <c r="EB61" s="83">
        <f t="shared" ca="1" si="363"/>
        <v>1.9727835570527895E-2</v>
      </c>
      <c r="EC61" s="83">
        <f t="shared" ca="1" si="364"/>
        <v>-1.9727835570527895E-2</v>
      </c>
      <c r="EE61" s="84">
        <f t="shared" si="265"/>
        <v>0.44829999999999998</v>
      </c>
      <c r="EF61" s="84">
        <f t="shared" si="266"/>
        <v>0.41399999999999998</v>
      </c>
      <c r="EG61" s="84">
        <f t="shared" si="267"/>
        <v>0.23150000000000001</v>
      </c>
      <c r="EH61" s="84">
        <f t="shared" si="268"/>
        <v>0.2324</v>
      </c>
      <c r="EI61" s="84">
        <f t="shared" si="269"/>
        <v>0.25</v>
      </c>
      <c r="EJ61" s="84">
        <f t="shared" si="270"/>
        <v>0.25</v>
      </c>
      <c r="EL61" s="83" t="str">
        <f>RTD("tos.rtd",,EL$43,"."&amp;$A$43&amp;$AS$42&amp;"C"&amp;$A61)</f>
        <v>44.83%</v>
      </c>
      <c r="EM61" s="83" t="str">
        <f>RTD("tos.rtd",,EM$43,"."&amp;$A$43&amp;$AS$42&amp;"P"&amp;$A61)</f>
        <v>41.40%</v>
      </c>
      <c r="EN61" s="83" t="str">
        <f>RTD("tos.rtd",,EN$2,"."&amp;$A$43&amp;$AU$1&amp;"C"&amp;$A61)</f>
        <v>23.15%</v>
      </c>
      <c r="EO61" s="83" t="str">
        <f>RTD("tos.rtd",,EO$2,"."&amp;$A$43&amp;$AU$1&amp;"P"&amp;$A61)</f>
        <v>23.24%</v>
      </c>
      <c r="EP61" s="83" t="str">
        <f>RTD("tos.rtd",,EP$2,"."&amp;$A$43&amp;$AW$1&amp;"C"&amp;$A61)</f>
        <v>N/A</v>
      </c>
      <c r="EQ61" s="83" t="str">
        <f>RTD("tos.rtd",,EQ$2,"."&amp;$A$43&amp;$AW$1&amp;"P"&amp;$A61)</f>
        <v>N/A</v>
      </c>
      <c r="ET61" s="64" t="str">
        <f t="shared" ca="1" si="271"/>
        <v>486,00.00</v>
      </c>
      <c r="EU61" s="68">
        <v>560.58000000000004</v>
      </c>
      <c r="EV61" s="68" t="s">
        <v>507</v>
      </c>
      <c r="EW61" s="68">
        <v>482.6</v>
      </c>
      <c r="EX61" s="68" t="s">
        <v>508</v>
      </c>
      <c r="EY61" s="68">
        <v>5621.25</v>
      </c>
      <c r="EZ61" s="68" t="s">
        <v>509</v>
      </c>
      <c r="FA61" s="68">
        <v>19827.25</v>
      </c>
      <c r="FB61" s="68" t="s">
        <v>510</v>
      </c>
      <c r="FC61" s="68" t="s">
        <v>511</v>
      </c>
      <c r="FD61" s="68" t="s">
        <v>512</v>
      </c>
      <c r="FE61" s="68" t="s">
        <v>513</v>
      </c>
      <c r="FF61" s="68" t="s">
        <v>514</v>
      </c>
    </row>
    <row r="62" spans="1:162" ht="13.5" thickBot="1" x14ac:dyDescent="0.25">
      <c r="A62" s="2">
        <f t="shared" si="288"/>
        <v>485</v>
      </c>
      <c r="B62" s="33">
        <f t="shared" si="238"/>
        <v>18232</v>
      </c>
      <c r="C62" s="33">
        <f t="shared" si="239"/>
        <v>14008</v>
      </c>
      <c r="D62" s="33">
        <f t="shared" si="240"/>
        <v>37273</v>
      </c>
      <c r="E62" s="33">
        <f t="shared" si="241"/>
        <v>69513</v>
      </c>
      <c r="F62" s="4">
        <f t="shared" si="292"/>
        <v>20028.468586387437</v>
      </c>
      <c r="AM62" s="1">
        <v>-1000</v>
      </c>
      <c r="AN62" s="1">
        <v>5407</v>
      </c>
      <c r="AO62" s="1">
        <v>485</v>
      </c>
      <c r="AP62" s="1">
        <v>21876</v>
      </c>
      <c r="AQ62" s="1">
        <v>-91248</v>
      </c>
      <c r="AS62" s="13">
        <f>IF(RTD("tos.rtd",,AS$43,"."&amp;$A$43&amp;$AS$42&amp;"C"&amp;$A62)="N/A",0,RTD("tos.rtd",,AS$43,"."&amp;$A$43&amp;$AS$42&amp;"C"&amp;$A62))</f>
        <v>14530</v>
      </c>
      <c r="AT62" s="29">
        <f>-IF(RTD("tos.rtd",,AT$43,"."&amp;$A$43&amp;$AS$42&amp;"P"&amp;$A62)="N/A",0,RTD("tos.rtd",,AT$43,"."&amp;$A$43&amp;$AS$42&amp;"P"&amp;$A62))</f>
        <v>-3702</v>
      </c>
      <c r="AU62" s="13">
        <f>IF(RTD("tos.rtd",,AU$2,"."&amp;$A$43&amp;$AU$1&amp;"C"&amp;$A62)="N/A",0,RTD("tos.rtd",,AU$2,"."&amp;$A$43&amp;$AU$1&amp;"C"&amp;$A62))</f>
        <v>13174</v>
      </c>
      <c r="AV62" s="29">
        <f>-IF(RTD("tos.rtd",,AV$2,"."&amp;$A$43&amp;$AU$1&amp;"P"&amp;$A62)="N/A",0,RTD("tos.rtd",,AV$2,"."&amp;$A$43&amp;$AU$1&amp;"P"&amp;$A62))</f>
        <v>-834</v>
      </c>
      <c r="AW62" s="13">
        <f>IF(RTD("tos.rtd",,AW$2,"."&amp;$A$43&amp;$AW$1&amp;"C"&amp;$A62)="N/A",0,RTD("tos.rtd",,AW$2,"."&amp;$A$43&amp;$AW$1&amp;"C"&amp;$A62))</f>
        <v>27063</v>
      </c>
      <c r="AX62" s="29">
        <f>-IF(RTD("tos.rtd",,AX$2,"."&amp;$A$43&amp;$AW$1&amp;"P"&amp;$A62)="N/A",0,RTD("tos.rtd",,AX$2,"."&amp;$A$43&amp;$AW$1&amp;"P"&amp;$A62))</f>
        <v>-10210</v>
      </c>
      <c r="AY62" s="7">
        <f t="shared" si="272"/>
        <v>40021</v>
      </c>
      <c r="AZ62" s="8">
        <f t="shared" si="242"/>
        <v>485</v>
      </c>
      <c r="BA62" s="13">
        <f>IF(RTD("tos.rtd",,BA$43,"."&amp;$A$43&amp;$AS$42&amp;"C"&amp;$A62)="N/A",0,RTD("tos.rtd",,BA$43,"."&amp;$A$43&amp;$AS$42&amp;"C"&amp;$A62))</f>
        <v>21895</v>
      </c>
      <c r="BB62" s="29">
        <f>-IF(RTD("tos.rtd",,BB$43,"."&amp;$A$43&amp;$AS$42&amp;"P"&amp;$A62)="N/A",0,RTD("tos.rtd",,BB$43,"."&amp;$A$43&amp;$AS$42&amp;"P"&amp;$A62))</f>
        <v>-91289</v>
      </c>
      <c r="BC62" s="13">
        <f>IF(RTD("tos.rtd",,BC$2,"."&amp;$A$43&amp;$AU$1&amp;"C"&amp;$A62)="N/A",0,RTD("tos.rtd",,BC$2,"."&amp;$A$43&amp;$AU$1&amp;"C"&amp;$A62))</f>
        <v>2679</v>
      </c>
      <c r="BD62" s="29">
        <f>-IF(RTD("tos.rtd",,BD$2,"."&amp;$A$43&amp;$AU$1&amp;"P"&amp;$A62)="N/A",0,RTD("tos.rtd",,BD$2,"."&amp;$A$43&amp;$AU$1&amp;"P"&amp;$A62))</f>
        <v>-17896</v>
      </c>
      <c r="BE62" s="13">
        <f>IF(RTD("tos.rtd",,BE$2,"."&amp;$A$43&amp;$AW$1&amp;"C"&amp;$A62)="N/A",0,RTD("tos.rtd",,BE$2,"."&amp;$A$43&amp;$AW$1&amp;"C"&amp;$A62))</f>
        <v>4036</v>
      </c>
      <c r="BF62" s="29">
        <f>-IF(RTD("tos.rtd",,BF$2,"."&amp;$A$43&amp;$AW$1&amp;"P"&amp;$A62)="N/A",0,RTD("tos.rtd",,BF$2,"."&amp;$A$43&amp;$AW$1&amp;"P"&amp;$A62))</f>
        <v>-7654</v>
      </c>
      <c r="BG62" s="100" t="e">
        <f ca="1">+Hoja2!Y63</f>
        <v>#N/A</v>
      </c>
      <c r="BH62" s="7" t="e">
        <f t="shared" ca="1" si="273"/>
        <v>#N/A</v>
      </c>
      <c r="BI62" s="8" t="e">
        <f t="shared" ca="1" si="289"/>
        <v>#N/A</v>
      </c>
      <c r="BJ62" s="83" t="e">
        <f ca="1">IF($BP$1=1,DX62,IF(RTD("tos.rtd",,BJ$43,"."&amp;$A$43&amp;$AS$42&amp;"C"&amp;$A62)="N/A",0,RTD("tos.rtd",,BJ$43,"."&amp;$A$43&amp;$AS$42&amp;"C"&amp;$A62)))</f>
        <v>#NUM!</v>
      </c>
      <c r="BK62" s="83" t="e">
        <f ca="1">IF($BP$1=1,DY62,-IF(RTD("tos.rtd",,BK$43,"."&amp;$A$43&amp;$AS$42&amp;"P"&amp;$A62)="N/A",0,RTD("tos.rtd",,BK$43,"."&amp;$A$43&amp;$AS$42&amp;"P"&amp;$A62)))</f>
        <v>#NUM!</v>
      </c>
      <c r="BL62" s="83">
        <f ca="1">IF($BP$1=1,DZ62,IF(RTD("tos.rtd",,BL$2,"."&amp;$A$43&amp;$AU$1&amp;"C"&amp;$A62)="N/A",0,RTD("tos.rtd",,BL$2,"."&amp;$A$43&amp;$AU$1&amp;"C"&amp;$A62)))</f>
        <v>2.078076178092976E-2</v>
      </c>
      <c r="BM62" s="83">
        <f ca="1">IF($BP$1=1,EA62,-IF(RTD("tos.rtd",,BM$2,"."&amp;$A$43&amp;$AU$1&amp;"P"&amp;$A62)="N/A",0,RTD("tos.rtd",,BM$2,"."&amp;$A$43&amp;$AU$1&amp;"P"&amp;$A62)))</f>
        <v>-2.0680854590799717E-2</v>
      </c>
      <c r="BN62" s="83">
        <f ca="1">IF($BP$1=1,EB62,IF(RTD("tos.rtd",,BN$2,"."&amp;$A$43&amp;$AW$1&amp;"C"&amp;$A62)="N/A",0,RTD("tos.rtd",,BN$2,"."&amp;$A$43&amp;$AW$1&amp;"C"&amp;$A62)))</f>
        <v>2.0338363112317324E-2</v>
      </c>
      <c r="BO62" s="83">
        <f ca="1">IF($BP$1=1,EC62,-IF(RTD("tos.rtd",,BO$2,"."&amp;$A$43&amp;$AW$1&amp;"P"&amp;$A62)="N/A",0,RTD("tos.rtd",,BO$2,"."&amp;$A$43&amp;$AW$1&amp;"P"&amp;$A62)))</f>
        <v>-2.0346390317571381E-2</v>
      </c>
      <c r="BQ62" s="83" t="e">
        <f t="shared" ca="1" si="274"/>
        <v>#NUM!</v>
      </c>
      <c r="BR62" s="3" t="e">
        <f t="shared" ca="1" si="275"/>
        <v>#NUM!</v>
      </c>
      <c r="BS62" s="83">
        <f t="shared" ca="1" si="276"/>
        <v>61328787.688566491</v>
      </c>
      <c r="BT62" s="3" t="str">
        <f t="shared" ca="1" si="277"/>
        <v>Cruce +</v>
      </c>
      <c r="BU62" s="83">
        <f t="shared" ca="1" si="278"/>
        <v>81928692.933775842</v>
      </c>
      <c r="BV62" s="83"/>
      <c r="BX62" s="83" t="e">
        <f t="shared" ca="1" si="279"/>
        <v>#NUM!</v>
      </c>
      <c r="BY62" s="83" t="e">
        <f t="shared" ca="1" si="290"/>
        <v>#NUM!</v>
      </c>
      <c r="BZ62" s="83">
        <f t="shared" ca="1" si="280"/>
        <v>-75175212.464060649</v>
      </c>
      <c r="CA62" s="83" t="str">
        <f t="shared" ca="1" si="290"/>
        <v>Cruce -</v>
      </c>
      <c r="CB62" s="83">
        <f t="shared" ca="1" si="281"/>
        <v>-17607337.697351448</v>
      </c>
      <c r="CC62" s="83" t="str">
        <f t="shared" ca="1" si="290"/>
        <v/>
      </c>
      <c r="CD62" s="83">
        <f>IF(RTD("tos.rtd",,CD$43,"."&amp;$A$43&amp;$AS$42&amp;"C"&amp;$A62)="N/A",0,RTD("tos.rtd",,CD$43,"."&amp;$A$43&amp;$AS$42&amp;"C"&amp;$A62))</f>
        <v>1</v>
      </c>
      <c r="CE62" s="83">
        <f>-IF(RTD("tos.rtd",,CE$43,"."&amp;$A$43&amp;$AS$42&amp;"P"&amp;$A62)="N/A",0,RTD("tos.rtd",,CE$43,"."&amp;$A$43&amp;$AS$42&amp;"P"&amp;$A62))</f>
        <v>0.02</v>
      </c>
      <c r="CF62" s="83">
        <f>IF(RTD("tos.rtd",,CF$2,"."&amp;$A$43&amp;$AU$1&amp;"C"&amp;$A62)="N/A",0,RTD("tos.rtd",,CF$2,"."&amp;$A$43&amp;$AU$1&amp;"C"&amp;$A62))</f>
        <v>0.61</v>
      </c>
      <c r="CG62" s="83">
        <f>-IF(RTD("tos.rtd",,CG$2,"."&amp;$A$43&amp;$AU$1&amp;"P"&amp;$A62)="N/A",0,RTD("tos.rtd",,CG$2,"."&amp;$A$43&amp;$AU$1&amp;"P"&amp;$A62))</f>
        <v>0.39</v>
      </c>
      <c r="CH62" s="83">
        <f>IF(RTD("tos.rtd",,CH$2,"."&amp;$A$43&amp;$AW$1&amp;"C"&amp;$A62)="N/A",0,RTD("tos.rtd",,CH$2,"."&amp;$A$43&amp;$AW$1&amp;"C"&amp;$A62))</f>
        <v>0.59</v>
      </c>
      <c r="CI62" s="83">
        <f>-IF(RTD("tos.rtd",,CI$2,"."&amp;$A$43&amp;$AW$1&amp;"P"&amp;$A62)="N/A",0,RTD("tos.rtd",,CI$2,"."&amp;$A$43&amp;$AW$1&amp;"P"&amp;$A62))</f>
        <v>0.41</v>
      </c>
      <c r="CK62" s="83">
        <f t="shared" si="282"/>
        <v>1445596</v>
      </c>
      <c r="CL62" s="83"/>
      <c r="CM62" s="83">
        <f t="shared" si="283"/>
        <v>771088</v>
      </c>
      <c r="CN62" s="83"/>
      <c r="CO62" s="83">
        <f t="shared" si="284"/>
        <v>1178106.9999999998</v>
      </c>
      <c r="CP62" s="83">
        <f t="shared" si="232"/>
        <v>3394791</v>
      </c>
      <c r="CQ62" s="83">
        <f t="shared" si="246"/>
        <v>-69394</v>
      </c>
      <c r="CR62" s="83"/>
      <c r="CS62" s="83">
        <f t="shared" si="247"/>
        <v>-15217</v>
      </c>
      <c r="CT62" s="83"/>
      <c r="CU62" s="83">
        <f t="shared" si="248"/>
        <v>-3618</v>
      </c>
      <c r="CV62" s="83"/>
      <c r="CW62" s="83" t="e">
        <f t="shared" ca="1" si="249"/>
        <v>#NUM!</v>
      </c>
      <c r="CY62" s="83" t="e">
        <f t="shared" ca="1" si="250"/>
        <v>#NUM!</v>
      </c>
      <c r="CZ62" s="70" t="e">
        <f t="shared" ca="1" si="291"/>
        <v>#NUM!</v>
      </c>
      <c r="DA62" s="83">
        <f>IF(RTD("tos.rtd",,DA$43,"."&amp;$A$43&amp;$AS$42&amp;"C"&amp;$A62)="N/A",0,RTD("tos.rtd",,DA$43,"."&amp;$A$43&amp;$AS$42&amp;"C"&amp;$A62))</f>
        <v>3.87</v>
      </c>
      <c r="DB62" s="83">
        <f>IF(RTD("tos.rtd",,DB$43,"."&amp;$A$43&amp;$AS$42&amp;"P"&amp;$A62)="N/A",0,RTD("tos.rtd",,DB$43,"."&amp;$A$43&amp;$AS$42&amp;"P"&amp;$A62))</f>
        <v>0.01</v>
      </c>
      <c r="DC62" s="83">
        <f>IF(RTD("tos.rtd",,DC$43,"."&amp;$A$43&amp;$AS$42&amp;"C"&amp;$A62)="N/A",0,RTD("tos.rtd",,DC$43,"."&amp;$A$43&amp;$AS$42&amp;"C"&amp;$A62))</f>
        <v>4.0999999999999996</v>
      </c>
      <c r="DD62" s="83">
        <f>IF(RTD("tos.rtd",,DD$43,"."&amp;$A$43&amp;$AS$42&amp;"P"&amp;$A62)="N/A",0,RTD("tos.rtd",,DD$43,"."&amp;$A$43&amp;$AS$42&amp;"P"&amp;$A62))</f>
        <v>0.02</v>
      </c>
      <c r="DE62" s="83">
        <f>IF(RTD("tos.rtd",,DE$43,"."&amp;$A$43&amp;$AS$42&amp;"C"&amp;$A62)="N/A",0,RTD("tos.rtd",,DE$43,"."&amp;$A$43&amp;$AS$42&amp;"C"&amp;$A62))</f>
        <v>3.79</v>
      </c>
      <c r="DF62" s="83">
        <f>IF(RTD("tos.rtd",,DF$43,"."&amp;$A$43&amp;$AS$42&amp;"P"&amp;$A62)="N/A",0,RTD("tos.rtd",,DF$43,"."&amp;$A$43&amp;$AS$42&amp;"P"&amp;$A62))</f>
        <v>0.01</v>
      </c>
      <c r="DG62" s="86">
        <f t="shared" si="285"/>
        <v>-3.9599999999999795</v>
      </c>
      <c r="DH62" s="83">
        <f t="shared" si="251"/>
        <v>4.9032258064516236</v>
      </c>
      <c r="DI62" s="83">
        <f t="shared" si="252"/>
        <v>0</v>
      </c>
      <c r="DJ62" s="83">
        <f t="shared" si="253"/>
        <v>-19</v>
      </c>
      <c r="DK62" s="83">
        <f t="shared" si="254"/>
        <v>41</v>
      </c>
      <c r="DL62" s="83">
        <f t="shared" si="255"/>
        <v>4.9032258064516236</v>
      </c>
      <c r="DM62" s="83">
        <f t="shared" si="256"/>
        <v>22</v>
      </c>
      <c r="DN62" s="64" t="str">
        <f t="shared" si="257"/>
        <v>SELL</v>
      </c>
      <c r="DO62" s="64" t="str">
        <f t="shared" si="258"/>
        <v>SELL</v>
      </c>
      <c r="DP62" s="83">
        <f t="shared" si="259"/>
        <v>18.975483870967786</v>
      </c>
      <c r="DQ62" s="83">
        <f t="shared" si="260"/>
        <v>-73.12</v>
      </c>
      <c r="DR62" s="83" t="e">
        <f t="shared" ca="1" si="261"/>
        <v>#NUM!</v>
      </c>
      <c r="DS62" s="83">
        <f t="shared" si="262"/>
        <v>-18.18</v>
      </c>
      <c r="DT62" s="83">
        <f t="shared" si="286"/>
        <v>19</v>
      </c>
      <c r="DU62" s="83">
        <f t="shared" si="287"/>
        <v>-41</v>
      </c>
      <c r="DV62" s="83">
        <f t="shared" si="263"/>
        <v>-1019</v>
      </c>
      <c r="DW62" s="83">
        <f t="shared" si="264"/>
        <v>5448</v>
      </c>
      <c r="DX62" s="83" t="e">
        <f t="shared" ca="1" si="359"/>
        <v>#NUM!</v>
      </c>
      <c r="DY62" s="83" t="e">
        <f t="shared" ca="1" si="360"/>
        <v>#NUM!</v>
      </c>
      <c r="DZ62" s="83">
        <f t="shared" ca="1" si="361"/>
        <v>2.078076178092976E-2</v>
      </c>
      <c r="EA62" s="83">
        <f t="shared" ca="1" si="362"/>
        <v>-2.0680854590799717E-2</v>
      </c>
      <c r="EB62" s="83">
        <f t="shared" ca="1" si="363"/>
        <v>2.0338363112317324E-2</v>
      </c>
      <c r="EC62" s="83">
        <f t="shared" ca="1" si="364"/>
        <v>-2.0346390317571381E-2</v>
      </c>
      <c r="EE62" s="84">
        <f t="shared" si="265"/>
        <v>0.25</v>
      </c>
      <c r="EF62" s="84">
        <f t="shared" si="266"/>
        <v>0.53</v>
      </c>
      <c r="EG62" s="84">
        <f t="shared" si="267"/>
        <v>0.23380000000000001</v>
      </c>
      <c r="EH62" s="84">
        <f t="shared" si="268"/>
        <v>0.23499999999999999</v>
      </c>
      <c r="EI62" s="84">
        <f t="shared" si="269"/>
        <v>0.2392</v>
      </c>
      <c r="EJ62" s="84">
        <f t="shared" si="270"/>
        <v>0.23910000000000001</v>
      </c>
      <c r="EL62" s="83" t="str">
        <f>RTD("tos.rtd",,EL$43,"."&amp;$A$43&amp;$AS$42&amp;"C"&amp;$A62)</f>
        <v>--</v>
      </c>
      <c r="EM62" s="83" t="str">
        <f>RTD("tos.rtd",,EM$43,"."&amp;$A$43&amp;$AS$42&amp;"P"&amp;$A62)</f>
        <v>53.00%</v>
      </c>
      <c r="EN62" s="83" t="str">
        <f>RTD("tos.rtd",,EN$2,"."&amp;$A$43&amp;$AU$1&amp;"C"&amp;$A62)</f>
        <v>23.38%</v>
      </c>
      <c r="EO62" s="83" t="str">
        <f>RTD("tos.rtd",,EO$2,"."&amp;$A$43&amp;$AU$1&amp;"P"&amp;$A62)</f>
        <v>23.50%</v>
      </c>
      <c r="EP62" s="83" t="str">
        <f>RTD("tos.rtd",,EP$2,"."&amp;$A$43&amp;$AW$1&amp;"C"&amp;$A62)</f>
        <v>23.92%</v>
      </c>
      <c r="EQ62" s="83" t="str">
        <f>RTD("tos.rtd",,EQ$2,"."&amp;$A$43&amp;$AW$1&amp;"P"&amp;$A62)</f>
        <v>23.91%</v>
      </c>
      <c r="ET62" s="64" t="str">
        <f t="shared" ca="1" si="271"/>
        <v>485,00.00</v>
      </c>
      <c r="EU62" s="68">
        <v>560.63</v>
      </c>
      <c r="EV62" s="68" t="s">
        <v>515</v>
      </c>
      <c r="EW62" s="68">
        <v>482.52</v>
      </c>
      <c r="EX62" s="68" t="s">
        <v>516</v>
      </c>
      <c r="EY62" s="68">
        <v>5620.5</v>
      </c>
      <c r="EZ62" s="68" t="s">
        <v>517</v>
      </c>
      <c r="FA62" s="68">
        <v>19829.25</v>
      </c>
      <c r="FB62" s="68" t="s">
        <v>518</v>
      </c>
      <c r="FC62" s="68" t="s">
        <v>519</v>
      </c>
      <c r="FD62" s="68" t="s">
        <v>520</v>
      </c>
      <c r="FE62" s="68" t="s">
        <v>521</v>
      </c>
      <c r="FF62" s="68" t="s">
        <v>522</v>
      </c>
    </row>
    <row r="63" spans="1:162" ht="13.5" thickBot="1" x14ac:dyDescent="0.25">
      <c r="A63" s="2">
        <f t="shared" si="288"/>
        <v>484</v>
      </c>
      <c r="B63" s="3">
        <f t="shared" si="238"/>
        <v>6513</v>
      </c>
      <c r="C63" s="3">
        <f t="shared" si="239"/>
        <v>3113</v>
      </c>
      <c r="D63" s="3">
        <f t="shared" si="240"/>
        <v>0</v>
      </c>
      <c r="E63" s="3">
        <f t="shared" si="241"/>
        <v>9626</v>
      </c>
      <c r="F63" s="4">
        <f>+$F$44/$A$44*A63</f>
        <v>19987.172774869112</v>
      </c>
      <c r="AM63" s="1">
        <v>-1180</v>
      </c>
      <c r="AN63" s="1">
        <v>5053</v>
      </c>
      <c r="AO63" s="1">
        <v>484</v>
      </c>
      <c r="AP63" s="1">
        <v>8690</v>
      </c>
      <c r="AQ63" s="1">
        <v>-51082</v>
      </c>
      <c r="AS63" s="6">
        <f>IF(RTD("tos.rtd",,AS$43,"."&amp;$A$43&amp;$AS$42&amp;"C"&amp;$A63)="N/A",0,RTD("tos.rtd",,AS$43,"."&amp;$A$43&amp;$AS$42&amp;"C"&amp;$A63))</f>
        <v>3345</v>
      </c>
      <c r="AT63" s="7">
        <f>-IF(RTD("tos.rtd",,AT$43,"."&amp;$A$43&amp;$AS$42&amp;"P"&amp;$A63)="N/A",0,RTD("tos.rtd",,AT$43,"."&amp;$A$43&amp;$AS$42&amp;"P"&amp;$A63))</f>
        <v>-3168</v>
      </c>
      <c r="AU63" s="6">
        <f>IF(RTD("tos.rtd",,AU$2,"."&amp;$A$43&amp;$AU$1&amp;"C"&amp;$A63)="N/A",0,RTD("tos.rtd",,AU$2,"."&amp;$A$43&amp;$AU$1&amp;"C"&amp;$A63))</f>
        <v>1405</v>
      </c>
      <c r="AV63" s="7">
        <f>-IF(RTD("tos.rtd",,AV$2,"."&amp;$A$43&amp;$AU$1&amp;"P"&amp;$A63)="N/A",0,RTD("tos.rtd",,AV$2,"."&amp;$A$43&amp;$AU$1&amp;"P"&amp;$A63))</f>
        <v>-1708</v>
      </c>
      <c r="AW63" s="6">
        <f>IF(RTD("tos.rtd",,AW$2,"."&amp;$A$43&amp;$AW$1&amp;"C"&amp;$A63)="N/A",0,RTD("tos.rtd",,AW$2,"."&amp;$A$43&amp;$AW$1&amp;"C"&amp;$A63))</f>
        <v>0</v>
      </c>
      <c r="AX63" s="7">
        <f>-IF(RTD("tos.rtd",,AX$2,"."&amp;$A$43&amp;$AW$1&amp;"P"&amp;$A63)="N/A",0,RTD("tos.rtd",,AX$2,"."&amp;$A$43&amp;$AW$1&amp;"P"&amp;$A63))</f>
        <v>0</v>
      </c>
      <c r="AY63" s="7">
        <f t="shared" si="272"/>
        <v>-126</v>
      </c>
      <c r="AZ63" s="8">
        <f t="shared" si="242"/>
        <v>484</v>
      </c>
      <c r="BA63" s="6">
        <f>IF(RTD("tos.rtd",,BA$43,"."&amp;$A$43&amp;$AS$42&amp;"C"&amp;$A63)="N/A",0,RTD("tos.rtd",,BA$43,"."&amp;$A$43&amp;$AS$42&amp;"C"&amp;$A63))</f>
        <v>8716</v>
      </c>
      <c r="BB63" s="7">
        <f>-IF(RTD("tos.rtd",,BB$43,"."&amp;$A$43&amp;$AS$42&amp;"P"&amp;$A63)="N/A",0,RTD("tos.rtd",,BB$43,"."&amp;$A$43&amp;$AS$42&amp;"P"&amp;$A63))</f>
        <v>-51090</v>
      </c>
      <c r="BC63" s="6">
        <f>IF(RTD("tos.rtd",,BC$2,"."&amp;$A$43&amp;$AU$1&amp;"C"&amp;$A63)="N/A",0,RTD("tos.rtd",,BC$2,"."&amp;$A$43&amp;$AU$1&amp;"C"&amp;$A63))</f>
        <v>1535</v>
      </c>
      <c r="BD63" s="7">
        <f>-IF(RTD("tos.rtd",,BD$2,"."&amp;$A$43&amp;$AU$1&amp;"P"&amp;$A63)="N/A",0,RTD("tos.rtd",,BD$2,"."&amp;$A$43&amp;$AU$1&amp;"P"&amp;$A63))</f>
        <v>-1983</v>
      </c>
      <c r="BE63" s="6">
        <f>IF(RTD("tos.rtd",,BE$2,"."&amp;$A$43&amp;$AW$1&amp;"C"&amp;$A63)="N/A",0,RTD("tos.rtd",,BE$2,"."&amp;$A$43&amp;$AW$1&amp;"C"&amp;$A63))</f>
        <v>0</v>
      </c>
      <c r="BF63" s="7">
        <f>-IF(RTD("tos.rtd",,BF$2,"."&amp;$A$43&amp;$AW$1&amp;"P"&amp;$A63)="N/A",0,RTD("tos.rtd",,BF$2,"."&amp;$A$43&amp;$AW$1&amp;"P"&amp;$A63))</f>
        <v>0</v>
      </c>
      <c r="BG63" s="32" t="e">
        <f ca="1">+Hoja2!Y64</f>
        <v>#N/A</v>
      </c>
      <c r="BH63" s="7" t="e">
        <f t="shared" ca="1" si="273"/>
        <v>#N/A</v>
      </c>
      <c r="BI63" s="8" t="e">
        <f t="shared" ca="1" si="289"/>
        <v>#N/A</v>
      </c>
      <c r="BJ63" s="83" t="e">
        <f ca="1">IF($BP$1=1,DX63,IF(RTD("tos.rtd",,BJ$43,"."&amp;$A$43&amp;$AS$42&amp;"C"&amp;$A63)="N/A",0,RTD("tos.rtd",,BJ$43,"."&amp;$A$43&amp;$AS$42&amp;"C"&amp;$A63)))</f>
        <v>#NUM!</v>
      </c>
      <c r="BK63" s="83" t="e">
        <f ca="1">IF($BP$1=1,DY63,-IF(RTD("tos.rtd",,BK$43,"."&amp;$A$43&amp;$AS$42&amp;"P"&amp;$A63)="N/A",0,RTD("tos.rtd",,BK$43,"."&amp;$A$43&amp;$AS$42&amp;"P"&amp;$A63)))</f>
        <v>#NUM!</v>
      </c>
      <c r="BL63" s="83">
        <f ca="1">IF($BP$1=1,DZ63,IF(RTD("tos.rtd",,BL$2,"."&amp;$A$43&amp;$AU$1&amp;"C"&amp;$A63)="N/A",0,RTD("tos.rtd",,BL$2,"."&amp;$A$43&amp;$AU$1&amp;"C"&amp;$A63)))</f>
        <v>2.0266023606353444E-2</v>
      </c>
      <c r="BM63" s="83">
        <f ca="1">IF($BP$1=1,EA63,-IF(RTD("tos.rtd",,BM$2,"."&amp;$A$43&amp;$AU$1&amp;"P"&amp;$A63)="N/A",0,RTD("tos.rtd",,BM$2,"."&amp;$A$43&amp;$AU$1&amp;"P"&amp;$A63)))</f>
        <v>-2.0187938506333949E-2</v>
      </c>
      <c r="BN63" s="83">
        <f ca="1">IF($BP$1=1,EB63,IF(RTD("tos.rtd",,BN$2,"."&amp;$A$43&amp;$AW$1&amp;"C"&amp;$A63)="N/A",0,RTD("tos.rtd",,BN$2,"."&amp;$A$43&amp;$AW$1&amp;"C"&amp;$A63)))</f>
        <v>1.9236506306956037E-2</v>
      </c>
      <c r="BO63" s="83">
        <f ca="1">IF($BP$1=1,EC63,-IF(RTD("tos.rtd",,BO$2,"."&amp;$A$43&amp;$AW$1&amp;"P"&amp;$A63)="N/A",0,RTD("tos.rtd",,BO$2,"."&amp;$A$43&amp;$AW$1&amp;"P"&amp;$A63)))</f>
        <v>-1.9236506306956037E-2</v>
      </c>
      <c r="BQ63" s="83" t="e">
        <f t="shared" ca="1" si="274"/>
        <v>#NUM!</v>
      </c>
      <c r="BR63" s="3" t="e">
        <f t="shared" ca="1" si="275"/>
        <v>#NUM!</v>
      </c>
      <c r="BS63" s="83">
        <f t="shared" ca="1" si="276"/>
        <v>-1436221.2387311757</v>
      </c>
      <c r="BT63" s="3" t="str">
        <f t="shared" ca="1" si="277"/>
        <v>Cruce -</v>
      </c>
      <c r="BU63" s="83">
        <f t="shared" ca="1" si="278"/>
        <v>0</v>
      </c>
      <c r="BV63" s="83"/>
      <c r="BX63" s="83" t="e">
        <f t="shared" ca="1" si="279"/>
        <v>#NUM!</v>
      </c>
      <c r="BY63" s="83" t="e">
        <f t="shared" ca="1" si="290"/>
        <v>#NUM!</v>
      </c>
      <c r="BZ63" s="83">
        <f t="shared" ca="1" si="280"/>
        <v>-2133647.0004276037</v>
      </c>
      <c r="CA63" s="83" t="str">
        <f t="shared" ca="1" si="290"/>
        <v/>
      </c>
      <c r="CB63" s="83">
        <f t="shared" ca="1" si="281"/>
        <v>0</v>
      </c>
      <c r="CC63" s="83" t="str">
        <f t="shared" ca="1" si="290"/>
        <v/>
      </c>
      <c r="CD63" s="83">
        <f>IF(RTD("tos.rtd",,CD$43,"."&amp;$A$43&amp;$AS$42&amp;"C"&amp;$A63)="N/A",0,RTD("tos.rtd",,CD$43,"."&amp;$A$43&amp;$AS$42&amp;"C"&amp;$A63))</f>
        <v>1</v>
      </c>
      <c r="CE63" s="83">
        <f>-IF(RTD("tos.rtd",,CE$43,"."&amp;$A$43&amp;$AS$42&amp;"P"&amp;$A63)="N/A",0,RTD("tos.rtd",,CE$43,"."&amp;$A$43&amp;$AS$42&amp;"P"&amp;$A63))</f>
        <v>0.02</v>
      </c>
      <c r="CF63" s="83">
        <f>IF(RTD("tos.rtd",,CF$2,"."&amp;$A$43&amp;$AU$1&amp;"C"&amp;$A63)="N/A",0,RTD("tos.rtd",,CF$2,"."&amp;$A$43&amp;$AU$1&amp;"C"&amp;$A63))</f>
        <v>0.64</v>
      </c>
      <c r="CG63" s="83">
        <f>-IF(RTD("tos.rtd",,CG$2,"."&amp;$A$43&amp;$AU$1&amp;"P"&amp;$A63)="N/A",0,RTD("tos.rtd",,CG$2,"."&amp;$A$43&amp;$AU$1&amp;"P"&amp;$A63))</f>
        <v>0.36</v>
      </c>
      <c r="CH63" s="83">
        <f>IF(RTD("tos.rtd",,CH$2,"."&amp;$A$43&amp;$AW$1&amp;"C"&amp;$A63)="N/A",0,RTD("tos.rtd",,CH$2,"."&amp;$A$43&amp;$AW$1&amp;"C"&amp;$A63))</f>
        <v>0</v>
      </c>
      <c r="CI63" s="83">
        <f>-IF(RTD("tos.rtd",,CI$2,"."&amp;$A$43&amp;$AW$1&amp;"P"&amp;$A63)="N/A",0,RTD("tos.rtd",,CI$2,"."&amp;$A$43&amp;$AW$1&amp;"P"&amp;$A63))</f>
        <v>0</v>
      </c>
      <c r="CK63" s="83">
        <f t="shared" si="282"/>
        <v>328164</v>
      </c>
      <c r="CL63" s="83"/>
      <c r="CM63" s="83">
        <f t="shared" si="283"/>
        <v>28432</v>
      </c>
      <c r="CN63" s="83"/>
      <c r="CO63" s="83">
        <f t="shared" si="284"/>
        <v>0</v>
      </c>
      <c r="CP63" s="83">
        <f t="shared" si="232"/>
        <v>356596</v>
      </c>
      <c r="CQ63" s="83">
        <f t="shared" si="246"/>
        <v>-42374</v>
      </c>
      <c r="CR63" s="83"/>
      <c r="CS63" s="83">
        <f t="shared" si="247"/>
        <v>-448</v>
      </c>
      <c r="CT63" s="83"/>
      <c r="CU63" s="83">
        <f t="shared" si="248"/>
        <v>0</v>
      </c>
      <c r="CV63" s="83"/>
      <c r="CW63" s="83" t="e">
        <f t="shared" ca="1" si="249"/>
        <v>#NUM!</v>
      </c>
      <c r="CY63" s="83" t="e">
        <f t="shared" ca="1" si="250"/>
        <v>#NUM!</v>
      </c>
      <c r="CZ63" s="70" t="e">
        <f t="shared" ca="1" si="291"/>
        <v>#NUM!</v>
      </c>
      <c r="DA63" s="83">
        <f>IF(RTD("tos.rtd",,DA$43,"."&amp;$A$43&amp;$AS$42&amp;"C"&amp;$A63)="N/A",0,RTD("tos.rtd",,DA$43,"."&amp;$A$43&amp;$AS$42&amp;"C"&amp;$A63))</f>
        <v>4.87</v>
      </c>
      <c r="DB63" s="83">
        <f>IF(RTD("tos.rtd",,DB$43,"."&amp;$A$43&amp;$AS$42&amp;"P"&amp;$A63)="N/A",0,RTD("tos.rtd",,DB$43,"."&amp;$A$43&amp;$AS$42&amp;"P"&amp;$A63))</f>
        <v>0.01</v>
      </c>
      <c r="DC63" s="83">
        <f>IF(RTD("tos.rtd",,DC$43,"."&amp;$A$43&amp;$AS$42&amp;"C"&amp;$A63)="N/A",0,RTD("tos.rtd",,DC$43,"."&amp;$A$43&amp;$AS$42&amp;"C"&amp;$A63))</f>
        <v>5.09</v>
      </c>
      <c r="DD63" s="83">
        <f>IF(RTD("tos.rtd",,DD$43,"."&amp;$A$43&amp;$AS$42&amp;"P"&amp;$A63)="N/A",0,RTD("tos.rtd",,DD$43,"."&amp;$A$43&amp;$AS$42&amp;"P"&amp;$A63))</f>
        <v>0.02</v>
      </c>
      <c r="DE63" s="83">
        <f>IF(RTD("tos.rtd",,DE$43,"."&amp;$A$43&amp;$AS$42&amp;"C"&amp;$A63)="N/A",0,RTD("tos.rtd",,DE$43,"."&amp;$A$43&amp;$AS$42&amp;"C"&amp;$A63))</f>
        <v>4.82</v>
      </c>
      <c r="DF63" s="83">
        <f>IF(RTD("tos.rtd",,DF$43,"."&amp;$A$43&amp;$AS$42&amp;"P"&amp;$A63)="N/A",0,RTD("tos.rtd",,DF$43,"."&amp;$A$43&amp;$AS$42&amp;"P"&amp;$A63))</f>
        <v>0.01</v>
      </c>
      <c r="DG63" s="86">
        <f t="shared" si="285"/>
        <v>-4.9599999999999795</v>
      </c>
      <c r="DH63" s="83">
        <f t="shared" si="251"/>
        <v>4.8148148148148051</v>
      </c>
      <c r="DI63" s="83">
        <f t="shared" si="252"/>
        <v>0</v>
      </c>
      <c r="DJ63" s="83">
        <f t="shared" si="253"/>
        <v>-26</v>
      </c>
      <c r="DK63" s="83">
        <f t="shared" si="254"/>
        <v>8</v>
      </c>
      <c r="DL63" s="83">
        <f t="shared" si="255"/>
        <v>4.8148148148148051</v>
      </c>
      <c r="DM63" s="83">
        <f t="shared" si="256"/>
        <v>-18</v>
      </c>
      <c r="DN63" s="64" t="str">
        <f t="shared" si="257"/>
        <v>SELL</v>
      </c>
      <c r="DO63" s="64" t="str">
        <f t="shared" si="258"/>
        <v>SELL</v>
      </c>
      <c r="DP63" s="83">
        <f t="shared" si="259"/>
        <v>23.4481481481481</v>
      </c>
      <c r="DQ63" s="83">
        <f t="shared" si="260"/>
        <v>-126.54</v>
      </c>
      <c r="DR63" s="83" t="e">
        <f t="shared" ca="1" si="261"/>
        <v>#NUM!</v>
      </c>
      <c r="DS63" s="83">
        <f t="shared" si="262"/>
        <v>-25.84</v>
      </c>
      <c r="DT63" s="83">
        <f t="shared" si="286"/>
        <v>26</v>
      </c>
      <c r="DU63" s="83">
        <f t="shared" si="287"/>
        <v>-8</v>
      </c>
      <c r="DV63" s="83">
        <f t="shared" si="263"/>
        <v>-1206</v>
      </c>
      <c r="DW63" s="83">
        <f t="shared" si="264"/>
        <v>5061</v>
      </c>
      <c r="DX63" s="83" t="e">
        <f t="shared" ca="1" si="359"/>
        <v>#NUM!</v>
      </c>
      <c r="DY63" s="83" t="e">
        <f t="shared" ca="1" si="360"/>
        <v>#NUM!</v>
      </c>
      <c r="DZ63" s="83">
        <f t="shared" ca="1" si="361"/>
        <v>2.0266023606353444E-2</v>
      </c>
      <c r="EA63" s="83">
        <f t="shared" ca="1" si="362"/>
        <v>-2.0187938506333949E-2</v>
      </c>
      <c r="EB63" s="83">
        <f t="shared" ca="1" si="363"/>
        <v>1.9236506306956037E-2</v>
      </c>
      <c r="EC63" s="83">
        <f t="shared" ca="1" si="364"/>
        <v>-1.9236506306956037E-2</v>
      </c>
      <c r="EE63" s="84">
        <f t="shared" si="265"/>
        <v>0.25</v>
      </c>
      <c r="EF63" s="84">
        <f t="shared" si="266"/>
        <v>0.64319999999999999</v>
      </c>
      <c r="EG63" s="84">
        <f t="shared" si="267"/>
        <v>0.23619999999999999</v>
      </c>
      <c r="EH63" s="84">
        <f t="shared" si="268"/>
        <v>0.23719999999999999</v>
      </c>
      <c r="EI63" s="84">
        <f t="shared" si="269"/>
        <v>0.25</v>
      </c>
      <c r="EJ63" s="84">
        <f t="shared" si="270"/>
        <v>0.25</v>
      </c>
      <c r="EL63" s="83" t="str">
        <f>RTD("tos.rtd",,EL$43,"."&amp;$A$43&amp;$AS$42&amp;"C"&amp;$A63)</f>
        <v>--</v>
      </c>
      <c r="EM63" s="83" t="str">
        <f>RTD("tos.rtd",,EM$43,"."&amp;$A$43&amp;$AS$42&amp;"P"&amp;$A63)</f>
        <v>64.32%</v>
      </c>
      <c r="EN63" s="83" t="str">
        <f>RTD("tos.rtd",,EN$2,"."&amp;$A$43&amp;$AU$1&amp;"C"&amp;$A63)</f>
        <v>23.62%</v>
      </c>
      <c r="EO63" s="83" t="str">
        <f>RTD("tos.rtd",,EO$2,"."&amp;$A$43&amp;$AU$1&amp;"P"&amp;$A63)</f>
        <v>23.72%</v>
      </c>
      <c r="EP63" s="83" t="str">
        <f>RTD("tos.rtd",,EP$2,"."&amp;$A$43&amp;$AW$1&amp;"C"&amp;$A63)</f>
        <v>N/A</v>
      </c>
      <c r="EQ63" s="83" t="str">
        <f>RTD("tos.rtd",,EQ$2,"."&amp;$A$43&amp;$AW$1&amp;"P"&amp;$A63)</f>
        <v>N/A</v>
      </c>
      <c r="ET63" s="64" t="str">
        <f t="shared" ca="1" si="271"/>
        <v>484,00.00</v>
      </c>
      <c r="EU63" s="68">
        <v>560.69000000000005</v>
      </c>
      <c r="EV63" s="68" t="s">
        <v>523</v>
      </c>
      <c r="EW63" s="68">
        <v>482.68</v>
      </c>
      <c r="EX63" s="68" t="s">
        <v>524</v>
      </c>
      <c r="EY63" s="68">
        <v>5622</v>
      </c>
      <c r="EZ63" s="68" t="s">
        <v>525</v>
      </c>
      <c r="FA63" s="68">
        <v>19831.5</v>
      </c>
      <c r="FB63" s="68" t="s">
        <v>526</v>
      </c>
      <c r="FC63" s="68" t="s">
        <v>527</v>
      </c>
      <c r="FD63" s="68" t="s">
        <v>528</v>
      </c>
      <c r="FE63" s="68" t="s">
        <v>529</v>
      </c>
      <c r="FF63" s="68" t="s">
        <v>530</v>
      </c>
    </row>
    <row r="64" spans="1:162" ht="13.5" thickBot="1" x14ac:dyDescent="0.25">
      <c r="A64" s="2">
        <f t="shared" si="288"/>
        <v>483</v>
      </c>
      <c r="B64" s="3">
        <f t="shared" si="238"/>
        <v>4720</v>
      </c>
      <c r="C64" s="3">
        <f t="shared" si="239"/>
        <v>1237</v>
      </c>
      <c r="D64" s="3">
        <f t="shared" si="240"/>
        <v>0</v>
      </c>
      <c r="E64" s="3">
        <f t="shared" si="241"/>
        <v>5957</v>
      </c>
      <c r="F64" s="34">
        <f t="shared" si="292"/>
        <v>19945.876963350787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-128</v>
      </c>
      <c r="AN64" s="12">
        <v>2093</v>
      </c>
      <c r="AO64" s="12">
        <v>483</v>
      </c>
      <c r="AP64" s="12">
        <v>4547</v>
      </c>
      <c r="AQ64" s="12">
        <v>-37246</v>
      </c>
      <c r="AR64" s="12"/>
      <c r="AS64" s="6">
        <f>IF(RTD("tos.rtd",,AS$43,"."&amp;$A$43&amp;$AS$42&amp;"C"&amp;$A64)="N/A",0,RTD("tos.rtd",,AS$43,"."&amp;$A$43&amp;$AS$42&amp;"C"&amp;$A64))</f>
        <v>2430</v>
      </c>
      <c r="AT64" s="7">
        <f>-IF(RTD("tos.rtd",,AT$43,"."&amp;$A$43&amp;$AS$42&amp;"P"&amp;$A64)="N/A",0,RTD("tos.rtd",,AT$43,"."&amp;$A$43&amp;$AS$42&amp;"P"&amp;$A64))</f>
        <v>-2290</v>
      </c>
      <c r="AU64" s="6">
        <f>IF(RTD("tos.rtd",,AU$2,"."&amp;$A$43&amp;$AU$1&amp;"C"&amp;$A64)="N/A",0,RTD("tos.rtd",,AU$2,"."&amp;$A$43&amp;$AU$1&amp;"C"&amp;$A64))</f>
        <v>612</v>
      </c>
      <c r="AV64" s="7">
        <f>-IF(RTD("tos.rtd",,AV$2,"."&amp;$A$43&amp;$AU$1&amp;"P"&amp;$A64)="N/A",0,RTD("tos.rtd",,AV$2,"."&amp;$A$43&amp;$AU$1&amp;"P"&amp;$A64))</f>
        <v>-625</v>
      </c>
      <c r="AW64" s="6">
        <f>IF(RTD("tos.rtd",,AW$2,"."&amp;$A$43&amp;$AW$1&amp;"C"&amp;$A64)="N/A",0,RTD("tos.rtd",,AW$2,"."&amp;$A$43&amp;$AW$1&amp;"C"&amp;$A64))</f>
        <v>0</v>
      </c>
      <c r="AX64" s="7">
        <f>-IF(RTD("tos.rtd",,AX$2,"."&amp;$A$43&amp;$AW$1&amp;"P"&amp;$A64)="N/A",0,RTD("tos.rtd",,AX$2,"."&amp;$A$43&amp;$AW$1&amp;"P"&amp;$A64))</f>
        <v>0</v>
      </c>
      <c r="AY64" s="7">
        <f t="shared" si="272"/>
        <v>127</v>
      </c>
      <c r="AZ64" s="8">
        <f t="shared" si="242"/>
        <v>483</v>
      </c>
      <c r="BA64" s="6">
        <f>IF(RTD("tos.rtd",,BA$43,"."&amp;$A$43&amp;$AS$42&amp;"C"&amp;$A64)="N/A",0,RTD("tos.rtd",,BA$43,"."&amp;$A$43&amp;$AS$42&amp;"C"&amp;$A64))</f>
        <v>4550</v>
      </c>
      <c r="BB64" s="7">
        <f>-IF(RTD("tos.rtd",,BB$43,"."&amp;$A$43&amp;$AS$42&amp;"P"&amp;$A64)="N/A",0,RTD("tos.rtd",,BB$43,"."&amp;$A$43&amp;$AS$42&amp;"P"&amp;$A64))</f>
        <v>-37333</v>
      </c>
      <c r="BC64" s="6">
        <f>IF(RTD("tos.rtd",,BC$2,"."&amp;$A$43&amp;$AU$1&amp;"C"&amp;$A64)="N/A",0,RTD("tos.rtd",,BC$2,"."&amp;$A$43&amp;$AU$1&amp;"C"&amp;$A64))</f>
        <v>364</v>
      </c>
      <c r="BD64" s="7">
        <f>-IF(RTD("tos.rtd",,BD$2,"."&amp;$A$43&amp;$AU$1&amp;"P"&amp;$A64)="N/A",0,RTD("tos.rtd",,BD$2,"."&amp;$A$43&amp;$AU$1&amp;"P"&amp;$A64))</f>
        <v>-585</v>
      </c>
      <c r="BE64" s="6">
        <f>IF(RTD("tos.rtd",,BE$2,"."&amp;$A$43&amp;$AW$1&amp;"C"&amp;$A64)="N/A",0,RTD("tos.rtd",,BE$2,"."&amp;$A$43&amp;$AW$1&amp;"C"&amp;$A64))</f>
        <v>0</v>
      </c>
      <c r="BF64" s="7">
        <f>-IF(RTD("tos.rtd",,BF$2,"."&amp;$A$43&amp;$AW$1&amp;"P"&amp;$A64)="N/A",0,RTD("tos.rtd",,BF$2,"."&amp;$A$43&amp;$AW$1&amp;"P"&amp;$A64))</f>
        <v>0</v>
      </c>
      <c r="BG64" s="32" t="e">
        <f ca="1">+Hoja2!Y65</f>
        <v>#N/A</v>
      </c>
      <c r="BH64" s="7" t="e">
        <f t="shared" ca="1" si="273"/>
        <v>#N/A</v>
      </c>
      <c r="BI64" s="8" t="e">
        <f t="shared" ca="1" si="289"/>
        <v>#N/A</v>
      </c>
      <c r="BJ64" s="83" t="e">
        <f ca="1">IF($BP$1=1,DX64,IF(RTD("tos.rtd",,BJ$43,"."&amp;$A$43&amp;$AS$42&amp;"C"&amp;$A64)="N/A",0,RTD("tos.rtd",,BJ$43,"."&amp;$A$43&amp;$AS$42&amp;"C"&amp;$A64)))</f>
        <v>#NUM!</v>
      </c>
      <c r="BK64" s="83" t="e">
        <f ca="1">IF($BP$1=1,DY64,-IF(RTD("tos.rtd",,BK$43,"."&amp;$A$43&amp;$AS$42&amp;"P"&amp;$A64)="N/A",0,RTD("tos.rtd",,BK$43,"."&amp;$A$43&amp;$AS$42&amp;"P"&amp;$A64)))</f>
        <v>#NUM!</v>
      </c>
      <c r="BL64" s="83">
        <f ca="1">IF($BP$1=1,DZ64,IF(RTD("tos.rtd",,BL$2,"."&amp;$A$43&amp;$AU$1&amp;"C"&amp;$A64)="N/A",0,RTD("tos.rtd",,BL$2,"."&amp;$A$43&amp;$AU$1&amp;"C"&amp;$A64)))</f>
        <v>1.9720209284444252E-2</v>
      </c>
      <c r="BM64" s="83">
        <f ca="1">IF($BP$1=1,EA64,-IF(RTD("tos.rtd",,BM$2,"."&amp;$A$43&amp;$AU$1&amp;"P"&amp;$A64)="N/A",0,RTD("tos.rtd",,BM$2,"."&amp;$A$43&amp;$AU$1&amp;"P"&amp;$A64)))</f>
        <v>-1.9633174853168449E-2</v>
      </c>
      <c r="BN64" s="83">
        <f ca="1">IF($BP$1=1,EB64,IF(RTD("tos.rtd",,BN$2,"."&amp;$A$43&amp;$AW$1&amp;"C"&amp;$A64)="N/A",0,RTD("tos.rtd",,BN$2,"."&amp;$A$43&amp;$AW$1&amp;"C"&amp;$A64)))</f>
        <v>1.8920921282916427E-2</v>
      </c>
      <c r="BO64" s="83">
        <f ca="1">IF($BP$1=1,EC64,-IF(RTD("tos.rtd",,BO$2,"."&amp;$A$43&amp;$AW$1&amp;"P"&amp;$A64)="N/A",0,RTD("tos.rtd",,BO$2,"."&amp;$A$43&amp;$AW$1&amp;"P"&amp;$A64)))</f>
        <v>-1.8920921282916427E-2</v>
      </c>
      <c r="BQ64" s="83" t="e">
        <f t="shared" ca="1" si="274"/>
        <v>#NUM!</v>
      </c>
      <c r="BR64" s="3" t="e">
        <f t="shared" ca="1" si="275"/>
        <v>#NUM!</v>
      </c>
      <c r="BS64" s="83">
        <f t="shared" ca="1" si="276"/>
        <v>-48286.45939064119</v>
      </c>
      <c r="BT64" s="3" t="str">
        <f t="shared" ca="1" si="277"/>
        <v/>
      </c>
      <c r="BU64" s="83">
        <f t="shared" ca="1" si="278"/>
        <v>0</v>
      </c>
      <c r="BV64" s="83"/>
      <c r="BX64" s="83" t="e">
        <f t="shared" ca="1" si="279"/>
        <v>#NUM!</v>
      </c>
      <c r="BY64" s="83" t="e">
        <f t="shared" ca="1" si="290"/>
        <v>#NUM!</v>
      </c>
      <c r="BZ64" s="83">
        <f t="shared" ca="1" si="280"/>
        <v>-1029785.6997986874</v>
      </c>
      <c r="CA64" s="83" t="str">
        <f t="shared" ca="1" si="290"/>
        <v/>
      </c>
      <c r="CB64" s="83">
        <f t="shared" ca="1" si="281"/>
        <v>0</v>
      </c>
      <c r="CC64" s="83" t="str">
        <f t="shared" ca="1" si="290"/>
        <v/>
      </c>
      <c r="CD64" s="83">
        <f>IF(RTD("tos.rtd",,CD$43,"."&amp;$A$43&amp;$AS$42&amp;"C"&amp;$A64)="N/A",0,RTD("tos.rtd",,CD$43,"."&amp;$A$43&amp;$AS$42&amp;"C"&amp;$A64))</f>
        <v>1</v>
      </c>
      <c r="CE64" s="83">
        <f>-IF(RTD("tos.rtd",,CE$43,"."&amp;$A$43&amp;$AS$42&amp;"P"&amp;$A64)="N/A",0,RTD("tos.rtd",,CE$43,"."&amp;$A$43&amp;$AS$42&amp;"P"&amp;$A64))</f>
        <v>0.02</v>
      </c>
      <c r="CF64" s="83">
        <f>IF(RTD("tos.rtd",,CF$2,"."&amp;$A$43&amp;$AU$1&amp;"C"&amp;$A64)="N/A",0,RTD("tos.rtd",,CF$2,"."&amp;$A$43&amp;$AU$1&amp;"C"&amp;$A64))</f>
        <v>0.66</v>
      </c>
      <c r="CG64" s="83">
        <f>-IF(RTD("tos.rtd",,CG$2,"."&amp;$A$43&amp;$AU$1&amp;"P"&amp;$A64)="N/A",0,RTD("tos.rtd",,CG$2,"."&amp;$A$43&amp;$AU$1&amp;"P"&amp;$A64))</f>
        <v>0.34</v>
      </c>
      <c r="CH64" s="83">
        <f>IF(RTD("tos.rtd",,CH$2,"."&amp;$A$43&amp;$AW$1&amp;"C"&amp;$A64)="N/A",0,RTD("tos.rtd",,CH$2,"."&amp;$A$43&amp;$AW$1&amp;"C"&amp;$A64))</f>
        <v>0</v>
      </c>
      <c r="CI64" s="83">
        <f>-IF(RTD("tos.rtd",,CI$2,"."&amp;$A$43&amp;$AW$1&amp;"P"&amp;$A64)="N/A",0,RTD("tos.rtd",,CI$2,"."&amp;$A$43&amp;$AW$1&amp;"P"&amp;$A64))</f>
        <v>0</v>
      </c>
      <c r="CK64" s="83">
        <f t="shared" si="282"/>
        <v>238420</v>
      </c>
      <c r="CL64" s="83"/>
      <c r="CM64" s="83">
        <f t="shared" si="283"/>
        <v>19141.999999999996</v>
      </c>
      <c r="CN64" s="83"/>
      <c r="CO64" s="83">
        <f t="shared" si="284"/>
        <v>0</v>
      </c>
      <c r="CP64" s="83">
        <f t="shared" si="232"/>
        <v>257562</v>
      </c>
      <c r="CQ64" s="83">
        <f t="shared" si="246"/>
        <v>-32783</v>
      </c>
      <c r="CR64" s="83"/>
      <c r="CS64" s="83">
        <f t="shared" si="247"/>
        <v>-221</v>
      </c>
      <c r="CT64" s="83"/>
      <c r="CU64" s="83">
        <f t="shared" si="248"/>
        <v>0</v>
      </c>
      <c r="CV64" s="83"/>
      <c r="CW64" s="83" t="e">
        <f t="shared" ca="1" si="249"/>
        <v>#NUM!</v>
      </c>
      <c r="CY64" s="83" t="e">
        <f t="shared" ca="1" si="250"/>
        <v>#NUM!</v>
      </c>
      <c r="CZ64" s="70" t="e">
        <f t="shared" ca="1" si="291"/>
        <v>#NUM!</v>
      </c>
      <c r="DA64" s="83">
        <f>IF(RTD("tos.rtd",,DA$43,"."&amp;$A$43&amp;$AS$42&amp;"C"&amp;$A64)="N/A",0,RTD("tos.rtd",,DA$43,"."&amp;$A$43&amp;$AS$42&amp;"C"&amp;$A64))</f>
        <v>5.91</v>
      </c>
      <c r="DB64" s="83">
        <f>IF(RTD("tos.rtd",,DB$43,"."&amp;$A$43&amp;$AS$42&amp;"P"&amp;$A64)="N/A",0,RTD("tos.rtd",,DB$43,"."&amp;$A$43&amp;$AS$42&amp;"P"&amp;$A64))</f>
        <v>0.01</v>
      </c>
      <c r="DC64" s="83">
        <f>IF(RTD("tos.rtd",,DC$43,"."&amp;$A$43&amp;$AS$42&amp;"C"&amp;$A64)="N/A",0,RTD("tos.rtd",,DC$43,"."&amp;$A$43&amp;$AS$42&amp;"C"&amp;$A64))</f>
        <v>6.1</v>
      </c>
      <c r="DD64" s="83">
        <f>IF(RTD("tos.rtd",,DD$43,"."&amp;$A$43&amp;$AS$42&amp;"P"&amp;$A64)="N/A",0,RTD("tos.rtd",,DD$43,"."&amp;$A$43&amp;$AS$42&amp;"P"&amp;$A64))</f>
        <v>0.02</v>
      </c>
      <c r="DE64" s="83">
        <f>IF(RTD("tos.rtd",,DE$43,"."&amp;$A$43&amp;$AS$42&amp;"C"&amp;$A64)="N/A",0,RTD("tos.rtd",,DE$43,"."&amp;$A$43&amp;$AS$42&amp;"C"&amp;$A64))</f>
        <v>5.78</v>
      </c>
      <c r="DF64" s="83">
        <f>IF(RTD("tos.rtd",,DF$43,"."&amp;$A$43&amp;$AS$42&amp;"P"&amp;$A64)="N/A",0,RTD("tos.rtd",,DF$43,"."&amp;$A$43&amp;$AS$42&amp;"P"&amp;$A64))</f>
        <v>0.01</v>
      </c>
      <c r="DG64" s="86">
        <f t="shared" si="285"/>
        <v>-5.9599999999999795</v>
      </c>
      <c r="DH64" s="83">
        <f t="shared" si="251"/>
        <v>1.2187500000000013</v>
      </c>
      <c r="DI64" s="83">
        <f t="shared" si="252"/>
        <v>0</v>
      </c>
      <c r="DJ64" s="83">
        <f t="shared" si="253"/>
        <v>0</v>
      </c>
      <c r="DK64" s="83">
        <f t="shared" si="254"/>
        <v>87</v>
      </c>
      <c r="DL64" s="83">
        <f t="shared" si="255"/>
        <v>1.2187500000000013</v>
      </c>
      <c r="DM64" s="83">
        <f t="shared" si="256"/>
        <v>87</v>
      </c>
      <c r="DN64" s="64" t="str">
        <f t="shared" si="257"/>
        <v>UNKNOWN</v>
      </c>
      <c r="DO64" s="64" t="str">
        <f t="shared" si="258"/>
        <v>SELL</v>
      </c>
      <c r="DP64" s="83">
        <f t="shared" si="259"/>
        <v>7.2028125000000083</v>
      </c>
      <c r="DQ64" s="83">
        <f t="shared" si="260"/>
        <v>0.87</v>
      </c>
      <c r="DR64" s="83" t="e">
        <f t="shared" ca="1" si="261"/>
        <v>#NUM!</v>
      </c>
      <c r="DS64" s="83">
        <f t="shared" si="262"/>
        <v>1.74</v>
      </c>
      <c r="DT64" s="83">
        <f t="shared" si="286"/>
        <v>3</v>
      </c>
      <c r="DU64" s="83">
        <f t="shared" si="287"/>
        <v>-87</v>
      </c>
      <c r="DV64" s="83">
        <f t="shared" si="263"/>
        <v>-128</v>
      </c>
      <c r="DW64" s="83">
        <f t="shared" si="264"/>
        <v>2180</v>
      </c>
      <c r="DX64" s="83" t="e">
        <f t="shared" ca="1" si="359"/>
        <v>#NUM!</v>
      </c>
      <c r="DY64" s="83" t="e">
        <f t="shared" ca="1" si="360"/>
        <v>#NUM!</v>
      </c>
      <c r="DZ64" s="83">
        <f t="shared" ca="1" si="361"/>
        <v>1.9720209284444252E-2</v>
      </c>
      <c r="EA64" s="83">
        <f t="shared" ca="1" si="362"/>
        <v>-1.9633174853168449E-2</v>
      </c>
      <c r="EB64" s="83">
        <f t="shared" ca="1" si="363"/>
        <v>1.8920921282916427E-2</v>
      </c>
      <c r="EC64" s="83">
        <f t="shared" ca="1" si="364"/>
        <v>-1.8920921282916427E-2</v>
      </c>
      <c r="EE64" s="84">
        <f t="shared" si="265"/>
        <v>0.25</v>
      </c>
      <c r="EF64" s="84">
        <f t="shared" si="266"/>
        <v>0.75439999999999996</v>
      </c>
      <c r="EG64" s="84">
        <f t="shared" si="267"/>
        <v>0.23860000000000001</v>
      </c>
      <c r="EH64" s="84">
        <f t="shared" si="268"/>
        <v>0.23980000000000001</v>
      </c>
      <c r="EI64" s="84">
        <f t="shared" si="269"/>
        <v>0.25</v>
      </c>
      <c r="EJ64" s="84">
        <f t="shared" si="270"/>
        <v>0.25</v>
      </c>
      <c r="EL64" s="83" t="str">
        <f>RTD("tos.rtd",,EL$43,"."&amp;$A$43&amp;$AS$42&amp;"C"&amp;$A64)</f>
        <v>--</v>
      </c>
      <c r="EM64" s="83" t="str">
        <f>RTD("tos.rtd",,EM$43,"."&amp;$A$43&amp;$AS$42&amp;"P"&amp;$A64)</f>
        <v>75.44%</v>
      </c>
      <c r="EN64" s="83" t="str">
        <f>RTD("tos.rtd",,EN$2,"."&amp;$A$43&amp;$AU$1&amp;"C"&amp;$A64)</f>
        <v>23.86%</v>
      </c>
      <c r="EO64" s="83" t="str">
        <f>RTD("tos.rtd",,EO$2,"."&amp;$A$43&amp;$AU$1&amp;"P"&amp;$A64)</f>
        <v>23.98%</v>
      </c>
      <c r="EP64" s="83" t="str">
        <f>RTD("tos.rtd",,EP$2,"."&amp;$A$43&amp;$AW$1&amp;"C"&amp;$A64)</f>
        <v>N/A</v>
      </c>
      <c r="EQ64" s="83" t="str">
        <f>RTD("tos.rtd",,EQ$2,"."&amp;$A$43&amp;$AW$1&amp;"P"&amp;$A64)</f>
        <v>N/A</v>
      </c>
      <c r="ET64" s="64" t="str">
        <f t="shared" ca="1" si="271"/>
        <v>483,00.00</v>
      </c>
      <c r="EU64" s="68">
        <v>560.82000000000005</v>
      </c>
      <c r="EV64" s="68" t="s">
        <v>531</v>
      </c>
      <c r="EW64" s="68">
        <v>482.8</v>
      </c>
      <c r="EX64" s="68" t="s">
        <v>532</v>
      </c>
      <c r="EY64" s="68">
        <v>5623.5</v>
      </c>
      <c r="EZ64" s="68" t="s">
        <v>533</v>
      </c>
      <c r="FA64" s="68">
        <v>19836.5</v>
      </c>
      <c r="FB64" s="68" t="s">
        <v>534</v>
      </c>
      <c r="FC64" s="68" t="s">
        <v>535</v>
      </c>
      <c r="FD64" s="68" t="s">
        <v>536</v>
      </c>
      <c r="FE64" s="68" t="s">
        <v>537</v>
      </c>
      <c r="FF64" s="68" t="s">
        <v>538</v>
      </c>
    </row>
    <row r="65" spans="1:162" ht="13.5" thickBot="1" x14ac:dyDescent="0.25">
      <c r="A65" s="2">
        <f t="shared" si="288"/>
        <v>482</v>
      </c>
      <c r="B65" s="3">
        <f t="shared" ref="B65:B69" si="365">+IF($A$1="ABS",AS65-AT65,AS65+AT65)</f>
        <v>4555</v>
      </c>
      <c r="C65" s="3">
        <f t="shared" si="239"/>
        <v>1978</v>
      </c>
      <c r="D65" s="3">
        <f t="shared" ref="D65:D69" si="366">+IF($A$1="ABS",AW65-AX65,AW65+AX65)</f>
        <v>0</v>
      </c>
      <c r="E65" s="3">
        <f t="shared" ref="E65:E69" si="367">SUM(B65:D65)</f>
        <v>6533</v>
      </c>
      <c r="F65" s="4">
        <f t="shared" ref="F65:F69" si="368">+$F$44/$A$44*A65</f>
        <v>19904.581151832463</v>
      </c>
      <c r="AM65" s="1">
        <v>-373</v>
      </c>
      <c r="AN65" s="1">
        <v>52</v>
      </c>
      <c r="AO65" s="1">
        <v>482</v>
      </c>
      <c r="AP65" s="1">
        <v>2208</v>
      </c>
      <c r="AQ65" s="1">
        <v>-29354</v>
      </c>
      <c r="AS65" s="6">
        <f>IF(RTD("tos.rtd",,AS$43,"."&amp;$A$43&amp;$AS$42&amp;"C"&amp;$A65)="N/A",0,RTD("tos.rtd",,AS$43,"."&amp;$A$43&amp;$AS$42&amp;"C"&amp;$A65))</f>
        <v>2176</v>
      </c>
      <c r="AT65" s="7">
        <f>-IF(RTD("tos.rtd",,AT$43,"."&amp;$A$43&amp;$AS$42&amp;"P"&amp;$A65)="N/A",0,RTD("tos.rtd",,AT$43,"."&amp;$A$43&amp;$AS$42&amp;"P"&amp;$A65))</f>
        <v>-2379</v>
      </c>
      <c r="AU65" s="6">
        <f>IF(RTD("tos.rtd",,AU$2,"."&amp;$A$43&amp;$AU$1&amp;"C"&amp;$A65)="N/A",0,RTD("tos.rtd",,AU$2,"."&amp;$A$43&amp;$AU$1&amp;"C"&amp;$A65))</f>
        <v>339</v>
      </c>
      <c r="AV65" s="7">
        <f>-IF(RTD("tos.rtd",,AV$2,"."&amp;$A$43&amp;$AU$1&amp;"P"&amp;$A65)="N/A",0,RTD("tos.rtd",,AV$2,"."&amp;$A$43&amp;$AU$1&amp;"P"&amp;$A65))</f>
        <v>-1639</v>
      </c>
      <c r="AW65" s="6">
        <f>IF(RTD("tos.rtd",,AW$2,"."&amp;$A$43&amp;$AW$1&amp;"C"&amp;$A65)="N/A",0,RTD("tos.rtd",,AW$2,"."&amp;$A$43&amp;$AW$1&amp;"C"&amp;$A65))</f>
        <v>0</v>
      </c>
      <c r="AX65" s="7">
        <f>-IF(RTD("tos.rtd",,AX$2,"."&amp;$A$43&amp;$AW$1&amp;"P"&amp;$A65)="N/A",0,RTD("tos.rtd",,AX$2,"."&amp;$A$43&amp;$AW$1&amp;"P"&amp;$A65))</f>
        <v>0</v>
      </c>
      <c r="AY65" s="7">
        <f t="shared" ref="AY65:AY69" si="369">SUM(AS65:AX65)</f>
        <v>-1503</v>
      </c>
      <c r="AZ65" s="8">
        <f t="shared" si="242"/>
        <v>482</v>
      </c>
      <c r="BA65" s="6">
        <f>IF(RTD("tos.rtd",,BA$43,"."&amp;$A$43&amp;$AS$42&amp;"C"&amp;$A65)="N/A",0,RTD("tos.rtd",,BA$43,"."&amp;$A$43&amp;$AS$42&amp;"C"&amp;$A65))</f>
        <v>2208</v>
      </c>
      <c r="BB65" s="7">
        <f>-IF(RTD("tos.rtd",,BB$43,"."&amp;$A$43&amp;$AS$42&amp;"P"&amp;$A65)="N/A",0,RTD("tos.rtd",,BB$43,"."&amp;$A$43&amp;$AS$42&amp;"P"&amp;$A65))</f>
        <v>-29383</v>
      </c>
      <c r="BC65" s="6">
        <f>IF(RTD("tos.rtd",,BC$2,"."&amp;$A$43&amp;$AU$1&amp;"C"&amp;$A65)="N/A",0,RTD("tos.rtd",,BC$2,"."&amp;$A$43&amp;$AU$1&amp;"C"&amp;$A65))</f>
        <v>275</v>
      </c>
      <c r="BD65" s="7">
        <f>-IF(RTD("tos.rtd",,BD$2,"."&amp;$A$43&amp;$AU$1&amp;"P"&amp;$A65)="N/A",0,RTD("tos.rtd",,BD$2,"."&amp;$A$43&amp;$AU$1&amp;"P"&amp;$A65))</f>
        <v>-991</v>
      </c>
      <c r="BE65" s="6">
        <f>IF(RTD("tos.rtd",,BE$2,"."&amp;$A$43&amp;$AW$1&amp;"C"&amp;$A65)="N/A",0,RTD("tos.rtd",,BE$2,"."&amp;$A$43&amp;$AW$1&amp;"C"&amp;$A65))</f>
        <v>0</v>
      </c>
      <c r="BF65" s="7">
        <f>-IF(RTD("tos.rtd",,BF$2,"."&amp;$A$43&amp;$AW$1&amp;"P"&amp;$A65)="N/A",0,RTD("tos.rtd",,BF$2,"."&amp;$A$43&amp;$AW$1&amp;"P"&amp;$A65))</f>
        <v>0</v>
      </c>
      <c r="BG65" s="32" t="e">
        <f ca="1">+Hoja2!Y66</f>
        <v>#N/A</v>
      </c>
      <c r="BH65" s="7" t="e">
        <f t="shared" ca="1" si="273"/>
        <v>#N/A</v>
      </c>
      <c r="BI65" s="8" t="e">
        <f t="shared" ca="1" si="289"/>
        <v>#N/A</v>
      </c>
      <c r="BJ65" s="83" t="e">
        <f ca="1">IF($BP$1=1,DX65,IF(RTD("tos.rtd",,BJ$43,"."&amp;$A$43&amp;$AS$42&amp;"C"&amp;$A65)="N/A",0,RTD("tos.rtd",,BJ$43,"."&amp;$A$43&amp;$AS$42&amp;"C"&amp;$A65)))</f>
        <v>#NUM!</v>
      </c>
      <c r="BK65" s="83" t="e">
        <f ca="1">IF($BP$1=1,DY65,-IF(RTD("tos.rtd",,BK$43,"."&amp;$A$43&amp;$AS$42&amp;"P"&amp;$A65)="N/A",0,RTD("tos.rtd",,BK$43,"."&amp;$A$43&amp;$AS$42&amp;"P"&amp;$A65)))</f>
        <v>#NUM!</v>
      </c>
      <c r="BL65" s="83">
        <f ca="1">IF($BP$1=1,DZ65,IF(RTD("tos.rtd",,BL$2,"."&amp;$A$43&amp;$AU$1&amp;"C"&amp;$A65)="N/A",0,RTD("tos.rtd",,BL$2,"."&amp;$A$43&amp;$AU$1&amp;"C"&amp;$A65)))</f>
        <v>1.915568022708811E-2</v>
      </c>
      <c r="BM65" s="83">
        <f ca="1">IF($BP$1=1,EA65,-IF(RTD("tos.rtd",,BM$2,"."&amp;$A$43&amp;$AU$1&amp;"P"&amp;$A65)="N/A",0,RTD("tos.rtd",,BM$2,"."&amp;$A$43&amp;$AU$1&amp;"P"&amp;$A65)))</f>
        <v>-1.9088750196105411E-2</v>
      </c>
      <c r="BN65" s="83">
        <f ca="1">IF($BP$1=1,EB65,IF(RTD("tos.rtd",,BN$2,"."&amp;$A$43&amp;$AW$1&amp;"C"&amp;$A65)="N/A",0,RTD("tos.rtd",,BN$2,"."&amp;$A$43&amp;$AW$1&amp;"C"&amp;$A65)))</f>
        <v>1.8561400955106274E-2</v>
      </c>
      <c r="BO65" s="83">
        <f ca="1">IF($BP$1=1,EC65,-IF(RTD("tos.rtd",,BO$2,"."&amp;$A$43&amp;$AW$1&amp;"P"&amp;$A65)="N/A",0,RTD("tos.rtd",,BO$2,"."&amp;$A$43&amp;$AW$1&amp;"P"&amp;$A65)))</f>
        <v>-1.8561400955106274E-2</v>
      </c>
      <c r="BQ65" s="83" t="e">
        <f t="shared" ref="BQ65:BQ69" ca="1" si="370">+$A$44*$A$44*AS65*BJ65-$A$44*$A$44*AT65*BK65</f>
        <v>#NUM!</v>
      </c>
      <c r="BR65" s="3" t="e">
        <f t="shared" ca="1" si="275"/>
        <v>#NUM!</v>
      </c>
      <c r="BS65" s="83">
        <f t="shared" ref="BS65:BS69" ca="1" si="371">+$A$44*$A$44*AU65*BL65-$A$44*$A$44*AV65*BM65</f>
        <v>-5927482.0126855858</v>
      </c>
      <c r="BT65" s="3" t="str">
        <f t="shared" ca="1" si="277"/>
        <v/>
      </c>
      <c r="BU65" s="83">
        <f t="shared" ref="BU65:BU69" ca="1" si="372">+$A$44*$A$44*AW65*BN65-$A$44*$A$44*AX65*BO65</f>
        <v>0</v>
      </c>
      <c r="BV65" s="83"/>
      <c r="BX65" s="83" t="e">
        <f t="shared" ref="BX65:BX69" ca="1" si="373">+$A$44*$A$44*BA65*BJ65-$A$44*$A$44*BB65*BK65</f>
        <v>#NUM!</v>
      </c>
      <c r="BY65" s="83" t="e">
        <f t="shared" ca="1" si="290"/>
        <v>#NUM!</v>
      </c>
      <c r="BZ65" s="83">
        <f t="shared" ref="BZ65:BZ69" ca="1" si="374">+$A$44*$A$44*BC65*BL65-$A$44*$A$44*BD65*BM65</f>
        <v>-3263261.9256432168</v>
      </c>
      <c r="CA65" s="83" t="str">
        <f t="shared" ca="1" si="290"/>
        <v/>
      </c>
      <c r="CB65" s="83">
        <f t="shared" ref="CB65:CB69" ca="1" si="375">+$A$44*$A$44*BE65*BN65-$A$44*$A$44*BF65*BO65</f>
        <v>0</v>
      </c>
      <c r="CC65" s="83" t="str">
        <f t="shared" ca="1" si="290"/>
        <v/>
      </c>
      <c r="CD65" s="83">
        <f>IF(RTD("tos.rtd",,CD$43,"."&amp;$A$43&amp;$AS$42&amp;"C"&amp;$A65)="N/A",0,RTD("tos.rtd",,CD$43,"."&amp;$A$43&amp;$AS$42&amp;"C"&amp;$A65))</f>
        <v>1</v>
      </c>
      <c r="CE65" s="83">
        <f>-IF(RTD("tos.rtd",,CE$43,"."&amp;$A$43&amp;$AS$42&amp;"P"&amp;$A65)="N/A",0,RTD("tos.rtd",,CE$43,"."&amp;$A$43&amp;$AS$42&amp;"P"&amp;$A65))</f>
        <v>0.01</v>
      </c>
      <c r="CF65" s="83">
        <f>IF(RTD("tos.rtd",,CF$2,"."&amp;$A$43&amp;$AU$1&amp;"C"&amp;$A65)="N/A",0,RTD("tos.rtd",,CF$2,"."&amp;$A$43&amp;$AU$1&amp;"C"&amp;$A65))</f>
        <v>0.68</v>
      </c>
      <c r="CG65" s="83">
        <f>-IF(RTD("tos.rtd",,CG$2,"."&amp;$A$43&amp;$AU$1&amp;"P"&amp;$A65)="N/A",0,RTD("tos.rtd",,CG$2,"."&amp;$A$43&amp;$AU$1&amp;"P"&amp;$A65))</f>
        <v>0.32</v>
      </c>
      <c r="CH65" s="83">
        <f>IF(RTD("tos.rtd",,CH$2,"."&amp;$A$43&amp;$AW$1&amp;"C"&amp;$A65)="N/A",0,RTD("tos.rtd",,CH$2,"."&amp;$A$43&amp;$AW$1&amp;"C"&amp;$A65))</f>
        <v>0</v>
      </c>
      <c r="CI65" s="83">
        <f>-IF(RTD("tos.rtd",,CI$2,"."&amp;$A$43&amp;$AW$1&amp;"P"&amp;$A65)="N/A",0,RTD("tos.rtd",,CI$2,"."&amp;$A$43&amp;$AW$1&amp;"P"&amp;$A65))</f>
        <v>0</v>
      </c>
      <c r="CK65" s="83">
        <f t="shared" ref="CK65:CK69" si="376">+AS65*CD65*100+AT65*CE65*100</f>
        <v>215221</v>
      </c>
      <c r="CL65" s="83"/>
      <c r="CM65" s="83">
        <f t="shared" ref="CM65:CM69" si="377">+AU65*CF65*100+AV65*CG65*100</f>
        <v>-29396</v>
      </c>
      <c r="CN65" s="83"/>
      <c r="CO65" s="83">
        <f t="shared" ref="CO65:CO69" si="378">+AW65*CH65*100+AX65*CI65*100</f>
        <v>0</v>
      </c>
      <c r="CP65" s="83">
        <f t="shared" ref="CP65:CP69" si="379">+CK65+CM65+CO65</f>
        <v>185825</v>
      </c>
      <c r="CQ65" s="83">
        <f t="shared" ref="CQ65:CQ69" si="380">+BA65+BB65</f>
        <v>-27175</v>
      </c>
      <c r="CR65" s="83"/>
      <c r="CS65" s="83">
        <f t="shared" ref="CS65:CS69" si="381">+BC65+BD65</f>
        <v>-716</v>
      </c>
      <c r="CT65" s="83"/>
      <c r="CU65" s="83">
        <f t="shared" ref="CU65:CU69" si="382">+BE65+BF65</f>
        <v>0</v>
      </c>
      <c r="CV65" s="83"/>
      <c r="CW65" s="83" t="e">
        <f t="shared" ref="CW65:CW69" ca="1" si="383">+BQ65+BS65+BU65</f>
        <v>#NUM!</v>
      </c>
      <c r="CY65" s="83" t="e">
        <f t="shared" ref="CY65:CY69" ca="1" si="384">+BX65+BZ65+CB65</f>
        <v>#NUM!</v>
      </c>
      <c r="CZ65" s="70" t="e">
        <f t="shared" ca="1" si="291"/>
        <v>#NUM!</v>
      </c>
      <c r="DA65" s="83">
        <f>IF(RTD("tos.rtd",,DA$43,"."&amp;$A$43&amp;$AS$42&amp;"C"&amp;$A65)="N/A",0,RTD("tos.rtd",,DA$43,"."&amp;$A$43&amp;$AS$42&amp;"C"&amp;$A65))</f>
        <v>6.94</v>
      </c>
      <c r="DB65" s="83">
        <f>IF(RTD("tos.rtd",,DB$43,"."&amp;$A$43&amp;$AS$42&amp;"P"&amp;$A65)="N/A",0,RTD("tos.rtd",,DB$43,"."&amp;$A$43&amp;$AS$42&amp;"P"&amp;$A65))</f>
        <v>0.02</v>
      </c>
      <c r="DC65" s="83">
        <f>IF(RTD("tos.rtd",,DC$43,"."&amp;$A$43&amp;$AS$42&amp;"C"&amp;$A65)="N/A",0,RTD("tos.rtd",,DC$43,"."&amp;$A$43&amp;$AS$42&amp;"C"&amp;$A65))</f>
        <v>7</v>
      </c>
      <c r="DD65" s="83">
        <f>IF(RTD("tos.rtd",,DD$43,"."&amp;$A$43&amp;$AS$42&amp;"P"&amp;$A65)="N/A",0,RTD("tos.rtd",,DD$43,"."&amp;$A$43&amp;$AS$42&amp;"P"&amp;$A65))</f>
        <v>0.02</v>
      </c>
      <c r="DE65" s="83">
        <f>IF(RTD("tos.rtd",,DE$43,"."&amp;$A$43&amp;$AS$42&amp;"C"&amp;$A65)="N/A",0,RTD("tos.rtd",,DE$43,"."&amp;$A$43&amp;$AS$42&amp;"C"&amp;$A65))</f>
        <v>6.79</v>
      </c>
      <c r="DF65" s="83">
        <f>IF(RTD("tos.rtd",,DF$43,"."&amp;$A$43&amp;$AS$42&amp;"P"&amp;$A65)="N/A",0,RTD("tos.rtd",,DF$43,"."&amp;$A$43&amp;$AS$42&amp;"P"&amp;$A65))</f>
        <v>0.01</v>
      </c>
      <c r="DG65" s="86">
        <f t="shared" si="285"/>
        <v>-6.9599999999999795</v>
      </c>
      <c r="DH65" s="83">
        <f t="shared" ref="DH65:DH69" si="385">((DA65-DE65)/(DC65-DE65))*(BA65-AP65)</f>
        <v>0</v>
      </c>
      <c r="DI65" s="83">
        <f t="shared" ref="DI65:DI69" si="386">((DB65-DF65)/(DD65-DF65))*(BB65-AQ65)</f>
        <v>-29</v>
      </c>
      <c r="DJ65" s="83">
        <f t="shared" ref="DJ65:DJ69" si="387">IF(DA65&gt;=(DE65+(DC65-DE65)*0.6),(BA65-AP65),IF(DA65&lt;=(DE65+(DC65-DE65)*0.4),-(BA65-AP65),0))</f>
        <v>0</v>
      </c>
      <c r="DK65" s="83">
        <f t="shared" si="254"/>
        <v>-29</v>
      </c>
      <c r="DL65" s="83">
        <f t="shared" si="255"/>
        <v>-29</v>
      </c>
      <c r="DM65" s="83">
        <f t="shared" si="256"/>
        <v>-29</v>
      </c>
      <c r="DN65" s="64" t="str">
        <f t="shared" si="257"/>
        <v>UNKNOWN</v>
      </c>
      <c r="DO65" s="64" t="str">
        <f t="shared" si="258"/>
        <v>BUY</v>
      </c>
      <c r="DP65" s="83">
        <f t="shared" si="259"/>
        <v>-0.57999999999999996</v>
      </c>
      <c r="DQ65" s="83">
        <f t="shared" si="260"/>
        <v>-0.57999999999999996</v>
      </c>
      <c r="DR65" s="83" t="e">
        <f t="shared" ca="1" si="261"/>
        <v>#NUM!</v>
      </c>
      <c r="DS65" s="83">
        <f t="shared" si="262"/>
        <v>-0.28999999999999998</v>
      </c>
      <c r="DT65" s="83">
        <f t="shared" si="286"/>
        <v>0</v>
      </c>
      <c r="DU65" s="83">
        <f t="shared" si="287"/>
        <v>-29</v>
      </c>
      <c r="DV65" s="83">
        <f t="shared" si="263"/>
        <v>-373</v>
      </c>
      <c r="DW65" s="83">
        <f t="shared" si="264"/>
        <v>23</v>
      </c>
      <c r="DX65" s="83" t="e">
        <f t="shared" ref="DX65:DX69" ca="1" si="388">(EXP(-POWER((LN($A$44/$A65)+($EC$1+POWER($EE65,2)/2)*($EM$1/$DY$1))/($EE65*SQRT($EM$1/$DY$1)),2)/2)/SQRT(2*PI())/($A$44*$EE65*SQRT($EM$1/$DY$1)))</f>
        <v>#NUM!</v>
      </c>
      <c r="DY65" s="83" t="e">
        <f t="shared" ref="DY65:DY69" ca="1" si="389">-(EXP(-POWER((LN($A$44/$A65)+($EC$1+POWER($EF65,2)/2)*($EM$1/$DY$1))/($EF65*SQRT($EM$1/$DY$1)),2)/2)/SQRT(2*PI())/($A$44*$EF65*SQRT($EM$1/$DY$1)))</f>
        <v>#NUM!</v>
      </c>
      <c r="DZ65" s="83">
        <f t="shared" ref="DZ65:DZ69" ca="1" si="390">(EXP(-POWER((LN($A$44/$A65)+($EC$1+POWER($EG65,2)/2)*($EO$1/$DY$1))/($EG65*SQRT($EO$1/$DY$1)),2)/2)/SQRT(2*PI())/($A$44*$EG65*SQRT($EO$1/$DY$1)))</f>
        <v>1.915568022708811E-2</v>
      </c>
      <c r="EA65" s="83">
        <f t="shared" ref="EA65:EA69" ca="1" si="391">-(EXP(-POWER((LN($A$44/$A65)+($EC$1+POWER($EH65,2)/2)*($EO$1/$DY$1))/($EH65*SQRT($EO$1/$DY$1)),2)/2)/SQRT(2*PI())/($A$44*$EH65*SQRT($EO$1/$DY$1)))</f>
        <v>-1.9088750196105411E-2</v>
      </c>
      <c r="EB65" s="83">
        <f t="shared" ref="EB65:EB69" ca="1" si="392">(EXP(-POWER((LN($A$44/$A65)+($EC$1+POWER($EI65,2)/2)*($EO$1/$DY$1))/($EI65*SQRT($EO$1/$DY$1)),2)/2)/SQRT(2*PI())/($A$44*$EI65*SQRT($EO$1/$DY$1)))</f>
        <v>1.8561400955106274E-2</v>
      </c>
      <c r="EC65" s="83">
        <f t="shared" ref="EC65:EC69" ca="1" si="393">-(EXP(-POWER((LN($A$44/$A65)+($EC$1+POWER($EJ65,2)/2)*($EO$1/$DY$1))/($EJ65*SQRT($EO$1/$DY$1)),2)/2)/SQRT(2*PI())/($A$44*$EJ65*SQRT($EO$1/$DY$1)))</f>
        <v>-1.8561400955106274E-2</v>
      </c>
      <c r="EE65" s="84">
        <f t="shared" ref="EE65:EE69" si="394">IFERROR(VALUE(IF(OR(EL65="--",EL65="0.00%"),$EE$1,EL65)),$EE$1)</f>
        <v>0.25</v>
      </c>
      <c r="EF65" s="84">
        <f t="shared" ref="EF65:EF69" si="395">IFERROR(VALUE(IF(OR(EM65="--",EM65="0.00%"),$EE$1,EM65)),$EE$1)</f>
        <v>0.85799999999999998</v>
      </c>
      <c r="EG65" s="84">
        <f t="shared" ref="EG65:EG69" si="396">IFERROR(VALUE(IF(OR(EN65="--",EN65="0.00%"),$EE$1,EN65)),$EE$1)</f>
        <v>0.2409</v>
      </c>
      <c r="EH65" s="84">
        <f t="shared" ref="EH65:EH69" si="397">IFERROR(VALUE(IF(OR(EO65="--",EO65="0.00%"),$EE$1,EO65)),$EE$1)</f>
        <v>0.2419</v>
      </c>
      <c r="EI65" s="84">
        <f t="shared" ref="EI65:EI69" si="398">IFERROR(VALUE(IF(OR(EP65="--",EP65="0.00%"),$EE$1,EP65)),$EE$1)</f>
        <v>0.25</v>
      </c>
      <c r="EJ65" s="84">
        <f t="shared" ref="EJ65:EJ69" si="399">IFERROR(VALUE(IF(OR(EQ65="--",EQ65="0.00%"),$EE$1,EQ65)),$EE$1)</f>
        <v>0.25</v>
      </c>
      <c r="EL65" s="83" t="str">
        <f>RTD("tos.rtd",,EL$43,"."&amp;$A$43&amp;$AS$42&amp;"C"&amp;$A65)</f>
        <v>--</v>
      </c>
      <c r="EM65" s="83" t="str">
        <f>RTD("tos.rtd",,EM$43,"."&amp;$A$43&amp;$AS$42&amp;"P"&amp;$A65)</f>
        <v>85.80%</v>
      </c>
      <c r="EN65" s="83" t="str">
        <f>RTD("tos.rtd",,EN$2,"."&amp;$A$43&amp;$AU$1&amp;"C"&amp;$A65)</f>
        <v>24.09%</v>
      </c>
      <c r="EO65" s="83" t="str">
        <f>RTD("tos.rtd",,EO$2,"."&amp;$A$43&amp;$AU$1&amp;"P"&amp;$A65)</f>
        <v>24.19%</v>
      </c>
      <c r="EP65" s="83" t="str">
        <f>RTD("tos.rtd",,EP$2,"."&amp;$A$43&amp;$AW$1&amp;"C"&amp;$A65)</f>
        <v>N/A</v>
      </c>
      <c r="EQ65" s="83" t="str">
        <f>RTD("tos.rtd",,EQ$2,"."&amp;$A$43&amp;$AW$1&amp;"P"&amp;$A65)</f>
        <v>N/A</v>
      </c>
      <c r="ET65" s="64" t="str">
        <f t="shared" ca="1" si="271"/>
        <v>482,00.00</v>
      </c>
      <c r="EU65" s="68">
        <v>560.85</v>
      </c>
      <c r="EV65" s="68" t="s">
        <v>539</v>
      </c>
      <c r="EW65" s="68">
        <v>482.82</v>
      </c>
      <c r="EX65" s="68" t="s">
        <v>540</v>
      </c>
      <c r="EY65" s="68">
        <v>5623.5</v>
      </c>
      <c r="EZ65" s="68" t="s">
        <v>541</v>
      </c>
      <c r="FA65" s="68">
        <v>19837.5</v>
      </c>
      <c r="FB65" s="68" t="s">
        <v>542</v>
      </c>
      <c r="FC65" s="68" t="s">
        <v>543</v>
      </c>
      <c r="FD65" s="68" t="s">
        <v>544</v>
      </c>
      <c r="FE65" s="68" t="s">
        <v>545</v>
      </c>
      <c r="FF65" s="68" t="s">
        <v>546</v>
      </c>
    </row>
    <row r="66" spans="1:162" ht="13.5" thickBot="1" x14ac:dyDescent="0.25">
      <c r="A66" s="2">
        <f t="shared" si="288"/>
        <v>481</v>
      </c>
      <c r="B66" s="3">
        <f t="shared" si="365"/>
        <v>4091</v>
      </c>
      <c r="C66" s="3">
        <f t="shared" si="239"/>
        <v>2476</v>
      </c>
      <c r="D66" s="3">
        <f t="shared" si="366"/>
        <v>0</v>
      </c>
      <c r="E66" s="3">
        <f t="shared" si="367"/>
        <v>6567</v>
      </c>
      <c r="F66" s="4">
        <f t="shared" si="368"/>
        <v>19863.285340314138</v>
      </c>
      <c r="AM66" s="1">
        <v>-19</v>
      </c>
      <c r="AN66" s="1">
        <v>-207</v>
      </c>
      <c r="AO66" s="1">
        <v>481</v>
      </c>
      <c r="AP66" s="1">
        <v>1857</v>
      </c>
      <c r="AQ66" s="1">
        <v>-21338</v>
      </c>
      <c r="AS66" s="6">
        <f>IF(RTD("tos.rtd",,AS$43,"."&amp;$A$43&amp;$AS$42&amp;"C"&amp;$A66)="N/A",0,RTD("tos.rtd",,AS$43,"."&amp;$A$43&amp;$AS$42&amp;"C"&amp;$A66))</f>
        <v>1965</v>
      </c>
      <c r="AT66" s="7">
        <f>-IF(RTD("tos.rtd",,AT$43,"."&amp;$A$43&amp;$AS$42&amp;"P"&amp;$A66)="N/A",0,RTD("tos.rtd",,AT$43,"."&amp;$A$43&amp;$AS$42&amp;"P"&amp;$A66))</f>
        <v>-2126</v>
      </c>
      <c r="AU66" s="6">
        <f>IF(RTD("tos.rtd",,AU$2,"."&amp;$A$43&amp;$AU$1&amp;"C"&amp;$A66)="N/A",0,RTD("tos.rtd",,AU$2,"."&amp;$A$43&amp;$AU$1&amp;"C"&amp;$A66))</f>
        <v>2014</v>
      </c>
      <c r="AV66" s="7">
        <f>-IF(RTD("tos.rtd",,AV$2,"."&amp;$A$43&amp;$AU$1&amp;"P"&amp;$A66)="N/A",0,RTD("tos.rtd",,AV$2,"."&amp;$A$43&amp;$AU$1&amp;"P"&amp;$A66))</f>
        <v>-462</v>
      </c>
      <c r="AW66" s="6">
        <f>IF(RTD("tos.rtd",,AW$2,"."&amp;$A$43&amp;$AW$1&amp;"C"&amp;$A66)="N/A",0,RTD("tos.rtd",,AW$2,"."&amp;$A$43&amp;$AW$1&amp;"C"&amp;$A66))</f>
        <v>0</v>
      </c>
      <c r="AX66" s="7">
        <f>-IF(RTD("tos.rtd",,AX$2,"."&amp;$A$43&amp;$AW$1&amp;"P"&amp;$A66)="N/A",0,RTD("tos.rtd",,AX$2,"."&amp;$A$43&amp;$AW$1&amp;"P"&amp;$A66))</f>
        <v>0</v>
      </c>
      <c r="AY66" s="7">
        <f t="shared" si="369"/>
        <v>1391</v>
      </c>
      <c r="AZ66" s="8">
        <f t="shared" si="242"/>
        <v>481</v>
      </c>
      <c r="BA66" s="6">
        <f>IF(RTD("tos.rtd",,BA$43,"."&amp;$A$43&amp;$AS$42&amp;"C"&amp;$A66)="N/A",0,RTD("tos.rtd",,BA$43,"."&amp;$A$43&amp;$AS$42&amp;"C"&amp;$A66))</f>
        <v>1857</v>
      </c>
      <c r="BB66" s="7">
        <f>-IF(RTD("tos.rtd",,BB$43,"."&amp;$A$43&amp;$AS$42&amp;"P"&amp;$A66)="N/A",0,RTD("tos.rtd",,BB$43,"."&amp;$A$43&amp;$AS$42&amp;"P"&amp;$A66))</f>
        <v>-21343</v>
      </c>
      <c r="BC66" s="6">
        <f>IF(RTD("tos.rtd",,BC$2,"."&amp;$A$43&amp;$AU$1&amp;"C"&amp;$A66)="N/A",0,RTD("tos.rtd",,BC$2,"."&amp;$A$43&amp;$AU$1&amp;"C"&amp;$A66))</f>
        <v>1328</v>
      </c>
      <c r="BD66" s="7">
        <f>-IF(RTD("tos.rtd",,BD$2,"."&amp;$A$43&amp;$AU$1&amp;"P"&amp;$A66)="N/A",0,RTD("tos.rtd",,BD$2,"."&amp;$A$43&amp;$AU$1&amp;"P"&amp;$A66))</f>
        <v>-1606</v>
      </c>
      <c r="BE66" s="6">
        <f>IF(RTD("tos.rtd",,BE$2,"."&amp;$A$43&amp;$AW$1&amp;"C"&amp;$A66)="N/A",0,RTD("tos.rtd",,BE$2,"."&amp;$A$43&amp;$AW$1&amp;"C"&amp;$A66))</f>
        <v>0</v>
      </c>
      <c r="BF66" s="7">
        <f>-IF(RTD("tos.rtd",,BF$2,"."&amp;$A$43&amp;$AW$1&amp;"P"&amp;$A66)="N/A",0,RTD("tos.rtd",,BF$2,"."&amp;$A$43&amp;$AW$1&amp;"P"&amp;$A66))</f>
        <v>0</v>
      </c>
      <c r="BG66" s="32" t="e">
        <f ca="1">+Hoja2!Y67</f>
        <v>#N/A</v>
      </c>
      <c r="BH66" s="7" t="e">
        <f t="shared" ca="1" si="273"/>
        <v>#N/A</v>
      </c>
      <c r="BI66" s="8" t="e">
        <f t="shared" ca="1" si="289"/>
        <v>#N/A</v>
      </c>
      <c r="BJ66" s="83" t="e">
        <f ca="1">IF($BP$1=1,DX66,IF(RTD("tos.rtd",,BJ$43,"."&amp;$A$43&amp;$AS$42&amp;"C"&amp;$A66)="N/A",0,RTD("tos.rtd",,BJ$43,"."&amp;$A$43&amp;$AS$42&amp;"C"&amp;$A66)))</f>
        <v>#NUM!</v>
      </c>
      <c r="BK66" s="83" t="e">
        <f ca="1">IF($BP$1=1,DY66,-IF(RTD("tos.rtd",,BK$43,"."&amp;$A$43&amp;$AS$42&amp;"P"&amp;$A66)="N/A",0,RTD("tos.rtd",,BK$43,"."&amp;$A$43&amp;$AS$42&amp;"P"&amp;$A66)))</f>
        <v>#NUM!</v>
      </c>
      <c r="BL66" s="83">
        <f ca="1">IF($BP$1=1,DZ66,IF(RTD("tos.rtd",,BL$2,"."&amp;$A$43&amp;$AU$1&amp;"C"&amp;$A66)="N/A",0,RTD("tos.rtd",,BL$2,"."&amp;$A$43&amp;$AU$1&amp;"C"&amp;$A66)))</f>
        <v>1.8563733086292535E-2</v>
      </c>
      <c r="BM66" s="83">
        <f ca="1">IF($BP$1=1,EA66,-IF(RTD("tos.rtd",,BM$2,"."&amp;$A$43&amp;$AU$1&amp;"P"&amp;$A66)="N/A",0,RTD("tos.rtd",,BM$2,"."&amp;$A$43&amp;$AU$1&amp;"P"&amp;$A66)))</f>
        <v>-1.8514798030630653E-2</v>
      </c>
      <c r="BN66" s="83">
        <f ca="1">IF($BP$1=1,EB66,IF(RTD("tos.rtd",,BN$2,"."&amp;$A$43&amp;$AW$1&amp;"C"&amp;$A66)="N/A",0,RTD("tos.rtd",,BN$2,"."&amp;$A$43&amp;$AW$1&amp;"C"&amp;$A66)))</f>
        <v>1.8160361845624258E-2</v>
      </c>
      <c r="BO66" s="83">
        <f ca="1">IF($BP$1=1,EC66,-IF(RTD("tos.rtd",,BO$2,"."&amp;$A$43&amp;$AW$1&amp;"P"&amp;$A66)="N/A",0,RTD("tos.rtd",,BO$2,"."&amp;$A$43&amp;$AW$1&amp;"P"&amp;$A66)))</f>
        <v>-1.8160361845624258E-2</v>
      </c>
      <c r="BQ66" s="83" t="e">
        <f t="shared" ca="1" si="370"/>
        <v>#NUM!</v>
      </c>
      <c r="BR66" s="3" t="e">
        <f t="shared" ca="1" si="275"/>
        <v>#NUM!</v>
      </c>
      <c r="BS66" s="83">
        <f t="shared" ca="1" si="371"/>
        <v>6893572.6321025584</v>
      </c>
      <c r="BT66" s="3" t="str">
        <f t="shared" ca="1" si="277"/>
        <v>Cruce +</v>
      </c>
      <c r="BU66" s="83">
        <f t="shared" ca="1" si="372"/>
        <v>0</v>
      </c>
      <c r="BV66" s="83"/>
      <c r="BX66" s="83" t="e">
        <f t="shared" ca="1" si="373"/>
        <v>#NUM!</v>
      </c>
      <c r="BY66" s="83" t="e">
        <f t="shared" ca="1" si="290"/>
        <v>#NUM!</v>
      </c>
      <c r="BZ66" s="83">
        <f t="shared" ca="1" si="374"/>
        <v>-1215044.748344644</v>
      </c>
      <c r="CA66" s="83" t="str">
        <f t="shared" ca="1" si="290"/>
        <v/>
      </c>
      <c r="CB66" s="83">
        <f t="shared" ca="1" si="375"/>
        <v>0</v>
      </c>
      <c r="CC66" s="83" t="str">
        <f t="shared" ca="1" si="290"/>
        <v/>
      </c>
      <c r="CD66" s="83">
        <f>IF(RTD("tos.rtd",,CD$43,"."&amp;$A$43&amp;$AS$42&amp;"C"&amp;$A66)="N/A",0,RTD("tos.rtd",,CD$43,"."&amp;$A$43&amp;$AS$42&amp;"C"&amp;$A66))</f>
        <v>0.99</v>
      </c>
      <c r="CE66" s="83">
        <f>-IF(RTD("tos.rtd",,CE$43,"."&amp;$A$43&amp;$AS$42&amp;"P"&amp;$A66)="N/A",0,RTD("tos.rtd",,CE$43,"."&amp;$A$43&amp;$AS$42&amp;"P"&amp;$A66))</f>
        <v>0.01</v>
      </c>
      <c r="CF66" s="83">
        <f>IF(RTD("tos.rtd",,CF$2,"."&amp;$A$43&amp;$AU$1&amp;"C"&amp;$A66)="N/A",0,RTD("tos.rtd",,CF$2,"."&amp;$A$43&amp;$AU$1&amp;"C"&amp;$A66))</f>
        <v>0.7</v>
      </c>
      <c r="CG66" s="83">
        <f>-IF(RTD("tos.rtd",,CG$2,"."&amp;$A$43&amp;$AU$1&amp;"P"&amp;$A66)="N/A",0,RTD("tos.rtd",,CG$2,"."&amp;$A$43&amp;$AU$1&amp;"P"&amp;$A66))</f>
        <v>0.3</v>
      </c>
      <c r="CH66" s="83">
        <f>IF(RTD("tos.rtd",,CH$2,"."&amp;$A$43&amp;$AW$1&amp;"C"&amp;$A66)="N/A",0,RTD("tos.rtd",,CH$2,"."&amp;$A$43&amp;$AW$1&amp;"C"&amp;$A66))</f>
        <v>0</v>
      </c>
      <c r="CI66" s="83">
        <f>-IF(RTD("tos.rtd",,CI$2,"."&amp;$A$43&amp;$AW$1&amp;"P"&amp;$A66)="N/A",0,RTD("tos.rtd",,CI$2,"."&amp;$A$43&amp;$AW$1&amp;"P"&amp;$A66))</f>
        <v>0</v>
      </c>
      <c r="CK66" s="83">
        <f t="shared" si="376"/>
        <v>192409</v>
      </c>
      <c r="CL66" s="83"/>
      <c r="CM66" s="83">
        <f t="shared" si="377"/>
        <v>127120</v>
      </c>
      <c r="CN66" s="83"/>
      <c r="CO66" s="83">
        <f t="shared" si="378"/>
        <v>0</v>
      </c>
      <c r="CP66" s="83">
        <f t="shared" si="379"/>
        <v>319529</v>
      </c>
      <c r="CQ66" s="83">
        <f t="shared" si="380"/>
        <v>-19486</v>
      </c>
      <c r="CR66" s="83"/>
      <c r="CS66" s="83">
        <f t="shared" si="381"/>
        <v>-278</v>
      </c>
      <c r="CT66" s="83"/>
      <c r="CU66" s="83">
        <f t="shared" si="382"/>
        <v>0</v>
      </c>
      <c r="CV66" s="83"/>
      <c r="CW66" s="83" t="e">
        <f t="shared" ca="1" si="383"/>
        <v>#NUM!</v>
      </c>
      <c r="CY66" s="83" t="e">
        <f t="shared" ca="1" si="384"/>
        <v>#NUM!</v>
      </c>
      <c r="CZ66" s="70" t="e">
        <f t="shared" ca="1" si="291"/>
        <v>#NUM!</v>
      </c>
      <c r="DA66" s="83">
        <f>IF(RTD("tos.rtd",,DA$43,"."&amp;$A$43&amp;$AS$42&amp;"C"&amp;$A66)="N/A",0,RTD("tos.rtd",,DA$43,"."&amp;$A$43&amp;$AS$42&amp;"C"&amp;$A66))</f>
        <v>7.87</v>
      </c>
      <c r="DB66" s="83">
        <f>IF(RTD("tos.rtd",,DB$43,"."&amp;$A$43&amp;$AS$42&amp;"P"&amp;$A66)="N/A",0,RTD("tos.rtd",,DB$43,"."&amp;$A$43&amp;$AS$42&amp;"P"&amp;$A66))</f>
        <v>0.02</v>
      </c>
      <c r="DC66" s="83">
        <f>IF(RTD("tos.rtd",,DC$43,"."&amp;$A$43&amp;$AS$42&amp;"C"&amp;$A66)="N/A",0,RTD("tos.rtd",,DC$43,"."&amp;$A$43&amp;$AS$42&amp;"C"&amp;$A66))</f>
        <v>8.1</v>
      </c>
      <c r="DD66" s="83">
        <f>IF(RTD("tos.rtd",,DD$43,"."&amp;$A$43&amp;$AS$42&amp;"P"&amp;$A66)="N/A",0,RTD("tos.rtd",,DD$43,"."&amp;$A$43&amp;$AS$42&amp;"P"&amp;$A66))</f>
        <v>0.02</v>
      </c>
      <c r="DE66" s="83">
        <f>IF(RTD("tos.rtd",,DE$43,"."&amp;$A$43&amp;$AS$42&amp;"C"&amp;$A66)="N/A",0,RTD("tos.rtd",,DE$43,"."&amp;$A$43&amp;$AS$42&amp;"C"&amp;$A66))</f>
        <v>7.84</v>
      </c>
      <c r="DF66" s="83">
        <f>IF(RTD("tos.rtd",,DF$43,"."&amp;$A$43&amp;$AS$42&amp;"P"&amp;$A66)="N/A",0,RTD("tos.rtd",,DF$43,"."&amp;$A$43&amp;$AS$42&amp;"P"&amp;$A66))</f>
        <v>0.01</v>
      </c>
      <c r="DG66" s="86">
        <f t="shared" si="285"/>
        <v>-7.9599999999999795</v>
      </c>
      <c r="DH66" s="83">
        <f t="shared" si="385"/>
        <v>0</v>
      </c>
      <c r="DI66" s="83">
        <f t="shared" si="386"/>
        <v>-5</v>
      </c>
      <c r="DJ66" s="83">
        <f t="shared" si="387"/>
        <v>0</v>
      </c>
      <c r="DK66" s="83">
        <f t="shared" si="254"/>
        <v>-5</v>
      </c>
      <c r="DL66" s="83">
        <f t="shared" si="255"/>
        <v>-5</v>
      </c>
      <c r="DM66" s="83">
        <f t="shared" si="256"/>
        <v>-5</v>
      </c>
      <c r="DN66" s="64" t="str">
        <f t="shared" si="257"/>
        <v>UNKNOWN</v>
      </c>
      <c r="DO66" s="64" t="str">
        <f t="shared" si="258"/>
        <v>BUY</v>
      </c>
      <c r="DP66" s="83">
        <f t="shared" si="259"/>
        <v>-0.1</v>
      </c>
      <c r="DQ66" s="83">
        <f t="shared" si="260"/>
        <v>-0.1</v>
      </c>
      <c r="DR66" s="83" t="e">
        <f t="shared" ca="1" si="261"/>
        <v>#NUM!</v>
      </c>
      <c r="DS66" s="83">
        <f t="shared" si="262"/>
        <v>-0.05</v>
      </c>
      <c r="DT66" s="83">
        <f t="shared" si="286"/>
        <v>0</v>
      </c>
      <c r="DU66" s="83">
        <f t="shared" si="287"/>
        <v>-5</v>
      </c>
      <c r="DV66" s="83">
        <f t="shared" si="263"/>
        <v>-19</v>
      </c>
      <c r="DW66" s="83">
        <f t="shared" si="264"/>
        <v>-212</v>
      </c>
      <c r="DX66" s="83" t="e">
        <f t="shared" ca="1" si="388"/>
        <v>#NUM!</v>
      </c>
      <c r="DY66" s="83" t="e">
        <f t="shared" ca="1" si="389"/>
        <v>#NUM!</v>
      </c>
      <c r="DZ66" s="83">
        <f t="shared" ca="1" si="390"/>
        <v>1.8563733086292535E-2</v>
      </c>
      <c r="EA66" s="83">
        <f t="shared" ca="1" si="391"/>
        <v>-1.8514798030630653E-2</v>
      </c>
      <c r="EB66" s="83">
        <f t="shared" ca="1" si="392"/>
        <v>1.8160361845624258E-2</v>
      </c>
      <c r="EC66" s="83">
        <f t="shared" ca="1" si="393"/>
        <v>-1.8160361845624258E-2</v>
      </c>
      <c r="EE66" s="84">
        <f t="shared" si="394"/>
        <v>0.90469999999999995</v>
      </c>
      <c r="EF66" s="84">
        <f t="shared" si="395"/>
        <v>0.96419999999999995</v>
      </c>
      <c r="EG66" s="84">
        <f t="shared" si="396"/>
        <v>0.24329999999999999</v>
      </c>
      <c r="EH66" s="84">
        <f t="shared" si="397"/>
        <v>0.24410000000000001</v>
      </c>
      <c r="EI66" s="84">
        <f t="shared" si="398"/>
        <v>0.25</v>
      </c>
      <c r="EJ66" s="84">
        <f t="shared" si="399"/>
        <v>0.25</v>
      </c>
      <c r="EL66" s="83" t="str">
        <f>RTD("tos.rtd",,EL$43,"."&amp;$A$43&amp;$AS$42&amp;"C"&amp;$A66)</f>
        <v>90.47%</v>
      </c>
      <c r="EM66" s="83" t="str">
        <f>RTD("tos.rtd",,EM$43,"."&amp;$A$43&amp;$AS$42&amp;"P"&amp;$A66)</f>
        <v>96.42%</v>
      </c>
      <c r="EN66" s="83" t="str">
        <f>RTD("tos.rtd",,EN$2,"."&amp;$A$43&amp;$AU$1&amp;"C"&amp;$A66)</f>
        <v>24.33%</v>
      </c>
      <c r="EO66" s="83" t="str">
        <f>RTD("tos.rtd",,EO$2,"."&amp;$A$43&amp;$AU$1&amp;"P"&amp;$A66)</f>
        <v>24.41%</v>
      </c>
      <c r="EP66" s="83" t="str">
        <f>RTD("tos.rtd",,EP$2,"."&amp;$A$43&amp;$AW$1&amp;"C"&amp;$A66)</f>
        <v>N/A</v>
      </c>
      <c r="EQ66" s="83" t="str">
        <f>RTD("tos.rtd",,EQ$2,"."&amp;$A$43&amp;$AW$1&amp;"P"&amp;$A66)</f>
        <v>N/A</v>
      </c>
      <c r="ET66" s="64" t="str">
        <f t="shared" ca="1" si="271"/>
        <v>481,00.00</v>
      </c>
      <c r="EU66" s="68">
        <v>560.86</v>
      </c>
      <c r="EV66" s="68" t="s">
        <v>547</v>
      </c>
      <c r="EW66" s="68">
        <v>482.88</v>
      </c>
      <c r="EX66" s="68" t="s">
        <v>548</v>
      </c>
      <c r="EY66" s="68">
        <v>5623.75</v>
      </c>
      <c r="EZ66" s="68" t="s">
        <v>549</v>
      </c>
      <c r="FA66" s="68">
        <v>19839.75</v>
      </c>
      <c r="FB66" s="68" t="s">
        <v>550</v>
      </c>
      <c r="FC66" s="68" t="s">
        <v>551</v>
      </c>
      <c r="FD66" s="68" t="s">
        <v>552</v>
      </c>
      <c r="FE66" s="68" t="s">
        <v>553</v>
      </c>
      <c r="FF66" s="68" t="s">
        <v>554</v>
      </c>
    </row>
    <row r="67" spans="1:162" ht="13.5" thickBot="1" x14ac:dyDescent="0.25">
      <c r="A67" s="2">
        <f t="shared" si="288"/>
        <v>480</v>
      </c>
      <c r="B67" s="3">
        <f t="shared" si="365"/>
        <v>16799</v>
      </c>
      <c r="C67" s="3">
        <f t="shared" si="239"/>
        <v>5591</v>
      </c>
      <c r="D67" s="3">
        <f t="shared" si="366"/>
        <v>47712</v>
      </c>
      <c r="E67" s="3">
        <f t="shared" si="367"/>
        <v>70102</v>
      </c>
      <c r="F67" s="4">
        <f t="shared" si="368"/>
        <v>19821.989528795813</v>
      </c>
      <c r="AM67" s="1">
        <v>770</v>
      </c>
      <c r="AN67" s="1">
        <v>-6515</v>
      </c>
      <c r="AO67" s="1">
        <v>480</v>
      </c>
      <c r="AP67" s="1">
        <v>4689</v>
      </c>
      <c r="AQ67" s="1">
        <v>-54012</v>
      </c>
      <c r="AS67" s="6">
        <f>IF(RTD("tos.rtd",,AS$43,"."&amp;$A$43&amp;$AS$42&amp;"C"&amp;$A67)="N/A",0,RTD("tos.rtd",,AS$43,"."&amp;$A$43&amp;$AS$42&amp;"C"&amp;$A67))</f>
        <v>7617</v>
      </c>
      <c r="AT67" s="7">
        <f>-IF(RTD("tos.rtd",,AT$43,"."&amp;$A$43&amp;$AS$42&amp;"P"&amp;$A67)="N/A",0,RTD("tos.rtd",,AT$43,"."&amp;$A$43&amp;$AS$42&amp;"P"&amp;$A67))</f>
        <v>-9182</v>
      </c>
      <c r="AU67" s="6">
        <f>IF(RTD("tos.rtd",,AU$2,"."&amp;$A$43&amp;$AU$1&amp;"C"&amp;$A67)="N/A",0,RTD("tos.rtd",,AU$2,"."&amp;$A$43&amp;$AU$1&amp;"C"&amp;$A67))</f>
        <v>4258</v>
      </c>
      <c r="AV67" s="7">
        <f>-IF(RTD("tos.rtd",,AV$2,"."&amp;$A$43&amp;$AU$1&amp;"P"&amp;$A67)="N/A",0,RTD("tos.rtd",,AV$2,"."&amp;$A$43&amp;$AU$1&amp;"P"&amp;$A67))</f>
        <v>-1333</v>
      </c>
      <c r="AW67" s="6">
        <f>IF(RTD("tos.rtd",,AW$2,"."&amp;$A$43&amp;$AW$1&amp;"C"&amp;$A67)="N/A",0,RTD("tos.rtd",,AW$2,"."&amp;$A$43&amp;$AW$1&amp;"C"&amp;$A67))</f>
        <v>29553</v>
      </c>
      <c r="AX67" s="7">
        <f>-IF(RTD("tos.rtd",,AX$2,"."&amp;$A$43&amp;$AW$1&amp;"P"&amp;$A67)="N/A",0,RTD("tos.rtd",,AX$2,"."&amp;$A$43&amp;$AW$1&amp;"P"&amp;$A67))</f>
        <v>-18159</v>
      </c>
      <c r="AY67" s="7">
        <f t="shared" si="369"/>
        <v>12754</v>
      </c>
      <c r="AZ67" s="8">
        <f t="shared" si="242"/>
        <v>480</v>
      </c>
      <c r="BA67" s="6">
        <f>IF(RTD("tos.rtd",,BA$43,"."&amp;$A$43&amp;$AS$42&amp;"C"&amp;$A67)="N/A",0,RTD("tos.rtd",,BA$43,"."&amp;$A$43&amp;$AS$42&amp;"C"&amp;$A67))</f>
        <v>4696</v>
      </c>
      <c r="BB67" s="7">
        <f>-IF(RTD("tos.rtd",,BB$43,"."&amp;$A$43&amp;$AS$42&amp;"P"&amp;$A67)="N/A",0,RTD("tos.rtd",,BB$43,"."&amp;$A$43&amp;$AS$42&amp;"P"&amp;$A67))</f>
        <v>-54017</v>
      </c>
      <c r="BC67" s="6">
        <f>IF(RTD("tos.rtd",,BC$2,"."&amp;$A$43&amp;$AU$1&amp;"C"&amp;$A67)="N/A",0,RTD("tos.rtd",,BC$2,"."&amp;$A$43&amp;$AU$1&amp;"C"&amp;$A67))</f>
        <v>1945</v>
      </c>
      <c r="BD67" s="7">
        <f>-IF(RTD("tos.rtd",,BD$2,"."&amp;$A$43&amp;$AU$1&amp;"P"&amp;$A67)="N/A",0,RTD("tos.rtd",,BD$2,"."&amp;$A$43&amp;$AU$1&amp;"P"&amp;$A67))</f>
        <v>-11475</v>
      </c>
      <c r="BE67" s="6">
        <f>IF(RTD("tos.rtd",,BE$2,"."&amp;$A$43&amp;$AW$1&amp;"C"&amp;$A67)="N/A",0,RTD("tos.rtd",,BE$2,"."&amp;$A$43&amp;$AW$1&amp;"C"&amp;$A67))</f>
        <v>2704</v>
      </c>
      <c r="BF67" s="7">
        <f>-IF(RTD("tos.rtd",,BF$2,"."&amp;$A$43&amp;$AW$1&amp;"P"&amp;$A67)="N/A",0,RTD("tos.rtd",,BF$2,"."&amp;$A$43&amp;$AW$1&amp;"P"&amp;$A67))</f>
        <v>-16940</v>
      </c>
      <c r="BG67" s="32" t="e">
        <f ca="1">+Hoja2!Y68</f>
        <v>#N/A</v>
      </c>
      <c r="BH67" s="7" t="e">
        <f t="shared" ca="1" si="273"/>
        <v>#N/A</v>
      </c>
      <c r="BI67" s="8" t="e">
        <f t="shared" ca="1" si="289"/>
        <v>#N/A</v>
      </c>
      <c r="BJ67" s="83" t="e">
        <f ca="1">IF($BP$1=1,DX67,IF(RTD("tos.rtd",,BJ$43,"."&amp;$A$43&amp;$AS$42&amp;"C"&amp;$A67)="N/A",0,RTD("tos.rtd",,BJ$43,"."&amp;$A$43&amp;$AS$42&amp;"C"&amp;$A67)))</f>
        <v>#NUM!</v>
      </c>
      <c r="BK67" s="83" t="e">
        <f ca="1">IF($BP$1=1,DY67,-IF(RTD("tos.rtd",,BK$43,"."&amp;$A$43&amp;$AS$42&amp;"P"&amp;$A67)="N/A",0,RTD("tos.rtd",,BK$43,"."&amp;$A$43&amp;$AS$42&amp;"P"&amp;$A67)))</f>
        <v>#NUM!</v>
      </c>
      <c r="BL67" s="83">
        <f ca="1">IF($BP$1=1,DZ67,IF(RTD("tos.rtd",,BL$2,"."&amp;$A$43&amp;$AU$1&amp;"C"&amp;$A67)="N/A",0,RTD("tos.rtd",,BL$2,"."&amp;$A$43&amp;$AU$1&amp;"C"&amp;$A67)))</f>
        <v>1.7928901353353219E-2</v>
      </c>
      <c r="BM67" s="83">
        <f ca="1">IF($BP$1=1,EA67,-IF(RTD("tos.rtd",,BM$2,"."&amp;$A$43&amp;$AU$1&amp;"P"&amp;$A67)="N/A",0,RTD("tos.rtd",,BM$2,"."&amp;$A$43&amp;$AU$1&amp;"P"&amp;$A67)))</f>
        <v>-1.7923370815222297E-2</v>
      </c>
      <c r="BN67" s="83">
        <f ca="1">IF($BP$1=1,EB67,IF(RTD("tos.rtd",,BN$2,"."&amp;$A$43&amp;$AW$1&amp;"C"&amp;$A67)="N/A",0,RTD("tos.rtd",,BN$2,"."&amp;$A$43&amp;$AW$1&amp;"C"&amp;$A67)))</f>
        <v>1.7747726307251702E-2</v>
      </c>
      <c r="BO67" s="83">
        <f ca="1">IF($BP$1=1,EC67,-IF(RTD("tos.rtd",,BO$2,"."&amp;$A$43&amp;$AW$1&amp;"P"&amp;$A67)="N/A",0,RTD("tos.rtd",,BO$2,"."&amp;$A$43&amp;$AW$1&amp;"P"&amp;$A67)))</f>
        <v>-1.7736834227058906E-2</v>
      </c>
      <c r="BQ67" s="83" t="e">
        <f t="shared" ca="1" si="370"/>
        <v>#NUM!</v>
      </c>
      <c r="BR67" s="3" t="e">
        <f t="shared" ca="1" si="275"/>
        <v>#NUM!</v>
      </c>
      <c r="BS67" s="83">
        <f t="shared" ca="1" si="371"/>
        <v>12539703.312647533</v>
      </c>
      <c r="BT67" s="3" t="str">
        <f t="shared" ca="1" si="277"/>
        <v/>
      </c>
      <c r="BU67" s="83">
        <f t="shared" ca="1" si="372"/>
        <v>48393850.591552854</v>
      </c>
      <c r="BV67" s="83"/>
      <c r="BX67" s="83" t="e">
        <f t="shared" ca="1" si="373"/>
        <v>#NUM!</v>
      </c>
      <c r="BY67" s="83" t="e">
        <f t="shared" ca="1" si="290"/>
        <v>#NUM!</v>
      </c>
      <c r="BZ67" s="83">
        <f t="shared" ca="1" si="374"/>
        <v>-40834938.399098568</v>
      </c>
      <c r="CA67" s="83" t="str">
        <f t="shared" ca="1" si="290"/>
        <v/>
      </c>
      <c r="CB67" s="83">
        <f t="shared" ca="1" si="375"/>
        <v>-60361509.470435537</v>
      </c>
      <c r="CC67" s="83" t="str">
        <f t="shared" ca="1" si="290"/>
        <v/>
      </c>
      <c r="CD67" s="83">
        <f>IF(RTD("tos.rtd",,CD$43,"."&amp;$A$43&amp;$AS$42&amp;"C"&amp;$A67)="N/A",0,RTD("tos.rtd",,CD$43,"."&amp;$A$43&amp;$AS$42&amp;"C"&amp;$A67))</f>
        <v>0.99</v>
      </c>
      <c r="CE67" s="83">
        <f>-IF(RTD("tos.rtd",,CE$43,"."&amp;$A$43&amp;$AS$42&amp;"P"&amp;$A67)="N/A",0,RTD("tos.rtd",,CE$43,"."&amp;$A$43&amp;$AS$42&amp;"P"&amp;$A67))</f>
        <v>0.01</v>
      </c>
      <c r="CF67" s="83">
        <f>IF(RTD("tos.rtd",,CF$2,"."&amp;$A$43&amp;$AU$1&amp;"C"&amp;$A67)="N/A",0,RTD("tos.rtd",,CF$2,"."&amp;$A$43&amp;$AU$1&amp;"C"&amp;$A67))</f>
        <v>0.72</v>
      </c>
      <c r="CG67" s="83">
        <f>-IF(RTD("tos.rtd",,CG$2,"."&amp;$A$43&amp;$AU$1&amp;"P"&amp;$A67)="N/A",0,RTD("tos.rtd",,CG$2,"."&amp;$A$43&amp;$AU$1&amp;"P"&amp;$A67))</f>
        <v>0.28000000000000003</v>
      </c>
      <c r="CH67" s="83">
        <f>IF(RTD("tos.rtd",,CH$2,"."&amp;$A$43&amp;$AW$1&amp;"C"&amp;$A67)="N/A",0,RTD("tos.rtd",,CH$2,"."&amp;$A$43&amp;$AW$1&amp;"C"&amp;$A67))</f>
        <v>0.67</v>
      </c>
      <c r="CI67" s="83">
        <f>-IF(RTD("tos.rtd",,CI$2,"."&amp;$A$43&amp;$AW$1&amp;"P"&amp;$A67)="N/A",0,RTD("tos.rtd",,CI$2,"."&amp;$A$43&amp;$AW$1&amp;"P"&amp;$A67))</f>
        <v>0.33</v>
      </c>
      <c r="CK67" s="83">
        <f t="shared" si="376"/>
        <v>744901</v>
      </c>
      <c r="CL67" s="83"/>
      <c r="CM67" s="83">
        <f t="shared" si="377"/>
        <v>269252</v>
      </c>
      <c r="CN67" s="83"/>
      <c r="CO67" s="83">
        <f t="shared" si="378"/>
        <v>1380804.0000000002</v>
      </c>
      <c r="CP67" s="83">
        <f t="shared" si="379"/>
        <v>2394957</v>
      </c>
      <c r="CQ67" s="83">
        <f t="shared" si="380"/>
        <v>-49321</v>
      </c>
      <c r="CR67" s="83"/>
      <c r="CS67" s="83">
        <f t="shared" si="381"/>
        <v>-9530</v>
      </c>
      <c r="CT67" s="83"/>
      <c r="CU67" s="83">
        <f t="shared" si="382"/>
        <v>-14236</v>
      </c>
      <c r="CV67" s="83"/>
      <c r="CW67" s="83" t="e">
        <f t="shared" ca="1" si="383"/>
        <v>#NUM!</v>
      </c>
      <c r="CY67" s="83" t="e">
        <f t="shared" ca="1" si="384"/>
        <v>#NUM!</v>
      </c>
      <c r="CZ67" s="70" t="e">
        <f t="shared" ca="1" si="291"/>
        <v>#NUM!</v>
      </c>
      <c r="DA67" s="83">
        <f>IF(RTD("tos.rtd",,DA$43,"."&amp;$A$43&amp;$AS$42&amp;"C"&amp;$A67)="N/A",0,RTD("tos.rtd",,DA$43,"."&amp;$A$43&amp;$AS$42&amp;"C"&amp;$A67))</f>
        <v>8.92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9.1</v>
      </c>
      <c r="DD67" s="83">
        <f>IF(RTD("tos.rtd",,DD$43,"."&amp;$A$43&amp;$AS$42&amp;"P"&amp;$A67)="N/A",0,RTD("tos.rtd",,DD$43,"."&amp;$A$43&amp;$AS$42&amp;"P"&amp;$A67))</f>
        <v>0.02</v>
      </c>
      <c r="DE67" s="83">
        <f>IF(RTD("tos.rtd",,DE$43,"."&amp;$A$43&amp;$AS$42&amp;"C"&amp;$A67)="N/A",0,RTD("tos.rtd",,DE$43,"."&amp;$A$43&amp;$AS$42&amp;"C"&amp;$A67))</f>
        <v>8.84</v>
      </c>
      <c r="DF67" s="83">
        <f>IF(RTD("tos.rtd",,DF$43,"."&amp;$A$43&amp;$AS$42&amp;"P"&amp;$A67)="N/A",0,RTD("tos.rtd",,DF$43,"."&amp;$A$43&amp;$AS$42&amp;"P"&amp;$A67))</f>
        <v>0.01</v>
      </c>
      <c r="DG67" s="86">
        <f t="shared" si="285"/>
        <v>-8.9599999999999795</v>
      </c>
      <c r="DH67" s="83">
        <f t="shared" si="385"/>
        <v>2.1538461538461573</v>
      </c>
      <c r="DI67" s="83">
        <f t="shared" si="386"/>
        <v>0</v>
      </c>
      <c r="DJ67" s="83">
        <f t="shared" si="387"/>
        <v>-7</v>
      </c>
      <c r="DK67" s="83">
        <f t="shared" si="254"/>
        <v>5</v>
      </c>
      <c r="DL67" s="83">
        <f t="shared" si="255"/>
        <v>2.1538461538461573</v>
      </c>
      <c r="DM67" s="83">
        <f t="shared" si="256"/>
        <v>-2</v>
      </c>
      <c r="DN67" s="64" t="str">
        <f t="shared" si="257"/>
        <v>SELL</v>
      </c>
      <c r="DO67" s="64" t="str">
        <f t="shared" si="258"/>
        <v>SELL</v>
      </c>
      <c r="DP67" s="83">
        <f t="shared" si="259"/>
        <v>19.212307692307721</v>
      </c>
      <c r="DQ67" s="83">
        <f t="shared" si="260"/>
        <v>-62.39</v>
      </c>
      <c r="DR67" s="83" t="e">
        <f t="shared" ca="1" si="261"/>
        <v>#NUM!</v>
      </c>
      <c r="DS67" s="83">
        <f t="shared" si="262"/>
        <v>-6.88</v>
      </c>
      <c r="DT67" s="83">
        <f t="shared" si="286"/>
        <v>7</v>
      </c>
      <c r="DU67" s="83">
        <f t="shared" si="287"/>
        <v>-5</v>
      </c>
      <c r="DV67" s="83">
        <f t="shared" si="263"/>
        <v>763</v>
      </c>
      <c r="DW67" s="83">
        <f t="shared" si="264"/>
        <v>-6510</v>
      </c>
      <c r="DX67" s="83" t="e">
        <f t="shared" ca="1" si="388"/>
        <v>#NUM!</v>
      </c>
      <c r="DY67" s="83" t="e">
        <f t="shared" ca="1" si="389"/>
        <v>#NUM!</v>
      </c>
      <c r="DZ67" s="83">
        <f t="shared" ca="1" si="390"/>
        <v>1.7928901353353219E-2</v>
      </c>
      <c r="EA67" s="83">
        <f t="shared" ca="1" si="391"/>
        <v>-1.7923370815222297E-2</v>
      </c>
      <c r="EB67" s="83">
        <f t="shared" ca="1" si="392"/>
        <v>1.7747726307251702E-2</v>
      </c>
      <c r="EC67" s="83">
        <f t="shared" ca="1" si="393"/>
        <v>-1.7736834227058906E-2</v>
      </c>
      <c r="EE67" s="84">
        <f t="shared" si="394"/>
        <v>1.0052000000000001</v>
      </c>
      <c r="EF67" s="84">
        <f t="shared" si="395"/>
        <v>1.069</v>
      </c>
      <c r="EG67" s="84">
        <f t="shared" si="396"/>
        <v>0.2462</v>
      </c>
      <c r="EH67" s="84">
        <f t="shared" si="397"/>
        <v>0.24629999999999999</v>
      </c>
      <c r="EI67" s="84">
        <f t="shared" si="398"/>
        <v>0.2495</v>
      </c>
      <c r="EJ67" s="84">
        <f t="shared" si="399"/>
        <v>0.24970000000000001</v>
      </c>
      <c r="EL67" s="83" t="str">
        <f>RTD("tos.rtd",,EL$43,"."&amp;$A$43&amp;$AS$42&amp;"C"&amp;$A67)</f>
        <v>100.52%</v>
      </c>
      <c r="EM67" s="83" t="str">
        <f>RTD("tos.rtd",,EM$43,"."&amp;$A$43&amp;$AS$42&amp;"P"&amp;$A67)</f>
        <v>106.90%</v>
      </c>
      <c r="EN67" s="83" t="str">
        <f>RTD("tos.rtd",,EN$2,"."&amp;$A$43&amp;$AU$1&amp;"C"&amp;$A67)</f>
        <v>24.62%</v>
      </c>
      <c r="EO67" s="83" t="str">
        <f>RTD("tos.rtd",,EO$2,"."&amp;$A$43&amp;$AU$1&amp;"P"&amp;$A67)</f>
        <v>24.63%</v>
      </c>
      <c r="EP67" s="83" t="str">
        <f>RTD("tos.rtd",,EP$2,"."&amp;$A$43&amp;$AW$1&amp;"C"&amp;$A67)</f>
        <v>24.95%</v>
      </c>
      <c r="EQ67" s="83" t="str">
        <f>RTD("tos.rtd",,EQ$2,"."&amp;$A$43&amp;$AW$1&amp;"P"&amp;$A67)</f>
        <v>24.97%</v>
      </c>
      <c r="ET67" s="64" t="str">
        <f t="shared" ca="1" si="271"/>
        <v>480,00.00</v>
      </c>
      <c r="EU67" s="68">
        <v>560.82000000000005</v>
      </c>
      <c r="EV67" s="68" t="s">
        <v>555</v>
      </c>
      <c r="EW67" s="68">
        <v>482.86</v>
      </c>
      <c r="EX67" s="68" t="s">
        <v>556</v>
      </c>
      <c r="EY67" s="68">
        <v>5623.5</v>
      </c>
      <c r="EZ67" s="68" t="s">
        <v>557</v>
      </c>
      <c r="FA67" s="68">
        <v>19839.25</v>
      </c>
      <c r="FB67" s="68" t="s">
        <v>558</v>
      </c>
      <c r="FC67" s="68" t="s">
        <v>559</v>
      </c>
      <c r="FD67" s="68" t="s">
        <v>560</v>
      </c>
      <c r="FE67" s="68" t="s">
        <v>561</v>
      </c>
      <c r="FF67" s="68" t="s">
        <v>562</v>
      </c>
    </row>
    <row r="68" spans="1:162" ht="13.5" thickBot="1" x14ac:dyDescent="0.25">
      <c r="A68" s="2">
        <f t="shared" si="288"/>
        <v>479</v>
      </c>
      <c r="B68" s="3">
        <f t="shared" si="365"/>
        <v>5234</v>
      </c>
      <c r="C68" s="3">
        <f t="shared" si="239"/>
        <v>949</v>
      </c>
      <c r="D68" s="3">
        <f t="shared" si="366"/>
        <v>0</v>
      </c>
      <c r="E68" s="3">
        <f t="shared" si="367"/>
        <v>6183</v>
      </c>
      <c r="F68" s="4">
        <f t="shared" si="368"/>
        <v>19780.693717277489</v>
      </c>
      <c r="AM68" s="1">
        <v>-175</v>
      </c>
      <c r="AN68" s="1">
        <v>1375</v>
      </c>
      <c r="AO68" s="1">
        <v>479</v>
      </c>
      <c r="AP68" s="1">
        <v>622</v>
      </c>
      <c r="AQ68" s="1">
        <v>-13353</v>
      </c>
      <c r="AS68" s="6">
        <f>IF(RTD("tos.rtd",,AS$43,"."&amp;$A$43&amp;$AS$42&amp;"C"&amp;$A68)="N/A",0,RTD("tos.rtd",,AS$43,"."&amp;$A$43&amp;$AS$42&amp;"C"&amp;$A68))</f>
        <v>1866</v>
      </c>
      <c r="AT68" s="7">
        <f>-IF(RTD("tos.rtd",,AT$43,"."&amp;$A$43&amp;$AS$42&amp;"P"&amp;$A68)="N/A",0,RTD("tos.rtd",,AT$43,"."&amp;$A$43&amp;$AS$42&amp;"P"&amp;$A68))</f>
        <v>-3368</v>
      </c>
      <c r="AU68" s="6">
        <f>IF(RTD("tos.rtd",,AU$2,"."&amp;$A$43&amp;$AU$1&amp;"C"&amp;$A68)="N/A",0,RTD("tos.rtd",,AU$2,"."&amp;$A$43&amp;$AU$1&amp;"C"&amp;$A68))</f>
        <v>479</v>
      </c>
      <c r="AV68" s="7">
        <f>-IF(RTD("tos.rtd",,AV$2,"."&amp;$A$43&amp;$AU$1&amp;"P"&amp;$A68)="N/A",0,RTD("tos.rtd",,AV$2,"."&amp;$A$43&amp;$AU$1&amp;"P"&amp;$A68))</f>
        <v>-470</v>
      </c>
      <c r="AW68" s="6">
        <f>IF(RTD("tos.rtd",,AW$2,"."&amp;$A$43&amp;$AW$1&amp;"C"&amp;$A68)="N/A",0,RTD("tos.rtd",,AW$2,"."&amp;$A$43&amp;$AW$1&amp;"C"&amp;$A68))</f>
        <v>0</v>
      </c>
      <c r="AX68" s="7">
        <f>-IF(RTD("tos.rtd",,AX$2,"."&amp;$A$43&amp;$AW$1&amp;"P"&amp;$A68)="N/A",0,RTD("tos.rtd",,AX$2,"."&amp;$A$43&amp;$AW$1&amp;"P"&amp;$A68))</f>
        <v>0</v>
      </c>
      <c r="AY68" s="7">
        <f t="shared" si="369"/>
        <v>-1493</v>
      </c>
      <c r="AZ68" s="8">
        <f t="shared" si="242"/>
        <v>479</v>
      </c>
      <c r="BA68" s="6">
        <f>IF(RTD("tos.rtd",,BA$43,"."&amp;$A$43&amp;$AS$42&amp;"C"&amp;$A68)="N/A",0,RTD("tos.rtd",,BA$43,"."&amp;$A$43&amp;$AS$42&amp;"C"&amp;$A68))</f>
        <v>622</v>
      </c>
      <c r="BB68" s="7">
        <f>-IF(RTD("tos.rtd",,BB$43,"."&amp;$A$43&amp;$AS$42&amp;"P"&amp;$A68)="N/A",0,RTD("tos.rtd",,BB$43,"."&amp;$A$43&amp;$AS$42&amp;"P"&amp;$A68))</f>
        <v>-13355</v>
      </c>
      <c r="BC68" s="6">
        <f>IF(RTD("tos.rtd",,BC$2,"."&amp;$A$43&amp;$AU$1&amp;"C"&amp;$A68)="N/A",0,RTD("tos.rtd",,BC$2,"."&amp;$A$43&amp;$AU$1&amp;"C"&amp;$A68))</f>
        <v>106</v>
      </c>
      <c r="BD68" s="7">
        <f>-IF(RTD("tos.rtd",,BD$2,"."&amp;$A$43&amp;$AU$1&amp;"P"&amp;$A68)="N/A",0,RTD("tos.rtd",,BD$2,"."&amp;$A$43&amp;$AU$1&amp;"P"&amp;$A68))</f>
        <v>-1510</v>
      </c>
      <c r="BE68" s="6">
        <f>IF(RTD("tos.rtd",,BE$2,"."&amp;$A$43&amp;$AW$1&amp;"C"&amp;$A68)="N/A",0,RTD("tos.rtd",,BE$2,"."&amp;$A$43&amp;$AW$1&amp;"C"&amp;$A68))</f>
        <v>0</v>
      </c>
      <c r="BF68" s="7">
        <f>-IF(RTD("tos.rtd",,BF$2,"."&amp;$A$43&amp;$AW$1&amp;"P"&amp;$A68)="N/A",0,RTD("tos.rtd",,BF$2,"."&amp;$A$43&amp;$AW$1&amp;"P"&amp;$A68))</f>
        <v>0</v>
      </c>
      <c r="BG68" s="32" t="e">
        <f ca="1">+Hoja2!Y69</f>
        <v>#N/A</v>
      </c>
      <c r="BH68" s="7" t="e">
        <f t="shared" ca="1" si="273"/>
        <v>#N/A</v>
      </c>
      <c r="BI68" s="8" t="e">
        <f t="shared" ca="1" si="289"/>
        <v>#N/A</v>
      </c>
      <c r="BJ68" s="83" t="e">
        <f ca="1">IF($BP$1=1,DX68,IF(RTD("tos.rtd",,BJ$43,"."&amp;$A$43&amp;$AS$42&amp;"C"&amp;$A68)="N/A",0,RTD("tos.rtd",,BJ$43,"."&amp;$A$43&amp;$AS$42&amp;"C"&amp;$A68)))</f>
        <v>#NUM!</v>
      </c>
      <c r="BK68" s="83" t="e">
        <f ca="1">IF($BP$1=1,DY68,-IF(RTD("tos.rtd",,BK$43,"."&amp;$A$43&amp;$AS$42&amp;"P"&amp;$A68)="N/A",0,RTD("tos.rtd",,BK$43,"."&amp;$A$43&amp;$AS$42&amp;"P"&amp;$A68)))</f>
        <v>#NUM!</v>
      </c>
      <c r="BL68" s="83">
        <f ca="1">IF($BP$1=1,DZ68,IF(RTD("tos.rtd",,BL$2,"."&amp;$A$43&amp;$AU$1&amp;"C"&amp;$A68)="N/A",0,RTD("tos.rtd",,BL$2,"."&amp;$A$43&amp;$AU$1&amp;"C"&amp;$A68)))</f>
        <v>1.7323929799307809E-2</v>
      </c>
      <c r="BM68" s="83">
        <f ca="1">IF($BP$1=1,EA68,-IF(RTD("tos.rtd",,BM$2,"."&amp;$A$43&amp;$AU$1&amp;"P"&amp;$A68)="N/A",0,RTD("tos.rtd",,BM$2,"."&amp;$A$43&amp;$AU$1&amp;"P"&amp;$A68)))</f>
        <v>-1.7309064587771636E-2</v>
      </c>
      <c r="BN68" s="83">
        <f ca="1">IF($BP$1=1,EB68,IF(RTD("tos.rtd",,BN$2,"."&amp;$A$43&amp;$AW$1&amp;"C"&amp;$A68)="N/A",0,RTD("tos.rtd",,BN$2,"."&amp;$A$43&amp;$AW$1&amp;"C"&amp;$A68)))</f>
        <v>1.7244835078102642E-2</v>
      </c>
      <c r="BO68" s="83">
        <f ca="1">IF($BP$1=1,EC68,-IF(RTD("tos.rtd",,BO$2,"."&amp;$A$43&amp;$AW$1&amp;"P"&amp;$A68)="N/A",0,RTD("tos.rtd",,BO$2,"."&amp;$A$43&amp;$AW$1&amp;"P"&amp;$A68)))</f>
        <v>-1.7244835078102642E-2</v>
      </c>
      <c r="BQ68" s="83" t="e">
        <f t="shared" ca="1" si="370"/>
        <v>#NUM!</v>
      </c>
      <c r="BR68" s="3" t="e">
        <f t="shared" ca="1" si="275"/>
        <v>#NUM!</v>
      </c>
      <c r="BS68" s="83">
        <f t="shared" ca="1" si="371"/>
        <v>38946.920888015069</v>
      </c>
      <c r="BT68" s="3" t="str">
        <f t="shared" ca="1" si="277"/>
        <v/>
      </c>
      <c r="BU68" s="83">
        <f t="shared" ca="1" si="372"/>
        <v>0</v>
      </c>
      <c r="BV68" s="83"/>
      <c r="BX68" s="83" t="e">
        <f t="shared" ca="1" si="373"/>
        <v>#NUM!</v>
      </c>
      <c r="BY68" s="83" t="e">
        <f t="shared" ca="1" si="290"/>
        <v>#NUM!</v>
      </c>
      <c r="BZ68" s="83">
        <f t="shared" ca="1" si="374"/>
        <v>-5809773.633163128</v>
      </c>
      <c r="CA68" s="83" t="str">
        <f t="shared" ca="1" si="290"/>
        <v/>
      </c>
      <c r="CB68" s="83">
        <f t="shared" ca="1" si="375"/>
        <v>0</v>
      </c>
      <c r="CC68" s="83" t="str">
        <f t="shared" ca="1" si="290"/>
        <v/>
      </c>
      <c r="CD68" s="83">
        <f>IF(RTD("tos.rtd",,CD$43,"."&amp;$A$43&amp;$AS$42&amp;"C"&amp;$A68)="N/A",0,RTD("tos.rtd",,CD$43,"."&amp;$A$43&amp;$AS$42&amp;"C"&amp;$A68))</f>
        <v>1</v>
      </c>
      <c r="CE68" s="83">
        <f>-IF(RTD("tos.rtd",,CE$43,"."&amp;$A$43&amp;$AS$42&amp;"P"&amp;$A68)="N/A",0,RTD("tos.rtd",,CE$43,"."&amp;$A$43&amp;$AS$42&amp;"P"&amp;$A68))</f>
        <v>0.01</v>
      </c>
      <c r="CF68" s="83">
        <f>IF(RTD("tos.rtd",,CF$2,"."&amp;$A$43&amp;$AU$1&amp;"C"&amp;$A68)="N/A",0,RTD("tos.rtd",,CF$2,"."&amp;$A$43&amp;$AU$1&amp;"C"&amp;$A68))</f>
        <v>0.74</v>
      </c>
      <c r="CG68" s="83">
        <f>-IF(RTD("tos.rtd",,CG$2,"."&amp;$A$43&amp;$AU$1&amp;"P"&amp;$A68)="N/A",0,RTD("tos.rtd",,CG$2,"."&amp;$A$43&amp;$AU$1&amp;"P"&amp;$A68))</f>
        <v>0.26</v>
      </c>
      <c r="CH68" s="83">
        <f>IF(RTD("tos.rtd",,CH$2,"."&amp;$A$43&amp;$AW$1&amp;"C"&amp;$A68)="N/A",0,RTD("tos.rtd",,CH$2,"."&amp;$A$43&amp;$AW$1&amp;"C"&amp;$A68))</f>
        <v>0</v>
      </c>
      <c r="CI68" s="83">
        <f>-IF(RTD("tos.rtd",,CI$2,"."&amp;$A$43&amp;$AW$1&amp;"P"&amp;$A68)="N/A",0,RTD("tos.rtd",,CI$2,"."&amp;$A$43&amp;$AW$1&amp;"P"&amp;$A68))</f>
        <v>0</v>
      </c>
      <c r="CK68" s="83">
        <f t="shared" si="376"/>
        <v>183232</v>
      </c>
      <c r="CL68" s="83"/>
      <c r="CM68" s="83">
        <f t="shared" si="377"/>
        <v>23226</v>
      </c>
      <c r="CN68" s="83"/>
      <c r="CO68" s="83">
        <f t="shared" si="378"/>
        <v>0</v>
      </c>
      <c r="CP68" s="83">
        <f t="shared" si="379"/>
        <v>206458</v>
      </c>
      <c r="CQ68" s="83">
        <f t="shared" si="380"/>
        <v>-12733</v>
      </c>
      <c r="CR68" s="83"/>
      <c r="CS68" s="83">
        <f t="shared" si="381"/>
        <v>-1404</v>
      </c>
      <c r="CT68" s="83"/>
      <c r="CU68" s="83">
        <f t="shared" si="382"/>
        <v>0</v>
      </c>
      <c r="CV68" s="83"/>
      <c r="CW68" s="83" t="e">
        <f t="shared" ca="1" si="383"/>
        <v>#NUM!</v>
      </c>
      <c r="CY68" s="83" t="e">
        <f t="shared" ca="1" si="384"/>
        <v>#NUM!</v>
      </c>
      <c r="CZ68" s="70" t="e">
        <f t="shared" ca="1" si="291"/>
        <v>#NUM!</v>
      </c>
      <c r="DA68" s="83">
        <f>IF(RTD("tos.rtd",,DA$43,"."&amp;$A$43&amp;$AS$42&amp;"C"&amp;$A68)="N/A",0,RTD("tos.rtd",,DA$43,"."&amp;$A$43&amp;$AS$42&amp;"C"&amp;$A68))</f>
        <v>9.9499999999999993</v>
      </c>
      <c r="DB68" s="83">
        <f>IF(RTD("tos.rtd",,DB$43,"."&amp;$A$43&amp;$AS$42&amp;"P"&amp;$A68)="N/A",0,RTD("tos.rtd",,DB$43,"."&amp;$A$43&amp;$AS$42&amp;"P"&amp;$A68))</f>
        <v>0.02</v>
      </c>
      <c r="DC68" s="83">
        <f>IF(RTD("tos.rtd",,DC$43,"."&amp;$A$43&amp;$AS$42&amp;"C"&amp;$A68)="N/A",0,RTD("tos.rtd",,DC$43,"."&amp;$A$43&amp;$AS$42&amp;"C"&amp;$A68))</f>
        <v>10.1</v>
      </c>
      <c r="DD68" s="83">
        <f>IF(RTD("tos.rtd",,DD$43,"."&amp;$A$43&amp;$AS$42&amp;"P"&amp;$A68)="N/A",0,RTD("tos.rtd",,DD$43,"."&amp;$A$43&amp;$AS$42&amp;"P"&amp;$A68))</f>
        <v>0.02</v>
      </c>
      <c r="DE68" s="83">
        <f>IF(RTD("tos.rtd",,DE$43,"."&amp;$A$43&amp;$AS$42&amp;"C"&amp;$A68)="N/A",0,RTD("tos.rtd",,DE$43,"."&amp;$A$43&amp;$AS$42&amp;"C"&amp;$A68))</f>
        <v>9.77</v>
      </c>
      <c r="DF68" s="83">
        <f>IF(RTD("tos.rtd",,DF$43,"."&amp;$A$43&amp;$AS$42&amp;"P"&amp;$A68)="N/A",0,RTD("tos.rtd",,DF$43,"."&amp;$A$43&amp;$AS$42&amp;"P"&amp;$A68))</f>
        <v>0.01</v>
      </c>
      <c r="DG68" s="86">
        <f t="shared" si="285"/>
        <v>-9.9599999999999795</v>
      </c>
      <c r="DH68" s="83">
        <f t="shared" si="385"/>
        <v>0</v>
      </c>
      <c r="DI68" s="83">
        <f t="shared" si="386"/>
        <v>-2</v>
      </c>
      <c r="DJ68" s="83">
        <f t="shared" si="387"/>
        <v>0</v>
      </c>
      <c r="DK68" s="83">
        <f t="shared" si="254"/>
        <v>-2</v>
      </c>
      <c r="DL68" s="83">
        <f t="shared" si="255"/>
        <v>-2</v>
      </c>
      <c r="DM68" s="83">
        <f t="shared" si="256"/>
        <v>-2</v>
      </c>
      <c r="DN68" s="64" t="str">
        <f t="shared" si="257"/>
        <v>UNKNOWN</v>
      </c>
      <c r="DO68" s="64" t="str">
        <f t="shared" si="258"/>
        <v>BUY</v>
      </c>
      <c r="DP68" s="83">
        <f t="shared" si="259"/>
        <v>-0.04</v>
      </c>
      <c r="DQ68" s="83">
        <f t="shared" si="260"/>
        <v>-0.04</v>
      </c>
      <c r="DR68" s="83" t="e">
        <f t="shared" ca="1" si="261"/>
        <v>#NUM!</v>
      </c>
      <c r="DS68" s="83">
        <f t="shared" si="262"/>
        <v>-0.02</v>
      </c>
      <c r="DT68" s="83">
        <f t="shared" si="286"/>
        <v>0</v>
      </c>
      <c r="DU68" s="83">
        <f t="shared" si="287"/>
        <v>-2</v>
      </c>
      <c r="DV68" s="83">
        <f t="shared" si="263"/>
        <v>-175</v>
      </c>
      <c r="DW68" s="83">
        <f t="shared" si="264"/>
        <v>1373</v>
      </c>
      <c r="DX68" s="83" t="e">
        <f t="shared" ca="1" si="388"/>
        <v>#NUM!</v>
      </c>
      <c r="DY68" s="83" t="e">
        <f t="shared" ca="1" si="389"/>
        <v>#NUM!</v>
      </c>
      <c r="DZ68" s="83">
        <f t="shared" ca="1" si="390"/>
        <v>1.7323929799307809E-2</v>
      </c>
      <c r="EA68" s="83">
        <f t="shared" ca="1" si="391"/>
        <v>-1.7309064587771636E-2</v>
      </c>
      <c r="EB68" s="83">
        <f t="shared" ca="1" si="392"/>
        <v>1.7244835078102642E-2</v>
      </c>
      <c r="EC68" s="83">
        <f t="shared" ca="1" si="393"/>
        <v>-1.7244835078102642E-2</v>
      </c>
      <c r="EE68" s="84">
        <f t="shared" si="394"/>
        <v>0.25</v>
      </c>
      <c r="EF68" s="84">
        <f t="shared" si="395"/>
        <v>1.1729000000000001</v>
      </c>
      <c r="EG68" s="84">
        <f t="shared" si="396"/>
        <v>0.24840000000000001</v>
      </c>
      <c r="EH68" s="84">
        <f t="shared" si="397"/>
        <v>0.2487</v>
      </c>
      <c r="EI68" s="84">
        <f t="shared" si="398"/>
        <v>0.25</v>
      </c>
      <c r="EJ68" s="84">
        <f t="shared" si="399"/>
        <v>0.25</v>
      </c>
      <c r="EL68" s="83" t="str">
        <f>RTD("tos.rtd",,EL$43,"."&amp;$A$43&amp;$AS$42&amp;"C"&amp;$A68)</f>
        <v>--</v>
      </c>
      <c r="EM68" s="83" t="str">
        <f>RTD("tos.rtd",,EM$43,"."&amp;$A$43&amp;$AS$42&amp;"P"&amp;$A68)</f>
        <v>117.29%</v>
      </c>
      <c r="EN68" s="83" t="str">
        <f>RTD("tos.rtd",,EN$2,"."&amp;$A$43&amp;$AU$1&amp;"C"&amp;$A68)</f>
        <v>24.84%</v>
      </c>
      <c r="EO68" s="83" t="str">
        <f>RTD("tos.rtd",,EO$2,"."&amp;$A$43&amp;$AU$1&amp;"P"&amp;$A68)</f>
        <v>24.87%</v>
      </c>
      <c r="EP68" s="83" t="str">
        <f>RTD("tos.rtd",,EP$2,"."&amp;$A$43&amp;$AW$1&amp;"C"&amp;$A68)</f>
        <v>N/A</v>
      </c>
      <c r="EQ68" s="83" t="str">
        <f>RTD("tos.rtd",,EQ$2,"."&amp;$A$43&amp;$AW$1&amp;"P"&amp;$A68)</f>
        <v>N/A</v>
      </c>
      <c r="ET68" s="64" t="str">
        <f t="shared" ca="1" si="271"/>
        <v>479,00.00</v>
      </c>
      <c r="EU68" s="68">
        <v>560.74</v>
      </c>
      <c r="EV68" s="68" t="s">
        <v>563</v>
      </c>
      <c r="EW68" s="68">
        <v>482.81</v>
      </c>
      <c r="EX68" s="68" t="s">
        <v>564</v>
      </c>
      <c r="EY68" s="68">
        <v>5622.5</v>
      </c>
      <c r="EZ68" s="68" t="s">
        <v>565</v>
      </c>
      <c r="FA68" s="68">
        <v>19837</v>
      </c>
      <c r="FB68" s="68" t="s">
        <v>566</v>
      </c>
      <c r="FC68" s="68" t="s">
        <v>567</v>
      </c>
      <c r="FD68" s="68" t="s">
        <v>568</v>
      </c>
      <c r="FE68" s="68" t="s">
        <v>569</v>
      </c>
      <c r="FF68" s="68" t="s">
        <v>570</v>
      </c>
    </row>
    <row r="69" spans="1:162" ht="13.5" thickBot="1" x14ac:dyDescent="0.25">
      <c r="A69" s="2">
        <f t="shared" si="288"/>
        <v>478</v>
      </c>
      <c r="B69" s="3">
        <f t="shared" si="365"/>
        <v>4732</v>
      </c>
      <c r="C69" s="3">
        <f t="shared" si="239"/>
        <v>918</v>
      </c>
      <c r="D69" s="3">
        <f t="shared" si="366"/>
        <v>0</v>
      </c>
      <c r="E69" s="3">
        <f t="shared" si="367"/>
        <v>5650</v>
      </c>
      <c r="F69" s="4">
        <f t="shared" si="368"/>
        <v>19739.397905759164</v>
      </c>
      <c r="AM69" s="1">
        <v>19</v>
      </c>
      <c r="AN69" s="1">
        <v>-1616</v>
      </c>
      <c r="AO69" s="1">
        <v>478</v>
      </c>
      <c r="AP69" s="1">
        <v>448</v>
      </c>
      <c r="AQ69" s="1">
        <v>-12567</v>
      </c>
      <c r="AS69" s="6">
        <f>IF(RTD("tos.rtd",,AS$43,"."&amp;$A$43&amp;$AS$42&amp;"C"&amp;$A69)="N/A",0,RTD("tos.rtd",,AS$43,"."&amp;$A$43&amp;$AS$42&amp;"C"&amp;$A69))</f>
        <v>1352</v>
      </c>
      <c r="AT69" s="7">
        <f>-IF(RTD("tos.rtd",,AT$43,"."&amp;$A$43&amp;$AS$42&amp;"P"&amp;$A69)="N/A",0,RTD("tos.rtd",,AT$43,"."&amp;$A$43&amp;$AS$42&amp;"P"&amp;$A69))</f>
        <v>-3380</v>
      </c>
      <c r="AU69" s="6">
        <f>IF(RTD("tos.rtd",,AU$2,"."&amp;$A$43&amp;$AU$1&amp;"C"&amp;$A69)="N/A",0,RTD("tos.rtd",,AU$2,"."&amp;$A$43&amp;$AU$1&amp;"C"&amp;$A69))</f>
        <v>621</v>
      </c>
      <c r="AV69" s="7">
        <f>-IF(RTD("tos.rtd",,AV$2,"."&amp;$A$43&amp;$AU$1&amp;"P"&amp;$A69)="N/A",0,RTD("tos.rtd",,AV$2,"."&amp;$A$43&amp;$AU$1&amp;"P"&amp;$A69))</f>
        <v>-297</v>
      </c>
      <c r="AW69" s="6">
        <f>IF(RTD("tos.rtd",,AW$2,"."&amp;$A$43&amp;$AW$1&amp;"C"&amp;$A69)="N/A",0,RTD("tos.rtd",,AW$2,"."&amp;$A$43&amp;$AW$1&amp;"C"&amp;$A69))</f>
        <v>0</v>
      </c>
      <c r="AX69" s="7">
        <f>-IF(RTD("tos.rtd",,AX$2,"."&amp;$A$43&amp;$AW$1&amp;"P"&amp;$A69)="N/A",0,RTD("tos.rtd",,AX$2,"."&amp;$A$43&amp;$AW$1&amp;"P"&amp;$A69))</f>
        <v>0</v>
      </c>
      <c r="AY69" s="7">
        <f t="shared" si="369"/>
        <v>-1704</v>
      </c>
      <c r="AZ69" s="8">
        <f t="shared" si="242"/>
        <v>478</v>
      </c>
      <c r="BA69" s="6">
        <f>IF(RTD("tos.rtd",,BA$43,"."&amp;$A$43&amp;$AS$42&amp;"C"&amp;$A69)="N/A",0,RTD("tos.rtd",,BA$43,"."&amp;$A$43&amp;$AS$42&amp;"C"&amp;$A69))</f>
        <v>448</v>
      </c>
      <c r="BB69" s="7">
        <f>-IF(RTD("tos.rtd",,BB$43,"."&amp;$A$43&amp;$AS$42&amp;"P"&amp;$A69)="N/A",0,RTD("tos.rtd",,BB$43,"."&amp;$A$43&amp;$AS$42&amp;"P"&amp;$A69))</f>
        <v>-12571</v>
      </c>
      <c r="BC69" s="6">
        <f>IF(RTD("tos.rtd",,BC$2,"."&amp;$A$43&amp;$AU$1&amp;"C"&amp;$A69)="N/A",0,RTD("tos.rtd",,BC$2,"."&amp;$A$43&amp;$AU$1&amp;"C"&amp;$A69))</f>
        <v>519</v>
      </c>
      <c r="BD69" s="7">
        <f>-IF(RTD("tos.rtd",,BD$2,"."&amp;$A$43&amp;$AU$1&amp;"P"&amp;$A69)="N/A",0,RTD("tos.rtd",,BD$2,"."&amp;$A$43&amp;$AU$1&amp;"P"&amp;$A69))</f>
        <v>-811</v>
      </c>
      <c r="BE69" s="6">
        <f>IF(RTD("tos.rtd",,BE$2,"."&amp;$A$43&amp;$AW$1&amp;"C"&amp;$A69)="N/A",0,RTD("tos.rtd",,BE$2,"."&amp;$A$43&amp;$AW$1&amp;"C"&amp;$A69))</f>
        <v>0</v>
      </c>
      <c r="BF69" s="7">
        <f>-IF(RTD("tos.rtd",,BF$2,"."&amp;$A$43&amp;$AW$1&amp;"P"&amp;$A69)="N/A",0,RTD("tos.rtd",,BF$2,"."&amp;$A$43&amp;$AW$1&amp;"P"&amp;$A69))</f>
        <v>0</v>
      </c>
      <c r="BG69" s="32" t="e">
        <f ca="1">+Hoja2!Y70</f>
        <v>#N/A</v>
      </c>
      <c r="BH69" s="7" t="e">
        <f t="shared" ca="1" si="273"/>
        <v>#N/A</v>
      </c>
      <c r="BI69" s="8" t="e">
        <f t="shared" ca="1" si="289"/>
        <v>#N/A</v>
      </c>
      <c r="BJ69" s="83" t="e">
        <f ca="1">IF($BP$1=1,DX69,IF(RTD("tos.rtd",,BJ$43,"."&amp;$A$43&amp;$AS$42&amp;"C"&amp;$A69)="N/A",0,RTD("tos.rtd",,BJ$43,"."&amp;$A$43&amp;$AS$42&amp;"C"&amp;$A69)))</f>
        <v>#NUM!</v>
      </c>
      <c r="BK69" s="83" t="e">
        <f ca="1">IF($BP$1=1,DY69,-IF(RTD("tos.rtd",,BK$43,"."&amp;$A$43&amp;$AS$42&amp;"P"&amp;$A69)="N/A",0,RTD("tos.rtd",,BK$43,"."&amp;$A$43&amp;$AS$42&amp;"P"&amp;$A69)))</f>
        <v>#NUM!</v>
      </c>
      <c r="BL69" s="83">
        <f ca="1">IF($BP$1=1,DZ69,IF(RTD("tos.rtd",,BL$2,"."&amp;$A$43&amp;$AU$1&amp;"C"&amp;$A69)="N/A",0,RTD("tos.rtd",,BL$2,"."&amp;$A$43&amp;$AU$1&amp;"C"&amp;$A69)))</f>
        <v>1.6705772814459445E-2</v>
      </c>
      <c r="BM69" s="83">
        <f ca="1">IF($BP$1=1,EA69,-IF(RTD("tos.rtd",,BM$2,"."&amp;$A$43&amp;$AU$1&amp;"P"&amp;$A69)="N/A",0,RTD("tos.rtd",,BM$2,"."&amp;$A$43&amp;$AU$1&amp;"P"&amp;$A69)))</f>
        <v>-1.6692608888506773E-2</v>
      </c>
      <c r="BN69" s="83">
        <f ca="1">IF($BP$1=1,EB69,IF(RTD("tos.rtd",,BN$2,"."&amp;$A$43&amp;$AW$1&amp;"C"&amp;$A69)="N/A",0,RTD("tos.rtd",,BN$2,"."&amp;$A$43&amp;$AW$1&amp;"C"&amp;$A69)))</f>
        <v>1.6736526551510443E-2</v>
      </c>
      <c r="BO69" s="83">
        <f ca="1">IF($BP$1=1,EC69,-IF(RTD("tos.rtd",,BO$2,"."&amp;$A$43&amp;$AW$1&amp;"P"&amp;$A69)="N/A",0,RTD("tos.rtd",,BO$2,"."&amp;$A$43&amp;$AW$1&amp;"P"&amp;$A69)))</f>
        <v>-1.6736526551510443E-2</v>
      </c>
      <c r="BQ69" s="83" t="e">
        <f t="shared" ca="1" si="370"/>
        <v>#NUM!</v>
      </c>
      <c r="BR69" s="3" t="e">
        <f t="shared" ca="1" si="275"/>
        <v>#NUM!</v>
      </c>
      <c r="BS69" s="83">
        <f t="shared" ca="1" si="371"/>
        <v>1295006.1568596861</v>
      </c>
      <c r="BT69" s="3" t="str">
        <f t="shared" ca="1" si="277"/>
        <v/>
      </c>
      <c r="BU69" s="83">
        <f t="shared" ca="1" si="372"/>
        <v>0</v>
      </c>
      <c r="BV69" s="83"/>
      <c r="BX69" s="83" t="e">
        <f t="shared" ca="1" si="373"/>
        <v>#NUM!</v>
      </c>
      <c r="BY69" s="83" t="e">
        <f t="shared" ca="1" si="290"/>
        <v>#NUM!</v>
      </c>
      <c r="BZ69" s="83">
        <f t="shared" ca="1" si="374"/>
        <v>-1163709.4738675703</v>
      </c>
      <c r="CA69" s="83" t="str">
        <f t="shared" ca="1" si="290"/>
        <v/>
      </c>
      <c r="CB69" s="83">
        <f t="shared" ca="1" si="375"/>
        <v>0</v>
      </c>
      <c r="CC69" s="83" t="str">
        <f t="shared" ca="1" si="290"/>
        <v/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0.01</v>
      </c>
      <c r="CF69" s="83">
        <f>IF(RTD("tos.rtd",,CF$2,"."&amp;$A$43&amp;$AU$1&amp;"C"&amp;$A69)="N/A",0,RTD("tos.rtd",,CF$2,"."&amp;$A$43&amp;$AU$1&amp;"C"&amp;$A69))</f>
        <v>0.76</v>
      </c>
      <c r="CG69" s="83">
        <f>-IF(RTD("tos.rtd",,CG$2,"."&amp;$A$43&amp;$AU$1&amp;"P"&amp;$A69)="N/A",0,RTD("tos.rtd",,CG$2,"."&amp;$A$43&amp;$AU$1&amp;"P"&amp;$A69))</f>
        <v>0.24</v>
      </c>
      <c r="CH69" s="83">
        <f>IF(RTD("tos.rtd",,CH$2,"."&amp;$A$43&amp;$AW$1&amp;"C"&amp;$A69)="N/A",0,RTD("tos.rtd",,CH$2,"."&amp;$A$43&amp;$AW$1&amp;"C"&amp;$A69))</f>
        <v>0</v>
      </c>
      <c r="CI69" s="83">
        <f>-IF(RTD("tos.rtd",,CI$2,"."&amp;$A$43&amp;$AW$1&amp;"P"&amp;$A69)="N/A",0,RTD("tos.rtd",,CI$2,"."&amp;$A$43&amp;$AW$1&amp;"P"&amp;$A69))</f>
        <v>0</v>
      </c>
      <c r="CK69" s="83">
        <f t="shared" si="376"/>
        <v>131820</v>
      </c>
      <c r="CL69" s="83"/>
      <c r="CM69" s="83">
        <f t="shared" si="377"/>
        <v>40068</v>
      </c>
      <c r="CN69" s="83"/>
      <c r="CO69" s="83">
        <f t="shared" si="378"/>
        <v>0</v>
      </c>
      <c r="CP69" s="83">
        <f t="shared" si="379"/>
        <v>171888</v>
      </c>
      <c r="CQ69" s="83">
        <f t="shared" si="380"/>
        <v>-12123</v>
      </c>
      <c r="CR69" s="83"/>
      <c r="CS69" s="83">
        <f t="shared" si="381"/>
        <v>-292</v>
      </c>
      <c r="CT69" s="83"/>
      <c r="CU69" s="83">
        <f t="shared" si="382"/>
        <v>0</v>
      </c>
      <c r="CV69" s="83"/>
      <c r="CW69" s="83" t="e">
        <f t="shared" ca="1" si="383"/>
        <v>#NUM!</v>
      </c>
      <c r="CY69" s="83" t="e">
        <f t="shared" ca="1" si="384"/>
        <v>#NUM!</v>
      </c>
      <c r="CZ69" s="70" t="e">
        <f t="shared" ca="1" si="291"/>
        <v>#NUM!</v>
      </c>
      <c r="DA69" s="83">
        <f>IF(RTD("tos.rtd",,DA$43,"."&amp;$A$43&amp;$AS$42&amp;"C"&amp;$A69)="N/A",0,RTD("tos.rtd",,DA$43,"."&amp;$A$43&amp;$AS$42&amp;"C"&amp;$A69))</f>
        <v>10.9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11.1</v>
      </c>
      <c r="DD69" s="83">
        <f>IF(RTD("tos.rtd",,DD$43,"."&amp;$A$43&amp;$AS$42&amp;"P"&amp;$A69)="N/A",0,RTD("tos.rtd",,DD$43,"."&amp;$A$43&amp;$AS$42&amp;"P"&amp;$A69))</f>
        <v>0.02</v>
      </c>
      <c r="DE69" s="83">
        <f>IF(RTD("tos.rtd",,DE$43,"."&amp;$A$43&amp;$AS$42&amp;"C"&amp;$A69)="N/A",0,RTD("tos.rtd",,DE$43,"."&amp;$A$43&amp;$AS$42&amp;"C"&amp;$A69))</f>
        <v>10.77</v>
      </c>
      <c r="DF69" s="83">
        <f>IF(RTD("tos.rtd",,DF$43,"."&amp;$A$43&amp;$AS$42&amp;"P"&amp;$A69)="N/A",0,RTD("tos.rtd",,DF$43,"."&amp;$A$43&amp;$AS$42&amp;"P"&amp;$A69))</f>
        <v>0.01</v>
      </c>
      <c r="DG69" s="86">
        <f t="shared" si="285"/>
        <v>-10.95999999999998</v>
      </c>
      <c r="DH69" s="83">
        <f t="shared" si="385"/>
        <v>0</v>
      </c>
      <c r="DI69" s="83">
        <f t="shared" si="386"/>
        <v>0</v>
      </c>
      <c r="DJ69" s="83">
        <f t="shared" si="387"/>
        <v>0</v>
      </c>
      <c r="DK69" s="83">
        <f t="shared" si="254"/>
        <v>4</v>
      </c>
      <c r="DL69" s="83">
        <f t="shared" si="255"/>
        <v>0</v>
      </c>
      <c r="DM69" s="83">
        <f t="shared" si="256"/>
        <v>4</v>
      </c>
      <c r="DN69" s="64" t="str">
        <f t="shared" si="257"/>
        <v>UNKNOWN</v>
      </c>
      <c r="DO69" s="64" t="str">
        <f t="shared" si="258"/>
        <v>SELL</v>
      </c>
      <c r="DP69" s="83">
        <f t="shared" si="259"/>
        <v>0</v>
      </c>
      <c r="DQ69" s="83">
        <f t="shared" si="260"/>
        <v>0.04</v>
      </c>
      <c r="DR69" s="83" t="e">
        <f t="shared" ca="1" si="261"/>
        <v>#NUM!</v>
      </c>
      <c r="DS69" s="83">
        <f t="shared" si="262"/>
        <v>0.04</v>
      </c>
      <c r="DT69" s="83">
        <f t="shared" si="286"/>
        <v>0</v>
      </c>
      <c r="DU69" s="83">
        <f t="shared" si="287"/>
        <v>-4</v>
      </c>
      <c r="DV69" s="83">
        <f t="shared" si="263"/>
        <v>19</v>
      </c>
      <c r="DW69" s="83">
        <f t="shared" si="264"/>
        <v>-1612</v>
      </c>
      <c r="DX69" s="83" t="e">
        <f t="shared" ca="1" si="388"/>
        <v>#NUM!</v>
      </c>
      <c r="DY69" s="83" t="e">
        <f t="shared" ca="1" si="389"/>
        <v>#NUM!</v>
      </c>
      <c r="DZ69" s="83">
        <f t="shared" ca="1" si="390"/>
        <v>1.6705772814459445E-2</v>
      </c>
      <c r="EA69" s="83">
        <f t="shared" ca="1" si="391"/>
        <v>-1.6692608888506773E-2</v>
      </c>
      <c r="EB69" s="83">
        <f t="shared" ca="1" si="392"/>
        <v>1.6736526551510443E-2</v>
      </c>
      <c r="EC69" s="83">
        <f t="shared" ca="1" si="393"/>
        <v>-1.6736526551510443E-2</v>
      </c>
      <c r="EE69" s="84">
        <f t="shared" si="394"/>
        <v>0.25</v>
      </c>
      <c r="EF69" s="84">
        <f t="shared" si="395"/>
        <v>1.2758</v>
      </c>
      <c r="EG69" s="84">
        <f t="shared" si="396"/>
        <v>0.25069999999999998</v>
      </c>
      <c r="EH69" s="84">
        <f t="shared" si="397"/>
        <v>0.251</v>
      </c>
      <c r="EI69" s="84">
        <f t="shared" si="398"/>
        <v>0.25</v>
      </c>
      <c r="EJ69" s="84">
        <f t="shared" si="399"/>
        <v>0.25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127.58%</v>
      </c>
      <c r="EN69" s="83" t="str">
        <f>RTD("tos.rtd",,EN$2,"."&amp;$A$43&amp;$AU$1&amp;"C"&amp;$A69)</f>
        <v>25.07%</v>
      </c>
      <c r="EO69" s="83" t="str">
        <f>RTD("tos.rtd",,EO$2,"."&amp;$A$43&amp;$AU$1&amp;"P"&amp;$A69)</f>
        <v>25.10%</v>
      </c>
      <c r="EP69" s="83" t="str">
        <f>RTD("tos.rtd",,EP$2,"."&amp;$A$43&amp;$AW$1&amp;"C"&amp;$A69)</f>
        <v>N/A</v>
      </c>
      <c r="EQ69" s="83" t="str">
        <f>RTD("tos.rtd",,EQ$2,"."&amp;$A$43&amp;$AW$1&amp;"P"&amp;$A69)</f>
        <v>N/A</v>
      </c>
      <c r="ET69" s="64" t="str">
        <f t="shared" ca="1" si="271"/>
        <v>478,00.00</v>
      </c>
      <c r="EU69" s="68">
        <v>560.69000000000005</v>
      </c>
      <c r="EV69" s="68" t="s">
        <v>571</v>
      </c>
      <c r="EW69" s="68">
        <v>482.77</v>
      </c>
      <c r="EX69" s="68" t="s">
        <v>572</v>
      </c>
      <c r="EY69" s="68">
        <v>5622.25</v>
      </c>
      <c r="EZ69" s="68" t="s">
        <v>573</v>
      </c>
      <c r="FA69" s="68">
        <v>19836</v>
      </c>
      <c r="FB69" s="68" t="s">
        <v>574</v>
      </c>
      <c r="FC69" s="68" t="s">
        <v>575</v>
      </c>
      <c r="FD69" s="68" t="s">
        <v>576</v>
      </c>
      <c r="FE69" s="68" t="s">
        <v>577</v>
      </c>
      <c r="FF69" s="68" t="s">
        <v>578</v>
      </c>
    </row>
    <row r="70" spans="1:162" ht="13.5" thickBot="1" x14ac:dyDescent="0.25">
      <c r="A70" s="2">
        <f t="shared" si="288"/>
        <v>477</v>
      </c>
      <c r="B70" s="3">
        <f t="shared" si="238"/>
        <v>7583</v>
      </c>
      <c r="C70" s="3">
        <f t="shared" si="239"/>
        <v>1289</v>
      </c>
      <c r="D70" s="3">
        <f t="shared" si="240"/>
        <v>0</v>
      </c>
      <c r="E70" s="3">
        <f t="shared" si="241"/>
        <v>8872</v>
      </c>
      <c r="F70" s="4">
        <f t="shared" si="292"/>
        <v>19698.10209424084</v>
      </c>
      <c r="AM70" s="1">
        <v>131</v>
      </c>
      <c r="AN70" s="1">
        <v>-392</v>
      </c>
      <c r="AO70" s="1">
        <v>477</v>
      </c>
      <c r="AP70" s="1">
        <v>725</v>
      </c>
      <c r="AQ70" s="1">
        <v>-7852</v>
      </c>
      <c r="AS70" s="6">
        <f>IF(RTD("tos.rtd",,AS$43,"."&amp;$A$43&amp;$AS$42&amp;"C"&amp;$A70)="N/A",0,RTD("tos.rtd",,AS$43,"."&amp;$A$43&amp;$AS$42&amp;"C"&amp;$A70))</f>
        <v>4148</v>
      </c>
      <c r="AT70" s="7">
        <f>-IF(RTD("tos.rtd",,AT$43,"."&amp;$A$43&amp;$AS$42&amp;"P"&amp;$A70)="N/A",0,RTD("tos.rtd",,AT$43,"."&amp;$A$43&amp;$AS$42&amp;"P"&amp;$A70))</f>
        <v>-3435</v>
      </c>
      <c r="AU70" s="6">
        <f>IF(RTD("tos.rtd",,AU$2,"."&amp;$A$43&amp;$AU$1&amp;"C"&amp;$A70)="N/A",0,RTD("tos.rtd",,AU$2,"."&amp;$A$43&amp;$AU$1&amp;"C"&amp;$A70))</f>
        <v>899</v>
      </c>
      <c r="AV70" s="7">
        <f>-IF(RTD("tos.rtd",,AV$2,"."&amp;$A$43&amp;$AU$1&amp;"P"&amp;$A70)="N/A",0,RTD("tos.rtd",,AV$2,"."&amp;$A$43&amp;$AU$1&amp;"P"&amp;$A70))</f>
        <v>-390</v>
      </c>
      <c r="AW70" s="6">
        <f>IF(RTD("tos.rtd",,AW$2,"."&amp;$A$43&amp;$AW$1&amp;"C"&amp;$A70)="N/A",0,RTD("tos.rtd",,AW$2,"."&amp;$A$43&amp;$AW$1&amp;"C"&amp;$A70))</f>
        <v>0</v>
      </c>
      <c r="AX70" s="7">
        <f>-IF(RTD("tos.rtd",,AX$2,"."&amp;$A$43&amp;$AW$1&amp;"P"&amp;$A70)="N/A",0,RTD("tos.rtd",,AX$2,"."&amp;$A$43&amp;$AW$1&amp;"P"&amp;$A70))</f>
        <v>0</v>
      </c>
      <c r="AY70" s="7">
        <f t="shared" si="272"/>
        <v>1222</v>
      </c>
      <c r="AZ70" s="8">
        <f t="shared" si="242"/>
        <v>477</v>
      </c>
      <c r="BA70" s="6">
        <f>IF(RTD("tos.rtd",,BA$43,"."&amp;$A$43&amp;$AS$42&amp;"C"&amp;$A70)="N/A",0,RTD("tos.rtd",,BA$43,"."&amp;$A$43&amp;$AS$42&amp;"C"&amp;$A70))</f>
        <v>725</v>
      </c>
      <c r="BB70" s="7">
        <f>-IF(RTD("tos.rtd",,BB$43,"."&amp;$A$43&amp;$AS$42&amp;"P"&amp;$A70)="N/A",0,RTD("tos.rtd",,BB$43,"."&amp;$A$43&amp;$AS$42&amp;"P"&amp;$A70))</f>
        <v>-7856</v>
      </c>
      <c r="BC70" s="6">
        <f>IF(RTD("tos.rtd",,BC$2,"."&amp;$A$43&amp;$AU$1&amp;"C"&amp;$A70)="N/A",0,RTD("tos.rtd",,BC$2,"."&amp;$A$43&amp;$AU$1&amp;"C"&amp;$A70))</f>
        <v>499</v>
      </c>
      <c r="BD70" s="7">
        <f>-IF(RTD("tos.rtd",,BD$2,"."&amp;$A$43&amp;$AU$1&amp;"P"&amp;$A70)="N/A",0,RTD("tos.rtd",,BD$2,"."&amp;$A$43&amp;$AU$1&amp;"P"&amp;$A70))</f>
        <v>-494</v>
      </c>
      <c r="BE70" s="6">
        <f>IF(RTD("tos.rtd",,BE$2,"."&amp;$A$43&amp;$AW$1&amp;"C"&amp;$A70)="N/A",0,RTD("tos.rtd",,BE$2,"."&amp;$A$43&amp;$AW$1&amp;"C"&amp;$A70))</f>
        <v>0</v>
      </c>
      <c r="BF70" s="7">
        <f>-IF(RTD("tos.rtd",,BF$2,"."&amp;$A$43&amp;$AW$1&amp;"P"&amp;$A70)="N/A",0,RTD("tos.rtd",,BF$2,"."&amp;$A$43&amp;$AW$1&amp;"P"&amp;$A70))</f>
        <v>0</v>
      </c>
      <c r="BG70" s="32" t="e">
        <f ca="1">+Hoja2!Y71</f>
        <v>#N/A</v>
      </c>
      <c r="BH70" s="7" t="e">
        <f t="shared" ca="1" si="273"/>
        <v>#N/A</v>
      </c>
      <c r="BI70" s="8" t="e">
        <f t="shared" ca="1" si="289"/>
        <v>#N/A</v>
      </c>
      <c r="BJ70" s="83" t="e">
        <f ca="1">IF($BP$1=1,DX70,IF(RTD("tos.rtd",,BJ$43,"."&amp;$A$43&amp;$AS$42&amp;"C"&amp;$A70)="N/A",0,RTD("tos.rtd",,BJ$43,"."&amp;$A$43&amp;$AS$42&amp;"C"&amp;$A70)))</f>
        <v>#NUM!</v>
      </c>
      <c r="BK70" s="83" t="e">
        <f ca="1">IF($BP$1=1,DY70,-IF(RTD("tos.rtd",,BK$43,"."&amp;$A$43&amp;$AS$42&amp;"P"&amp;$A70)="N/A",0,RTD("tos.rtd",,BK$43,"."&amp;$A$43&amp;$AS$42&amp;"P"&amp;$A70)))</f>
        <v>#NUM!</v>
      </c>
      <c r="BL70" s="83">
        <f ca="1">IF($BP$1=1,DZ70,IF(RTD("tos.rtd",,BL$2,"."&amp;$A$43&amp;$AU$1&amp;"C"&amp;$A70)="N/A",0,RTD("tos.rtd",,BL$2,"."&amp;$A$43&amp;$AU$1&amp;"C"&amp;$A70)))</f>
        <v>1.6095267241050801E-2</v>
      </c>
      <c r="BM70" s="83">
        <f ca="1">IF($BP$1=1,EA70,-IF(RTD("tos.rtd",,BM$2,"."&amp;$A$43&amp;$AU$1&amp;"P"&amp;$A70)="N/A",0,RTD("tos.rtd",,BM$2,"."&amp;$A$43&amp;$AU$1&amp;"P"&amp;$A70)))</f>
        <v>-1.6072258268945587E-2</v>
      </c>
      <c r="BN70" s="83">
        <f ca="1">IF($BP$1=1,EB70,IF(RTD("tos.rtd",,BN$2,"."&amp;$A$43&amp;$AW$1&amp;"C"&amp;$A70)="N/A",0,RTD("tos.rtd",,BN$2,"."&amp;$A$43&amp;$AW$1&amp;"C"&amp;$A70)))</f>
        <v>1.6198986872683046E-2</v>
      </c>
      <c r="BO70" s="83">
        <f ca="1">IF($BP$1=1,EC70,-IF(RTD("tos.rtd",,BO$2,"."&amp;$A$43&amp;$AW$1&amp;"P"&amp;$A70)="N/A",0,RTD("tos.rtd",,BO$2,"."&amp;$A$43&amp;$AW$1&amp;"P"&amp;$A70)))</f>
        <v>-1.6198986872683046E-2</v>
      </c>
      <c r="BQ70" s="83" t="e">
        <f t="shared" ca="1" si="274"/>
        <v>#NUM!</v>
      </c>
      <c r="BR70" s="3" t="e">
        <f t="shared" ca="1" si="275"/>
        <v>#NUM!</v>
      </c>
      <c r="BS70" s="83">
        <f t="shared" ca="1" si="276"/>
        <v>1960821.5704686332</v>
      </c>
      <c r="BT70" s="3" t="str">
        <f t="shared" ca="1" si="277"/>
        <v/>
      </c>
      <c r="BU70" s="83">
        <f t="shared" ca="1" si="278"/>
        <v>0</v>
      </c>
      <c r="BV70" s="83"/>
      <c r="BX70" s="83" t="e">
        <f t="shared" ca="1" si="279"/>
        <v>#NUM!</v>
      </c>
      <c r="BY70" s="83" t="e">
        <f t="shared" ca="1" si="290"/>
        <v>#NUM!</v>
      </c>
      <c r="BZ70" s="83">
        <f t="shared" ca="1" si="280"/>
        <v>21957.941886456916</v>
      </c>
      <c r="CA70" s="83" t="str">
        <f t="shared" ca="1" si="290"/>
        <v>Cruce +</v>
      </c>
      <c r="CB70" s="83">
        <f t="shared" ca="1" si="281"/>
        <v>0</v>
      </c>
      <c r="CC70" s="83" t="str">
        <f t="shared" ca="1" si="290"/>
        <v/>
      </c>
      <c r="CD70" s="83">
        <f>IF(RTD("tos.rtd",,CD$43,"."&amp;$A$43&amp;$AS$42&amp;"C"&amp;$A70)="N/A",0,RTD("tos.rtd",,CD$43,"."&amp;$A$43&amp;$AS$42&amp;"C"&amp;$A70))</f>
        <v>1</v>
      </c>
      <c r="CE70" s="83">
        <f>-IF(RTD("tos.rtd",,CE$43,"."&amp;$A$43&amp;$AS$42&amp;"P"&amp;$A70)="N/A",0,RTD("tos.rtd",,CE$43,"."&amp;$A$43&amp;$AS$42&amp;"P"&amp;$A70))</f>
        <v>0.01</v>
      </c>
      <c r="CF70" s="83">
        <f>IF(RTD("tos.rtd",,CF$2,"."&amp;$A$43&amp;$AU$1&amp;"C"&amp;$A70)="N/A",0,RTD("tos.rtd",,CF$2,"."&amp;$A$43&amp;$AU$1&amp;"C"&amp;$A70))</f>
        <v>0.77</v>
      </c>
      <c r="CG70" s="83">
        <f>-IF(RTD("tos.rtd",,CG$2,"."&amp;$A$43&amp;$AU$1&amp;"P"&amp;$A70)="N/A",0,RTD("tos.rtd",,CG$2,"."&amp;$A$43&amp;$AU$1&amp;"P"&amp;$A70))</f>
        <v>0.23</v>
      </c>
      <c r="CH70" s="83">
        <f>IF(RTD("tos.rtd",,CH$2,"."&amp;$A$43&amp;$AW$1&amp;"C"&amp;$A70)="N/A",0,RTD("tos.rtd",,CH$2,"."&amp;$A$43&amp;$AW$1&amp;"C"&amp;$A70))</f>
        <v>0</v>
      </c>
      <c r="CI70" s="83">
        <f>-IF(RTD("tos.rtd",,CI$2,"."&amp;$A$43&amp;$AW$1&amp;"P"&amp;$A70)="N/A",0,RTD("tos.rtd",,CI$2,"."&amp;$A$43&amp;$AW$1&amp;"P"&amp;$A70))</f>
        <v>0</v>
      </c>
      <c r="CK70" s="83">
        <f t="shared" si="282"/>
        <v>411365</v>
      </c>
      <c r="CL70" s="83"/>
      <c r="CM70" s="83">
        <f t="shared" si="283"/>
        <v>60253</v>
      </c>
      <c r="CN70" s="83"/>
      <c r="CO70" s="83">
        <f t="shared" si="284"/>
        <v>0</v>
      </c>
      <c r="CP70" s="83">
        <f t="shared" si="232"/>
        <v>471618</v>
      </c>
      <c r="CQ70" s="83">
        <f t="shared" si="246"/>
        <v>-7131</v>
      </c>
      <c r="CR70" s="83"/>
      <c r="CS70" s="83">
        <f t="shared" si="247"/>
        <v>5</v>
      </c>
      <c r="CT70" s="83"/>
      <c r="CU70" s="83">
        <f t="shared" si="248"/>
        <v>0</v>
      </c>
      <c r="CV70" s="83"/>
      <c r="CW70" s="83" t="e">
        <f t="shared" ca="1" si="249"/>
        <v>#NUM!</v>
      </c>
      <c r="CY70" s="83" t="e">
        <f t="shared" ca="1" si="250"/>
        <v>#NUM!</v>
      </c>
      <c r="CZ70" s="70" t="e">
        <f t="shared" ca="1" si="291"/>
        <v>#NUM!</v>
      </c>
      <c r="DA70" s="83">
        <f>IF(RTD("tos.rtd",,DA$43,"."&amp;$A$43&amp;$AS$42&amp;"C"&amp;$A70)="N/A",0,RTD("tos.rtd",,DA$43,"."&amp;$A$43&amp;$AS$42&amp;"C"&amp;$A70))</f>
        <v>11.72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12.1</v>
      </c>
      <c r="DD70" s="83">
        <f>IF(RTD("tos.rtd",,DD$43,"."&amp;$A$43&amp;$AS$42&amp;"P"&amp;$A70)="N/A",0,RTD("tos.rtd",,DD$43,"."&amp;$A$43&amp;$AS$42&amp;"P"&amp;$A70))</f>
        <v>0.02</v>
      </c>
      <c r="DE70" s="83">
        <f>IF(RTD("tos.rtd",,DE$43,"."&amp;$A$43&amp;$AS$42&amp;"C"&amp;$A70)="N/A",0,RTD("tos.rtd",,DE$43,"."&amp;$A$43&amp;$AS$42&amp;"C"&amp;$A70))</f>
        <v>11.79</v>
      </c>
      <c r="DF70" s="83">
        <f>IF(RTD("tos.rtd",,DF$43,"."&amp;$A$43&amp;$AS$42&amp;"P"&amp;$A70)="N/A",0,RTD("tos.rtd",,DF$43,"."&amp;$A$43&amp;$AS$42&amp;"P"&amp;$A70))</f>
        <v>0.01</v>
      </c>
      <c r="DG70" s="86">
        <f t="shared" si="285"/>
        <v>-11.95999999999998</v>
      </c>
      <c r="DH70" s="83">
        <f t="shared" si="251"/>
        <v>0</v>
      </c>
      <c r="DI70" s="83">
        <f t="shared" si="252"/>
        <v>0</v>
      </c>
      <c r="DJ70" s="83">
        <f t="shared" si="253"/>
        <v>0</v>
      </c>
      <c r="DK70" s="83">
        <f t="shared" si="254"/>
        <v>4</v>
      </c>
      <c r="DL70" s="83">
        <f t="shared" si="255"/>
        <v>0</v>
      </c>
      <c r="DM70" s="83">
        <f t="shared" si="256"/>
        <v>4</v>
      </c>
      <c r="DN70" s="64" t="str">
        <f t="shared" si="257"/>
        <v>UNKNOWN</v>
      </c>
      <c r="DO70" s="64" t="str">
        <f t="shared" si="258"/>
        <v>SELL</v>
      </c>
      <c r="DP70" s="83">
        <f t="shared" si="259"/>
        <v>0</v>
      </c>
      <c r="DQ70" s="83">
        <f t="shared" si="260"/>
        <v>0.04</v>
      </c>
      <c r="DR70" s="83" t="e">
        <f t="shared" ca="1" si="261"/>
        <v>#NUM!</v>
      </c>
      <c r="DS70" s="83">
        <f t="shared" si="262"/>
        <v>0.04</v>
      </c>
      <c r="DT70" s="83">
        <f t="shared" si="286"/>
        <v>0</v>
      </c>
      <c r="DU70" s="83">
        <f t="shared" si="287"/>
        <v>-4</v>
      </c>
      <c r="DV70" s="83">
        <f t="shared" si="263"/>
        <v>131</v>
      </c>
      <c r="DW70" s="83">
        <f t="shared" si="264"/>
        <v>-388</v>
      </c>
      <c r="DX70" s="83" t="e">
        <f t="shared" ref="DX70:DX79" ca="1" si="400">(EXP(-POWER((LN($A$44/$A70)+($EC$1+POWER($EE70,2)/2)*($EM$1/$DY$1))/($EE70*SQRT($EM$1/$DY$1)),2)/2)/SQRT(2*PI())/($A$44*$EE70*SQRT($EM$1/$DY$1)))</f>
        <v>#NUM!</v>
      </c>
      <c r="DY70" s="83" t="e">
        <f t="shared" ref="DY70:DY79" ca="1" si="401">-(EXP(-POWER((LN($A$44/$A70)+($EC$1+POWER($EF70,2)/2)*($EM$1/$DY$1))/($EF70*SQRT($EM$1/$DY$1)),2)/2)/SQRT(2*PI())/($A$44*$EF70*SQRT($EM$1/$DY$1)))</f>
        <v>#NUM!</v>
      </c>
      <c r="DZ70" s="83">
        <f t="shared" ref="DZ70:DZ79" ca="1" si="402">(EXP(-POWER((LN($A$44/$A70)+($EC$1+POWER($EG70,2)/2)*($EO$1/$DY$1))/($EG70*SQRT($EO$1/$DY$1)),2)/2)/SQRT(2*PI())/($A$44*$EG70*SQRT($EO$1/$DY$1)))</f>
        <v>1.6095267241050801E-2</v>
      </c>
      <c r="EA70" s="83">
        <f t="shared" ref="EA70:EA79" ca="1" si="403">-(EXP(-POWER((LN($A$44/$A70)+($EC$1+POWER($EH70,2)/2)*($EO$1/$DY$1))/($EH70*SQRT($EO$1/$DY$1)),2)/2)/SQRT(2*PI())/($A$44*$EH70*SQRT($EO$1/$DY$1)))</f>
        <v>-1.6072258268945587E-2</v>
      </c>
      <c r="EB70" s="83">
        <f t="shared" ref="EB70:EB79" ca="1" si="404">(EXP(-POWER((LN($A$44/$A70)+($EC$1+POWER($EI70,2)/2)*($EO$1/$DY$1))/($EI70*SQRT($EO$1/$DY$1)),2)/2)/SQRT(2*PI())/($A$44*$EI70*SQRT($EO$1/$DY$1)))</f>
        <v>1.6198986872683046E-2</v>
      </c>
      <c r="EC70" s="83">
        <f t="shared" ref="EC70:EC79" ca="1" si="405">-(EXP(-POWER((LN($A$44/$A70)+($EC$1+POWER($EJ70,2)/2)*($EO$1/$DY$1))/($EJ70*SQRT($EO$1/$DY$1)),2)/2)/SQRT(2*PI())/($A$44*$EJ70*SQRT($EO$1/$DY$1)))</f>
        <v>-1.6198986872683046E-2</v>
      </c>
      <c r="EE70" s="84">
        <f t="shared" si="265"/>
        <v>0.25</v>
      </c>
      <c r="EF70" s="84">
        <f t="shared" si="266"/>
        <v>1.3778999999999999</v>
      </c>
      <c r="EG70" s="84">
        <f t="shared" si="267"/>
        <v>0.25269999999999998</v>
      </c>
      <c r="EH70" s="84">
        <f t="shared" si="268"/>
        <v>0.25330000000000003</v>
      </c>
      <c r="EI70" s="84">
        <f t="shared" si="269"/>
        <v>0.25</v>
      </c>
      <c r="EJ70" s="84">
        <f t="shared" si="270"/>
        <v>0.25</v>
      </c>
      <c r="EL70" s="83" t="str">
        <f>RTD("tos.rtd",,EL$43,"."&amp;$A$43&amp;$AS$42&amp;"C"&amp;$A70)</f>
        <v>--</v>
      </c>
      <c r="EM70" s="83" t="str">
        <f>RTD("tos.rtd",,EM$43,"."&amp;$A$43&amp;$AS$42&amp;"P"&amp;$A70)</f>
        <v>137.79%</v>
      </c>
      <c r="EN70" s="83" t="str">
        <f>RTD("tos.rtd",,EN$2,"."&amp;$A$43&amp;$AU$1&amp;"C"&amp;$A70)</f>
        <v>25.27%</v>
      </c>
      <c r="EO70" s="83" t="str">
        <f>RTD("tos.rtd",,EO$2,"."&amp;$A$43&amp;$AU$1&amp;"P"&amp;$A70)</f>
        <v>25.33%</v>
      </c>
      <c r="EP70" s="83" t="str">
        <f>RTD("tos.rtd",,EP$2,"."&amp;$A$43&amp;$AW$1&amp;"C"&amp;$A70)</f>
        <v>N/A</v>
      </c>
      <c r="EQ70" s="83" t="str">
        <f>RTD("tos.rtd",,EQ$2,"."&amp;$A$43&amp;$AW$1&amp;"P"&amp;$A70)</f>
        <v>N/A</v>
      </c>
      <c r="ET70" s="64" t="str">
        <f t="shared" ca="1" si="271"/>
        <v>477,00.00</v>
      </c>
      <c r="EU70" s="68">
        <v>560.55999999999995</v>
      </c>
      <c r="EV70" s="68" t="s">
        <v>579</v>
      </c>
      <c r="EW70" s="68">
        <v>482.65</v>
      </c>
      <c r="EX70" s="68" t="s">
        <v>580</v>
      </c>
      <c r="EY70" s="68">
        <v>5620.75</v>
      </c>
      <c r="EZ70" s="68" t="s">
        <v>581</v>
      </c>
      <c r="FA70" s="68">
        <v>19830.5</v>
      </c>
      <c r="FB70" s="68" t="s">
        <v>582</v>
      </c>
      <c r="FC70" s="68" t="s">
        <v>583</v>
      </c>
      <c r="FD70" s="68" t="s">
        <v>584</v>
      </c>
      <c r="FE70" s="68" t="s">
        <v>585</v>
      </c>
      <c r="FF70" s="68" t="s">
        <v>586</v>
      </c>
    </row>
    <row r="71" spans="1:162" ht="13.5" thickBot="1" x14ac:dyDescent="0.25">
      <c r="A71" s="2">
        <f t="shared" si="288"/>
        <v>476</v>
      </c>
      <c r="B71" s="3">
        <f t="shared" si="238"/>
        <v>4453</v>
      </c>
      <c r="C71" s="3">
        <f t="shared" si="239"/>
        <v>1239</v>
      </c>
      <c r="D71" s="3">
        <f t="shared" si="240"/>
        <v>0</v>
      </c>
      <c r="E71" s="3">
        <f t="shared" si="241"/>
        <v>5692</v>
      </c>
      <c r="F71" s="4">
        <f t="shared" si="292"/>
        <v>19656.806282722515</v>
      </c>
      <c r="AM71" s="1">
        <v>-37</v>
      </c>
      <c r="AN71" s="1">
        <v>2587</v>
      </c>
      <c r="AO71" s="1">
        <v>476</v>
      </c>
      <c r="AP71" s="1">
        <v>402</v>
      </c>
      <c r="AQ71" s="1">
        <v>-11993</v>
      </c>
      <c r="AS71" s="6">
        <f>IF(RTD("tos.rtd",,AS$43,"."&amp;$A$43&amp;$AS$42&amp;"C"&amp;$A71)="N/A",0,RTD("tos.rtd",,AS$43,"."&amp;$A$43&amp;$AS$42&amp;"C"&amp;$A71))</f>
        <v>1987</v>
      </c>
      <c r="AT71" s="7">
        <f>-IF(RTD("tos.rtd",,AT$43,"."&amp;$A$43&amp;$AS$42&amp;"P"&amp;$A71)="N/A",0,RTD("tos.rtd",,AT$43,"."&amp;$A$43&amp;$AS$42&amp;"P"&amp;$A71))</f>
        <v>-2466</v>
      </c>
      <c r="AU71" s="6">
        <f>IF(RTD("tos.rtd",,AU$2,"."&amp;$A$43&amp;$AU$1&amp;"C"&amp;$A71)="N/A",0,RTD("tos.rtd",,AU$2,"."&amp;$A$43&amp;$AU$1&amp;"C"&amp;$A71))</f>
        <v>798</v>
      </c>
      <c r="AV71" s="7">
        <f>-IF(RTD("tos.rtd",,AV$2,"."&amp;$A$43&amp;$AU$1&amp;"P"&amp;$A71)="N/A",0,RTD("tos.rtd",,AV$2,"."&amp;$A$43&amp;$AU$1&amp;"P"&amp;$A71))</f>
        <v>-441</v>
      </c>
      <c r="AW71" s="6">
        <f>IF(RTD("tos.rtd",,AW$2,"."&amp;$A$43&amp;$AW$1&amp;"C"&amp;$A71)="N/A",0,RTD("tos.rtd",,AW$2,"."&amp;$A$43&amp;$AW$1&amp;"C"&amp;$A71))</f>
        <v>0</v>
      </c>
      <c r="AX71" s="7">
        <f>-IF(RTD("tos.rtd",,AX$2,"."&amp;$A$43&amp;$AW$1&amp;"P"&amp;$A71)="N/A",0,RTD("tos.rtd",,AX$2,"."&amp;$A$43&amp;$AW$1&amp;"P"&amp;$A71))</f>
        <v>0</v>
      </c>
      <c r="AY71" s="7">
        <f t="shared" si="272"/>
        <v>-122</v>
      </c>
      <c r="AZ71" s="8">
        <f t="shared" si="242"/>
        <v>476</v>
      </c>
      <c r="BA71" s="6">
        <f>IF(RTD("tos.rtd",,BA$43,"."&amp;$A$43&amp;$AS$42&amp;"C"&amp;$A71)="N/A",0,RTD("tos.rtd",,BA$43,"."&amp;$A$43&amp;$AS$42&amp;"C"&amp;$A71))</f>
        <v>402</v>
      </c>
      <c r="BB71" s="7">
        <f>-IF(RTD("tos.rtd",,BB$43,"."&amp;$A$43&amp;$AS$42&amp;"P"&amp;$A71)="N/A",0,RTD("tos.rtd",,BB$43,"."&amp;$A$43&amp;$AS$42&amp;"P"&amp;$A71))</f>
        <v>-12295</v>
      </c>
      <c r="BC71" s="6">
        <f>IF(RTD("tos.rtd",,BC$2,"."&amp;$A$43&amp;$AU$1&amp;"C"&amp;$A71)="N/A",0,RTD("tos.rtd",,BC$2,"."&amp;$A$43&amp;$AU$1&amp;"C"&amp;$A71))</f>
        <v>199</v>
      </c>
      <c r="BD71" s="7">
        <f>-IF(RTD("tos.rtd",,BD$2,"."&amp;$A$43&amp;$AU$1&amp;"P"&amp;$A71)="N/A",0,RTD("tos.rtd",,BD$2,"."&amp;$A$43&amp;$AU$1&amp;"P"&amp;$A71))</f>
        <v>-431</v>
      </c>
      <c r="BE71" s="6">
        <f>IF(RTD("tos.rtd",,BE$2,"."&amp;$A$43&amp;$AW$1&amp;"C"&amp;$A71)="N/A",0,RTD("tos.rtd",,BE$2,"."&amp;$A$43&amp;$AW$1&amp;"C"&amp;$A71))</f>
        <v>0</v>
      </c>
      <c r="BF71" s="7">
        <f>-IF(RTD("tos.rtd",,BF$2,"."&amp;$A$43&amp;$AW$1&amp;"P"&amp;$A71)="N/A",0,RTD("tos.rtd",,BF$2,"."&amp;$A$43&amp;$AW$1&amp;"P"&amp;$A71))</f>
        <v>0</v>
      </c>
      <c r="BG71" s="32" t="e">
        <f ca="1">+Hoja2!Y72</f>
        <v>#N/A</v>
      </c>
      <c r="BH71" s="7" t="e">
        <f t="shared" ca="1" si="273"/>
        <v>#N/A</v>
      </c>
      <c r="BI71" s="8" t="e">
        <f t="shared" ca="1" si="289"/>
        <v>#N/A</v>
      </c>
      <c r="BJ71" s="83" t="e">
        <f ca="1">IF($BP$1=1,DX71,IF(RTD("tos.rtd",,BJ$43,"."&amp;$A$43&amp;$AS$42&amp;"C"&amp;$A71)="N/A",0,RTD("tos.rtd",,BJ$43,"."&amp;$A$43&amp;$AS$42&amp;"C"&amp;$A71)))</f>
        <v>#NUM!</v>
      </c>
      <c r="BK71" s="83" t="e">
        <f ca="1">IF($BP$1=1,DY71,-IF(RTD("tos.rtd",,BK$43,"."&amp;$A$43&amp;$AS$42&amp;"P"&amp;$A71)="N/A",0,RTD("tos.rtd",,BK$43,"."&amp;$A$43&amp;$AS$42&amp;"P"&amp;$A71)))</f>
        <v>#NUM!</v>
      </c>
      <c r="BL71" s="83">
        <f ca="1">IF($BP$1=1,DZ71,IF(RTD("tos.rtd",,BL$2,"."&amp;$A$43&amp;$AU$1&amp;"C"&amp;$A71)="N/A",0,RTD("tos.rtd",,BL$2,"."&amp;$A$43&amp;$AU$1&amp;"C"&amp;$A71)))</f>
        <v>1.5471220635813045E-2</v>
      </c>
      <c r="BM71" s="83">
        <f ca="1">IF($BP$1=1,EA71,-IF(RTD("tos.rtd",,BM$2,"."&amp;$A$43&amp;$AU$1&amp;"P"&amp;$A71)="N/A",0,RTD("tos.rtd",,BM$2,"."&amp;$A$43&amp;$AU$1&amp;"P"&amp;$A71)))</f>
        <v>-1.5454733162803219E-2</v>
      </c>
      <c r="BN71" s="83">
        <f ca="1">IF($BP$1=1,EB71,IF(RTD("tos.rtd",,BN$2,"."&amp;$A$43&amp;$AW$1&amp;"C"&amp;$A71)="N/A",0,RTD("tos.rtd",,BN$2,"."&amp;$A$43&amp;$AW$1&amp;"C"&amp;$A71)))</f>
        <v>1.5635767894798914E-2</v>
      </c>
      <c r="BO71" s="83">
        <f ca="1">IF($BP$1=1,EC71,-IF(RTD("tos.rtd",,BO$2,"."&amp;$A$43&amp;$AW$1&amp;"P"&amp;$A71)="N/A",0,RTD("tos.rtd",,BO$2,"."&amp;$A$43&amp;$AW$1&amp;"P"&amp;$A71)))</f>
        <v>-1.5635767894798914E-2</v>
      </c>
      <c r="BQ71" s="83" t="e">
        <f t="shared" ca="1" si="274"/>
        <v>#NUM!</v>
      </c>
      <c r="BR71" s="3" t="e">
        <f t="shared" ca="1" si="275"/>
        <v>#NUM!</v>
      </c>
      <c r="BS71" s="83">
        <f t="shared" ca="1" si="276"/>
        <v>1322241.5673993167</v>
      </c>
      <c r="BT71" s="3" t="str">
        <f t="shared" ca="1" si="277"/>
        <v/>
      </c>
      <c r="BU71" s="83">
        <f t="shared" ca="1" si="278"/>
        <v>0</v>
      </c>
      <c r="BV71" s="83"/>
      <c r="BX71" s="83" t="e">
        <f t="shared" ca="1" si="279"/>
        <v>#NUM!</v>
      </c>
      <c r="BY71" s="83" t="e">
        <f t="shared" ca="1" si="290"/>
        <v>#NUM!</v>
      </c>
      <c r="BZ71" s="83">
        <f t="shared" ca="1" si="280"/>
        <v>-856443.20137389388</v>
      </c>
      <c r="CA71" s="83" t="str">
        <f t="shared" ca="1" si="290"/>
        <v>Cruce -</v>
      </c>
      <c r="CB71" s="83">
        <f t="shared" ca="1" si="281"/>
        <v>0</v>
      </c>
      <c r="CC71" s="83" t="str">
        <f t="shared" ca="1" si="290"/>
        <v/>
      </c>
      <c r="CD71" s="83">
        <f>IF(RTD("tos.rtd",,CD$43,"."&amp;$A$43&amp;$AS$42&amp;"C"&amp;$A71)="N/A",0,RTD("tos.rtd",,CD$43,"."&amp;$A$43&amp;$AS$42&amp;"C"&amp;$A71))</f>
        <v>1</v>
      </c>
      <c r="CE71" s="83">
        <f>-IF(RTD("tos.rtd",,CE$43,"."&amp;$A$43&amp;$AS$42&amp;"P"&amp;$A71)="N/A",0,RTD("tos.rtd",,CE$43,"."&amp;$A$43&amp;$AS$42&amp;"P"&amp;$A71))</f>
        <v>0</v>
      </c>
      <c r="CF71" s="83">
        <f>IF(RTD("tos.rtd",,CF$2,"."&amp;$A$43&amp;$AU$1&amp;"C"&amp;$A71)="N/A",0,RTD("tos.rtd",,CF$2,"."&amp;$A$43&amp;$AU$1&amp;"C"&amp;$A71))</f>
        <v>0.79</v>
      </c>
      <c r="CG71" s="83">
        <f>-IF(RTD("tos.rtd",,CG$2,"."&amp;$A$43&amp;$AU$1&amp;"P"&amp;$A71)="N/A",0,RTD("tos.rtd",,CG$2,"."&amp;$A$43&amp;$AU$1&amp;"P"&amp;$A71))</f>
        <v>0.21</v>
      </c>
      <c r="CH71" s="83">
        <f>IF(RTD("tos.rtd",,CH$2,"."&amp;$A$43&amp;$AW$1&amp;"C"&amp;$A71)="N/A",0,RTD("tos.rtd",,CH$2,"."&amp;$A$43&amp;$AW$1&amp;"C"&amp;$A71))</f>
        <v>0</v>
      </c>
      <c r="CI71" s="83">
        <f>-IF(RTD("tos.rtd",,CI$2,"."&amp;$A$43&amp;$AW$1&amp;"P"&amp;$A71)="N/A",0,RTD("tos.rtd",,CI$2,"."&amp;$A$43&amp;$AW$1&amp;"P"&amp;$A71))</f>
        <v>0</v>
      </c>
      <c r="CK71" s="83">
        <f t="shared" si="282"/>
        <v>198700</v>
      </c>
      <c r="CL71" s="83"/>
      <c r="CM71" s="83">
        <f t="shared" si="283"/>
        <v>53781.000000000007</v>
      </c>
      <c r="CN71" s="83"/>
      <c r="CO71" s="83">
        <f t="shared" si="284"/>
        <v>0</v>
      </c>
      <c r="CP71" s="83">
        <f t="shared" si="232"/>
        <v>252481</v>
      </c>
      <c r="CQ71" s="83">
        <f t="shared" si="246"/>
        <v>-11893</v>
      </c>
      <c r="CR71" s="83"/>
      <c r="CS71" s="83">
        <f t="shared" si="247"/>
        <v>-232</v>
      </c>
      <c r="CT71" s="83"/>
      <c r="CU71" s="83">
        <f t="shared" si="248"/>
        <v>0</v>
      </c>
      <c r="CV71" s="83"/>
      <c r="CW71" s="83" t="e">
        <f t="shared" ca="1" si="249"/>
        <v>#NUM!</v>
      </c>
      <c r="CY71" s="83" t="e">
        <f t="shared" ca="1" si="250"/>
        <v>#NUM!</v>
      </c>
      <c r="CZ71" s="70" t="e">
        <f t="shared" ca="1" si="291"/>
        <v>#NUM!</v>
      </c>
      <c r="DA71" s="83">
        <f>IF(RTD("tos.rtd",,DA$43,"."&amp;$A$43&amp;$AS$42&amp;"C"&amp;$A71)="N/A",0,RTD("tos.rtd",,DA$43,"."&amp;$A$43&amp;$AS$42&amp;"C"&amp;$A71))</f>
        <v>13.03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13.07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12.77</v>
      </c>
      <c r="DF71" s="83">
        <f>IF(RTD("tos.rtd",,DF$43,"."&amp;$A$43&amp;$AS$42&amp;"P"&amp;$A71)="N/A",0,RTD("tos.rtd",,DF$43,"."&amp;$A$43&amp;$AS$42&amp;"P"&amp;$A71))</f>
        <v>0</v>
      </c>
      <c r="DG71" s="86">
        <f t="shared" si="285"/>
        <v>-12.95999999999998</v>
      </c>
      <c r="DH71" s="83">
        <f t="shared" si="251"/>
        <v>0</v>
      </c>
      <c r="DI71" s="83">
        <f t="shared" si="252"/>
        <v>-302</v>
      </c>
      <c r="DJ71" s="83">
        <f t="shared" si="253"/>
        <v>0</v>
      </c>
      <c r="DK71" s="83">
        <f t="shared" si="254"/>
        <v>-302</v>
      </c>
      <c r="DL71" s="83">
        <f t="shared" si="255"/>
        <v>-302</v>
      </c>
      <c r="DM71" s="83">
        <f t="shared" si="256"/>
        <v>-302</v>
      </c>
      <c r="DN71" s="64" t="str">
        <f t="shared" si="257"/>
        <v>UNKNOWN</v>
      </c>
      <c r="DO71" s="64" t="str">
        <f t="shared" si="258"/>
        <v>BUY</v>
      </c>
      <c r="DP71" s="83">
        <f t="shared" si="259"/>
        <v>-3.02</v>
      </c>
      <c r="DQ71" s="83">
        <f t="shared" si="260"/>
        <v>-3.02</v>
      </c>
      <c r="DR71" s="83" t="e">
        <f t="shared" ca="1" si="261"/>
        <v>#NUM!</v>
      </c>
      <c r="DS71" s="83">
        <f t="shared" si="262"/>
        <v>0</v>
      </c>
      <c r="DT71" s="83">
        <f t="shared" si="286"/>
        <v>0</v>
      </c>
      <c r="DU71" s="83">
        <f t="shared" si="287"/>
        <v>-302</v>
      </c>
      <c r="DV71" s="83">
        <f t="shared" si="263"/>
        <v>-37</v>
      </c>
      <c r="DW71" s="83">
        <f t="shared" si="264"/>
        <v>2285</v>
      </c>
      <c r="DX71" s="83" t="e">
        <f t="shared" ca="1" si="400"/>
        <v>#NUM!</v>
      </c>
      <c r="DY71" s="83" t="e">
        <f t="shared" ca="1" si="401"/>
        <v>#NUM!</v>
      </c>
      <c r="DZ71" s="83">
        <f t="shared" ca="1" si="402"/>
        <v>1.5471220635813045E-2</v>
      </c>
      <c r="EA71" s="83">
        <f t="shared" ca="1" si="403"/>
        <v>-1.5454733162803219E-2</v>
      </c>
      <c r="EB71" s="83">
        <f t="shared" ca="1" si="404"/>
        <v>1.5635767894798914E-2</v>
      </c>
      <c r="EC71" s="83">
        <f t="shared" ca="1" si="405"/>
        <v>-1.5635767894798914E-2</v>
      </c>
      <c r="EE71" s="84">
        <f t="shared" si="265"/>
        <v>0.25</v>
      </c>
      <c r="EF71" s="84">
        <f t="shared" si="266"/>
        <v>1.3149999999999999</v>
      </c>
      <c r="EG71" s="84">
        <f t="shared" si="267"/>
        <v>0.255</v>
      </c>
      <c r="EH71" s="84">
        <f t="shared" si="268"/>
        <v>0.2555</v>
      </c>
      <c r="EI71" s="84">
        <f t="shared" si="269"/>
        <v>0.25</v>
      </c>
      <c r="EJ71" s="84">
        <f t="shared" si="270"/>
        <v>0.25</v>
      </c>
      <c r="EL71" s="83" t="str">
        <f>RTD("tos.rtd",,EL$43,"."&amp;$A$43&amp;$AS$42&amp;"C"&amp;$A71)</f>
        <v>--</v>
      </c>
      <c r="EM71" s="83" t="str">
        <f>RTD("tos.rtd",,EM$43,"."&amp;$A$43&amp;$AS$42&amp;"P"&amp;$A71)</f>
        <v>131.50%</v>
      </c>
      <c r="EN71" s="83" t="str">
        <f>RTD("tos.rtd",,EN$2,"."&amp;$A$43&amp;$AU$1&amp;"C"&amp;$A71)</f>
        <v>25.50%</v>
      </c>
      <c r="EO71" s="83" t="str">
        <f>RTD("tos.rtd",,EO$2,"."&amp;$A$43&amp;$AU$1&amp;"P"&amp;$A71)</f>
        <v>25.55%</v>
      </c>
      <c r="EP71" s="83" t="str">
        <f>RTD("tos.rtd",,EP$2,"."&amp;$A$43&amp;$AW$1&amp;"C"&amp;$A71)</f>
        <v>N/A</v>
      </c>
      <c r="EQ71" s="83" t="str">
        <f>RTD("tos.rtd",,EQ$2,"."&amp;$A$43&amp;$AW$1&amp;"P"&amp;$A71)</f>
        <v>N/A</v>
      </c>
      <c r="ET71" s="64" t="str">
        <f t="shared" ca="1" si="271"/>
        <v>476,00.00</v>
      </c>
      <c r="EU71" s="68">
        <v>560.57000000000005</v>
      </c>
      <c r="EV71" s="68" t="s">
        <v>587</v>
      </c>
      <c r="EW71" s="68">
        <v>482.69</v>
      </c>
      <c r="EX71" s="68" t="s">
        <v>588</v>
      </c>
      <c r="EY71" s="68">
        <v>5621</v>
      </c>
      <c r="EZ71" s="68" t="s">
        <v>589</v>
      </c>
      <c r="FA71" s="68">
        <v>19832</v>
      </c>
      <c r="FB71" s="68" t="s">
        <v>590</v>
      </c>
      <c r="FC71" s="68" t="s">
        <v>591</v>
      </c>
      <c r="FD71" s="68" t="s">
        <v>592</v>
      </c>
      <c r="FE71" s="68" t="s">
        <v>593</v>
      </c>
      <c r="FF71" s="68" t="s">
        <v>594</v>
      </c>
    </row>
    <row r="72" spans="1:162" ht="13.5" thickBot="1" x14ac:dyDescent="0.25">
      <c r="A72" s="2">
        <f t="shared" si="288"/>
        <v>475</v>
      </c>
      <c r="B72" s="3">
        <f t="shared" si="238"/>
        <v>18342</v>
      </c>
      <c r="C72" s="3">
        <f t="shared" ref="C72:C79" si="406">+IF($A$1="ABS",AU72-AV72,AU72+AV72)</f>
        <v>5635</v>
      </c>
      <c r="D72" s="3">
        <f t="shared" si="240"/>
        <v>45269</v>
      </c>
      <c r="E72" s="3">
        <f t="shared" si="241"/>
        <v>69246</v>
      </c>
      <c r="F72" s="4">
        <f t="shared" si="292"/>
        <v>19615.51047120419</v>
      </c>
      <c r="AM72" s="1">
        <v>797</v>
      </c>
      <c r="AN72" s="1">
        <v>-272</v>
      </c>
      <c r="AO72" s="1">
        <v>475</v>
      </c>
      <c r="AP72" s="1">
        <v>1602</v>
      </c>
      <c r="AQ72" s="1">
        <v>-11553</v>
      </c>
      <c r="AS72" s="6">
        <f>IF(RTD("tos.rtd",,AS$43,"."&amp;$A$43&amp;$AS$42&amp;"C"&amp;$A72)="N/A",0,RTD("tos.rtd",,AS$43,"."&amp;$A$43&amp;$AS$42&amp;"C"&amp;$A72))</f>
        <v>3843</v>
      </c>
      <c r="AT72" s="7">
        <f>-IF(RTD("tos.rtd",,AT$43,"."&amp;$A$43&amp;$AS$42&amp;"P"&amp;$A72)="N/A",0,RTD("tos.rtd",,AT$43,"."&amp;$A$43&amp;$AS$42&amp;"P"&amp;$A72))</f>
        <v>-14499</v>
      </c>
      <c r="AU72" s="6">
        <f>IF(RTD("tos.rtd",,AU$2,"."&amp;$A$43&amp;$AU$1&amp;"C"&amp;$A72)="N/A",0,RTD("tos.rtd",,AU$2,"."&amp;$A$43&amp;$AU$1&amp;"C"&amp;$A72))</f>
        <v>4422</v>
      </c>
      <c r="AV72" s="7">
        <f>-IF(RTD("tos.rtd",,AV$2,"."&amp;$A$43&amp;$AU$1&amp;"P"&amp;$A72)="N/A",0,RTD("tos.rtd",,AV$2,"."&amp;$A$43&amp;$AU$1&amp;"P"&amp;$A72))</f>
        <v>-1213</v>
      </c>
      <c r="AW72" s="6">
        <f>IF(RTD("tos.rtd",,AW$2,"."&amp;$A$43&amp;$AW$1&amp;"C"&amp;$A72)="N/A",0,RTD("tos.rtd",,AW$2,"."&amp;$A$43&amp;$AW$1&amp;"C"&amp;$A72))</f>
        <v>29307</v>
      </c>
      <c r="AX72" s="7">
        <f>-IF(RTD("tos.rtd",,AX$2,"."&amp;$A$43&amp;$AW$1&amp;"P"&amp;$A72)="N/A",0,RTD("tos.rtd",,AX$2,"."&amp;$A$43&amp;$AW$1&amp;"P"&amp;$A72))</f>
        <v>-15962</v>
      </c>
      <c r="AY72" s="7">
        <f t="shared" si="272"/>
        <v>5898</v>
      </c>
      <c r="AZ72" s="8">
        <f t="shared" si="242"/>
        <v>475</v>
      </c>
      <c r="BA72" s="6">
        <f>IF(RTD("tos.rtd",,BA$43,"."&amp;$A$43&amp;$AS$42&amp;"C"&amp;$A72)="N/A",0,RTD("tos.rtd",,BA$43,"."&amp;$A$43&amp;$AS$42&amp;"C"&amp;$A72))</f>
        <v>1604</v>
      </c>
      <c r="BB72" s="7">
        <f>-IF(RTD("tos.rtd",,BB$43,"."&amp;$A$43&amp;$AS$42&amp;"P"&amp;$A72)="N/A",0,RTD("tos.rtd",,BB$43,"."&amp;$A$43&amp;$AS$42&amp;"P"&amp;$A72))</f>
        <v>-11553</v>
      </c>
      <c r="BC72" s="6">
        <f>IF(RTD("tos.rtd",,BC$2,"."&amp;$A$43&amp;$AU$1&amp;"C"&amp;$A72)="N/A",0,RTD("tos.rtd",,BC$2,"."&amp;$A$43&amp;$AU$1&amp;"C"&amp;$A72))</f>
        <v>884</v>
      </c>
      <c r="BD72" s="7">
        <f>-IF(RTD("tos.rtd",,BD$2,"."&amp;$A$43&amp;$AU$1&amp;"P"&amp;$A72)="N/A",0,RTD("tos.rtd",,BD$2,"."&amp;$A$43&amp;$AU$1&amp;"P"&amp;$A72))</f>
        <v>-9841</v>
      </c>
      <c r="BE72" s="6">
        <f>IF(RTD("tos.rtd",,BE$2,"."&amp;$A$43&amp;$AW$1&amp;"C"&amp;$A72)="N/A",0,RTD("tos.rtd",,BE$2,"."&amp;$A$43&amp;$AW$1&amp;"C"&amp;$A72))</f>
        <v>4124</v>
      </c>
      <c r="BF72" s="7">
        <f>-IF(RTD("tos.rtd",,BF$2,"."&amp;$A$43&amp;$AW$1&amp;"P"&amp;$A72)="N/A",0,RTD("tos.rtd",,BF$2,"."&amp;$A$43&amp;$AW$1&amp;"P"&amp;$A72))</f>
        <v>-5896</v>
      </c>
      <c r="BG72" s="32" t="e">
        <f ca="1">+Hoja2!Y73</f>
        <v>#N/A</v>
      </c>
      <c r="BH72" s="7" t="e">
        <f t="shared" ca="1" si="273"/>
        <v>#N/A</v>
      </c>
      <c r="BI72" s="8" t="e">
        <f t="shared" ca="1" si="289"/>
        <v>#N/A</v>
      </c>
      <c r="BJ72" s="83" t="e">
        <f ca="1">IF($BP$1=1,DX72,IF(RTD("tos.rtd",,BJ$43,"."&amp;$A$43&amp;$AS$42&amp;"C"&amp;$A72)="N/A",0,RTD("tos.rtd",,BJ$43,"."&amp;$A$43&amp;$AS$42&amp;"C"&amp;$A72)))</f>
        <v>#NUM!</v>
      </c>
      <c r="BK72" s="83" t="e">
        <f ca="1">IF($BP$1=1,DY72,-IF(RTD("tos.rtd",,BK$43,"."&amp;$A$43&amp;$AS$42&amp;"P"&amp;$A72)="N/A",0,RTD("tos.rtd",,BK$43,"."&amp;$A$43&amp;$AS$42&amp;"P"&amp;$A72)))</f>
        <v>#NUM!</v>
      </c>
      <c r="BL72" s="83">
        <f ca="1">IF($BP$1=1,DZ72,IF(RTD("tos.rtd",,BL$2,"."&amp;$A$43&amp;$AU$1&amp;"C"&amp;$A72)="N/A",0,RTD("tos.rtd",,BL$2,"."&amp;$A$43&amp;$AU$1&amp;"C"&amp;$A72)))</f>
        <v>1.4788587713979191E-2</v>
      </c>
      <c r="BM72" s="83">
        <f ca="1">IF($BP$1=1,EA72,-IF(RTD("tos.rtd",,BM$2,"."&amp;$A$43&amp;$AU$1&amp;"P"&amp;$A72)="N/A",0,RTD("tos.rtd",,BM$2,"."&amp;$A$43&amp;$AU$1&amp;"P"&amp;$A72)))</f>
        <v>-1.483320948526356E-2</v>
      </c>
      <c r="BN72" s="83">
        <f ca="1">IF($BP$1=1,EB72,IF(RTD("tos.rtd",,BN$2,"."&amp;$A$43&amp;$AW$1&amp;"C"&amp;$A72)="N/A",0,RTD("tos.rtd",,BN$2,"."&amp;$A$43&amp;$AW$1&amp;"C"&amp;$A72)))</f>
        <v>1.4757814481679043E-2</v>
      </c>
      <c r="BO72" s="83">
        <f ca="1">IF($BP$1=1,EC72,-IF(RTD("tos.rtd",,BO$2,"."&amp;$A$43&amp;$AW$1&amp;"P"&amp;$A72)="N/A",0,RTD("tos.rtd",,BO$2,"."&amp;$A$43&amp;$AW$1&amp;"P"&amp;$A72)))</f>
        <v>-1.4769013342196213E-2</v>
      </c>
      <c r="BQ72" s="83" t="e">
        <f t="shared" ca="1" si="274"/>
        <v>#NUM!</v>
      </c>
      <c r="BR72" s="3" t="e">
        <f t="shared" ca="1" si="275"/>
        <v>#NUM!</v>
      </c>
      <c r="BS72" s="83">
        <f t="shared" ca="1" si="276"/>
        <v>11333067.360570807</v>
      </c>
      <c r="BT72" s="3" t="str">
        <f t="shared" ca="1" si="277"/>
        <v/>
      </c>
      <c r="BU72" s="83">
        <f t="shared" ca="1" si="278"/>
        <v>47042773.827006489</v>
      </c>
      <c r="BV72" s="83"/>
      <c r="BX72" s="83" t="e">
        <f t="shared" ca="1" si="279"/>
        <v>#NUM!</v>
      </c>
      <c r="BY72" s="83" t="e">
        <f t="shared" ca="1" si="290"/>
        <v>#NUM!</v>
      </c>
      <c r="BZ72" s="83">
        <f t="shared" ca="1" si="280"/>
        <v>-31774102.324098624</v>
      </c>
      <c r="CA72" s="83" t="str">
        <f t="shared" ca="1" si="290"/>
        <v/>
      </c>
      <c r="CB72" s="83">
        <f t="shared" ca="1" si="281"/>
        <v>-6267979.9823443834</v>
      </c>
      <c r="CC72" s="83" t="str">
        <f t="shared" ca="1" si="290"/>
        <v/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</v>
      </c>
      <c r="CF72" s="83">
        <f>IF(RTD("tos.rtd",,CF$2,"."&amp;$A$43&amp;$AU$1&amp;"C"&amp;$A72)="N/A",0,RTD("tos.rtd",,CF$2,"."&amp;$A$43&amp;$AU$1&amp;"C"&amp;$A72))</f>
        <v>0.8</v>
      </c>
      <c r="CG72" s="83">
        <f>-IF(RTD("tos.rtd",,CG$2,"."&amp;$A$43&amp;$AU$1&amp;"P"&amp;$A72)="N/A",0,RTD("tos.rtd",,CG$2,"."&amp;$A$43&amp;$AU$1&amp;"P"&amp;$A72))</f>
        <v>0.2</v>
      </c>
      <c r="CH72" s="83">
        <f>IF(RTD("tos.rtd",,CH$2,"."&amp;$A$43&amp;$AW$1&amp;"C"&amp;$A72)="N/A",0,RTD("tos.rtd",,CH$2,"."&amp;$A$43&amp;$AW$1&amp;"C"&amp;$A72))</f>
        <v>0.73</v>
      </c>
      <c r="CI72" s="83">
        <f>-IF(RTD("tos.rtd",,CI$2,"."&amp;$A$43&amp;$AW$1&amp;"P"&amp;$A72)="N/A",0,RTD("tos.rtd",,CI$2,"."&amp;$A$43&amp;$AW$1&amp;"P"&amp;$A72))</f>
        <v>0.27</v>
      </c>
      <c r="CK72" s="83">
        <f t="shared" si="282"/>
        <v>384300</v>
      </c>
      <c r="CL72" s="83"/>
      <c r="CM72" s="83">
        <f t="shared" si="283"/>
        <v>329500.00000000006</v>
      </c>
      <c r="CN72" s="83"/>
      <c r="CO72" s="83">
        <f t="shared" si="284"/>
        <v>1708437</v>
      </c>
      <c r="CP72" s="83">
        <f t="shared" si="232"/>
        <v>2422237</v>
      </c>
      <c r="CQ72" s="83">
        <f t="shared" si="246"/>
        <v>-9949</v>
      </c>
      <c r="CR72" s="83"/>
      <c r="CS72" s="83">
        <f t="shared" si="247"/>
        <v>-8957</v>
      </c>
      <c r="CT72" s="83"/>
      <c r="CU72" s="83">
        <f t="shared" si="248"/>
        <v>-1772</v>
      </c>
      <c r="CV72" s="83"/>
      <c r="CW72" s="83" t="e">
        <f t="shared" ca="1" si="249"/>
        <v>#NUM!</v>
      </c>
      <c r="CY72" s="83" t="e">
        <f t="shared" ca="1" si="250"/>
        <v>#NUM!</v>
      </c>
      <c r="CZ72" s="70" t="e">
        <f t="shared" ca="1" si="291"/>
        <v>#NUM!</v>
      </c>
      <c r="DA72" s="83">
        <f>IF(RTD("tos.rtd",,DA$43,"."&amp;$A$43&amp;$AS$42&amp;"C"&amp;$A72)="N/A",0,RTD("tos.rtd",,DA$43,"."&amp;$A$43&amp;$AS$42&amp;"C"&amp;$A72))</f>
        <v>13.86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14.06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13.82</v>
      </c>
      <c r="DF72" s="83">
        <f>IF(RTD("tos.rtd",,DF$43,"."&amp;$A$43&amp;$AS$42&amp;"P"&amp;$A72)="N/A",0,RTD("tos.rtd",,DF$43,"."&amp;$A$43&amp;$AS$42&amp;"P"&amp;$A72))</f>
        <v>0</v>
      </c>
      <c r="DG72" s="86">
        <f t="shared" si="285"/>
        <v>-13.95999999999998</v>
      </c>
      <c r="DH72" s="83">
        <f t="shared" si="251"/>
        <v>0.33333333333332593</v>
      </c>
      <c r="DI72" s="83">
        <f t="shared" si="252"/>
        <v>0</v>
      </c>
      <c r="DJ72" s="83">
        <f t="shared" si="253"/>
        <v>-2</v>
      </c>
      <c r="DK72" s="83">
        <f t="shared" si="254"/>
        <v>0</v>
      </c>
      <c r="DL72" s="83">
        <f t="shared" si="255"/>
        <v>0.33333333333332593</v>
      </c>
      <c r="DM72" s="83">
        <f t="shared" si="256"/>
        <v>-2</v>
      </c>
      <c r="DN72" s="64" t="str">
        <f t="shared" si="257"/>
        <v>SELL</v>
      </c>
      <c r="DO72" s="64" t="str">
        <f t="shared" si="258"/>
        <v>UNKNOWN</v>
      </c>
      <c r="DP72" s="83">
        <f t="shared" si="259"/>
        <v>4.6199999999998971</v>
      </c>
      <c r="DQ72" s="83">
        <f t="shared" si="260"/>
        <v>-27.72</v>
      </c>
      <c r="DR72" s="83" t="e">
        <f t="shared" ca="1" si="261"/>
        <v>#NUM!</v>
      </c>
      <c r="DS72" s="83">
        <f t="shared" si="262"/>
        <v>-2</v>
      </c>
      <c r="DT72" s="83">
        <f t="shared" si="286"/>
        <v>2</v>
      </c>
      <c r="DU72" s="83">
        <f t="shared" si="287"/>
        <v>0</v>
      </c>
      <c r="DV72" s="83">
        <f t="shared" si="263"/>
        <v>795</v>
      </c>
      <c r="DW72" s="83">
        <f t="shared" si="264"/>
        <v>-272</v>
      </c>
      <c r="DX72" s="83" t="e">
        <f t="shared" ca="1" si="400"/>
        <v>#NUM!</v>
      </c>
      <c r="DY72" s="83" t="e">
        <f t="shared" ca="1" si="401"/>
        <v>#NUM!</v>
      </c>
      <c r="DZ72" s="83">
        <f t="shared" ca="1" si="402"/>
        <v>1.4788587713979191E-2</v>
      </c>
      <c r="EA72" s="83">
        <f t="shared" ca="1" si="403"/>
        <v>-1.483320948526356E-2</v>
      </c>
      <c r="EB72" s="83">
        <f t="shared" ca="1" si="404"/>
        <v>1.4757814481679043E-2</v>
      </c>
      <c r="EC72" s="83">
        <f t="shared" ca="1" si="405"/>
        <v>-1.4769013342196213E-2</v>
      </c>
      <c r="EE72" s="84">
        <f t="shared" si="265"/>
        <v>0.25</v>
      </c>
      <c r="EF72" s="84">
        <f t="shared" si="266"/>
        <v>1.4074</v>
      </c>
      <c r="EG72" s="84">
        <f t="shared" si="267"/>
        <v>0.25950000000000001</v>
      </c>
      <c r="EH72" s="84">
        <f t="shared" si="268"/>
        <v>0.25790000000000002</v>
      </c>
      <c r="EI72" s="84">
        <f t="shared" si="269"/>
        <v>0.2606</v>
      </c>
      <c r="EJ72" s="84">
        <f t="shared" si="270"/>
        <v>0.26019999999999999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140.74%</v>
      </c>
      <c r="EN72" s="83" t="str">
        <f>RTD("tos.rtd",,EN$2,"."&amp;$A$43&amp;$AU$1&amp;"C"&amp;$A72)</f>
        <v>25.95%</v>
      </c>
      <c r="EO72" s="83" t="str">
        <f>RTD("tos.rtd",,EO$2,"."&amp;$A$43&amp;$AU$1&amp;"P"&amp;$A72)</f>
        <v>25.79%</v>
      </c>
      <c r="EP72" s="83" t="str">
        <f>RTD("tos.rtd",,EP$2,"."&amp;$A$43&amp;$AW$1&amp;"C"&amp;$A72)</f>
        <v>26.06%</v>
      </c>
      <c r="EQ72" s="83" t="str">
        <f>RTD("tos.rtd",,EQ$2,"."&amp;$A$43&amp;$AW$1&amp;"P"&amp;$A72)</f>
        <v>26.02%</v>
      </c>
      <c r="ET72" s="64" t="str">
        <f t="shared" ca="1" si="271"/>
        <v>475,00.00</v>
      </c>
      <c r="EU72" s="68">
        <v>560.70000000000005</v>
      </c>
      <c r="EV72" s="68" t="s">
        <v>595</v>
      </c>
      <c r="EW72" s="68">
        <v>482.77</v>
      </c>
      <c r="EX72" s="68" t="s">
        <v>596</v>
      </c>
      <c r="EY72" s="68">
        <v>5622.25</v>
      </c>
      <c r="EZ72" s="68" t="s">
        <v>597</v>
      </c>
      <c r="FA72" s="68">
        <v>19835.75</v>
      </c>
      <c r="FB72" s="68" t="s">
        <v>598</v>
      </c>
      <c r="FC72" s="68" t="s">
        <v>599</v>
      </c>
      <c r="FD72" s="68" t="s">
        <v>600</v>
      </c>
      <c r="FE72" s="68" t="s">
        <v>601</v>
      </c>
      <c r="FF72" s="68" t="s">
        <v>602</v>
      </c>
    </row>
    <row r="73" spans="1:162" ht="13.5" thickBot="1" x14ac:dyDescent="0.25">
      <c r="A73" s="2">
        <f t="shared" si="288"/>
        <v>474</v>
      </c>
      <c r="B73" s="3">
        <f t="shared" si="238"/>
        <v>12210</v>
      </c>
      <c r="C73" s="3">
        <f t="shared" si="406"/>
        <v>988</v>
      </c>
      <c r="D73" s="3">
        <f t="shared" si="240"/>
        <v>0</v>
      </c>
      <c r="E73" s="3">
        <f t="shared" si="241"/>
        <v>13198</v>
      </c>
      <c r="F73" s="4">
        <f t="shared" si="292"/>
        <v>19574.214659685866</v>
      </c>
      <c r="AM73" s="1">
        <v>22</v>
      </c>
      <c r="AN73" s="1">
        <v>-926</v>
      </c>
      <c r="AO73" s="1">
        <v>474</v>
      </c>
      <c r="AP73" s="1">
        <v>124</v>
      </c>
      <c r="AQ73" s="1">
        <v>-5993</v>
      </c>
      <c r="AS73" s="6">
        <f>IF(RTD("tos.rtd",,AS$43,"."&amp;$A$43&amp;$AS$42&amp;"C"&amp;$A73)="N/A",0,RTD("tos.rtd",,AS$43,"."&amp;$A$43&amp;$AS$42&amp;"C"&amp;$A73))</f>
        <v>1558</v>
      </c>
      <c r="AT73" s="7">
        <f>-IF(RTD("tos.rtd",,AT$43,"."&amp;$A$43&amp;$AS$42&amp;"P"&amp;$A73)="N/A",0,RTD("tos.rtd",,AT$43,"."&amp;$A$43&amp;$AS$42&amp;"P"&amp;$A73))</f>
        <v>-10652</v>
      </c>
      <c r="AU73" s="6">
        <f>IF(RTD("tos.rtd",,AU$2,"."&amp;$A$43&amp;$AU$1&amp;"C"&amp;$A73)="N/A",0,RTD("tos.rtd",,AU$2,"."&amp;$A$43&amp;$AU$1&amp;"C"&amp;$A73))</f>
        <v>572</v>
      </c>
      <c r="AV73" s="7">
        <f>-IF(RTD("tos.rtd",,AV$2,"."&amp;$A$43&amp;$AU$1&amp;"P"&amp;$A73)="N/A",0,RTD("tos.rtd",,AV$2,"."&amp;$A$43&amp;$AU$1&amp;"P"&amp;$A73))</f>
        <v>-416</v>
      </c>
      <c r="AW73" s="6">
        <f>IF(RTD("tos.rtd",,AW$2,"."&amp;$A$43&amp;$AW$1&amp;"C"&amp;$A73)="N/A",0,RTD("tos.rtd",,AW$2,"."&amp;$A$43&amp;$AW$1&amp;"C"&amp;$A73))</f>
        <v>0</v>
      </c>
      <c r="AX73" s="7">
        <f>-IF(RTD("tos.rtd",,AX$2,"."&amp;$A$43&amp;$AW$1&amp;"P"&amp;$A73)="N/A",0,RTD("tos.rtd",,AX$2,"."&amp;$A$43&amp;$AW$1&amp;"P"&amp;$A73))</f>
        <v>0</v>
      </c>
      <c r="AY73" s="7">
        <f t="shared" si="272"/>
        <v>-8938</v>
      </c>
      <c r="AZ73" s="8">
        <f t="shared" si="242"/>
        <v>474</v>
      </c>
      <c r="BA73" s="6">
        <f>IF(RTD("tos.rtd",,BA$43,"."&amp;$A$43&amp;$AS$42&amp;"C"&amp;$A73)="N/A",0,RTD("tos.rtd",,BA$43,"."&amp;$A$43&amp;$AS$42&amp;"C"&amp;$A73))</f>
        <v>124</v>
      </c>
      <c r="BB73" s="7">
        <f>-IF(RTD("tos.rtd",,BB$43,"."&amp;$A$43&amp;$AS$42&amp;"P"&amp;$A73)="N/A",0,RTD("tos.rtd",,BB$43,"."&amp;$A$43&amp;$AS$42&amp;"P"&amp;$A73))</f>
        <v>-5994</v>
      </c>
      <c r="BC73" s="6">
        <f>IF(RTD("tos.rtd",,BC$2,"."&amp;$A$43&amp;$AU$1&amp;"C"&amp;$A73)="N/A",0,RTD("tos.rtd",,BC$2,"."&amp;$A$43&amp;$AU$1&amp;"C"&amp;$A73))</f>
        <v>169</v>
      </c>
      <c r="BD73" s="7">
        <f>-IF(RTD("tos.rtd",,BD$2,"."&amp;$A$43&amp;$AU$1&amp;"P"&amp;$A73)="N/A",0,RTD("tos.rtd",,BD$2,"."&amp;$A$43&amp;$AU$1&amp;"P"&amp;$A73))</f>
        <v>-688</v>
      </c>
      <c r="BE73" s="6">
        <f>IF(RTD("tos.rtd",,BE$2,"."&amp;$A$43&amp;$AW$1&amp;"C"&amp;$A73)="N/A",0,RTD("tos.rtd",,BE$2,"."&amp;$A$43&amp;$AW$1&amp;"C"&amp;$A73))</f>
        <v>0</v>
      </c>
      <c r="BF73" s="7">
        <f>-IF(RTD("tos.rtd",,BF$2,"."&amp;$A$43&amp;$AW$1&amp;"P"&amp;$A73)="N/A",0,RTD("tos.rtd",,BF$2,"."&amp;$A$43&amp;$AW$1&amp;"P"&amp;$A73))</f>
        <v>0</v>
      </c>
      <c r="BG73" s="32" t="e">
        <f ca="1">+Hoja2!Y74</f>
        <v>#N/A</v>
      </c>
      <c r="BH73" s="7" t="e">
        <f t="shared" ca="1" si="273"/>
        <v>#N/A</v>
      </c>
      <c r="BI73" s="8" t="e">
        <f t="shared" ca="1" si="289"/>
        <v>#N/A</v>
      </c>
      <c r="BJ73" s="83" t="e">
        <f ca="1">IF($BP$1=1,DX73,IF(RTD("tos.rtd",,BJ$43,"."&amp;$A$43&amp;$AS$42&amp;"C"&amp;$A73)="N/A",0,RTD("tos.rtd",,BJ$43,"."&amp;$A$43&amp;$AS$42&amp;"C"&amp;$A73)))</f>
        <v>#NUM!</v>
      </c>
      <c r="BK73" s="83" t="e">
        <f ca="1">IF($BP$1=1,DY73,-IF(RTD("tos.rtd",,BK$43,"."&amp;$A$43&amp;$AS$42&amp;"P"&amp;$A73)="N/A",0,RTD("tos.rtd",,BK$43,"."&amp;$A$43&amp;$AS$42&amp;"P"&amp;$A73)))</f>
        <v>#NUM!</v>
      </c>
      <c r="BL73" s="83">
        <f ca="1">IF($BP$1=1,DZ73,IF(RTD("tos.rtd",,BL$2,"."&amp;$A$43&amp;$AU$1&amp;"C"&amp;$A73)="N/A",0,RTD("tos.rtd",,BL$2,"."&amp;$A$43&amp;$AU$1&amp;"C"&amp;$A73)))</f>
        <v>1.4335556125437359E-2</v>
      </c>
      <c r="BM73" s="83">
        <f ca="1">IF($BP$1=1,EA73,-IF(RTD("tos.rtd",,BM$2,"."&amp;$A$43&amp;$AU$1&amp;"P"&amp;$A73)="N/A",0,RTD("tos.rtd",,BM$2,"."&amp;$A$43&amp;$AU$1&amp;"P"&amp;$A73)))</f>
        <v>-1.4222601698764508E-2</v>
      </c>
      <c r="BN73" s="83">
        <f ca="1">IF($BP$1=1,EB73,IF(RTD("tos.rtd",,BN$2,"."&amp;$A$43&amp;$AW$1&amp;"C"&amp;$A73)="N/A",0,RTD("tos.rtd",,BN$2,"."&amp;$A$43&amp;$AW$1&amp;"C"&amp;$A73)))</f>
        <v>1.4447030044363899E-2</v>
      </c>
      <c r="BO73" s="83">
        <f ca="1">IF($BP$1=1,EC73,-IF(RTD("tos.rtd",,BO$2,"."&amp;$A$43&amp;$AW$1&amp;"P"&amp;$A73)="N/A",0,RTD("tos.rtd",,BO$2,"."&amp;$A$43&amp;$AW$1&amp;"P"&amp;$A73)))</f>
        <v>-1.4447030044363899E-2</v>
      </c>
      <c r="BQ73" s="83" t="e">
        <f t="shared" ca="1" si="274"/>
        <v>#NUM!</v>
      </c>
      <c r="BR73" s="3" t="e">
        <f t="shared" ca="1" si="275"/>
        <v>#NUM!</v>
      </c>
      <c r="BS73" s="83">
        <f t="shared" ca="1" si="276"/>
        <v>545904.2186867292</v>
      </c>
      <c r="BT73" s="3" t="str">
        <f t="shared" ca="1" si="277"/>
        <v/>
      </c>
      <c r="BU73" s="83">
        <f t="shared" ca="1" si="278"/>
        <v>0</v>
      </c>
      <c r="BV73" s="83"/>
      <c r="BX73" s="83" t="e">
        <f t="shared" ca="1" si="279"/>
        <v>#NUM!</v>
      </c>
      <c r="BY73" s="83" t="e">
        <f t="shared" ca="1" si="290"/>
        <v>#NUM!</v>
      </c>
      <c r="BZ73" s="83">
        <f t="shared" ca="1" si="280"/>
        <v>-1760226.2435163441</v>
      </c>
      <c r="CA73" s="83" t="str">
        <f t="shared" ca="1" si="290"/>
        <v/>
      </c>
      <c r="CB73" s="83">
        <f t="shared" ca="1" si="281"/>
        <v>0</v>
      </c>
      <c r="CC73" s="83" t="str">
        <f t="shared" ca="1" si="290"/>
        <v/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0.01</v>
      </c>
      <c r="CF73" s="83">
        <f>IF(RTD("tos.rtd",,CF$2,"."&amp;$A$43&amp;$AU$1&amp;"C"&amp;$A73)="N/A",0,RTD("tos.rtd",,CF$2,"."&amp;$A$43&amp;$AU$1&amp;"C"&amp;$A73))</f>
        <v>0.82</v>
      </c>
      <c r="CG73" s="83">
        <f>-IF(RTD("tos.rtd",,CG$2,"."&amp;$A$43&amp;$AU$1&amp;"P"&amp;$A73)="N/A",0,RTD("tos.rtd",,CG$2,"."&amp;$A$43&amp;$AU$1&amp;"P"&amp;$A73))</f>
        <v>0.18</v>
      </c>
      <c r="CH73" s="83">
        <f>IF(RTD("tos.rtd",,CH$2,"."&amp;$A$43&amp;$AW$1&amp;"C"&amp;$A73)="N/A",0,RTD("tos.rtd",,CH$2,"."&amp;$A$43&amp;$AW$1&amp;"C"&amp;$A73))</f>
        <v>0</v>
      </c>
      <c r="CI73" s="83">
        <f>-IF(RTD("tos.rtd",,CI$2,"."&amp;$A$43&amp;$AW$1&amp;"P"&amp;$A73)="N/A",0,RTD("tos.rtd",,CI$2,"."&amp;$A$43&amp;$AW$1&amp;"P"&amp;$A73))</f>
        <v>0</v>
      </c>
      <c r="CK73" s="83">
        <f t="shared" si="282"/>
        <v>145148</v>
      </c>
      <c r="CL73" s="83"/>
      <c r="CM73" s="83">
        <f t="shared" si="283"/>
        <v>39416</v>
      </c>
      <c r="CN73" s="83"/>
      <c r="CO73" s="83">
        <f t="shared" si="284"/>
        <v>0</v>
      </c>
      <c r="CP73" s="83">
        <f t="shared" si="232"/>
        <v>184564</v>
      </c>
      <c r="CQ73" s="83">
        <f t="shared" si="246"/>
        <v>-5870</v>
      </c>
      <c r="CR73" s="83"/>
      <c r="CS73" s="83">
        <f t="shared" si="247"/>
        <v>-519</v>
      </c>
      <c r="CT73" s="83"/>
      <c r="CU73" s="83">
        <f t="shared" si="248"/>
        <v>0</v>
      </c>
      <c r="CV73" s="83"/>
      <c r="CW73" s="83" t="e">
        <f t="shared" ca="1" si="249"/>
        <v>#NUM!</v>
      </c>
      <c r="CY73" s="83" t="e">
        <f t="shared" ca="1" si="250"/>
        <v>#NUM!</v>
      </c>
      <c r="CZ73" s="70" t="e">
        <f t="shared" ca="1" si="291"/>
        <v>#NUM!</v>
      </c>
      <c r="DA73" s="83">
        <f>IF(RTD("tos.rtd",,DA$43,"."&amp;$A$43&amp;$AS$42&amp;"C"&amp;$A73)="N/A",0,RTD("tos.rtd",,DA$43,"."&amp;$A$43&amp;$AS$42&amp;"C"&amp;$A73))</f>
        <v>14.99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15.1</v>
      </c>
      <c r="DD73" s="83">
        <f>IF(RTD("tos.rtd",,DD$43,"."&amp;$A$43&amp;$AS$42&amp;"P"&amp;$A73)="N/A",0,RTD("tos.rtd",,DD$43,"."&amp;$A$43&amp;$AS$42&amp;"P"&amp;$A73))</f>
        <v>0.02</v>
      </c>
      <c r="DE73" s="83">
        <f>IF(RTD("tos.rtd",,DE$43,"."&amp;$A$43&amp;$AS$42&amp;"C"&amp;$A73)="N/A",0,RTD("tos.rtd",,DE$43,"."&amp;$A$43&amp;$AS$42&amp;"C"&amp;$A73))</f>
        <v>14.78</v>
      </c>
      <c r="DF73" s="83">
        <f>IF(RTD("tos.rtd",,DF$43,"."&amp;$A$43&amp;$AS$42&amp;"P"&amp;$A73)="N/A",0,RTD("tos.rtd",,DF$43,"."&amp;$A$43&amp;$AS$42&amp;"P"&amp;$A73))</f>
        <v>0.01</v>
      </c>
      <c r="DG73" s="86">
        <f t="shared" si="285"/>
        <v>-14.95999999999998</v>
      </c>
      <c r="DH73" s="83">
        <f t="shared" si="251"/>
        <v>0</v>
      </c>
      <c r="DI73" s="83">
        <f t="shared" si="252"/>
        <v>0</v>
      </c>
      <c r="DJ73" s="83">
        <f t="shared" si="253"/>
        <v>0</v>
      </c>
      <c r="DK73" s="83">
        <f t="shared" si="254"/>
        <v>1</v>
      </c>
      <c r="DL73" s="83">
        <f t="shared" si="255"/>
        <v>0</v>
      </c>
      <c r="DM73" s="83">
        <f t="shared" si="256"/>
        <v>1</v>
      </c>
      <c r="DN73" s="64" t="str">
        <f t="shared" si="257"/>
        <v>UNKNOWN</v>
      </c>
      <c r="DO73" s="64" t="str">
        <f t="shared" si="258"/>
        <v>SELL</v>
      </c>
      <c r="DP73" s="83">
        <f t="shared" si="259"/>
        <v>0</v>
      </c>
      <c r="DQ73" s="83">
        <f t="shared" si="260"/>
        <v>0.01</v>
      </c>
      <c r="DR73" s="83" t="e">
        <f t="shared" ca="1" si="261"/>
        <v>#NUM!</v>
      </c>
      <c r="DS73" s="83">
        <f t="shared" si="262"/>
        <v>0.01</v>
      </c>
      <c r="DT73" s="83">
        <f t="shared" si="286"/>
        <v>0</v>
      </c>
      <c r="DU73" s="83">
        <f t="shared" si="287"/>
        <v>-1</v>
      </c>
      <c r="DV73" s="83">
        <f t="shared" si="263"/>
        <v>22</v>
      </c>
      <c r="DW73" s="83">
        <f t="shared" si="264"/>
        <v>-925</v>
      </c>
      <c r="DX73" s="83" t="e">
        <f t="shared" ca="1" si="400"/>
        <v>#NUM!</v>
      </c>
      <c r="DY73" s="83" t="e">
        <f t="shared" ca="1" si="401"/>
        <v>#NUM!</v>
      </c>
      <c r="DZ73" s="83">
        <f t="shared" ca="1" si="402"/>
        <v>1.4335556125437359E-2</v>
      </c>
      <c r="EA73" s="83">
        <f t="shared" ca="1" si="403"/>
        <v>-1.4222601698764508E-2</v>
      </c>
      <c r="EB73" s="83">
        <f t="shared" ca="1" si="404"/>
        <v>1.4447030044363899E-2</v>
      </c>
      <c r="EC73" s="83">
        <f t="shared" ca="1" si="405"/>
        <v>-1.4447030044363899E-2</v>
      </c>
      <c r="EE73" s="84">
        <f t="shared" si="265"/>
        <v>0.25</v>
      </c>
      <c r="EF73" s="84">
        <f t="shared" si="266"/>
        <v>1.6894</v>
      </c>
      <c r="EG73" s="84">
        <f t="shared" si="267"/>
        <v>0.25509999999999999</v>
      </c>
      <c r="EH73" s="84">
        <f t="shared" si="268"/>
        <v>0.2601</v>
      </c>
      <c r="EI73" s="84">
        <f t="shared" si="269"/>
        <v>0.25</v>
      </c>
      <c r="EJ73" s="84">
        <f t="shared" si="270"/>
        <v>0.25</v>
      </c>
      <c r="EL73" s="83" t="str">
        <f>RTD("tos.rtd",,EL$43,"."&amp;$A$43&amp;$AS$42&amp;"C"&amp;$A73)</f>
        <v>--</v>
      </c>
      <c r="EM73" s="83" t="str">
        <f>RTD("tos.rtd",,EM$43,"."&amp;$A$43&amp;$AS$42&amp;"P"&amp;$A73)</f>
        <v>168.94%</v>
      </c>
      <c r="EN73" s="83" t="str">
        <f>RTD("tos.rtd",,EN$2,"."&amp;$A$43&amp;$AU$1&amp;"C"&amp;$A73)</f>
        <v>25.51%</v>
      </c>
      <c r="EO73" s="83" t="str">
        <f>RTD("tos.rtd",,EO$2,"."&amp;$A$43&amp;$AU$1&amp;"P"&amp;$A73)</f>
        <v>26.01%</v>
      </c>
      <c r="EP73" s="83" t="str">
        <f>RTD("tos.rtd",,EP$2,"."&amp;$A$43&amp;$AW$1&amp;"C"&amp;$A73)</f>
        <v>N/A</v>
      </c>
      <c r="EQ73" s="83" t="str">
        <f>RTD("tos.rtd",,EQ$2,"."&amp;$A$43&amp;$AW$1&amp;"P"&amp;$A73)</f>
        <v>N/A</v>
      </c>
      <c r="ET73" s="64" t="str">
        <f t="shared" ca="1" si="271"/>
        <v>474,00.00</v>
      </c>
      <c r="EU73" s="68">
        <v>560.66999999999996</v>
      </c>
      <c r="EV73" s="68" t="s">
        <v>603</v>
      </c>
      <c r="EW73" s="68">
        <v>482.73</v>
      </c>
      <c r="EX73" s="68" t="s">
        <v>604</v>
      </c>
      <c r="EY73" s="68">
        <v>5621.75</v>
      </c>
      <c r="EZ73" s="68" t="s">
        <v>605</v>
      </c>
      <c r="FA73" s="68">
        <v>19834.25</v>
      </c>
      <c r="FB73" s="68" t="s">
        <v>606</v>
      </c>
      <c r="FC73" s="68" t="s">
        <v>607</v>
      </c>
      <c r="FD73" s="68" t="s">
        <v>608</v>
      </c>
      <c r="FE73" s="68" t="s">
        <v>609</v>
      </c>
      <c r="FF73" s="68" t="s">
        <v>610</v>
      </c>
    </row>
    <row r="74" spans="1:162" ht="13.5" thickBot="1" x14ac:dyDescent="0.25">
      <c r="A74" s="2">
        <f t="shared" si="288"/>
        <v>473</v>
      </c>
      <c r="B74" s="3">
        <f t="shared" si="238"/>
        <v>5929</v>
      </c>
      <c r="C74" s="3">
        <f t="shared" si="406"/>
        <v>2681</v>
      </c>
      <c r="D74" s="3">
        <f t="shared" si="240"/>
        <v>0</v>
      </c>
      <c r="E74" s="3">
        <f>SUM(B74:D74)</f>
        <v>8610</v>
      </c>
      <c r="F74" s="4">
        <f>+$F$44/$A$44*A74</f>
        <v>19532.918848167541</v>
      </c>
      <c r="AM74" s="1">
        <v>54</v>
      </c>
      <c r="AN74" s="1">
        <v>-702</v>
      </c>
      <c r="AO74" s="1">
        <v>473</v>
      </c>
      <c r="AP74" s="1">
        <v>242</v>
      </c>
      <c r="AQ74" s="1">
        <v>-5150</v>
      </c>
      <c r="AS74" s="6">
        <f>IF(RTD("tos.rtd",,AS$43,"."&amp;$A$43&amp;$AS$42&amp;"C"&amp;$A74)="N/A",0,RTD("tos.rtd",,AS$43,"."&amp;$A$43&amp;$AS$42&amp;"C"&amp;$A74))</f>
        <v>2146</v>
      </c>
      <c r="AT74" s="7">
        <f>-IF(RTD("tos.rtd",,AT$43,"."&amp;$A$43&amp;$AS$42&amp;"P"&amp;$A74)="N/A",0,RTD("tos.rtd",,AT$43,"."&amp;$A$43&amp;$AS$42&amp;"P"&amp;$A74))</f>
        <v>-3783</v>
      </c>
      <c r="AU74" s="6">
        <f>IF(RTD("tos.rtd",,AU$2,"."&amp;$A$43&amp;$AU$1&amp;"C"&amp;$A74)="N/A",0,RTD("tos.rtd",,AU$2,"."&amp;$A$43&amp;$AU$1&amp;"C"&amp;$A74))</f>
        <v>2146</v>
      </c>
      <c r="AV74" s="7">
        <f>-IF(RTD("tos.rtd",,AV$2,"."&amp;$A$43&amp;$AU$1&amp;"P"&amp;$A74)="N/A",0,RTD("tos.rtd",,AV$2,"."&amp;$A$43&amp;$AU$1&amp;"P"&amp;$A74))</f>
        <v>-535</v>
      </c>
      <c r="AW74" s="6">
        <f>IF(RTD("tos.rtd",,AW$2,"."&amp;$A$43&amp;$AW$1&amp;"C"&amp;$A74)="N/A",0,RTD("tos.rtd",,AW$2,"."&amp;$A$43&amp;$AW$1&amp;"C"&amp;$A74))</f>
        <v>0</v>
      </c>
      <c r="AX74" s="7">
        <f>-IF(RTD("tos.rtd",,AX$2,"."&amp;$A$43&amp;$AW$1&amp;"P"&amp;$A74)="N/A",0,RTD("tos.rtd",,AX$2,"."&amp;$A$43&amp;$AW$1&amp;"P"&amp;$A74))</f>
        <v>0</v>
      </c>
      <c r="AY74" s="7">
        <f>SUM(AS74:AX74)</f>
        <v>-26</v>
      </c>
      <c r="AZ74" s="8">
        <f t="shared" si="242"/>
        <v>473</v>
      </c>
      <c r="BA74" s="6">
        <f>IF(RTD("tos.rtd",,BA$43,"."&amp;$A$43&amp;$AS$42&amp;"C"&amp;$A74)="N/A",0,RTD("tos.rtd",,BA$43,"."&amp;$A$43&amp;$AS$42&amp;"C"&amp;$A74))</f>
        <v>242</v>
      </c>
      <c r="BB74" s="7">
        <f>-IF(RTD("tos.rtd",,BB$43,"."&amp;$A$43&amp;$AS$42&amp;"P"&amp;$A74)="N/A",0,RTD("tos.rtd",,BB$43,"."&amp;$A$43&amp;$AS$42&amp;"P"&amp;$A74))</f>
        <v>-5150</v>
      </c>
      <c r="BC74" s="6">
        <f>IF(RTD("tos.rtd",,BC$2,"."&amp;$A$43&amp;$AU$1&amp;"C"&amp;$A74)="N/A",0,RTD("tos.rtd",,BC$2,"."&amp;$A$43&amp;$AU$1&amp;"C"&amp;$A74))</f>
        <v>1092</v>
      </c>
      <c r="BD74" s="7">
        <f>-IF(RTD("tos.rtd",,BD$2,"."&amp;$A$43&amp;$AU$1&amp;"P"&amp;$A74)="N/A",0,RTD("tos.rtd",,BD$2,"."&amp;$A$43&amp;$AU$1&amp;"P"&amp;$A74))</f>
        <v>-1748</v>
      </c>
      <c r="BE74" s="6">
        <f>IF(RTD("tos.rtd",,BE$2,"."&amp;$A$43&amp;$AW$1&amp;"C"&amp;$A74)="N/A",0,RTD("tos.rtd",,BE$2,"."&amp;$A$43&amp;$AW$1&amp;"C"&amp;$A74))</f>
        <v>0</v>
      </c>
      <c r="BF74" s="7">
        <f>-IF(RTD("tos.rtd",,BF$2,"."&amp;$A$43&amp;$AW$1&amp;"P"&amp;$A74)="N/A",0,RTD("tos.rtd",,BF$2,"."&amp;$A$43&amp;$AW$1&amp;"P"&amp;$A74))</f>
        <v>0</v>
      </c>
      <c r="BG74" s="32" t="e">
        <f ca="1">+Hoja2!Y75</f>
        <v>#N/A</v>
      </c>
      <c r="BH74" s="7" t="e">
        <f t="shared" ca="1" si="273"/>
        <v>#N/A</v>
      </c>
      <c r="BI74" s="8" t="e">
        <f t="shared" ca="1" si="289"/>
        <v>#N/A</v>
      </c>
      <c r="BJ74" s="83" t="e">
        <f ca="1">IF($BP$1=1,DX74,IF(RTD("tos.rtd",,BJ$43,"."&amp;$A$43&amp;$AS$42&amp;"C"&amp;$A74)="N/A",0,RTD("tos.rtd",,BJ$43,"."&amp;$A$43&amp;$AS$42&amp;"C"&amp;$A74)))</f>
        <v>#NUM!</v>
      </c>
      <c r="BK74" s="83" t="e">
        <f ca="1">IF($BP$1=1,DY74,-IF(RTD("tos.rtd",,BK$43,"."&amp;$A$43&amp;$AS$42&amp;"P"&amp;$A74)="N/A",0,RTD("tos.rtd",,BK$43,"."&amp;$A$43&amp;$AS$42&amp;"P"&amp;$A74)))</f>
        <v>#NUM!</v>
      </c>
      <c r="BL74" s="83">
        <f ca="1">IF($BP$1=1,DZ74,IF(RTD("tos.rtd",,BL$2,"."&amp;$A$43&amp;$AU$1&amp;"C"&amp;$A74)="N/A",0,RTD("tos.rtd",,BL$2,"."&amp;$A$43&amp;$AU$1&amp;"C"&amp;$A74)))</f>
        <v>1.3702594781958748E-2</v>
      </c>
      <c r="BM74" s="83">
        <f ca="1">IF($BP$1=1,EA74,-IF(RTD("tos.rtd",,BM$2,"."&amp;$A$43&amp;$AU$1&amp;"P"&amp;$A74)="N/A",0,RTD("tos.rtd",,BM$2,"."&amp;$A$43&amp;$AU$1&amp;"P"&amp;$A74)))</f>
        <v>-1.3622432695987202E-2</v>
      </c>
      <c r="BN74" s="83">
        <f ca="1">IF($BP$1=1,EB74,IF(RTD("tos.rtd",,BN$2,"."&amp;$A$43&amp;$AW$1&amp;"C"&amp;$A74)="N/A",0,RTD("tos.rtd",,BN$2,"."&amp;$A$43&amp;$AW$1&amp;"C"&amp;$A74)))</f>
        <v>1.3829022785670613E-2</v>
      </c>
      <c r="BO74" s="83">
        <f ca="1">IF($BP$1=1,EC74,-IF(RTD("tos.rtd",,BO$2,"."&amp;$A$43&amp;$AW$1&amp;"P"&amp;$A74)="N/A",0,RTD("tos.rtd",,BO$2,"."&amp;$A$43&amp;$AW$1&amp;"P"&amp;$A74)))</f>
        <v>-1.3829022785670613E-2</v>
      </c>
      <c r="BQ74" s="83" t="e">
        <f t="shared" ca="1" si="274"/>
        <v>#NUM!</v>
      </c>
      <c r="BR74" s="3" t="e">
        <f t="shared" ca="1" si="275"/>
        <v>#NUM!</v>
      </c>
      <c r="BS74" s="83">
        <f t="shared" ca="1" si="276"/>
        <v>5287957.3295685416</v>
      </c>
      <c r="BT74" s="3" t="str">
        <f t="shared" ca="1" si="277"/>
        <v/>
      </c>
      <c r="BU74" s="83">
        <f t="shared" ca="1" si="278"/>
        <v>0</v>
      </c>
      <c r="BV74" s="83"/>
      <c r="BX74" s="83" t="e">
        <f t="shared" ca="1" si="279"/>
        <v>#NUM!</v>
      </c>
      <c r="BY74" s="83" t="e">
        <f t="shared" ca="1" si="290"/>
        <v>#NUM!</v>
      </c>
      <c r="BZ74" s="83">
        <f t="shared" ca="1" si="280"/>
        <v>-2115582.6974844555</v>
      </c>
      <c r="CA74" s="83" t="str">
        <f t="shared" ca="1" si="290"/>
        <v/>
      </c>
      <c r="CB74" s="83">
        <f t="shared" ca="1" si="281"/>
        <v>0</v>
      </c>
      <c r="CC74" s="83" t="str">
        <f t="shared" ca="1" si="290"/>
        <v/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0.01</v>
      </c>
      <c r="CF74" s="83">
        <f>IF(RTD("tos.rtd",,CF$2,"."&amp;$A$43&amp;$AU$1&amp;"C"&amp;$A74)="N/A",0,RTD("tos.rtd",,CF$2,"."&amp;$A$43&amp;$AU$1&amp;"C"&amp;$A74))</f>
        <v>0.83</v>
      </c>
      <c r="CG74" s="83">
        <f>-IF(RTD("tos.rtd",,CG$2,"."&amp;$A$43&amp;$AU$1&amp;"P"&amp;$A74)="N/A",0,RTD("tos.rtd",,CG$2,"."&amp;$A$43&amp;$AU$1&amp;"P"&amp;$A74))</f>
        <v>0.17</v>
      </c>
      <c r="CH74" s="83">
        <f>IF(RTD("tos.rtd",,CH$2,"."&amp;$A$43&amp;$AW$1&amp;"C"&amp;$A74)="N/A",0,RTD("tos.rtd",,CH$2,"."&amp;$A$43&amp;$AW$1&amp;"C"&amp;$A74))</f>
        <v>0</v>
      </c>
      <c r="CI74" s="83">
        <f>-IF(RTD("tos.rtd",,CI$2,"."&amp;$A$43&amp;$AW$1&amp;"P"&amp;$A74)="N/A",0,RTD("tos.rtd",,CI$2,"."&amp;$A$43&amp;$AW$1&amp;"P"&amp;$A74))</f>
        <v>0</v>
      </c>
      <c r="CK74" s="83">
        <f t="shared" si="282"/>
        <v>210817</v>
      </c>
      <c r="CL74" s="83"/>
      <c r="CM74" s="83">
        <f t="shared" si="283"/>
        <v>169022.99999999997</v>
      </c>
      <c r="CN74" s="83"/>
      <c r="CO74" s="83">
        <f t="shared" si="284"/>
        <v>0</v>
      </c>
      <c r="CP74" s="83">
        <f t="shared" si="232"/>
        <v>379840</v>
      </c>
      <c r="CQ74" s="83">
        <f t="shared" si="246"/>
        <v>-4908</v>
      </c>
      <c r="CR74" s="83"/>
      <c r="CS74" s="83">
        <f t="shared" si="247"/>
        <v>-656</v>
      </c>
      <c r="CT74" s="83"/>
      <c r="CU74" s="83">
        <f t="shared" si="248"/>
        <v>0</v>
      </c>
      <c r="CV74" s="83"/>
      <c r="CW74" s="83" t="e">
        <f ca="1">+BQ74+BS74+BU74</f>
        <v>#NUM!</v>
      </c>
      <c r="CY74" s="83" t="e">
        <f t="shared" ca="1" si="250"/>
        <v>#NUM!</v>
      </c>
      <c r="CZ74" s="70" t="e">
        <f t="shared" ca="1" si="291"/>
        <v>#NUM!</v>
      </c>
      <c r="DA74" s="83">
        <f>IF(RTD("tos.rtd",,DA$43,"."&amp;$A$43&amp;$AS$42&amp;"C"&amp;$A74)="N/A",0,RTD("tos.rtd",,DA$43,"."&amp;$A$43&amp;$AS$42&amp;"C"&amp;$A74))</f>
        <v>16.04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16.11</v>
      </c>
      <c r="DD74" s="83">
        <f>IF(RTD("tos.rtd",,DD$43,"."&amp;$A$43&amp;$AS$42&amp;"P"&amp;$A74)="N/A",0,RTD("tos.rtd",,DD$43,"."&amp;$A$43&amp;$AS$42&amp;"P"&amp;$A74))</f>
        <v>0.02</v>
      </c>
      <c r="DE74" s="83">
        <f>IF(RTD("tos.rtd",,DE$43,"."&amp;$A$43&amp;$AS$42&amp;"C"&amp;$A74)="N/A",0,RTD("tos.rtd",,DE$43,"."&amp;$A$43&amp;$AS$42&amp;"C"&amp;$A74))</f>
        <v>15.76</v>
      </c>
      <c r="DF74" s="83">
        <f>IF(RTD("tos.rtd",,DF$43,"."&amp;$A$43&amp;$AS$42&amp;"P"&amp;$A74)="N/A",0,RTD("tos.rtd",,DF$43,"."&amp;$A$43&amp;$AS$42&amp;"P"&amp;$A74))</f>
        <v>0.01</v>
      </c>
      <c r="DG74" s="86">
        <f t="shared" si="285"/>
        <v>-15.95999999999998</v>
      </c>
      <c r="DH74" s="83">
        <f t="shared" si="251"/>
        <v>0</v>
      </c>
      <c r="DI74" s="83">
        <f t="shared" si="252"/>
        <v>0</v>
      </c>
      <c r="DJ74" s="83">
        <f t="shared" si="253"/>
        <v>0</v>
      </c>
      <c r="DK74" s="83">
        <f t="shared" si="254"/>
        <v>0</v>
      </c>
      <c r="DL74" s="83">
        <f t="shared" si="255"/>
        <v>0</v>
      </c>
      <c r="DM74" s="83">
        <f t="shared" si="256"/>
        <v>0</v>
      </c>
      <c r="DN74" s="64" t="str">
        <f t="shared" si="257"/>
        <v>UNKNOWN</v>
      </c>
      <c r="DO74" s="64" t="str">
        <f t="shared" si="258"/>
        <v>UNKNOWN</v>
      </c>
      <c r="DP74" s="83">
        <f t="shared" si="259"/>
        <v>0</v>
      </c>
      <c r="DQ74" s="83">
        <f t="shared" si="260"/>
        <v>0</v>
      </c>
      <c r="DR74" s="83" t="e">
        <f t="shared" ca="1" si="261"/>
        <v>#NUM!</v>
      </c>
      <c r="DS74" s="83">
        <f t="shared" si="262"/>
        <v>0</v>
      </c>
      <c r="DT74" s="83">
        <f t="shared" si="286"/>
        <v>0</v>
      </c>
      <c r="DU74" s="83">
        <f t="shared" si="287"/>
        <v>0</v>
      </c>
      <c r="DV74" s="83">
        <f t="shared" si="263"/>
        <v>54</v>
      </c>
      <c r="DW74" s="83">
        <f t="shared" si="264"/>
        <v>-702</v>
      </c>
      <c r="DX74" s="83" t="e">
        <f t="shared" ca="1" si="400"/>
        <v>#NUM!</v>
      </c>
      <c r="DY74" s="83" t="e">
        <f t="shared" ca="1" si="401"/>
        <v>#NUM!</v>
      </c>
      <c r="DZ74" s="83">
        <f t="shared" ca="1" si="402"/>
        <v>1.3702594781958748E-2</v>
      </c>
      <c r="EA74" s="83">
        <f t="shared" ca="1" si="403"/>
        <v>-1.3622432695987202E-2</v>
      </c>
      <c r="EB74" s="83">
        <f t="shared" ca="1" si="404"/>
        <v>1.3829022785670613E-2</v>
      </c>
      <c r="EC74" s="83">
        <f t="shared" ca="1" si="405"/>
        <v>-1.3829022785670613E-2</v>
      </c>
      <c r="EE74" s="84">
        <f t="shared" si="265"/>
        <v>0.25</v>
      </c>
      <c r="EF74" s="84">
        <f t="shared" si="266"/>
        <v>1.7905</v>
      </c>
      <c r="EG74" s="84">
        <f t="shared" si="267"/>
        <v>0.2576</v>
      </c>
      <c r="EH74" s="84">
        <f t="shared" si="268"/>
        <v>0.2621</v>
      </c>
      <c r="EI74" s="84">
        <f t="shared" si="269"/>
        <v>0.25</v>
      </c>
      <c r="EJ74" s="84">
        <f t="shared" si="270"/>
        <v>0.25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179.05%</v>
      </c>
      <c r="EN74" s="83" t="str">
        <f>RTD("tos.rtd",,EN$2,"."&amp;$A$43&amp;$AU$1&amp;"C"&amp;$A74)</f>
        <v>25.76%</v>
      </c>
      <c r="EO74" s="83" t="str">
        <f>RTD("tos.rtd",,EO$2,"."&amp;$A$43&amp;$AU$1&amp;"P"&amp;$A74)</f>
        <v>26.21%</v>
      </c>
      <c r="EP74" s="83" t="str">
        <f>RTD("tos.rtd",,EP$2,"."&amp;$A$43&amp;$AW$1&amp;"C"&amp;$A74)</f>
        <v>N/A</v>
      </c>
      <c r="EQ74" s="83" t="str">
        <f>RTD("tos.rtd",,EQ$2,"."&amp;$A$43&amp;$AW$1&amp;"P"&amp;$A74)</f>
        <v>N/A</v>
      </c>
      <c r="ET74" s="64" t="str">
        <f t="shared" ca="1" si="271"/>
        <v>473,00.00</v>
      </c>
      <c r="EU74" s="68">
        <v>560.66999999999996</v>
      </c>
      <c r="EV74" s="68" t="s">
        <v>611</v>
      </c>
      <c r="EW74" s="68">
        <v>482.69</v>
      </c>
      <c r="EX74" s="68" t="s">
        <v>612</v>
      </c>
      <c r="EY74" s="68">
        <v>5621.75</v>
      </c>
      <c r="EZ74" s="68" t="s">
        <v>613</v>
      </c>
      <c r="FA74" s="68">
        <v>19833.5</v>
      </c>
      <c r="FB74" s="68" t="s">
        <v>614</v>
      </c>
      <c r="FC74" s="68" t="s">
        <v>615</v>
      </c>
      <c r="FD74" s="68" t="s">
        <v>616</v>
      </c>
      <c r="FE74" s="68" t="s">
        <v>617</v>
      </c>
      <c r="FF74" s="68" t="s">
        <v>618</v>
      </c>
    </row>
    <row r="75" spans="1:162" ht="13.5" thickBot="1" x14ac:dyDescent="0.25">
      <c r="A75" s="2">
        <f t="shared" si="288"/>
        <v>472</v>
      </c>
      <c r="B75" s="3">
        <f t="shared" si="238"/>
        <v>8115</v>
      </c>
      <c r="C75" s="3">
        <f t="shared" si="406"/>
        <v>2234</v>
      </c>
      <c r="D75" s="3">
        <f t="shared" si="240"/>
        <v>0</v>
      </c>
      <c r="E75" s="3">
        <f t="shared" si="241"/>
        <v>10349</v>
      </c>
      <c r="F75" s="4">
        <f t="shared" si="292"/>
        <v>19491.623036649216</v>
      </c>
      <c r="AM75" s="1">
        <v>99</v>
      </c>
      <c r="AN75" s="1">
        <v>1426</v>
      </c>
      <c r="AO75" s="1">
        <v>472</v>
      </c>
      <c r="AP75" s="1">
        <v>350</v>
      </c>
      <c r="AQ75" s="1">
        <v>-3888</v>
      </c>
      <c r="AS75" s="6">
        <f>IF(RTD("tos.rtd",,AS$43,"."&amp;$A$43&amp;$AS$42&amp;"C"&amp;$A75)="N/A",0,RTD("tos.rtd",,AS$43,"."&amp;$A$43&amp;$AS$42&amp;"C"&amp;$A75))</f>
        <v>3575</v>
      </c>
      <c r="AT75" s="7">
        <f>-IF(RTD("tos.rtd",,AT$43,"."&amp;$A$43&amp;$AS$42&amp;"P"&amp;$A75)="N/A",0,RTD("tos.rtd",,AT$43,"."&amp;$A$43&amp;$AS$42&amp;"P"&amp;$A75))</f>
        <v>-4540</v>
      </c>
      <c r="AU75" s="6">
        <f>IF(RTD("tos.rtd",,AU$2,"."&amp;$A$43&amp;$AU$1&amp;"C"&amp;$A75)="N/A",0,RTD("tos.rtd",,AU$2,"."&amp;$A$43&amp;$AU$1&amp;"C"&amp;$A75))</f>
        <v>1756</v>
      </c>
      <c r="AV75" s="7">
        <f>-IF(RTD("tos.rtd",,AV$2,"."&amp;$A$43&amp;$AU$1&amp;"P"&amp;$A75)="N/A",0,RTD("tos.rtd",,AV$2,"."&amp;$A$43&amp;$AU$1&amp;"P"&amp;$A75))</f>
        <v>-478</v>
      </c>
      <c r="AW75" s="6">
        <f>IF(RTD("tos.rtd",,AW$2,"."&amp;$A$43&amp;$AW$1&amp;"C"&amp;$A75)="N/A",0,RTD("tos.rtd",,AW$2,"."&amp;$A$43&amp;$AW$1&amp;"C"&amp;$A75))</f>
        <v>0</v>
      </c>
      <c r="AX75" s="7">
        <f>-IF(RTD("tos.rtd",,AX$2,"."&amp;$A$43&amp;$AW$1&amp;"P"&amp;$A75)="N/A",0,RTD("tos.rtd",,AX$2,"."&amp;$A$43&amp;$AW$1&amp;"P"&amp;$A75))</f>
        <v>0</v>
      </c>
      <c r="AY75" s="7">
        <f t="shared" si="272"/>
        <v>313</v>
      </c>
      <c r="AZ75" s="8">
        <f t="shared" si="242"/>
        <v>472</v>
      </c>
      <c r="BA75" s="6">
        <f>IF(RTD("tos.rtd",,BA$43,"."&amp;$A$43&amp;$AS$42&amp;"C"&amp;$A75)="N/A",0,RTD("tos.rtd",,BA$43,"."&amp;$A$43&amp;$AS$42&amp;"C"&amp;$A75))</f>
        <v>350</v>
      </c>
      <c r="BB75" s="7">
        <f>-IF(RTD("tos.rtd",,BB$43,"."&amp;$A$43&amp;$AS$42&amp;"P"&amp;$A75)="N/A",0,RTD("tos.rtd",,BB$43,"."&amp;$A$43&amp;$AS$42&amp;"P"&amp;$A75))</f>
        <v>-3889</v>
      </c>
      <c r="BC75" s="6">
        <f>IF(RTD("tos.rtd",,BC$2,"."&amp;$A$43&amp;$AU$1&amp;"C"&amp;$A75)="N/A",0,RTD("tos.rtd",,BC$2,"."&amp;$A$43&amp;$AU$1&amp;"C"&amp;$A75))</f>
        <v>1097</v>
      </c>
      <c r="BD75" s="7">
        <f>-IF(RTD("tos.rtd",,BD$2,"."&amp;$A$43&amp;$AU$1&amp;"P"&amp;$A75)="N/A",0,RTD("tos.rtd",,BD$2,"."&amp;$A$43&amp;$AU$1&amp;"P"&amp;$A75))</f>
        <v>-307</v>
      </c>
      <c r="BE75" s="6">
        <f>IF(RTD("tos.rtd",,BE$2,"."&amp;$A$43&amp;$AW$1&amp;"C"&amp;$A75)="N/A",0,RTD("tos.rtd",,BE$2,"."&amp;$A$43&amp;$AW$1&amp;"C"&amp;$A75))</f>
        <v>0</v>
      </c>
      <c r="BF75" s="7">
        <f>-IF(RTD("tos.rtd",,BF$2,"."&amp;$A$43&amp;$AW$1&amp;"P"&amp;$A75)="N/A",0,RTD("tos.rtd",,BF$2,"."&amp;$A$43&amp;$AW$1&amp;"P"&amp;$A75))</f>
        <v>0</v>
      </c>
      <c r="BG75" s="32" t="e">
        <f ca="1">+Hoja2!Y76</f>
        <v>#N/A</v>
      </c>
      <c r="BH75" s="7" t="e">
        <f t="shared" ca="1" si="273"/>
        <v>#N/A</v>
      </c>
      <c r="BI75" s="8" t="e">
        <f t="shared" ca="1" si="289"/>
        <v>#N/A</v>
      </c>
      <c r="BJ75" s="83" t="e">
        <f ca="1">IF($BP$1=1,DX75,IF(RTD("tos.rtd",,BJ$43,"."&amp;$A$43&amp;$AS$42&amp;"C"&amp;$A75)="N/A",0,RTD("tos.rtd",,BJ$43,"."&amp;$A$43&amp;$AS$42&amp;"C"&amp;$A75)))</f>
        <v>#NUM!</v>
      </c>
      <c r="BK75" s="83" t="e">
        <f ca="1">IF($BP$1=1,DY75,-IF(RTD("tos.rtd",,BK$43,"."&amp;$A$43&amp;$AS$42&amp;"P"&amp;$A75)="N/A",0,RTD("tos.rtd",,BK$43,"."&amp;$A$43&amp;$AS$42&amp;"P"&amp;$A75)))</f>
        <v>#NUM!</v>
      </c>
      <c r="BL75" s="83">
        <f ca="1">IF($BP$1=1,DZ75,IF(RTD("tos.rtd",,BL$2,"."&amp;$A$43&amp;$AU$1&amp;"C"&amp;$A75)="N/A",0,RTD("tos.rtd",,BL$2,"."&amp;$A$43&amp;$AU$1&amp;"C"&amp;$A75)))</f>
        <v>1.3087870107049945E-2</v>
      </c>
      <c r="BM75" s="83">
        <f ca="1">IF($BP$1=1,EA75,-IF(RTD("tos.rtd",,BM$2,"."&amp;$A$43&amp;$AU$1&amp;"P"&amp;$A75)="N/A",0,RTD("tos.rtd",,BM$2,"."&amp;$A$43&amp;$AU$1&amp;"P"&amp;$A75)))</f>
        <v>-1.3021176243574035E-2</v>
      </c>
      <c r="BN75" s="83">
        <f ca="1">IF($BP$1=1,EB75,IF(RTD("tos.rtd",,BN$2,"."&amp;$A$43&amp;$AW$1&amp;"C"&amp;$A75)="N/A",0,RTD("tos.rtd",,BN$2,"."&amp;$A$43&amp;$AW$1&amp;"C"&amp;$A75)))</f>
        <v>1.3200278056485786E-2</v>
      </c>
      <c r="BO75" s="83">
        <f ca="1">IF($BP$1=1,EC75,-IF(RTD("tos.rtd",,BO$2,"."&amp;$A$43&amp;$AW$1&amp;"P"&amp;$A75)="N/A",0,RTD("tos.rtd",,BO$2,"."&amp;$A$43&amp;$AW$1&amp;"P"&amp;$A75)))</f>
        <v>-1.3200278056485786E-2</v>
      </c>
      <c r="BQ75" s="83" t="e">
        <f t="shared" ca="1" si="274"/>
        <v>#NUM!</v>
      </c>
      <c r="BR75" s="3" t="e">
        <f t="shared" ca="1" si="275"/>
        <v>#NUM!</v>
      </c>
      <c r="BS75" s="83">
        <f t="shared" ca="1" si="276"/>
        <v>4006576.6479889397</v>
      </c>
      <c r="BT75" s="3" t="str">
        <f t="shared" ca="1" si="277"/>
        <v/>
      </c>
      <c r="BU75" s="83">
        <f t="shared" ca="1" si="278"/>
        <v>0</v>
      </c>
      <c r="BV75" s="83"/>
      <c r="BX75" s="83" t="e">
        <f t="shared" ca="1" si="279"/>
        <v>#NUM!</v>
      </c>
      <c r="BY75" s="83" t="e">
        <f t="shared" ca="1" si="290"/>
        <v>#NUM!</v>
      </c>
      <c r="BZ75" s="83">
        <f t="shared" ca="1" si="280"/>
        <v>2476862.5683225114</v>
      </c>
      <c r="CA75" s="83" t="str">
        <f t="shared" ca="1" si="290"/>
        <v>Cruce +</v>
      </c>
      <c r="CB75" s="83">
        <f t="shared" ca="1" si="281"/>
        <v>0</v>
      </c>
      <c r="CC75" s="83" t="str">
        <f t="shared" ca="1" si="290"/>
        <v/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0.85</v>
      </c>
      <c r="CG75" s="83">
        <f>-IF(RTD("tos.rtd",,CG$2,"."&amp;$A$43&amp;$AU$1&amp;"P"&amp;$A75)="N/A",0,RTD("tos.rtd",,CG$2,"."&amp;$A$43&amp;$AU$1&amp;"P"&amp;$A75))</f>
        <v>0.16</v>
      </c>
      <c r="CH75" s="83">
        <f>IF(RTD("tos.rtd",,CH$2,"."&amp;$A$43&amp;$AW$1&amp;"C"&amp;$A75)="N/A",0,RTD("tos.rtd",,CH$2,"."&amp;$A$43&amp;$AW$1&amp;"C"&amp;$A75))</f>
        <v>0</v>
      </c>
      <c r="CI75" s="83">
        <f>-IF(RTD("tos.rtd",,CI$2,"."&amp;$A$43&amp;$AW$1&amp;"P"&amp;$A75)="N/A",0,RTD("tos.rtd",,CI$2,"."&amp;$A$43&amp;$AW$1&amp;"P"&amp;$A75))</f>
        <v>0</v>
      </c>
      <c r="CK75" s="83">
        <f t="shared" si="282"/>
        <v>357500</v>
      </c>
      <c r="CL75" s="83"/>
      <c r="CM75" s="83">
        <f t="shared" si="283"/>
        <v>141612</v>
      </c>
      <c r="CN75" s="83"/>
      <c r="CO75" s="83">
        <f t="shared" si="284"/>
        <v>0</v>
      </c>
      <c r="CP75" s="83">
        <f t="shared" si="232"/>
        <v>499112</v>
      </c>
      <c r="CQ75" s="83">
        <f t="shared" si="246"/>
        <v>-3539</v>
      </c>
      <c r="CR75" s="83"/>
      <c r="CS75" s="83">
        <f t="shared" si="247"/>
        <v>790</v>
      </c>
      <c r="CT75" s="83"/>
      <c r="CU75" s="83">
        <f t="shared" si="248"/>
        <v>0</v>
      </c>
      <c r="CV75" s="83"/>
      <c r="CW75" s="83" t="e">
        <f t="shared" ca="1" si="249"/>
        <v>#NUM!</v>
      </c>
      <c r="CY75" s="83" t="e">
        <f t="shared" ca="1" si="250"/>
        <v>#NUM!</v>
      </c>
      <c r="CZ75" s="70" t="e">
        <f t="shared" ca="1" si="291"/>
        <v>#NUM!</v>
      </c>
      <c r="DA75" s="83">
        <f>IF(RTD("tos.rtd",,DA$43,"."&amp;$A$43&amp;$AS$42&amp;"C"&amp;$A75)="N/A",0,RTD("tos.rtd",,DA$43,"."&amp;$A$43&amp;$AS$42&amp;"C"&amp;$A75))</f>
        <v>16.95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17.100000000000001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16.82</v>
      </c>
      <c r="DF75" s="83">
        <f>IF(RTD("tos.rtd",,DF$43,"."&amp;$A$43&amp;$AS$42&amp;"P"&amp;$A75)="N/A",0,RTD("tos.rtd",,DF$43,"."&amp;$A$43&amp;$AS$42&amp;"P"&amp;$A75))</f>
        <v>0</v>
      </c>
      <c r="DG75" s="86">
        <f t="shared" si="285"/>
        <v>-16.95999999999998</v>
      </c>
      <c r="DH75" s="83">
        <f t="shared" si="251"/>
        <v>0</v>
      </c>
      <c r="DI75" s="83">
        <f t="shared" si="252"/>
        <v>-1</v>
      </c>
      <c r="DJ75" s="83">
        <f t="shared" si="253"/>
        <v>0</v>
      </c>
      <c r="DK75" s="83">
        <f t="shared" si="254"/>
        <v>-1</v>
      </c>
      <c r="DL75" s="83">
        <f t="shared" si="255"/>
        <v>-1</v>
      </c>
      <c r="DM75" s="83">
        <f t="shared" si="256"/>
        <v>-1</v>
      </c>
      <c r="DN75" s="64" t="str">
        <f t="shared" si="257"/>
        <v>UNKNOWN</v>
      </c>
      <c r="DO75" s="64" t="str">
        <f t="shared" si="258"/>
        <v>BUY</v>
      </c>
      <c r="DP75" s="83">
        <f t="shared" si="259"/>
        <v>-0.01</v>
      </c>
      <c r="DQ75" s="83">
        <f t="shared" si="260"/>
        <v>-0.01</v>
      </c>
      <c r="DR75" s="83" t="e">
        <f t="shared" ca="1" si="261"/>
        <v>#NUM!</v>
      </c>
      <c r="DS75" s="83">
        <f t="shared" si="262"/>
        <v>0</v>
      </c>
      <c r="DT75" s="83">
        <f t="shared" si="286"/>
        <v>0</v>
      </c>
      <c r="DU75" s="83">
        <f t="shared" si="287"/>
        <v>-1</v>
      </c>
      <c r="DV75" s="83">
        <f t="shared" si="263"/>
        <v>99</v>
      </c>
      <c r="DW75" s="83">
        <f t="shared" si="264"/>
        <v>1425</v>
      </c>
      <c r="DX75" s="83" t="e">
        <f t="shared" ca="1" si="400"/>
        <v>#NUM!</v>
      </c>
      <c r="DY75" s="83" t="e">
        <f t="shared" ca="1" si="401"/>
        <v>#NUM!</v>
      </c>
      <c r="DZ75" s="83">
        <f t="shared" ca="1" si="402"/>
        <v>1.3087870107049945E-2</v>
      </c>
      <c r="EA75" s="83">
        <f t="shared" ca="1" si="403"/>
        <v>-1.3021176243574035E-2</v>
      </c>
      <c r="EB75" s="83">
        <f t="shared" ca="1" si="404"/>
        <v>1.3200278056485786E-2</v>
      </c>
      <c r="EC75" s="83">
        <f t="shared" ca="1" si="405"/>
        <v>-1.3200278056485786E-2</v>
      </c>
      <c r="EE75" s="84">
        <f t="shared" si="265"/>
        <v>0.25</v>
      </c>
      <c r="EF75" s="84">
        <f t="shared" si="266"/>
        <v>1.6826000000000001</v>
      </c>
      <c r="EG75" s="84">
        <f t="shared" si="267"/>
        <v>0.25969999999999999</v>
      </c>
      <c r="EH75" s="84">
        <f t="shared" si="268"/>
        <v>0.26469999999999999</v>
      </c>
      <c r="EI75" s="84">
        <f t="shared" si="269"/>
        <v>0.25</v>
      </c>
      <c r="EJ75" s="84">
        <f t="shared" si="270"/>
        <v>0.25</v>
      </c>
      <c r="EL75" s="83" t="str">
        <f>RTD("tos.rtd",,EL$43,"."&amp;$A$43&amp;$AS$42&amp;"C"&amp;$A75)</f>
        <v>0.00%</v>
      </c>
      <c r="EM75" s="83" t="str">
        <f>RTD("tos.rtd",,EM$43,"."&amp;$A$43&amp;$AS$42&amp;"P"&amp;$A75)</f>
        <v>168.26%</v>
      </c>
      <c r="EN75" s="83" t="str">
        <f>RTD("tos.rtd",,EN$2,"."&amp;$A$43&amp;$AU$1&amp;"C"&amp;$A75)</f>
        <v>25.97%</v>
      </c>
      <c r="EO75" s="83" t="str">
        <f>RTD("tos.rtd",,EO$2,"."&amp;$A$43&amp;$AU$1&amp;"P"&amp;$A75)</f>
        <v>26.47%</v>
      </c>
      <c r="EP75" s="83" t="str">
        <f>RTD("tos.rtd",,EP$2,"."&amp;$A$43&amp;$AW$1&amp;"C"&amp;$A75)</f>
        <v>N/A</v>
      </c>
      <c r="EQ75" s="83" t="str">
        <f>RTD("tos.rtd",,EQ$2,"."&amp;$A$43&amp;$AW$1&amp;"P"&amp;$A75)</f>
        <v>N/A</v>
      </c>
      <c r="ET75" s="64" t="str">
        <f t="shared" ca="1" si="271"/>
        <v>472,00.00</v>
      </c>
      <c r="EU75" s="68">
        <v>560.65</v>
      </c>
      <c r="EV75" s="68" t="s">
        <v>619</v>
      </c>
      <c r="EW75" s="68">
        <v>482.64</v>
      </c>
      <c r="EX75" s="68" t="s">
        <v>620</v>
      </c>
      <c r="EY75" s="68">
        <v>5621.75</v>
      </c>
      <c r="EZ75" s="68" t="s">
        <v>621</v>
      </c>
      <c r="FA75" s="68">
        <v>19830.25</v>
      </c>
      <c r="FB75" s="68" t="s">
        <v>622</v>
      </c>
      <c r="FC75" s="68" t="s">
        <v>623</v>
      </c>
      <c r="FD75" s="68" t="s">
        <v>624</v>
      </c>
      <c r="FE75" s="68" t="s">
        <v>625</v>
      </c>
      <c r="FF75" s="68" t="s">
        <v>626</v>
      </c>
    </row>
    <row r="76" spans="1:162" ht="13.5" thickBot="1" x14ac:dyDescent="0.25">
      <c r="A76" s="2">
        <f t="shared" si="288"/>
        <v>471</v>
      </c>
      <c r="B76" s="3">
        <f t="shared" si="238"/>
        <v>7886</v>
      </c>
      <c r="C76" s="3">
        <f t="shared" si="406"/>
        <v>1441</v>
      </c>
      <c r="D76" s="3">
        <f t="shared" si="240"/>
        <v>0</v>
      </c>
      <c r="E76" s="3">
        <f t="shared" si="241"/>
        <v>9327</v>
      </c>
      <c r="F76" s="4">
        <f t="shared" si="292"/>
        <v>19450.327225130892</v>
      </c>
      <c r="AM76" s="1">
        <v>47</v>
      </c>
      <c r="AN76" s="1">
        <v>241</v>
      </c>
      <c r="AO76" s="1">
        <v>471</v>
      </c>
      <c r="AP76" s="1">
        <v>223</v>
      </c>
      <c r="AQ76" s="1">
        <v>-3768</v>
      </c>
      <c r="AS76" s="6">
        <f>IF(RTD("tos.rtd",,AS$43,"."&amp;$A$43&amp;$AS$42&amp;"C"&amp;$A76)="N/A",0,RTD("tos.rtd",,AS$43,"."&amp;$A$43&amp;$AS$42&amp;"C"&amp;$A76))</f>
        <v>3950</v>
      </c>
      <c r="AT76" s="7">
        <f>-IF(RTD("tos.rtd",,AT$43,"."&amp;$A$43&amp;$AS$42&amp;"P"&amp;$A76)="N/A",0,RTD("tos.rtd",,AT$43,"."&amp;$A$43&amp;$AS$42&amp;"P"&amp;$A76))</f>
        <v>-3936</v>
      </c>
      <c r="AU76" s="6">
        <f>IF(RTD("tos.rtd",,AU$2,"."&amp;$A$43&amp;$AU$1&amp;"C"&amp;$A76)="N/A",0,RTD("tos.rtd",,AU$2,"."&amp;$A$43&amp;$AU$1&amp;"C"&amp;$A76))</f>
        <v>991</v>
      </c>
      <c r="AV76" s="7">
        <f>-IF(RTD("tos.rtd",,AV$2,"."&amp;$A$43&amp;$AU$1&amp;"P"&amp;$A76)="N/A",0,RTD("tos.rtd",,AV$2,"."&amp;$A$43&amp;$AU$1&amp;"P"&amp;$A76))</f>
        <v>-450</v>
      </c>
      <c r="AW76" s="6">
        <f>IF(RTD("tos.rtd",,AW$2,"."&amp;$A$43&amp;$AW$1&amp;"C"&amp;$A76)="N/A",0,RTD("tos.rtd",,AW$2,"."&amp;$A$43&amp;$AW$1&amp;"C"&amp;$A76))</f>
        <v>0</v>
      </c>
      <c r="AX76" s="7">
        <f>-IF(RTD("tos.rtd",,AX$2,"."&amp;$A$43&amp;$AW$1&amp;"P"&amp;$A76)="N/A",0,RTD("tos.rtd",,AX$2,"."&amp;$A$43&amp;$AW$1&amp;"P"&amp;$A76))</f>
        <v>0</v>
      </c>
      <c r="AY76" s="7">
        <f t="shared" si="272"/>
        <v>555</v>
      </c>
      <c r="AZ76" s="8">
        <f t="shared" si="242"/>
        <v>471</v>
      </c>
      <c r="BA76" s="6">
        <f>IF(RTD("tos.rtd",,BA$43,"."&amp;$A$43&amp;$AS$42&amp;"C"&amp;$A76)="N/A",0,RTD("tos.rtd",,BA$43,"."&amp;$A$43&amp;$AS$42&amp;"C"&amp;$A76))</f>
        <v>223</v>
      </c>
      <c r="BB76" s="7">
        <f>-IF(RTD("tos.rtd",,BB$43,"."&amp;$A$43&amp;$AS$42&amp;"P"&amp;$A76)="N/A",0,RTD("tos.rtd",,BB$43,"."&amp;$A$43&amp;$AS$42&amp;"P"&amp;$A76))</f>
        <v>-3768</v>
      </c>
      <c r="BC76" s="6">
        <f>IF(RTD("tos.rtd",,BC$2,"."&amp;$A$43&amp;$AU$1&amp;"C"&amp;$A76)="N/A",0,RTD("tos.rtd",,BC$2,"."&amp;$A$43&amp;$AU$1&amp;"C"&amp;$A76))</f>
        <v>26</v>
      </c>
      <c r="BD76" s="7">
        <f>-IF(RTD("tos.rtd",,BD$2,"."&amp;$A$43&amp;$AU$1&amp;"P"&amp;$A76)="N/A",0,RTD("tos.rtd",,BD$2,"."&amp;$A$43&amp;$AU$1&amp;"P"&amp;$A76))</f>
        <v>-292</v>
      </c>
      <c r="BE76" s="6">
        <f>IF(RTD("tos.rtd",,BE$2,"."&amp;$A$43&amp;$AW$1&amp;"C"&amp;$A76)="N/A",0,RTD("tos.rtd",,BE$2,"."&amp;$A$43&amp;$AW$1&amp;"C"&amp;$A76))</f>
        <v>0</v>
      </c>
      <c r="BF76" s="7">
        <f>-IF(RTD("tos.rtd",,BF$2,"."&amp;$A$43&amp;$AW$1&amp;"P"&amp;$A76)="N/A",0,RTD("tos.rtd",,BF$2,"."&amp;$A$43&amp;$AW$1&amp;"P"&amp;$A76))</f>
        <v>0</v>
      </c>
      <c r="BG76" s="32" t="e">
        <f ca="1">+Hoja2!Y77</f>
        <v>#N/A</v>
      </c>
      <c r="BH76" s="7" t="e">
        <f t="shared" ca="1" si="273"/>
        <v>#N/A</v>
      </c>
      <c r="BI76" s="8" t="e">
        <f t="shared" ca="1" si="289"/>
        <v>#N/A</v>
      </c>
      <c r="BJ76" s="83" t="e">
        <f ca="1">IF($BP$1=1,DX76,IF(RTD("tos.rtd",,BJ$43,"."&amp;$A$43&amp;$AS$42&amp;"C"&amp;$A76)="N/A",0,RTD("tos.rtd",,BJ$43,"."&amp;$A$43&amp;$AS$42&amp;"C"&amp;$A76)))</f>
        <v>#NUM!</v>
      </c>
      <c r="BK76" s="83" t="e">
        <f ca="1">IF($BP$1=1,DY76,-IF(RTD("tos.rtd",,BK$43,"."&amp;$A$43&amp;$AS$42&amp;"P"&amp;$A76)="N/A",0,RTD("tos.rtd",,BK$43,"."&amp;$A$43&amp;$AS$42&amp;"P"&amp;$A76)))</f>
        <v>#NUM!</v>
      </c>
      <c r="BL76" s="83">
        <f ca="1">IF($BP$1=1,DZ76,IF(RTD("tos.rtd",,BL$2,"."&amp;$A$43&amp;$AU$1&amp;"C"&amp;$A76)="N/A",0,RTD("tos.rtd",,BL$2,"."&amp;$A$43&amp;$AU$1&amp;"C"&amp;$A76)))</f>
        <v>1.2447627017351352E-2</v>
      </c>
      <c r="BM76" s="83">
        <f ca="1">IF($BP$1=1,EA76,-IF(RTD("tos.rtd",,BM$2,"."&amp;$A$43&amp;$AU$1&amp;"P"&amp;$A76)="N/A",0,RTD("tos.rtd",,BM$2,"."&amp;$A$43&amp;$AU$1&amp;"P"&amp;$A76)))</f>
        <v>-1.2434100284745305E-2</v>
      </c>
      <c r="BN76" s="83">
        <f ca="1">IF($BP$1=1,EB76,IF(RTD("tos.rtd",,BN$2,"."&amp;$A$43&amp;$AW$1&amp;"C"&amp;$A76)="N/A",0,RTD("tos.rtd",,BN$2,"."&amp;$A$43&amp;$AW$1&amp;"C"&amp;$A76)))</f>
        <v>1.2564512693389684E-2</v>
      </c>
      <c r="BO76" s="83">
        <f ca="1">IF($BP$1=1,EC76,-IF(RTD("tos.rtd",,BO$2,"."&amp;$A$43&amp;$AW$1&amp;"P"&amp;$A76)="N/A",0,RTD("tos.rtd",,BO$2,"."&amp;$A$43&amp;$AW$1&amp;"P"&amp;$A76)))</f>
        <v>-1.2564512693389684E-2</v>
      </c>
      <c r="BQ76" s="83" t="e">
        <f t="shared" ca="1" si="274"/>
        <v>#NUM!</v>
      </c>
      <c r="BR76" s="3" t="e">
        <f t="shared" ca="1" si="275"/>
        <v>#NUM!</v>
      </c>
      <c r="BS76" s="83">
        <f t="shared" ca="1" si="276"/>
        <v>1611472.4285284856</v>
      </c>
      <c r="BT76" s="3" t="str">
        <f t="shared" ca="1" si="277"/>
        <v/>
      </c>
      <c r="BU76" s="83">
        <f t="shared" ca="1" si="278"/>
        <v>0</v>
      </c>
      <c r="BV76" s="83"/>
      <c r="BX76" s="83" t="e">
        <f t="shared" ca="1" si="279"/>
        <v>#NUM!</v>
      </c>
      <c r="BY76" s="83" t="e">
        <f t="shared" ca="1" si="290"/>
        <v>#NUM!</v>
      </c>
      <c r="BZ76" s="83">
        <f t="shared" ca="1" si="280"/>
        <v>-790672.22857951373</v>
      </c>
      <c r="CA76" s="83" t="str">
        <f t="shared" ca="1" si="290"/>
        <v>Cruce -</v>
      </c>
      <c r="CB76" s="83">
        <f t="shared" ca="1" si="281"/>
        <v>0</v>
      </c>
      <c r="CC76" s="83" t="str">
        <f t="shared" ca="1" si="290"/>
        <v/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0.85</v>
      </c>
      <c r="CG76" s="83">
        <f>-IF(RTD("tos.rtd",,CG$2,"."&amp;$A$43&amp;$AU$1&amp;"P"&amp;$A76)="N/A",0,RTD("tos.rtd",,CG$2,"."&amp;$A$43&amp;$AU$1&amp;"P"&amp;$A76))</f>
        <v>0.15</v>
      </c>
      <c r="CH76" s="83">
        <f>IF(RTD("tos.rtd",,CH$2,"."&amp;$A$43&amp;$AW$1&amp;"C"&amp;$A76)="N/A",0,RTD("tos.rtd",,CH$2,"."&amp;$A$43&amp;$AW$1&amp;"C"&amp;$A76))</f>
        <v>0</v>
      </c>
      <c r="CI76" s="83">
        <f>-IF(RTD("tos.rtd",,CI$2,"."&amp;$A$43&amp;$AW$1&amp;"P"&amp;$A76)="N/A",0,RTD("tos.rtd",,CI$2,"."&amp;$A$43&amp;$AW$1&amp;"P"&amp;$A76))</f>
        <v>0</v>
      </c>
      <c r="CK76" s="83">
        <f t="shared" si="282"/>
        <v>395000</v>
      </c>
      <c r="CL76" s="83"/>
      <c r="CM76" s="83">
        <f t="shared" si="283"/>
        <v>77485</v>
      </c>
      <c r="CN76" s="83"/>
      <c r="CO76" s="83">
        <f t="shared" si="284"/>
        <v>0</v>
      </c>
      <c r="CP76" s="83">
        <f t="shared" si="232"/>
        <v>472485</v>
      </c>
      <c r="CQ76" s="83">
        <f t="shared" si="246"/>
        <v>-3545</v>
      </c>
      <c r="CR76" s="83"/>
      <c r="CS76" s="83">
        <f t="shared" si="247"/>
        <v>-266</v>
      </c>
      <c r="CT76" s="83"/>
      <c r="CU76" s="83">
        <f t="shared" si="248"/>
        <v>0</v>
      </c>
      <c r="CV76" s="83"/>
      <c r="CW76" s="83" t="e">
        <f t="shared" ca="1" si="249"/>
        <v>#NUM!</v>
      </c>
      <c r="CY76" s="83" t="e">
        <f t="shared" ca="1" si="250"/>
        <v>#NUM!</v>
      </c>
      <c r="CZ76" s="70" t="e">
        <f t="shared" ca="1" si="291"/>
        <v>#NUM!</v>
      </c>
      <c r="DA76" s="83">
        <f>IF(RTD("tos.rtd",,DA$43,"."&amp;$A$43&amp;$AS$42&amp;"C"&amp;$A76)="N/A",0,RTD("tos.rtd",,DA$43,"."&amp;$A$43&amp;$AS$42&amp;"C"&amp;$A76))</f>
        <v>17.84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18.05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17.760000000000002</v>
      </c>
      <c r="DF76" s="83">
        <f>IF(RTD("tos.rtd",,DF$43,"."&amp;$A$43&amp;$AS$42&amp;"P"&amp;$A76)="N/A",0,RTD("tos.rtd",,DF$43,"."&amp;$A$43&amp;$AS$42&amp;"P"&amp;$A76))</f>
        <v>0</v>
      </c>
      <c r="DG76" s="86">
        <f t="shared" si="285"/>
        <v>-17.95999999999998</v>
      </c>
      <c r="DH76" s="83">
        <f t="shared" si="251"/>
        <v>0</v>
      </c>
      <c r="DI76" s="83">
        <f t="shared" si="252"/>
        <v>0</v>
      </c>
      <c r="DJ76" s="83">
        <f t="shared" si="253"/>
        <v>0</v>
      </c>
      <c r="DK76" s="83">
        <f t="shared" si="254"/>
        <v>0</v>
      </c>
      <c r="DL76" s="83">
        <f t="shared" si="255"/>
        <v>0</v>
      </c>
      <c r="DM76" s="83">
        <f t="shared" si="256"/>
        <v>0</v>
      </c>
      <c r="DN76" s="64" t="str">
        <f t="shared" si="257"/>
        <v>UNKNOWN</v>
      </c>
      <c r="DO76" s="64" t="str">
        <f t="shared" si="258"/>
        <v>UNKNOWN</v>
      </c>
      <c r="DP76" s="83">
        <f t="shared" si="259"/>
        <v>0</v>
      </c>
      <c r="DQ76" s="83">
        <f t="shared" si="260"/>
        <v>0</v>
      </c>
      <c r="DR76" s="83" t="e">
        <f t="shared" ca="1" si="261"/>
        <v>#NUM!</v>
      </c>
      <c r="DS76" s="83">
        <f t="shared" si="262"/>
        <v>0</v>
      </c>
      <c r="DT76" s="83">
        <f t="shared" si="286"/>
        <v>0</v>
      </c>
      <c r="DU76" s="83">
        <f t="shared" si="287"/>
        <v>0</v>
      </c>
      <c r="DV76" s="83">
        <f t="shared" si="263"/>
        <v>47</v>
      </c>
      <c r="DW76" s="83">
        <f t="shared" si="264"/>
        <v>241</v>
      </c>
      <c r="DX76" s="83" t="e">
        <f t="shared" ca="1" si="400"/>
        <v>#NUM!</v>
      </c>
      <c r="DY76" s="83" t="e">
        <f t="shared" ca="1" si="401"/>
        <v>#NUM!</v>
      </c>
      <c r="DZ76" s="83">
        <f t="shared" ca="1" si="402"/>
        <v>1.2447627017351352E-2</v>
      </c>
      <c r="EA76" s="83">
        <f t="shared" ca="1" si="403"/>
        <v>-1.2434100284745305E-2</v>
      </c>
      <c r="EB76" s="83">
        <f t="shared" ca="1" si="404"/>
        <v>1.2564512693389684E-2</v>
      </c>
      <c r="EC76" s="83">
        <f t="shared" ca="1" si="405"/>
        <v>-1.2564512693389684E-2</v>
      </c>
      <c r="EE76" s="84">
        <f t="shared" si="265"/>
        <v>0.25</v>
      </c>
      <c r="EF76" s="84">
        <f t="shared" si="266"/>
        <v>1.7738</v>
      </c>
      <c r="EG76" s="84">
        <f t="shared" si="267"/>
        <v>0.26590000000000003</v>
      </c>
      <c r="EH76" s="84">
        <f t="shared" si="268"/>
        <v>0.26729999999999998</v>
      </c>
      <c r="EI76" s="84">
        <f t="shared" si="269"/>
        <v>0.25</v>
      </c>
      <c r="EJ76" s="84">
        <f t="shared" si="270"/>
        <v>0.25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177.38%</v>
      </c>
      <c r="EN76" s="83" t="str">
        <f>RTD("tos.rtd",,EN$2,"."&amp;$A$43&amp;$AU$1&amp;"C"&amp;$A76)</f>
        <v>26.59%</v>
      </c>
      <c r="EO76" s="83" t="str">
        <f>RTD("tos.rtd",,EO$2,"."&amp;$A$43&amp;$AU$1&amp;"P"&amp;$A76)</f>
        <v>26.73%</v>
      </c>
      <c r="EP76" s="83" t="str">
        <f>RTD("tos.rtd",,EP$2,"."&amp;$A$43&amp;$AW$1&amp;"C"&amp;$A76)</f>
        <v>N/A</v>
      </c>
      <c r="EQ76" s="83" t="str">
        <f>RTD("tos.rtd",,EQ$2,"."&amp;$A$43&amp;$AW$1&amp;"P"&amp;$A76)</f>
        <v>N/A</v>
      </c>
      <c r="ET76" s="64" t="str">
        <f t="shared" ca="1" si="271"/>
        <v>471,00.00</v>
      </c>
      <c r="EU76" s="68">
        <v>560.69000000000005</v>
      </c>
      <c r="EV76" s="68" t="s">
        <v>627</v>
      </c>
      <c r="EW76" s="68">
        <v>482.67</v>
      </c>
      <c r="EX76" s="68" t="s">
        <v>628</v>
      </c>
      <c r="EY76" s="68">
        <v>5622.25</v>
      </c>
      <c r="EZ76" s="68" t="s">
        <v>629</v>
      </c>
      <c r="FA76" s="68">
        <v>19831.75</v>
      </c>
      <c r="FB76" s="68" t="s">
        <v>630</v>
      </c>
      <c r="FC76" s="68" t="s">
        <v>631</v>
      </c>
      <c r="FD76" s="68" t="s">
        <v>632</v>
      </c>
      <c r="FE76" s="68" t="s">
        <v>633</v>
      </c>
      <c r="FF76" s="68" t="s">
        <v>634</v>
      </c>
    </row>
    <row r="77" spans="1:162" ht="13.5" thickBot="1" x14ac:dyDescent="0.25">
      <c r="A77" s="2">
        <f t="shared" si="288"/>
        <v>470</v>
      </c>
      <c r="B77" s="3">
        <f t="shared" si="238"/>
        <v>25019</v>
      </c>
      <c r="C77" s="3">
        <f t="shared" si="406"/>
        <v>11730</v>
      </c>
      <c r="D77" s="3">
        <f t="shared" si="240"/>
        <v>57051</v>
      </c>
      <c r="E77" s="3">
        <f t="shared" si="241"/>
        <v>93800</v>
      </c>
      <c r="F77" s="4">
        <f t="shared" si="292"/>
        <v>19409.031413612567</v>
      </c>
      <c r="AM77" s="1">
        <v>103</v>
      </c>
      <c r="AN77" s="1">
        <v>-266</v>
      </c>
      <c r="AO77" s="1">
        <v>470</v>
      </c>
      <c r="AP77" s="1">
        <v>976</v>
      </c>
      <c r="AQ77" s="1">
        <v>-7507</v>
      </c>
      <c r="AS77" s="6">
        <f>IF(RTD("tos.rtd",,AS$43,"."&amp;$A$43&amp;$AS$42&amp;"C"&amp;$A77)="N/A",0,RTD("tos.rtd",,AS$43,"."&amp;$A$43&amp;$AS$42&amp;"C"&amp;$A77))</f>
        <v>8432</v>
      </c>
      <c r="AT77" s="7">
        <f>-IF(RTD("tos.rtd",,AT$43,"."&amp;$A$43&amp;$AS$42&amp;"P"&amp;$A77)="N/A",0,RTD("tos.rtd",,AT$43,"."&amp;$A$43&amp;$AS$42&amp;"P"&amp;$A77))</f>
        <v>-16587</v>
      </c>
      <c r="AU77" s="6">
        <f>IF(RTD("tos.rtd",,AU$2,"."&amp;$A$43&amp;$AU$1&amp;"C"&amp;$A77)="N/A",0,RTD("tos.rtd",,AU$2,"."&amp;$A$43&amp;$AU$1&amp;"C"&amp;$A77))</f>
        <v>3227</v>
      </c>
      <c r="AV77" s="7">
        <f>-IF(RTD("tos.rtd",,AV$2,"."&amp;$A$43&amp;$AU$1&amp;"P"&amp;$A77)="N/A",0,RTD("tos.rtd",,AV$2,"."&amp;$A$43&amp;$AU$1&amp;"P"&amp;$A77))</f>
        <v>-8503</v>
      </c>
      <c r="AW77" s="6">
        <f>IF(RTD("tos.rtd",,AW$2,"."&amp;$A$43&amp;$AW$1&amp;"C"&amp;$A77)="N/A",0,RTD("tos.rtd",,AW$2,"."&amp;$A$43&amp;$AW$1&amp;"C"&amp;$A77))</f>
        <v>35739</v>
      </c>
      <c r="AX77" s="7">
        <f>-IF(RTD("tos.rtd",,AX$2,"."&amp;$A$43&amp;$AW$1&amp;"P"&amp;$A77)="N/A",0,RTD("tos.rtd",,AX$2,"."&amp;$A$43&amp;$AW$1&amp;"P"&amp;$A77))</f>
        <v>-21312</v>
      </c>
      <c r="AY77" s="7">
        <f t="shared" si="272"/>
        <v>996</v>
      </c>
      <c r="AZ77" s="8">
        <f t="shared" si="242"/>
        <v>470</v>
      </c>
      <c r="BA77" s="6">
        <f>IF(RTD("tos.rtd",,BA$43,"."&amp;$A$43&amp;$AS$42&amp;"C"&amp;$A77)="N/A",0,RTD("tos.rtd",,BA$43,"."&amp;$A$43&amp;$AS$42&amp;"C"&amp;$A77))</f>
        <v>979</v>
      </c>
      <c r="BB77" s="7">
        <f>-IF(RTD("tos.rtd",,BB$43,"."&amp;$A$43&amp;$AS$42&amp;"P"&amp;$A77)="N/A",0,RTD("tos.rtd",,BB$43,"."&amp;$A$43&amp;$AS$42&amp;"P"&amp;$A77))</f>
        <v>-7507</v>
      </c>
      <c r="BC77" s="6">
        <f>IF(RTD("tos.rtd",,BC$2,"."&amp;$A$43&amp;$AU$1&amp;"C"&amp;$A77)="N/A",0,RTD("tos.rtd",,BC$2,"."&amp;$A$43&amp;$AU$1&amp;"C"&amp;$A77))</f>
        <v>401</v>
      </c>
      <c r="BD77" s="7">
        <f>-IF(RTD("tos.rtd",,BD$2,"."&amp;$A$43&amp;$AU$1&amp;"P"&amp;$A77)="N/A",0,RTD("tos.rtd",,BD$2,"."&amp;$A$43&amp;$AU$1&amp;"P"&amp;$A77))</f>
        <v>-6748</v>
      </c>
      <c r="BE77" s="6">
        <f>IF(RTD("tos.rtd",,BE$2,"."&amp;$A$43&amp;$AW$1&amp;"C"&amp;$A77)="N/A",0,RTD("tos.rtd",,BE$2,"."&amp;$A$43&amp;$AW$1&amp;"C"&amp;$A77))</f>
        <v>833</v>
      </c>
      <c r="BF77" s="7">
        <f>-IF(RTD("tos.rtd",,BF$2,"."&amp;$A$43&amp;$AW$1&amp;"P"&amp;$A77)="N/A",0,RTD("tos.rtd",,BF$2,"."&amp;$A$43&amp;$AW$1&amp;"P"&amp;$A77))</f>
        <v>-6637</v>
      </c>
      <c r="BG77" s="32" t="e">
        <f ca="1">+Hoja2!Y78</f>
        <v>#N/A</v>
      </c>
      <c r="BH77" s="7" t="e">
        <f t="shared" ca="1" si="273"/>
        <v>#N/A</v>
      </c>
      <c r="BI77" s="8" t="e">
        <f t="shared" ca="1" si="289"/>
        <v>#N/A</v>
      </c>
      <c r="BJ77" s="83" t="e">
        <f ca="1">IF($BP$1=1,DX77,IF(RTD("tos.rtd",,BJ$43,"."&amp;$A$43&amp;$AS$42&amp;"C"&amp;$A77)="N/A",0,RTD("tos.rtd",,BJ$43,"."&amp;$A$43&amp;$AS$42&amp;"C"&amp;$A77)))</f>
        <v>#NUM!</v>
      </c>
      <c r="BK77" s="83" t="e">
        <f ca="1">IF($BP$1=1,DY77,-IF(RTD("tos.rtd",,BK$43,"."&amp;$A$43&amp;$AS$42&amp;"P"&amp;$A77)="N/A",0,RTD("tos.rtd",,BK$43,"."&amp;$A$43&amp;$AS$42&amp;"P"&amp;$A77)))</f>
        <v>#NUM!</v>
      </c>
      <c r="BL77" s="83">
        <f ca="1">IF($BP$1=1,DZ77,IF(RTD("tos.rtd",,BL$2,"."&amp;$A$43&amp;$AU$1&amp;"C"&amp;$A77)="N/A",0,RTD("tos.rtd",,BL$2,"."&amp;$A$43&amp;$AU$1&amp;"C"&amp;$A77)))</f>
        <v>1.1840319478190036E-2</v>
      </c>
      <c r="BM77" s="83">
        <f ca="1">IF($BP$1=1,EA77,-IF(RTD("tos.rtd",,BM$2,"."&amp;$A$43&amp;$AU$1&amp;"P"&amp;$A77)="N/A",0,RTD("tos.rtd",,BM$2,"."&amp;$A$43&amp;$AU$1&amp;"P"&amp;$A77)))</f>
        <v>-1.1861858769662016E-2</v>
      </c>
      <c r="BN77" s="83">
        <f ca="1">IF($BP$1=1,EB77,IF(RTD("tos.rtd",,BN$2,"."&amp;$A$43&amp;$AW$1&amp;"C"&amp;$A77)="N/A",0,RTD("tos.rtd",,BN$2,"."&amp;$A$43&amp;$AW$1&amp;"C"&amp;$A77)))</f>
        <v>1.1866077712871237E-2</v>
      </c>
      <c r="BO77" s="83">
        <f ca="1">IF($BP$1=1,EC77,-IF(RTD("tos.rtd",,BO$2,"."&amp;$A$43&amp;$AW$1&amp;"P"&amp;$A77)="N/A",0,RTD("tos.rtd",,BO$2,"."&amp;$A$43&amp;$AW$1&amp;"P"&amp;$A77)))</f>
        <v>-1.1856251341211446E-2</v>
      </c>
      <c r="BQ77" s="83" t="e">
        <f t="shared" ca="1" si="274"/>
        <v>#NUM!</v>
      </c>
      <c r="BR77" s="3" t="e">
        <f t="shared" ca="1" si="275"/>
        <v>#NUM!</v>
      </c>
      <c r="BS77" s="83">
        <f t="shared" ca="1" si="276"/>
        <v>-14979119.22599842</v>
      </c>
      <c r="BT77" s="3" t="str">
        <f t="shared" ca="1" si="277"/>
        <v>Cruce -</v>
      </c>
      <c r="BU77" s="83">
        <f t="shared" ca="1" si="278"/>
        <v>40978950.762893915</v>
      </c>
      <c r="BV77" s="83"/>
      <c r="BX77" s="83" t="e">
        <f t="shared" ca="1" si="279"/>
        <v>#NUM!</v>
      </c>
      <c r="BY77" s="83" t="e">
        <f t="shared" ca="1" si="290"/>
        <v>#NUM!</v>
      </c>
      <c r="BZ77" s="83">
        <f t="shared" ca="1" si="280"/>
        <v>-18001874.658264965</v>
      </c>
      <c r="CA77" s="83" t="str">
        <f t="shared" ca="1" si="290"/>
        <v/>
      </c>
      <c r="CB77" s="83">
        <f t="shared" ca="1" si="281"/>
        <v>-16450147.786832156</v>
      </c>
      <c r="CC77" s="83" t="str">
        <f t="shared" ca="1" si="290"/>
        <v/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0.86</v>
      </c>
      <c r="CG77" s="83">
        <f>-IF(RTD("tos.rtd",,CG$2,"."&amp;$A$43&amp;$AU$1&amp;"P"&amp;$A77)="N/A",0,RTD("tos.rtd",,CG$2,"."&amp;$A$43&amp;$AU$1&amp;"P"&amp;$A77))</f>
        <v>0.14000000000000001</v>
      </c>
      <c r="CH77" s="83">
        <f>IF(RTD("tos.rtd",,CH$2,"."&amp;$A$43&amp;$AW$1&amp;"C"&amp;$A77)="N/A",0,RTD("tos.rtd",,CH$2,"."&amp;$A$43&amp;$AW$1&amp;"C"&amp;$A77))</f>
        <v>0.79</v>
      </c>
      <c r="CI77" s="83">
        <f>-IF(RTD("tos.rtd",,CI$2,"."&amp;$A$43&amp;$AW$1&amp;"P"&amp;$A77)="N/A",0,RTD("tos.rtd",,CI$2,"."&amp;$A$43&amp;$AW$1&amp;"P"&amp;$A77))</f>
        <v>0.21</v>
      </c>
      <c r="CK77" s="83">
        <f t="shared" si="282"/>
        <v>843200</v>
      </c>
      <c r="CL77" s="83"/>
      <c r="CM77" s="83">
        <f t="shared" si="283"/>
        <v>158480</v>
      </c>
      <c r="CN77" s="83"/>
      <c r="CO77" s="83">
        <f t="shared" si="284"/>
        <v>2375829</v>
      </c>
      <c r="CP77" s="83">
        <f t="shared" si="232"/>
        <v>3377509</v>
      </c>
      <c r="CQ77" s="83">
        <f t="shared" si="246"/>
        <v>-6528</v>
      </c>
      <c r="CR77" s="83"/>
      <c r="CS77" s="83">
        <f t="shared" si="247"/>
        <v>-6347</v>
      </c>
      <c r="CT77" s="83"/>
      <c r="CU77" s="83">
        <f t="shared" si="248"/>
        <v>-5804</v>
      </c>
      <c r="CV77" s="83"/>
      <c r="CW77" s="83" t="e">
        <f t="shared" ca="1" si="249"/>
        <v>#NUM!</v>
      </c>
      <c r="CY77" s="83" t="e">
        <f t="shared" ca="1" si="250"/>
        <v>#NUM!</v>
      </c>
      <c r="CZ77" s="70" t="e">
        <f t="shared" ca="1" si="291"/>
        <v>#NUM!</v>
      </c>
      <c r="DA77" s="83">
        <f>IF(RTD("tos.rtd",,DA$43,"."&amp;$A$43&amp;$AS$42&amp;"C"&amp;$A77)="N/A",0,RTD("tos.rtd",,DA$43,"."&amp;$A$43&amp;$AS$42&amp;"C"&amp;$A77))</f>
        <v>18.89</v>
      </c>
      <c r="DB77" s="83">
        <f>IF(RTD("tos.rtd",,DB$43,"."&amp;$A$43&amp;$AS$42&amp;"P"&amp;$A77)="N/A",0,RTD("tos.rtd",,DB$43,"."&amp;$A$43&amp;$AS$42&amp;"P"&amp;$A77))</f>
        <v>0.01</v>
      </c>
      <c r="DC77" s="83">
        <f>IF(RTD("tos.rtd",,DC$43,"."&amp;$A$43&amp;$AS$42&amp;"C"&amp;$A77)="N/A",0,RTD("tos.rtd",,DC$43,"."&amp;$A$43&amp;$AS$42&amp;"C"&amp;$A77))</f>
        <v>19.09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18.82</v>
      </c>
      <c r="DF77" s="83">
        <f>IF(RTD("tos.rtd",,DF$43,"."&amp;$A$43&amp;$AS$42&amp;"P"&amp;$A77)="N/A",0,RTD("tos.rtd",,DF$43,"."&amp;$A$43&amp;$AS$42&amp;"P"&amp;$A77))</f>
        <v>0</v>
      </c>
      <c r="DG77" s="86">
        <f t="shared" si="285"/>
        <v>-18.95999999999998</v>
      </c>
      <c r="DH77" s="83">
        <f t="shared" si="251"/>
        <v>0.77777777777778223</v>
      </c>
      <c r="DI77" s="83">
        <f t="shared" si="252"/>
        <v>0</v>
      </c>
      <c r="DJ77" s="83">
        <f t="shared" si="253"/>
        <v>-3</v>
      </c>
      <c r="DK77" s="83">
        <f t="shared" si="254"/>
        <v>0</v>
      </c>
      <c r="DL77" s="83">
        <f t="shared" si="255"/>
        <v>0.77777777777778223</v>
      </c>
      <c r="DM77" s="83">
        <f t="shared" si="256"/>
        <v>-3</v>
      </c>
      <c r="DN77" s="64" t="str">
        <f t="shared" si="257"/>
        <v>SELL</v>
      </c>
      <c r="DO77" s="64" t="str">
        <f t="shared" si="258"/>
        <v>UNKNOWN</v>
      </c>
      <c r="DP77" s="83">
        <f t="shared" si="259"/>
        <v>14.692222222222307</v>
      </c>
      <c r="DQ77" s="83">
        <f t="shared" si="260"/>
        <v>-56.67</v>
      </c>
      <c r="DR77" s="83" t="e">
        <f t="shared" ca="1" si="261"/>
        <v>#NUM!</v>
      </c>
      <c r="DS77" s="83">
        <f t="shared" si="262"/>
        <v>-3</v>
      </c>
      <c r="DT77" s="83">
        <f t="shared" si="286"/>
        <v>3</v>
      </c>
      <c r="DU77" s="83">
        <f t="shared" si="287"/>
        <v>0</v>
      </c>
      <c r="DV77" s="83">
        <f t="shared" si="263"/>
        <v>100</v>
      </c>
      <c r="DW77" s="83">
        <f t="shared" si="264"/>
        <v>-266</v>
      </c>
      <c r="DX77" s="83" t="e">
        <f t="shared" ca="1" si="400"/>
        <v>#NUM!</v>
      </c>
      <c r="DY77" s="83" t="e">
        <f t="shared" ca="1" si="401"/>
        <v>#NUM!</v>
      </c>
      <c r="DZ77" s="83">
        <f t="shared" ca="1" si="402"/>
        <v>1.1840319478190036E-2</v>
      </c>
      <c r="EA77" s="83">
        <f t="shared" ca="1" si="403"/>
        <v>-1.1861858769662016E-2</v>
      </c>
      <c r="EB77" s="83">
        <f t="shared" ca="1" si="404"/>
        <v>1.1866077712871237E-2</v>
      </c>
      <c r="EC77" s="83">
        <f t="shared" ca="1" si="405"/>
        <v>-1.1856251341211446E-2</v>
      </c>
      <c r="EE77" s="84">
        <f t="shared" si="265"/>
        <v>0.25</v>
      </c>
      <c r="EF77" s="84">
        <f t="shared" si="266"/>
        <v>1.8648</v>
      </c>
      <c r="EG77" s="84">
        <f t="shared" si="267"/>
        <v>0.27329999999999999</v>
      </c>
      <c r="EH77" s="84">
        <f t="shared" si="268"/>
        <v>0.27</v>
      </c>
      <c r="EI77" s="84">
        <f t="shared" si="269"/>
        <v>0.26929999999999998</v>
      </c>
      <c r="EJ77" s="84">
        <f t="shared" si="270"/>
        <v>0.27089999999999997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186.48%</v>
      </c>
      <c r="EN77" s="83" t="str">
        <f>RTD("tos.rtd",,EN$2,"."&amp;$A$43&amp;$AU$1&amp;"C"&amp;$A77)</f>
        <v>27.33%</v>
      </c>
      <c r="EO77" s="83" t="str">
        <f>RTD("tos.rtd",,EO$2,"."&amp;$A$43&amp;$AU$1&amp;"P"&amp;$A77)</f>
        <v>27.00%</v>
      </c>
      <c r="EP77" s="83" t="str">
        <f>RTD("tos.rtd",,EP$2,"."&amp;$A$43&amp;$AW$1&amp;"C"&amp;$A77)</f>
        <v>26.93%</v>
      </c>
      <c r="EQ77" s="83" t="str">
        <f>RTD("tos.rtd",,EQ$2,"."&amp;$A$43&amp;$AW$1&amp;"P"&amp;$A77)</f>
        <v>27.09%</v>
      </c>
      <c r="ET77" s="64" t="str">
        <f t="shared" ca="1" si="271"/>
        <v>470,00.00</v>
      </c>
      <c r="EU77" s="68">
        <v>560.78</v>
      </c>
      <c r="EV77" s="68" t="s">
        <v>635</v>
      </c>
      <c r="EW77" s="68">
        <v>482.75</v>
      </c>
      <c r="EX77" s="68" t="s">
        <v>636</v>
      </c>
      <c r="EY77" s="68">
        <v>5623</v>
      </c>
      <c r="EZ77" s="68" t="s">
        <v>637</v>
      </c>
      <c r="FA77" s="68">
        <v>19835</v>
      </c>
      <c r="FB77" s="68" t="s">
        <v>638</v>
      </c>
      <c r="FC77" s="68" t="s">
        <v>639</v>
      </c>
      <c r="FD77" s="68" t="s">
        <v>640</v>
      </c>
      <c r="FE77" s="68" t="s">
        <v>641</v>
      </c>
      <c r="FF77" s="68" t="s">
        <v>642</v>
      </c>
    </row>
    <row r="78" spans="1:162" ht="13.5" thickBot="1" x14ac:dyDescent="0.25">
      <c r="A78" s="2">
        <f t="shared" si="288"/>
        <v>469</v>
      </c>
      <c r="B78" s="3">
        <f t="shared" si="238"/>
        <v>5256</v>
      </c>
      <c r="C78" s="3">
        <f t="shared" si="406"/>
        <v>1531</v>
      </c>
      <c r="D78" s="3">
        <f t="shared" si="240"/>
        <v>1819</v>
      </c>
      <c r="E78" s="3">
        <f t="shared" si="241"/>
        <v>8606</v>
      </c>
      <c r="F78" s="4">
        <f t="shared" si="292"/>
        <v>19367.735602094242</v>
      </c>
      <c r="AM78" s="1">
        <v>-1148</v>
      </c>
      <c r="AN78" s="1">
        <v>-106</v>
      </c>
      <c r="AO78" s="1">
        <v>469</v>
      </c>
      <c r="AP78" s="1">
        <v>1355</v>
      </c>
      <c r="AQ78" s="1">
        <v>-3460</v>
      </c>
      <c r="AS78" s="6">
        <f>IF(RTD("tos.rtd",,AS$43,"."&amp;$A$43&amp;$AS$42&amp;"C"&amp;$A78)="N/A",0,RTD("tos.rtd",,AS$43,"."&amp;$A$43&amp;$AS$42&amp;"C"&amp;$A78))</f>
        <v>1939</v>
      </c>
      <c r="AT78" s="7">
        <f>-IF(RTD("tos.rtd",,AT$43,"."&amp;$A$43&amp;$AS$42&amp;"P"&amp;$A78)="N/A",0,RTD("tos.rtd",,AT$43,"."&amp;$A$43&amp;$AS$42&amp;"P"&amp;$A78))</f>
        <v>-3317</v>
      </c>
      <c r="AU78" s="6">
        <f>IF(RTD("tos.rtd",,AU$2,"."&amp;$A$43&amp;$AU$1&amp;"C"&amp;$A78)="N/A",0,RTD("tos.rtd",,AU$2,"."&amp;$A$43&amp;$AU$1&amp;"C"&amp;$A78))</f>
        <v>708</v>
      </c>
      <c r="AV78" s="7">
        <f>-IF(RTD("tos.rtd",,AV$2,"."&amp;$A$43&amp;$AU$1&amp;"P"&amp;$A78)="N/A",0,RTD("tos.rtd",,AV$2,"."&amp;$A$43&amp;$AU$1&amp;"P"&amp;$A78))</f>
        <v>-823</v>
      </c>
      <c r="AW78" s="6">
        <f>IF(RTD("tos.rtd",,AW$2,"."&amp;$A$43&amp;$AW$1&amp;"C"&amp;$A78)="N/A",0,RTD("tos.rtd",,AW$2,"."&amp;$A$43&amp;$AW$1&amp;"C"&amp;$A78))</f>
        <v>993</v>
      </c>
      <c r="AX78" s="7">
        <f>-IF(RTD("tos.rtd",,AX$2,"."&amp;$A$43&amp;$AW$1&amp;"P"&amp;$A78)="N/A",0,RTD("tos.rtd",,AX$2,"."&amp;$A$43&amp;$AW$1&amp;"P"&amp;$A78))</f>
        <v>-826</v>
      </c>
      <c r="AY78" s="7">
        <f t="shared" si="272"/>
        <v>-1326</v>
      </c>
      <c r="AZ78" s="8">
        <f t="shared" si="242"/>
        <v>469</v>
      </c>
      <c r="BA78" s="6">
        <f>IF(RTD("tos.rtd",,BA$43,"."&amp;$A$43&amp;$AS$42&amp;"C"&amp;$A78)="N/A",0,RTD("tos.rtd",,BA$43,"."&amp;$A$43&amp;$AS$42&amp;"C"&amp;$A78))</f>
        <v>1357</v>
      </c>
      <c r="BB78" s="7">
        <f>-IF(RTD("tos.rtd",,BB$43,"."&amp;$A$43&amp;$AS$42&amp;"P"&amp;$A78)="N/A",0,RTD("tos.rtd",,BB$43,"."&amp;$A$43&amp;$AS$42&amp;"P"&amp;$A78))</f>
        <v>-3460</v>
      </c>
      <c r="BC78" s="6">
        <f>IF(RTD("tos.rtd",,BC$2,"."&amp;$A$43&amp;$AU$1&amp;"C"&amp;$A78)="N/A",0,RTD("tos.rtd",,BC$2,"."&amp;$A$43&amp;$AU$1&amp;"C"&amp;$A78))</f>
        <v>87</v>
      </c>
      <c r="BD78" s="7">
        <f>-IF(RTD("tos.rtd",,BD$2,"."&amp;$A$43&amp;$AU$1&amp;"P"&amp;$A78)="N/A",0,RTD("tos.rtd",,BD$2,"."&amp;$A$43&amp;$AU$1&amp;"P"&amp;$A78))</f>
        <v>-762</v>
      </c>
      <c r="BE78" s="6">
        <f>IF(RTD("tos.rtd",,BE$2,"."&amp;$A$43&amp;$AW$1&amp;"C"&amp;$A78)="N/A",0,RTD("tos.rtd",,BE$2,"."&amp;$A$43&amp;$AW$1&amp;"C"&amp;$A78))</f>
        <v>62</v>
      </c>
      <c r="BF78" s="7">
        <f>-IF(RTD("tos.rtd",,BF$2,"."&amp;$A$43&amp;$AW$1&amp;"P"&amp;$A78)="N/A",0,RTD("tos.rtd",,BF$2,"."&amp;$A$43&amp;$AW$1&amp;"P"&amp;$A78))</f>
        <v>-491</v>
      </c>
      <c r="BG78" s="32" t="e">
        <f ca="1">+Hoja2!Y79</f>
        <v>#N/A</v>
      </c>
      <c r="BH78" s="7" t="e">
        <f t="shared" ca="1" si="273"/>
        <v>#N/A</v>
      </c>
      <c r="BI78" s="8" t="e">
        <f t="shared" ca="1" si="289"/>
        <v>#N/A</v>
      </c>
      <c r="BJ78" s="83" t="e">
        <f ca="1">IF($BP$1=1,DX78,IF(RTD("tos.rtd",,BJ$43,"."&amp;$A$43&amp;$AS$42&amp;"C"&amp;$A78)="N/A",0,RTD("tos.rtd",,BJ$43,"."&amp;$A$43&amp;$AS$42&amp;"C"&amp;$A78)))</f>
        <v>#NUM!</v>
      </c>
      <c r="BK78" s="83" t="e">
        <f ca="1">IF($BP$1=1,DY78,-IF(RTD("tos.rtd",,BK$43,"."&amp;$A$43&amp;$AS$42&amp;"P"&amp;$A78)="N/A",0,RTD("tos.rtd",,BK$43,"."&amp;$A$43&amp;$AS$42&amp;"P"&amp;$A78)))</f>
        <v>#NUM!</v>
      </c>
      <c r="BL78" s="83">
        <f ca="1">IF($BP$1=1,DZ78,IF(RTD("tos.rtd",,BL$2,"."&amp;$A$43&amp;$AU$1&amp;"C"&amp;$A78)="N/A",0,RTD("tos.rtd",,BL$2,"."&amp;$A$43&amp;$AU$1&amp;"C"&amp;$A78)))</f>
        <v>1.1317600418496566E-2</v>
      </c>
      <c r="BM78" s="83">
        <f ca="1">IF($BP$1=1,EA78,-IF(RTD("tos.rtd",,BM$2,"."&amp;$A$43&amp;$AU$1&amp;"P"&amp;$A78)="N/A",0,RTD("tos.rtd",,BM$2,"."&amp;$A$43&amp;$AU$1&amp;"P"&amp;$A78)))</f>
        <v>-1.1308588471482115E-2</v>
      </c>
      <c r="BN78" s="83">
        <f ca="1">IF($BP$1=1,EB78,IF(RTD("tos.rtd",,BN$2,"."&amp;$A$43&amp;$AW$1&amp;"C"&amp;$A78)="N/A",0,RTD("tos.rtd",,BN$2,"."&amp;$A$43&amp;$AW$1&amp;"C"&amp;$A78)))</f>
        <v>1.1305080492888196E-2</v>
      </c>
      <c r="BO78" s="83">
        <f ca="1">IF($BP$1=1,EC78,-IF(RTD("tos.rtd",,BO$2,"."&amp;$A$43&amp;$AW$1&amp;"P"&amp;$A78)="N/A",0,RTD("tos.rtd",,BO$2,"."&amp;$A$43&amp;$AW$1&amp;"P"&amp;$A78)))</f>
        <v>-1.1305366728549121E-2</v>
      </c>
      <c r="BQ78" s="83" t="e">
        <f t="shared" ca="1" si="274"/>
        <v>#NUM!</v>
      </c>
      <c r="BR78" s="3" t="e">
        <f t="shared" ca="1" si="275"/>
        <v>#NUM!</v>
      </c>
      <c r="BS78" s="83">
        <f t="shared" ca="1" si="276"/>
        <v>-309397.58812987246</v>
      </c>
      <c r="BT78" s="3" t="str">
        <f t="shared" ca="1" si="277"/>
        <v/>
      </c>
      <c r="BU78" s="83">
        <f t="shared" ca="1" si="278"/>
        <v>451317.73966573412</v>
      </c>
      <c r="BV78" s="83"/>
      <c r="BX78" s="83" t="e">
        <f t="shared" ca="1" si="279"/>
        <v>#NUM!</v>
      </c>
      <c r="BY78" s="83" t="e">
        <f t="shared" ca="1" si="290"/>
        <v>#NUM!</v>
      </c>
      <c r="BZ78" s="83">
        <f t="shared" ca="1" si="280"/>
        <v>-1824795.6121386867</v>
      </c>
      <c r="CA78" s="83" t="str">
        <f t="shared" ca="1" si="290"/>
        <v/>
      </c>
      <c r="CB78" s="83">
        <f t="shared" ca="1" si="281"/>
        <v>-1159551.9248885158</v>
      </c>
      <c r="CC78" s="83" t="str">
        <f t="shared" ca="1" si="290"/>
        <v/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0.88</v>
      </c>
      <c r="CG78" s="83">
        <f>-IF(RTD("tos.rtd",,CG$2,"."&amp;$A$43&amp;$AU$1&amp;"P"&amp;$A78)="N/A",0,RTD("tos.rtd",,CG$2,"."&amp;$A$43&amp;$AU$1&amp;"P"&amp;$A78))</f>
        <v>0.13</v>
      </c>
      <c r="CH78" s="83">
        <f>IF(RTD("tos.rtd",,CH$2,"."&amp;$A$43&amp;$AW$1&amp;"C"&amp;$A78)="N/A",0,RTD("tos.rtd",,CH$2,"."&amp;$A$43&amp;$AW$1&amp;"C"&amp;$A78))</f>
        <v>0.8</v>
      </c>
      <c r="CI78" s="83">
        <f>-IF(RTD("tos.rtd",,CI$2,"."&amp;$A$43&amp;$AW$1&amp;"P"&amp;$A78)="N/A",0,RTD("tos.rtd",,CI$2,"."&amp;$A$43&amp;$AW$1&amp;"P"&amp;$A78))</f>
        <v>0.2</v>
      </c>
      <c r="CK78" s="83">
        <f t="shared" si="282"/>
        <v>193900</v>
      </c>
      <c r="CL78" s="83"/>
      <c r="CM78" s="83">
        <f t="shared" si="283"/>
        <v>51605</v>
      </c>
      <c r="CN78" s="83"/>
      <c r="CO78" s="83">
        <f t="shared" si="284"/>
        <v>62920.000000000015</v>
      </c>
      <c r="CP78" s="83">
        <f t="shared" si="232"/>
        <v>308425</v>
      </c>
      <c r="CQ78" s="83">
        <f t="shared" si="246"/>
        <v>-2103</v>
      </c>
      <c r="CR78" s="83"/>
      <c r="CS78" s="83">
        <f t="shared" si="247"/>
        <v>-675</v>
      </c>
      <c r="CT78" s="83"/>
      <c r="CU78" s="83">
        <f t="shared" si="248"/>
        <v>-429</v>
      </c>
      <c r="CV78" s="83"/>
      <c r="CW78" s="83" t="e">
        <f t="shared" ca="1" si="249"/>
        <v>#NUM!</v>
      </c>
      <c r="CY78" s="83" t="e">
        <f t="shared" ca="1" si="250"/>
        <v>#NUM!</v>
      </c>
      <c r="CZ78" s="70" t="e">
        <f t="shared" ca="1" si="291"/>
        <v>#NUM!</v>
      </c>
      <c r="DA78" s="83">
        <f>IF(RTD("tos.rtd",,DA$43,"."&amp;$A$43&amp;$AS$42&amp;"C"&amp;$A78)="N/A",0,RTD("tos.rtd",,DA$43,"."&amp;$A$43&amp;$AS$42&amp;"C"&amp;$A78))</f>
        <v>19.88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20.11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19.72</v>
      </c>
      <c r="DF78" s="83">
        <f>IF(RTD("tos.rtd",,DF$43,"."&amp;$A$43&amp;$AS$42&amp;"P"&amp;$A78)="N/A",0,RTD("tos.rtd",,DF$43,"."&amp;$A$43&amp;$AS$42&amp;"P"&amp;$A78))</f>
        <v>0</v>
      </c>
      <c r="DG78" s="86">
        <f t="shared" si="285"/>
        <v>-19.95999999999998</v>
      </c>
      <c r="DH78" s="83">
        <f t="shared" si="251"/>
        <v>0.82051282051282004</v>
      </c>
      <c r="DI78" s="83">
        <f t="shared" si="252"/>
        <v>0</v>
      </c>
      <c r="DJ78" s="83">
        <f t="shared" si="253"/>
        <v>0</v>
      </c>
      <c r="DK78" s="83">
        <f t="shared" si="254"/>
        <v>0</v>
      </c>
      <c r="DL78" s="83">
        <f t="shared" si="255"/>
        <v>0.82051282051282004</v>
      </c>
      <c r="DM78" s="83">
        <f t="shared" si="256"/>
        <v>0</v>
      </c>
      <c r="DN78" s="64" t="str">
        <f t="shared" si="257"/>
        <v>UNKNOWN</v>
      </c>
      <c r="DO78" s="64" t="str">
        <f t="shared" si="258"/>
        <v>UNKNOWN</v>
      </c>
      <c r="DP78" s="83">
        <f t="shared" si="259"/>
        <v>16.311794871794863</v>
      </c>
      <c r="DQ78" s="83">
        <f t="shared" si="260"/>
        <v>0</v>
      </c>
      <c r="DR78" s="83" t="e">
        <f t="shared" ca="1" si="261"/>
        <v>#NUM!</v>
      </c>
      <c r="DS78" s="83">
        <f t="shared" si="262"/>
        <v>0</v>
      </c>
      <c r="DT78" s="83">
        <f t="shared" si="286"/>
        <v>2</v>
      </c>
      <c r="DU78" s="83">
        <f t="shared" si="287"/>
        <v>0</v>
      </c>
      <c r="DV78" s="83">
        <f t="shared" si="263"/>
        <v>-1148</v>
      </c>
      <c r="DW78" s="83">
        <f t="shared" si="264"/>
        <v>-106</v>
      </c>
      <c r="DX78" s="83" t="e">
        <f t="shared" ca="1" si="400"/>
        <v>#NUM!</v>
      </c>
      <c r="DY78" s="83" t="e">
        <f t="shared" ca="1" si="401"/>
        <v>#NUM!</v>
      </c>
      <c r="DZ78" s="83">
        <f t="shared" ca="1" si="402"/>
        <v>1.1317600418496566E-2</v>
      </c>
      <c r="EA78" s="83">
        <f t="shared" ca="1" si="403"/>
        <v>-1.1308588471482115E-2</v>
      </c>
      <c r="EB78" s="83">
        <f t="shared" ca="1" si="404"/>
        <v>1.1305080492888196E-2</v>
      </c>
      <c r="EC78" s="83">
        <f t="shared" ca="1" si="405"/>
        <v>-1.1305366728549121E-2</v>
      </c>
      <c r="EE78" s="84">
        <f t="shared" si="265"/>
        <v>0.25</v>
      </c>
      <c r="EF78" s="84">
        <f t="shared" si="266"/>
        <v>1.9556</v>
      </c>
      <c r="EG78" s="84">
        <f t="shared" si="267"/>
        <v>0.26700000000000002</v>
      </c>
      <c r="EH78" s="84">
        <f t="shared" si="268"/>
        <v>0.27200000000000002</v>
      </c>
      <c r="EI78" s="84">
        <f t="shared" si="269"/>
        <v>0.27329999999999999</v>
      </c>
      <c r="EJ78" s="84">
        <f t="shared" si="270"/>
        <v>0.2732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195.56%</v>
      </c>
      <c r="EN78" s="83" t="str">
        <f>RTD("tos.rtd",,EN$2,"."&amp;$A$43&amp;$AU$1&amp;"C"&amp;$A78)</f>
        <v>26.70%</v>
      </c>
      <c r="EO78" s="83" t="str">
        <f>RTD("tos.rtd",,EO$2,"."&amp;$A$43&amp;$AU$1&amp;"P"&amp;$A78)</f>
        <v>27.20%</v>
      </c>
      <c r="EP78" s="83" t="str">
        <f>RTD("tos.rtd",,EP$2,"."&amp;$A$43&amp;$AW$1&amp;"C"&amp;$A78)</f>
        <v>27.33%</v>
      </c>
      <c r="EQ78" s="83" t="str">
        <f>RTD("tos.rtd",,EQ$2,"."&amp;$A$43&amp;$AW$1&amp;"P"&amp;$A78)</f>
        <v>27.32%</v>
      </c>
      <c r="ET78" s="64" t="str">
        <f t="shared" ca="1" si="271"/>
        <v>469,00.00</v>
      </c>
      <c r="EU78" s="68">
        <v>560.79999999999995</v>
      </c>
      <c r="EV78" s="68" t="s">
        <v>643</v>
      </c>
      <c r="EW78" s="68">
        <v>482.79</v>
      </c>
      <c r="EX78" s="68" t="s">
        <v>644</v>
      </c>
      <c r="EY78" s="68">
        <v>5623</v>
      </c>
      <c r="EZ78" s="68" t="s">
        <v>645</v>
      </c>
      <c r="FA78" s="68">
        <v>19836.5</v>
      </c>
      <c r="FB78" s="68" t="s">
        <v>646</v>
      </c>
      <c r="FC78" s="68" t="s">
        <v>647</v>
      </c>
      <c r="FD78" s="68" t="s">
        <v>648</v>
      </c>
      <c r="FE78" s="68" t="s">
        <v>649</v>
      </c>
      <c r="FF78" s="68" t="s">
        <v>650</v>
      </c>
    </row>
    <row r="79" spans="1:162" ht="13.5" thickBot="1" x14ac:dyDescent="0.25">
      <c r="A79" s="2">
        <f t="shared" si="288"/>
        <v>468</v>
      </c>
      <c r="B79" s="35">
        <f t="shared" si="238"/>
        <v>25804</v>
      </c>
      <c r="C79" s="35">
        <f t="shared" si="406"/>
        <v>1952</v>
      </c>
      <c r="D79" s="35">
        <f t="shared" si="240"/>
        <v>2895</v>
      </c>
      <c r="E79" s="35">
        <f t="shared" si="241"/>
        <v>30651</v>
      </c>
      <c r="F79" s="11">
        <f t="shared" si="292"/>
        <v>19326.439790575918</v>
      </c>
      <c r="AM79" s="1">
        <v>25</v>
      </c>
      <c r="AN79" s="1">
        <v>-319</v>
      </c>
      <c r="AO79" s="1">
        <v>468</v>
      </c>
      <c r="AP79" s="1">
        <v>271</v>
      </c>
      <c r="AQ79" s="1">
        <v>-1449</v>
      </c>
      <c r="AS79" s="15">
        <f>IF(RTD("tos.rtd",,AS$43,"."&amp;$A$43&amp;$AS$42&amp;"C"&amp;$A79)="N/A",0,RTD("tos.rtd",,AS$43,"."&amp;$A$43&amp;$AS$42&amp;"C"&amp;$A79))</f>
        <v>15360</v>
      </c>
      <c r="AT79" s="36">
        <f>-IF(RTD("tos.rtd",,AT$43,"."&amp;$A$43&amp;$AS$42&amp;"P"&amp;$A79)="N/A",0,RTD("tos.rtd",,AT$43,"."&amp;$A$43&amp;$AS$42&amp;"P"&amp;$A79))</f>
        <v>-10444</v>
      </c>
      <c r="AU79" s="15">
        <f>IF(RTD("tos.rtd",,AU$2,"."&amp;$A$43&amp;$AU$1&amp;"C"&amp;$A79)="N/A",0,RTD("tos.rtd",,AU$2,"."&amp;$A$43&amp;$AU$1&amp;"C"&amp;$A79))</f>
        <v>978</v>
      </c>
      <c r="AV79" s="36">
        <f>-IF(RTD("tos.rtd",,AV$2,"."&amp;$A$43&amp;$AU$1&amp;"P"&amp;$A79)="N/A",0,RTD("tos.rtd",,AV$2,"."&amp;$A$43&amp;$AU$1&amp;"P"&amp;$A79))</f>
        <v>-974</v>
      </c>
      <c r="AW79" s="15">
        <f>IF(RTD("tos.rtd",,AW$2,"."&amp;$A$43&amp;$AW$1&amp;"C"&amp;$A79)="N/A",0,RTD("tos.rtd",,AW$2,"."&amp;$A$43&amp;$AW$1&amp;"C"&amp;$A79))</f>
        <v>1732</v>
      </c>
      <c r="AX79" s="36">
        <f>-IF(RTD("tos.rtd",,AX$2,"."&amp;$A$43&amp;$AW$1&amp;"P"&amp;$A79)="N/A",0,RTD("tos.rtd",,AX$2,"."&amp;$A$43&amp;$AW$1&amp;"P"&amp;$A79))</f>
        <v>-1163</v>
      </c>
      <c r="AY79" s="36">
        <f t="shared" si="272"/>
        <v>5489</v>
      </c>
      <c r="AZ79" s="8">
        <f t="shared" si="242"/>
        <v>468</v>
      </c>
      <c r="BA79" s="15">
        <f>IF(RTD("tos.rtd",,BA$43,"."&amp;$A$43&amp;$AS$42&amp;"C"&amp;$A79)="N/A",0,RTD("tos.rtd",,BA$43,"."&amp;$A$43&amp;$AS$42&amp;"C"&amp;$A79))</f>
        <v>272</v>
      </c>
      <c r="BB79" s="36">
        <f>-IF(RTD("tos.rtd",,BB$43,"."&amp;$A$43&amp;$AS$42&amp;"P"&amp;$A79)="N/A",0,RTD("tos.rtd",,BB$43,"."&amp;$A$43&amp;$AS$42&amp;"P"&amp;$A79))</f>
        <v>-1449</v>
      </c>
      <c r="BC79" s="15">
        <f>IF(RTD("tos.rtd",,BC$2,"."&amp;$A$43&amp;$AU$1&amp;"C"&amp;$A79)="N/A",0,RTD("tos.rtd",,BC$2,"."&amp;$A$43&amp;$AU$1&amp;"C"&amp;$A79))</f>
        <v>119</v>
      </c>
      <c r="BD79" s="36">
        <f>-IF(RTD("tos.rtd",,BD$2,"."&amp;$A$43&amp;$AU$1&amp;"P"&amp;$A79)="N/A",0,RTD("tos.rtd",,BD$2,"."&amp;$A$43&amp;$AU$1&amp;"P"&amp;$A79))</f>
        <v>-420</v>
      </c>
      <c r="BE79" s="15">
        <f>IF(RTD("tos.rtd",,BE$2,"."&amp;$A$43&amp;$AW$1&amp;"C"&amp;$A79)="N/A",0,RTD("tos.rtd",,BE$2,"."&amp;$A$43&amp;$AW$1&amp;"C"&amp;$A79))</f>
        <v>65</v>
      </c>
      <c r="BF79" s="36">
        <f>-IF(RTD("tos.rtd",,BF$2,"."&amp;$A$43&amp;$AW$1&amp;"P"&amp;$A79)="N/A",0,RTD("tos.rtd",,BF$2,"."&amp;$A$43&amp;$AW$1&amp;"P"&amp;$A79))</f>
        <v>-473</v>
      </c>
      <c r="BG79" s="32" t="e">
        <f ca="1">+Hoja2!Y80</f>
        <v>#N/A</v>
      </c>
      <c r="BH79" s="36" t="e">
        <f t="shared" ca="1" si="273"/>
        <v>#N/A</v>
      </c>
      <c r="BI79" s="8" t="e">
        <f t="shared" ca="1" si="289"/>
        <v>#N/A</v>
      </c>
      <c r="BJ79" s="83" t="e">
        <f ca="1">IF($BP$1=1,DX79,IF(RTD("tos.rtd",,BJ$43,"."&amp;$A$43&amp;$AS$42&amp;"C"&amp;$A79)="N/A",0,RTD("tos.rtd",,BJ$43,"."&amp;$A$43&amp;$AS$42&amp;"C"&amp;$A79)))</f>
        <v>#NUM!</v>
      </c>
      <c r="BK79" s="83" t="e">
        <f ca="1">IF($BP$1=1,DY79,-IF(RTD("tos.rtd",,BK$43,"."&amp;$A$43&amp;$AS$42&amp;"P"&amp;$A79)="N/A",0,RTD("tos.rtd",,BK$43,"."&amp;$A$43&amp;$AS$42&amp;"P"&amp;$A79)))</f>
        <v>#NUM!</v>
      </c>
      <c r="BL79" s="83">
        <f ca="1">IF($BP$1=1,DZ79,IF(RTD("tos.rtd",,BL$2,"."&amp;$A$43&amp;$AU$1&amp;"C"&amp;$A79)="N/A",0,RTD("tos.rtd",,BL$2,"."&amp;$A$43&amp;$AU$1&amp;"C"&amp;$A79)))</f>
        <v>1.0540857311684446E-2</v>
      </c>
      <c r="BM79" s="83">
        <f ca="1">IF($BP$1=1,EA79,-IF(RTD("tos.rtd",,BM$2,"."&amp;$A$43&amp;$AU$1&amp;"P"&amp;$A79)="N/A",0,RTD("tos.rtd",,BM$2,"."&amp;$A$43&amp;$AU$1&amp;"P"&amp;$A79)))</f>
        <v>-1.0769256499116293E-2</v>
      </c>
      <c r="BN79" s="83">
        <f ca="1">IF($BP$1=1,EB79,IF(RTD("tos.rtd",,BN$2,"."&amp;$A$43&amp;$AW$1&amp;"C"&amp;$A79)="N/A",0,RTD("tos.rtd",,BN$2,"."&amp;$A$43&amp;$AW$1&amp;"C"&amp;$A79)))</f>
        <v>1.0769668506702895E-2</v>
      </c>
      <c r="BO79" s="83">
        <f ca="1">IF($BP$1=1,EC79,-IF(RTD("tos.rtd",,BO$2,"."&amp;$A$43&amp;$AW$1&amp;"P"&amp;$A79)="N/A",0,RTD("tos.rtd",,BO$2,"."&amp;$A$43&amp;$AW$1&amp;"P"&amp;$A79)))</f>
        <v>-1.0769405230944778E-2</v>
      </c>
      <c r="BQ79" s="83" t="e">
        <f t="shared" ca="1" si="274"/>
        <v>#NUM!</v>
      </c>
      <c r="BR79" s="3" t="e">
        <f t="shared" ca="1" si="275"/>
        <v>#NUM!</v>
      </c>
      <c r="BS79" s="83">
        <f t="shared" ca="1" si="276"/>
        <v>-43105.836693433113</v>
      </c>
      <c r="BT79" s="3" t="str">
        <f t="shared" ca="1" si="277"/>
        <v/>
      </c>
      <c r="BU79" s="83">
        <f t="shared" ca="1" si="278"/>
        <v>1465152.9599511609</v>
      </c>
      <c r="BV79" s="83"/>
      <c r="BX79" s="83" t="e">
        <f t="shared" ca="1" si="279"/>
        <v>#NUM!</v>
      </c>
      <c r="BY79" s="83" t="e">
        <f t="shared" ca="1" si="290"/>
        <v>#NUM!</v>
      </c>
      <c r="BZ79" s="83">
        <f t="shared" ca="1" si="280"/>
        <v>-781493.09307073429</v>
      </c>
      <c r="CA79" s="83" t="str">
        <f t="shared" ca="1" si="290"/>
        <v/>
      </c>
      <c r="CB79" s="83">
        <f t="shared" ca="1" si="281"/>
        <v>-1050501.9324713454</v>
      </c>
      <c r="CC79" s="83" t="str">
        <f t="shared" ca="1" si="290"/>
        <v/>
      </c>
      <c r="CD79" s="83">
        <f>IF(RTD("tos.rtd",,CD$43,"."&amp;$A$43&amp;$AS$42&amp;"C"&amp;$A79)="N/A",0,RTD("tos.rtd",,CD$43,"."&amp;$A$43&amp;$AS$42&amp;"C"&amp;$A79))</f>
        <v>1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0.91</v>
      </c>
      <c r="CG79" s="83">
        <f>-IF(RTD("tos.rtd",,CG$2,"."&amp;$A$43&amp;$AU$1&amp;"P"&amp;$A79)="N/A",0,RTD("tos.rtd",,CG$2,"."&amp;$A$43&amp;$AU$1&amp;"P"&amp;$A79))</f>
        <v>0.12</v>
      </c>
      <c r="CH79" s="83">
        <f>IF(RTD("tos.rtd",,CH$2,"."&amp;$A$43&amp;$AW$1&amp;"C"&amp;$A79)="N/A",0,RTD("tos.rtd",,CH$2,"."&amp;$A$43&amp;$AW$1&amp;"C"&amp;$A79))</f>
        <v>0.81</v>
      </c>
      <c r="CI79" s="83">
        <f>-IF(RTD("tos.rtd",,CI$2,"."&amp;$A$43&amp;$AW$1&amp;"P"&amp;$A79)="N/A",0,RTD("tos.rtd",,CI$2,"."&amp;$A$43&amp;$AW$1&amp;"P"&amp;$A79))</f>
        <v>0.19</v>
      </c>
      <c r="CK79" s="83">
        <f t="shared" si="282"/>
        <v>1536000</v>
      </c>
      <c r="CL79" s="83"/>
      <c r="CM79" s="83">
        <f t="shared" si="283"/>
        <v>77310</v>
      </c>
      <c r="CN79" s="83"/>
      <c r="CO79" s="83">
        <f t="shared" si="284"/>
        <v>118195</v>
      </c>
      <c r="CP79" s="83">
        <f t="shared" si="232"/>
        <v>1731505</v>
      </c>
      <c r="CQ79" s="83">
        <f t="shared" si="246"/>
        <v>-1177</v>
      </c>
      <c r="CR79" s="83"/>
      <c r="CS79" s="83">
        <f t="shared" si="247"/>
        <v>-301</v>
      </c>
      <c r="CT79" s="83"/>
      <c r="CU79" s="83">
        <f t="shared" si="248"/>
        <v>-408</v>
      </c>
      <c r="CV79" s="83"/>
      <c r="CW79" s="83" t="e">
        <f t="shared" ca="1" si="249"/>
        <v>#NUM!</v>
      </c>
      <c r="CY79" s="83" t="e">
        <f t="shared" ca="1" si="250"/>
        <v>#NUM!</v>
      </c>
      <c r="CZ79" s="70" t="e">
        <f t="shared" ca="1" si="291"/>
        <v>#NUM!</v>
      </c>
      <c r="DA79" s="83">
        <f>IF(RTD("tos.rtd",,DA$43,"."&amp;$A$43&amp;$AS$42&amp;"C"&amp;$A79)="N/A",0,RTD("tos.rtd",,DA$43,"."&amp;$A$43&amp;$AS$42&amp;"C"&amp;$A79))</f>
        <v>20.82</v>
      </c>
      <c r="DB79" s="83">
        <f>IF(RTD("tos.rtd",,DB$43,"."&amp;$A$43&amp;$AS$42&amp;"P"&amp;$A79)="N/A",0,RTD("tos.rtd",,DB$43,"."&amp;$A$43&amp;$AS$42&amp;"P"&amp;$A79))</f>
        <v>0.01</v>
      </c>
      <c r="DC79" s="83">
        <f>IF(RTD("tos.rtd",,DC$43,"."&amp;$A$43&amp;$AS$42&amp;"C"&amp;$A79)="N/A",0,RTD("tos.rtd",,DC$43,"."&amp;$A$43&amp;$AS$42&amp;"C"&amp;$A79))</f>
        <v>21.13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20.76</v>
      </c>
      <c r="DF79" s="83">
        <f>IF(RTD("tos.rtd",,DF$43,"."&amp;$A$43&amp;$AS$42&amp;"P"&amp;$A79)="N/A",0,RTD("tos.rtd",,DF$43,"."&amp;$A$43&amp;$AS$42&amp;"P"&amp;$A79))</f>
        <v>0</v>
      </c>
      <c r="DG79" s="86">
        <f t="shared" si="285"/>
        <v>-20.95999999999998</v>
      </c>
      <c r="DH79" s="83">
        <f t="shared" si="251"/>
        <v>0.16216216216215984</v>
      </c>
      <c r="DI79" s="83">
        <f t="shared" si="252"/>
        <v>0</v>
      </c>
      <c r="DJ79" s="83">
        <f t="shared" si="253"/>
        <v>-1</v>
      </c>
      <c r="DK79" s="83">
        <f t="shared" si="254"/>
        <v>0</v>
      </c>
      <c r="DL79" s="83">
        <f t="shared" si="255"/>
        <v>0.16216216216215984</v>
      </c>
      <c r="DM79" s="83">
        <f t="shared" si="256"/>
        <v>-1</v>
      </c>
      <c r="DN79" s="64" t="str">
        <f t="shared" si="257"/>
        <v>SELL</v>
      </c>
      <c r="DO79" s="64" t="str">
        <f t="shared" si="258"/>
        <v>UNKNOWN</v>
      </c>
      <c r="DP79" s="83">
        <f t="shared" si="259"/>
        <v>3.376216216216168</v>
      </c>
      <c r="DQ79" s="83">
        <f t="shared" si="260"/>
        <v>-20.82</v>
      </c>
      <c r="DR79" s="83" t="e">
        <f t="shared" ca="1" si="261"/>
        <v>#NUM!</v>
      </c>
      <c r="DS79" s="83">
        <f t="shared" si="262"/>
        <v>-1</v>
      </c>
      <c r="DT79" s="83">
        <f t="shared" si="286"/>
        <v>1</v>
      </c>
      <c r="DU79" s="83">
        <f t="shared" si="287"/>
        <v>0</v>
      </c>
      <c r="DV79" s="83">
        <f t="shared" si="263"/>
        <v>24</v>
      </c>
      <c r="DW79" s="83">
        <f t="shared" si="264"/>
        <v>-319</v>
      </c>
      <c r="DX79" s="83" t="e">
        <f t="shared" ca="1" si="400"/>
        <v>#NUM!</v>
      </c>
      <c r="DY79" s="83" t="e">
        <f t="shared" ca="1" si="401"/>
        <v>#NUM!</v>
      </c>
      <c r="DZ79" s="83">
        <f t="shared" ca="1" si="402"/>
        <v>1.0540857311684446E-2</v>
      </c>
      <c r="EA79" s="83">
        <f t="shared" ca="1" si="403"/>
        <v>-1.0769256499116293E-2</v>
      </c>
      <c r="EB79" s="83">
        <f t="shared" ca="1" si="404"/>
        <v>1.0769668506702895E-2</v>
      </c>
      <c r="EC79" s="83">
        <f t="shared" ca="1" si="405"/>
        <v>-1.0769405230944778E-2</v>
      </c>
      <c r="EE79" s="84">
        <f t="shared" si="265"/>
        <v>0.25</v>
      </c>
      <c r="EF79" s="84">
        <f t="shared" si="266"/>
        <v>2.0463</v>
      </c>
      <c r="EG79" s="84">
        <f t="shared" si="267"/>
        <v>0.2407</v>
      </c>
      <c r="EH79" s="84">
        <f t="shared" si="268"/>
        <v>0.27489999999999998</v>
      </c>
      <c r="EI79" s="84">
        <f t="shared" si="269"/>
        <v>0.27760000000000001</v>
      </c>
      <c r="EJ79" s="84">
        <f t="shared" si="270"/>
        <v>0.2752</v>
      </c>
      <c r="EL79" s="83" t="str">
        <f>RTD("tos.rtd",,EL$43,"."&amp;$A$43&amp;$AS$42&amp;"C"&amp;$A79)</f>
        <v>--</v>
      </c>
      <c r="EM79" s="83" t="str">
        <f>RTD("tos.rtd",,EM$43,"."&amp;$A$43&amp;$AS$42&amp;"P"&amp;$A79)</f>
        <v>204.63%</v>
      </c>
      <c r="EN79" s="83" t="str">
        <f>RTD("tos.rtd",,EN$2,"."&amp;$A$43&amp;$AU$1&amp;"C"&amp;$A79)</f>
        <v>24.07%</v>
      </c>
      <c r="EO79" s="83" t="str">
        <f>RTD("tos.rtd",,EO$2,"."&amp;$A$43&amp;$AU$1&amp;"P"&amp;$A79)</f>
        <v>27.49%</v>
      </c>
      <c r="EP79" s="83" t="str">
        <f>RTD("tos.rtd",,EP$2,"."&amp;$A$43&amp;$AW$1&amp;"C"&amp;$A79)</f>
        <v>27.76%</v>
      </c>
      <c r="EQ79" s="83" t="str">
        <f>RTD("tos.rtd",,EQ$2,"."&amp;$A$43&amp;$AW$1&amp;"P"&amp;$A79)</f>
        <v>27.52%</v>
      </c>
      <c r="ET79" s="64" t="str">
        <f t="shared" ca="1" si="271"/>
        <v>468,00.00</v>
      </c>
      <c r="EU79" s="68">
        <v>560.9</v>
      </c>
      <c r="EV79" s="68" t="s">
        <v>651</v>
      </c>
      <c r="EW79" s="68">
        <v>482.87</v>
      </c>
      <c r="EX79" s="68" t="s">
        <v>652</v>
      </c>
      <c r="EY79" s="68">
        <v>5624.25</v>
      </c>
      <c r="EZ79" s="68" t="s">
        <v>653</v>
      </c>
      <c r="FA79" s="68">
        <v>19841</v>
      </c>
      <c r="FB79" s="68" t="s">
        <v>654</v>
      </c>
      <c r="FC79" s="68" t="s">
        <v>655</v>
      </c>
      <c r="FD79" s="68" t="s">
        <v>656</v>
      </c>
      <c r="FE79" s="68" t="s">
        <v>657</v>
      </c>
      <c r="FF79" s="68" t="s">
        <v>658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 t="e">
        <f ca="1">MIN(BH45:BH79)</f>
        <v>#N/A</v>
      </c>
      <c r="BI80" s="1" t="str">
        <f ca="1">IFERROR(IF(MIN(BH45:BH79)&lt;&gt;0,INDEX(A45:A79,MATCH(MIN(BH45:BH79),BH45:BH79,0)),""),"")</f>
        <v/>
      </c>
      <c r="BJ80" s="42"/>
      <c r="BK80" s="42"/>
      <c r="BL80" s="42"/>
      <c r="BM80" s="42"/>
      <c r="BN80" s="42"/>
      <c r="BO80" s="42"/>
      <c r="BP80" s="64" t="e">
        <f ca="1">INDEX(BQ80:BU80,MATCH(MAX(BQ44:BU44),BQ44:BU44,0))</f>
        <v>#NUM!</v>
      </c>
      <c r="BQ80" s="42" t="e">
        <f ca="1">IF(AND(BQ44&gt;0,ABS(MAX(BQ45:BQ79))&gt;ABS(MIN(BQ45:BQ79))),IF(MAX(BQ45:BQ79)&lt;&gt;0,INDEX($A45:$A79,MATCH(MAX(BQ45:BQ79),BQ45:BQ79,0)),""),"")</f>
        <v>#NUM!</v>
      </c>
      <c r="BR80" s="42"/>
      <c r="BS80" s="42">
        <f ca="1">IF(AND(BS44&gt;0,ABS(MAX(BS45:BS79))&gt;ABS(MIN(BS45:BS79))),IF(MAX(BS45:BS79)&lt;&gt;0,INDEX($A45:$A79,MATCH(MAX(BS45:BS79),BS45:BS79,0)),""),"")</f>
        <v>485</v>
      </c>
      <c r="BT80" s="42"/>
      <c r="BU80" s="42">
        <f ca="1">IF(AND(BU44&gt;0,ABS(MAX(BU45:BU79))&gt;ABS(MIN(BU45:BU79))),IF(MAX(BU45:BU79)&lt;&gt;0,INDEX($A45:$A79,MATCH(MAX(BU45:BU79),BU45:BU79,0)),""),"")</f>
        <v>490</v>
      </c>
      <c r="BV80" s="42"/>
      <c r="BW80" s="64" t="e">
        <f ca="1">INDEX(BX80:CB80,MATCH(MAX(BX44:CB44),BX44:CB44,0))</f>
        <v>#NUM!</v>
      </c>
      <c r="BX80" s="42" t="e">
        <f ca="1">IF(AND(BX44&gt;0,ABS(MAX(BX45:BX79))&gt;ABS(MIN(BX45:BX79))),IF(MAX(BX45:BX79)&lt;&gt;0,INDEX($A45:$A79,MATCH(MAX(BX45:BX79),BX45:BX79,0)),""),"")</f>
        <v>#NUM!</v>
      </c>
      <c r="BY80" s="42" t="e">
        <f ca="1">INDEX($A$45:$A$79,MATCH("Cruce -",BY45:BY79,)+1)</f>
        <v>#N/A</v>
      </c>
      <c r="BZ80" s="42" t="str">
        <f ca="1">IF(AND(BZ44&gt;0,ABS(MAX(BZ45:BZ79))&gt;ABS(MIN(BZ45:BZ79))),IF(MAX(BZ45:BZ79)&lt;&gt;0,INDEX($A45:$A79,MATCH(MAX(BZ45:BZ79),BZ45:BZ79,0)),""),"")</f>
        <v/>
      </c>
      <c r="CA80" s="42">
        <f ca="1">INDEX($A$45:$A$79,MATCH("Cruce -",CA45:CA79,)+1)</f>
        <v>488</v>
      </c>
      <c r="CB80" s="42">
        <f ca="1">IF(AND(CB44&gt;0,ABS(MAX(CB45:CB79))&gt;ABS(MIN(CB45:CB79))),IF(MAX(CB45:CB79)&lt;&gt;0,INDEX($A45:$A79,MATCH(MAX(CB45:CB79),CB45:CB79,0)),""),"")</f>
        <v>500</v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490</v>
      </c>
      <c r="CK80" s="42">
        <f>IF(AND(CK44&gt;0,ABS(MAX(CK45:CK79))&gt;ABS(MIN(CK45:CK79))),IF(MAX(CK45:CK79)&lt;&gt;0,INDEX($A45:$A79,MATCH(MAX(CK45:CK79),CK45:CK79,0)),""),"")</f>
        <v>468</v>
      </c>
      <c r="CL80" s="42"/>
      <c r="CM80" s="42">
        <f>IF(AND(CM44&gt;0,ABS(MAX(CM45:CM79))&gt;ABS(MIN(CM45:CM79))),IF(MAX(CM45:CM79)&lt;&gt;0,INDEX($A45:$A79,MATCH(MAX(CM45:CM79),CM45:CM79,0)),""),"")</f>
        <v>485</v>
      </c>
      <c r="CN80" s="42"/>
      <c r="CO80" s="42">
        <f>IF(AND(CO44&gt;0,ABS(MAX(CO45:CO79))&gt;ABS(MIN(CO45:CO79))),IF(MAX(CO45:CO79)&lt;&gt;0,INDEX($A45:$A79,MATCH(MAX(CO45:CO79),CO45:CO79,0)),""),"")</f>
        <v>490</v>
      </c>
      <c r="CP80" s="42">
        <f>IF(ABS(MAX(CP45:CP79))&gt;ABS(MIN(CP45:CP79)),IF(MAX(CP45:CP79)&lt;&gt;0,INDEX($A45:$A79,MATCH(MAX(CP45:CP79),CP45:CP79,0)),""),"")</f>
        <v>485</v>
      </c>
      <c r="CQ80" s="42"/>
      <c r="CR80" s="42"/>
      <c r="CS80" s="42"/>
      <c r="CT80" s="42"/>
      <c r="CU80" s="42"/>
      <c r="CV80" s="42"/>
      <c r="CW80" s="42" t="e">
        <f ca="1">IF(ABS(MAX(CW45:CW79))&gt;ABS(MIN(CW45:CW79)),IF(MAX(CW45:CW79)&lt;&gt;0,INDEX($A45:$A79,MATCH(MAX(CW45:CW79),CW45:CW79,0)),""),"")</f>
        <v>#NUM!</v>
      </c>
      <c r="CY80" s="42" t="e">
        <f ca="1">IF(ABS(MAX(CY45:CY79))&gt;ABS(MIN(CY45:CY79)),IF(MAX(CY45:CY79)&lt;&gt;0,INDEX($A45:$A79,MATCH(MAX(CY45:CY79),CY45:CY79,0)),""),"")</f>
        <v>#NUM!</v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>
        <f t="shared" ref="DH80:DM80" si="407">IF(AND(DH44&gt;0,ABS(MAX(DH45:DH79))&gt;ABS(MIN(DH45:DH79))),IF(MAX(DH45:DH79)&lt;&gt;0,INDEX($A45:$A79,MATCH(MAX(DH45:DH79),DH45:DH79,0)),""),"")</f>
        <v>490</v>
      </c>
      <c r="DI80" s="42" t="str">
        <f t="shared" si="407"/>
        <v/>
      </c>
      <c r="DJ80" s="89" t="str">
        <f>IFERROR(IF(AND(ABS(MAX(DJ45:DJ79))&gt;$DG$44,ABS(INDEX($DG$45:$DG$79,MATCH(MAX(DJ45:DJ79),DJ45:DJ79,0)))&lt;0.5,1),IF(MAX(DJ45:DJ79)&lt;&gt;0,INDEX($A45:$A79,MATCH(MAX(DJ45:DJ79),DJ45:DJ79,0)),""),""),"")</f>
        <v/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 t="str">
        <f t="shared" si="407"/>
        <v/>
      </c>
      <c r="DM80" s="42" t="str">
        <f t="shared" si="407"/>
        <v/>
      </c>
      <c r="DN80" s="64" t="str">
        <f>DJ80&amp;","&amp;DJ81&amp;","&amp;DK80&amp;","&amp;DK81</f>
        <v>,,,</v>
      </c>
      <c r="DP80" s="42">
        <f>IF(AND(DP44&gt;0,ABS(MAX(DP45:DP79))&gt;ABS(MIN(DP45:DP79))),IF(MAX(DP45:DP79)&lt;&gt;0,INDEX($A45:$A79,MATCH(MAX(DP45:DP79),DP45:DP79,0)),""),"")</f>
        <v>487</v>
      </c>
      <c r="DQ80" s="42" t="str">
        <f>IF(AND(DQ44&gt;0,ABS(MAX(DQ45:DQ79))&gt;ABS(MIN(DQ45:DQ79))),IF(MAX(DQ45:DQ79)&lt;&gt;0,INDEX($A45:$A79,MATCH(MAX(DQ45:DQ79),DQ45:DQ79,0)),""),"")</f>
        <v/>
      </c>
      <c r="DR80" s="42" t="e">
        <f ca="1">IF(AND(DR44&gt;0,ABS(MAX(DR45:DR79))&gt;ABS(MIN(DR45:DR79))),IF(MAX(DR45:DR79)&lt;&gt;0,INDEX($A45:$A79,MATCH(MAX(DR45:DR79),DR45:DR79,0)),""),"")</f>
        <v>#NUM!</v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8">
        <v>560.95000000000005</v>
      </c>
      <c r="EV80" s="68" t="s">
        <v>659</v>
      </c>
      <c r="EW80" s="68">
        <v>482.9</v>
      </c>
      <c r="EX80" s="68" t="s">
        <v>660</v>
      </c>
      <c r="EY80" s="68">
        <v>5624.5</v>
      </c>
      <c r="EZ80" s="68" t="s">
        <v>661</v>
      </c>
      <c r="FA80" s="68">
        <v>19841.5</v>
      </c>
      <c r="FB80" s="68" t="s">
        <v>662</v>
      </c>
      <c r="FC80" s="68" t="s">
        <v>663</v>
      </c>
      <c r="FD80" s="68" t="s">
        <v>664</v>
      </c>
      <c r="FE80" s="68" t="s">
        <v>665</v>
      </c>
      <c r="FF80" s="68" t="s">
        <v>666</v>
      </c>
    </row>
    <row r="81" spans="1:162" ht="13.5" thickBot="1" x14ac:dyDescent="0.25">
      <c r="A81" s="49">
        <v>10</v>
      </c>
      <c r="D81" s="50">
        <f>+F84-24</f>
        <v>5685.75</v>
      </c>
      <c r="E81" s="82">
        <v>5650</v>
      </c>
      <c r="BP81" s="64" t="e">
        <f ca="1">INDEX(BQ81:BU81,MATCH(MIN(BQ44:BU44),BQ44:BU44,0))</f>
        <v>#NUM!</v>
      </c>
      <c r="BQ81" s="1" t="e">
        <f ca="1">IF(AND(BQ44&lt;0,ABS(MIN(BQ45:BQ79))&gt;ABS(MAX(BQ45:BQ79))),IF(MIN(BQ45:BQ79)&lt;&gt;0,INDEX($A45:$A79,MATCH(MIN(BQ45:BQ79),BQ45:BQ79,0)),""),"")</f>
        <v>#NUM!</v>
      </c>
      <c r="BS81" s="1" t="str">
        <f ca="1">IF(AND(BS44&lt;0,ABS(MIN(BS45:BS79))&gt;ABS(MAX(BS45:BS79))),IF(MIN(BS45:BS79)&lt;&gt;0,INDEX($A45:$A79,MATCH(MIN(BS45:BS79),BS45:BS79,0)),""),"")</f>
        <v/>
      </c>
      <c r="BU81" s="1" t="str">
        <f ca="1">IF(AND(BU44&lt;0,ABS(MIN(BU45:BU79))&gt;ABS(MAX(BU45:BU79))),IF(MIN(BU45:BU79)&lt;&gt;0,INDEX($A45:$A79,MATCH(MIN(BU45:BU79),BU45:BU79,0)),""),"")</f>
        <v/>
      </c>
      <c r="BW81" s="64" t="e">
        <f ca="1">INDEX(BX81:CB81,MATCH(MIN(BX44:CB44),BX44:CB44,0))</f>
        <v>#NUM!</v>
      </c>
      <c r="BX81" s="1" t="e">
        <f ca="1">IF(AND(BX44&lt;0,ABS(MIN(BX45:BX79))&gt;ABS(MAX(BX45:BX79))),IF(MIN(BX45:BX79)&lt;&gt;0,INDEX($A45:$A79,MATCH(MIN(BX45:BX79),BX45:BX79,0)),""),"")</f>
        <v>#NUM!</v>
      </c>
      <c r="BY81" s="1" t="e">
        <f ca="1">INDEX($A$45:$A$79,MATCH("Cruce -",BY45:BY79,)-1)</f>
        <v>#N/A</v>
      </c>
      <c r="BZ81" s="1">
        <f ca="1">IF(AND(BZ44&lt;0,ABS(MIN(BZ45:BZ79))&gt;ABS(MAX(BZ45:BZ79))),IF(MIN(BZ45:BZ79)&lt;&gt;0,INDEX($A45:$A79,MATCH(MIN(BZ45:BZ79),BZ45:BZ79,0)),""),"")</f>
        <v>485</v>
      </c>
      <c r="CA81" s="1">
        <f ca="1">INDEX($A$45:$A$79,MATCH("Cruce -",CA45:CA79,)-1)</f>
        <v>490</v>
      </c>
      <c r="CB81" s="1" t="str">
        <f ca="1">IF(AND(CB44&lt;0,ABS(MIN(CB45:CB79))&gt;ABS(MAX(CB45:CB79))),IF(MIN(CB45:CB79)&lt;&gt;0,INDEX($A45:$A79,MATCH(MIN(CB45:CB79),CB45:CB79,0)),""),"")</f>
        <v/>
      </c>
      <c r="CJ81" s="64" t="str">
        <f>INDEX(CK81:CO81,MATCH(MIN(CK44:CO44),CK44:CO44,0))</f>
        <v/>
      </c>
      <c r="CK81" s="1" t="str">
        <f>IF(AND(CK44&lt;0,ABS(MIN(CK45:CK79))&gt;ABS(MAX(CK45:CK79))),IF(MIN(CK45:CK79)&lt;&gt;0,INDEX($A45:$A79,MATCH(MIN(CK45:CK79),CK45:CK79,0)),""),"")</f>
        <v/>
      </c>
      <c r="CM81" s="1" t="str">
        <f>IF(AND(CM44&lt;0,ABS(MIN(CM45:CM79))&gt;ABS(MAX(CM45:CM79))),IF(MIN(CM45:CM79)&lt;&gt;0,INDEX($A45:$A79,MATCH(MIN(CM45:CM79),CM45:CM79,0)),""),"")</f>
        <v/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e">
        <f ca="1">IF(ABS(MIN(CW45:CW79))&gt;ABS(MAX(CW45:CW79)),IF(MIN(CW45:CW79)&lt;&gt;0,INDEX($A45:$A79,MATCH(MIN(CW45:CW79),CW45:CW79,0)),""),"")</f>
        <v>#NUM!</v>
      </c>
      <c r="CY81" s="1" t="e">
        <f ca="1">IF(ABS(MIN(CY45:CY79))&gt;ABS(MAX(CY45:CY79)),IF(MIN(CY45:CY79)&lt;&gt;0,INDEX($A45:$A79,MATCH(MIN(CY45:CY79),CY45:CY79,0)),""),"")</f>
        <v>#NUM!</v>
      </c>
      <c r="DH81" s="1" t="str">
        <f t="shared" ref="DH81:DM81" si="408">IF(AND(DH44&lt;0,ABS(MIN(DH45:DH79))&gt;ABS(MAX(DH45:DH79))),IF(MIN(DH45:DH79)&lt;&gt;0,INDEX($A45:$A79,MATCH(MIN(DH45:DH79),DH45:DH79,0)),""),"")</f>
        <v/>
      </c>
      <c r="DI81" s="1">
        <f t="shared" si="408"/>
        <v>476</v>
      </c>
      <c r="DJ81" s="89" t="str">
        <f>IFERROR(IF(AND(ABS(MIN(DJ45:DJ79))&gt;$DG$44,ABS(INDEX($DG$45:$DG$79,MATCH(MIN(DJ45:DJ79),DJ45:DJ79,0)))&lt;0.5,1),IF(MIN(DJ45:DJ79)&lt;&gt;0,INDEX($A45:$A79,MATCH(MIN(DJ45:DJ79),DJ45:DJ79,0)),""),""),"")</f>
        <v/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>
        <f t="shared" si="408"/>
        <v>476</v>
      </c>
      <c r="DM81" s="1">
        <f t="shared" si="408"/>
        <v>493</v>
      </c>
      <c r="DN81" s="64" t="str">
        <f ca="1">BI42&amp;","&amp;BI80</f>
        <v>,</v>
      </c>
      <c r="DP81" s="1" t="str">
        <f>IF(AND(DP44&lt;0,ABS(MIN(DP45:DP79))&gt;ABS(MAX(DP45:DP79))),IF(MIN(DP45:DP79)&lt;&gt;0,INDEX($A45:$A79,MATCH(MIN(DP45:DP79),DP45:DP79,0)),""),"")</f>
        <v/>
      </c>
      <c r="DQ81" s="1">
        <f>IF(AND(DQ44&lt;0,ABS(MIN(DQ45:DQ79))&gt;ABS(MAX(DQ45:DQ79))),IF(MIN(DQ45:DQ79)&lt;&gt;0,INDEX($A45:$A79,MATCH(MIN(DQ45:DQ79),DQ45:DQ79,0)),""),"")</f>
        <v>484</v>
      </c>
      <c r="DR81" s="1" t="e">
        <f ca="1">IF(AND(DR44&lt;0,ABS(MIN(DR45:DR79))&gt;ABS(MAX(DR45:DR79))),IF(MIN(DR45:DR79)&lt;&gt;0,INDEX($A45:$A79,MATCH(MIN(DR45:DR79),DR45:DR79,0)),""),"")</f>
        <v>#NUM!</v>
      </c>
      <c r="EU81" s="67">
        <v>560.91</v>
      </c>
      <c r="EV81" s="67" t="s">
        <v>667</v>
      </c>
      <c r="EW81" s="67">
        <v>482.9</v>
      </c>
      <c r="EX81" s="67" t="s">
        <v>668</v>
      </c>
      <c r="EY81" s="67">
        <v>5624.25</v>
      </c>
      <c r="EZ81" s="67" t="s">
        <v>669</v>
      </c>
      <c r="FA81" s="67">
        <v>19841.5</v>
      </c>
      <c r="FB81" s="67" t="s">
        <v>670</v>
      </c>
      <c r="FC81" s="67" t="s">
        <v>671</v>
      </c>
      <c r="FD81" s="67" t="s">
        <v>672</v>
      </c>
      <c r="FE81" s="68" t="s">
        <v>673</v>
      </c>
      <c r="FF81" s="68" t="s">
        <v>674</v>
      </c>
    </row>
    <row r="82" spans="1:162" ht="13.5" thickBot="1" x14ac:dyDescent="0.25">
      <c r="A82" s="20" t="s">
        <v>9</v>
      </c>
      <c r="B82" s="45" t="s">
        <v>10</v>
      </c>
      <c r="C82" s="45" t="s">
        <v>10</v>
      </c>
      <c r="D82" s="45" t="s">
        <v>10</v>
      </c>
      <c r="E82" s="20">
        <f>RTD("tos.rtd", ,"MARK", A83)</f>
        <v>5686.68</v>
      </c>
      <c r="F82" s="20">
        <f>+[3]Sheet1!$AD$2</f>
        <v>5826.8235213891576</v>
      </c>
      <c r="AS82" s="22" t="str">
        <f>+B83</f>
        <v>250502</v>
      </c>
      <c r="AT82" s="22"/>
      <c r="AU82" s="22" t="str">
        <f>+C83</f>
        <v>250509</v>
      </c>
      <c r="AV82" s="22"/>
      <c r="AW82" s="22" t="str">
        <f>+D83</f>
        <v>250516</v>
      </c>
      <c r="AX82" s="22"/>
      <c r="BA82" s="22"/>
      <c r="BB82" s="22"/>
      <c r="BC82" s="22"/>
      <c r="BD82" s="22"/>
      <c r="BE82" s="22"/>
      <c r="BF82" s="22"/>
      <c r="BG82" s="96"/>
      <c r="BH82" s="1" t="e">
        <f ca="1">MAX(BH85:BH130)</f>
        <v>#N/A</v>
      </c>
      <c r="BI82" s="1" t="str">
        <f ca="1">IFERROR(IF(MAX(BH85:BH130)&lt;&gt;0,INDEX(A85:A130,MATCH(MAX(BH85:BH130),BH85:BH130,0)),""),"")</f>
        <v/>
      </c>
      <c r="BJ82" s="22"/>
      <c r="BK82" s="22"/>
      <c r="BL82" s="22"/>
      <c r="BM82" s="22"/>
      <c r="BN82" s="22"/>
      <c r="BO82" s="22"/>
      <c r="BQ82" s="22" t="e">
        <f ca="1">IF(BR82&gt;BS82,IF(MAX(BQ85:BQ130)&lt;&gt;0,INDEX(A85:A130,MATCH(MAX(BQ85:BQ130),BQ85:BQ130,0)),A84),IF(MIN(BQ85:BQ130)&lt;&gt;0,INDEX(A85:A130,MATCH(MIN(BQ85:BQ130),BQ85:BQ130,0))))</f>
        <v>#NUM!</v>
      </c>
      <c r="BR82" s="22" t="e">
        <f ca="1">+MAX(BQ85:BQ130)</f>
        <v>#NUM!</v>
      </c>
      <c r="BS82" s="22" t="e">
        <f ca="1">ABS(MIN(BQ85:BQ130))</f>
        <v>#NUM!</v>
      </c>
      <c r="BT82" s="22"/>
      <c r="BU82" s="22"/>
      <c r="BV82" s="22"/>
      <c r="BX82" s="22" t="e">
        <f ca="1">IF(BY82&gt;BZ82,IF(MAX(BX85:BX130)&lt;&gt;0,INDEX(G85:G130,MATCH(MAX(BX85:BX130),BX85:BX130,0)),G84),IF(MIN(BX85:BX130)&lt;&gt;0,INDEX(G85:G130,MATCH(MIN(BX85:BX130),BX85:BX130,0))))</f>
        <v>#NUM!</v>
      </c>
      <c r="BY82" s="22" t="e">
        <f ca="1">+MAX(BX85:BX130)</f>
        <v>#NUM!</v>
      </c>
      <c r="BZ82" s="22" t="e">
        <f ca="1">ABS(MIN(BX85:BX130))</f>
        <v>#NUM!</v>
      </c>
      <c r="CA82" s="22"/>
      <c r="CB82" s="22"/>
      <c r="CC82" s="22" t="e">
        <f ca="1">+AVERAGE(BY131:BY132,CA131:CA132,CC131:CC132)</f>
        <v>#N/A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1059056</v>
      </c>
      <c r="CM82" s="22">
        <f>ABS(MIN(CK85:CK130))</f>
        <v>81034.999999999985</v>
      </c>
      <c r="CN82" s="22"/>
      <c r="CO82" s="22"/>
      <c r="CP82" s="22"/>
      <c r="CQ82" s="22">
        <f>IF(CR82&gt;CS82,IF(MAX(CQ85:CQ130)&lt;&gt;0,INDEX(G85:G130,MATCH(MAX(CQ85:CQ130),CQ85:CQ130,0)),G84),IF(MIN(CQ85:CQ130)&lt;&gt;0,INDEX(G85:G130,MATCH(MIN(CQ85:CQ130),CQ85:CQ130,0))))</f>
        <v>568.39097744360902</v>
      </c>
      <c r="CR82" s="22">
        <f>+MAX(CQ85:CQ130)</f>
        <v>131689</v>
      </c>
      <c r="CS82" s="22">
        <f>ABS(MIN(CQ85:CQ130))</f>
        <v>53613</v>
      </c>
      <c r="CT82" s="22"/>
      <c r="CU82" s="22"/>
      <c r="CV82" s="22"/>
      <c r="CW82" s="22" t="e">
        <f ca="1">IF(CX82&gt;CY82,IF(MAX(CW85:CW130)&lt;&gt;0,INDEX(M85:M130,MATCH(MAX(CW85:CW130),CW85:CW130,0)),M84),IF(MIN(CW85:CW130)&lt;&gt;0,INDEX(M85:M130,MATCH(MIN(CW85:CW130),CW85:CW130,0))))</f>
        <v>#NUM!</v>
      </c>
      <c r="CX82" s="61" t="e">
        <f ca="1">+MAX(CW85:CW130)</f>
        <v>#NUM!</v>
      </c>
      <c r="CY82" s="22" t="e">
        <f ca="1">ABS(MIN(CW85:CW130))</f>
        <v>#NUM!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560.89</v>
      </c>
      <c r="EV82" s="67" t="s">
        <v>675</v>
      </c>
      <c r="EW82" s="67">
        <v>482.83</v>
      </c>
      <c r="EX82" s="67" t="s">
        <v>676</v>
      </c>
      <c r="EY82" s="67">
        <v>5624.25</v>
      </c>
      <c r="EZ82" s="67" t="s">
        <v>677</v>
      </c>
      <c r="FA82" s="67">
        <v>19839.25</v>
      </c>
      <c r="FB82" s="67" t="s">
        <v>678</v>
      </c>
      <c r="FC82" s="67" t="s">
        <v>679</v>
      </c>
      <c r="FD82" s="67" t="s">
        <v>680</v>
      </c>
      <c r="FE82" s="68" t="s">
        <v>681</v>
      </c>
      <c r="FF82" s="68" t="s">
        <v>682</v>
      </c>
    </row>
    <row r="83" spans="1:162" s="63" customFormat="1" ht="13.5" thickBot="1" x14ac:dyDescent="0.25">
      <c r="A83" s="45" t="s">
        <v>9</v>
      </c>
      <c r="B83" s="45" t="str">
        <f>+B2</f>
        <v>250502</v>
      </c>
      <c r="C83" s="45" t="str">
        <f>+C2</f>
        <v>250509</v>
      </c>
      <c r="D83" s="45" t="str">
        <f>+D2</f>
        <v>250516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400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560.89</v>
      </c>
      <c r="EV83" s="67" t="s">
        <v>683</v>
      </c>
      <c r="EW83" s="67">
        <v>482.81</v>
      </c>
      <c r="EX83" s="67" t="s">
        <v>684</v>
      </c>
      <c r="EY83" s="67">
        <v>5624.25</v>
      </c>
      <c r="EZ83" s="67" t="s">
        <v>685</v>
      </c>
      <c r="FA83" s="67">
        <v>19839.5</v>
      </c>
      <c r="FB83" s="67" t="s">
        <v>686</v>
      </c>
      <c r="FC83" s="67" t="s">
        <v>687</v>
      </c>
      <c r="FD83" s="67" t="s">
        <v>688</v>
      </c>
      <c r="FE83" s="68" t="s">
        <v>689</v>
      </c>
      <c r="FF83" s="68" t="s">
        <v>690</v>
      </c>
    </row>
    <row r="84" spans="1:162" s="63" customFormat="1" ht="13.5" thickBot="1" x14ac:dyDescent="0.25">
      <c r="A84" s="46">
        <f>+D81</f>
        <v>5685.75</v>
      </c>
      <c r="B84" s="27">
        <f>+AS84/AT84</f>
        <v>-2.5027775227251858</v>
      </c>
      <c r="C84" s="27">
        <f>+AU84/AV84</f>
        <v>-3.2257834121953395</v>
      </c>
      <c r="D84" s="27">
        <f>+AW84/AX84</f>
        <v>-1.3384950676760725</v>
      </c>
      <c r="E84" s="28">
        <v>0</v>
      </c>
      <c r="F84" s="47">
        <f>RTD("tos.rtd", ,"MARK", F83)</f>
        <v>5709.75</v>
      </c>
      <c r="G84" s="47">
        <f>RTD("tos.rtd", ,"MARK", G83)</f>
        <v>566.97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689374</v>
      </c>
      <c r="AQ84" s="20">
        <v>-602545</v>
      </c>
      <c r="AR84" s="20"/>
      <c r="AS84" s="52">
        <f t="shared" ref="AS84:AX84" si="409">SUM(AS85:AS130)</f>
        <v>109031</v>
      </c>
      <c r="AT84" s="53">
        <f t="shared" si="409"/>
        <v>-43564</v>
      </c>
      <c r="AU84" s="52">
        <f t="shared" si="409"/>
        <v>36132</v>
      </c>
      <c r="AV84" s="53">
        <f t="shared" si="409"/>
        <v>-11201</v>
      </c>
      <c r="AW84" s="52">
        <f t="shared" si="409"/>
        <v>46676</v>
      </c>
      <c r="AX84" s="53">
        <f t="shared" si="409"/>
        <v>-34872</v>
      </c>
      <c r="AY84" s="53">
        <f>SUM(AY85:AY130)</f>
        <v>102202</v>
      </c>
      <c r="AZ84" s="20">
        <v>0</v>
      </c>
      <c r="BA84" s="52">
        <f t="shared" ref="BA84:BF84" si="410">SUM(BA85:BA130)</f>
        <v>689374</v>
      </c>
      <c r="BB84" s="53">
        <f t="shared" si="410"/>
        <v>-602545</v>
      </c>
      <c r="BC84" s="52">
        <f t="shared" si="410"/>
        <v>32043</v>
      </c>
      <c r="BD84" s="53">
        <f t="shared" si="410"/>
        <v>-20780</v>
      </c>
      <c r="BE84" s="52">
        <f t="shared" si="410"/>
        <v>8848</v>
      </c>
      <c r="BF84" s="53">
        <f t="shared" si="410"/>
        <v>-11075</v>
      </c>
      <c r="BG84" s="53"/>
      <c r="BH84" s="53" t="e">
        <f ca="1">SUM(BH85:BH130)</f>
        <v>#N/A</v>
      </c>
      <c r="BI84" s="20"/>
      <c r="BJ84" s="73" t="e">
        <f t="shared" ref="BJ84:BU84" ca="1" si="411">SUM(BJ85:BJ130)</f>
        <v>#NUM!</v>
      </c>
      <c r="BK84" s="74" t="e">
        <f t="shared" ref="BK84" ca="1" si="412">SUM(BK85:BK130)</f>
        <v>#NUM!</v>
      </c>
      <c r="BL84" s="73">
        <f t="shared" ref="BL84" ca="1" si="413">SUM(BL85:BL130)</f>
        <v>0.93803936888654416</v>
      </c>
      <c r="BM84" s="74">
        <f t="shared" ref="BM84" ca="1" si="414">SUM(BM85:BM130)</f>
        <v>-7.9202767624032583E-2</v>
      </c>
      <c r="BN84" s="73">
        <f t="shared" ref="BN84" ca="1" si="415">SUM(BN85:BN130)</f>
        <v>8.1376806999971171E-2</v>
      </c>
      <c r="BO84" s="74">
        <f t="shared" ref="BO84" ca="1" si="416">SUM(BO85:BO130)</f>
        <v>-7.8397173721035718E-2</v>
      </c>
      <c r="BQ84" s="73" t="e">
        <f t="shared" ca="1" si="411"/>
        <v>#NUM!</v>
      </c>
      <c r="BR84" s="74"/>
      <c r="BS84" s="73">
        <f t="shared" ca="1" si="411"/>
        <v>187054898.37795031</v>
      </c>
      <c r="BT84" s="74"/>
      <c r="BU84" s="73">
        <f t="shared" ca="1" si="411"/>
        <v>7488783.3810249921</v>
      </c>
      <c r="BV84" s="74"/>
      <c r="BX84" s="73" t="e">
        <f t="shared" ref="BX84" ca="1" si="417">SUM(BX85:BX130)</f>
        <v>#NUM!</v>
      </c>
      <c r="BY84" s="74"/>
      <c r="BZ84" s="73">
        <f t="shared" ref="BZ84" ca="1" si="418">SUM(BZ85:BZ130)</f>
        <v>173060284.79073355</v>
      </c>
      <c r="CA84" s="74"/>
      <c r="CB84" s="73">
        <f t="shared" ref="CB84" ca="1" si="419">SUM(CB85:CB130)</f>
        <v>-285854.60021889128</v>
      </c>
      <c r="CC84" s="74"/>
      <c r="CD84" s="73">
        <f t="shared" ref="CD84:CI84" si="420">SUM(CD85:CD130)</f>
        <v>26.799999999999997</v>
      </c>
      <c r="CE84" s="74">
        <f t="shared" si="420"/>
        <v>18.390000000000008</v>
      </c>
      <c r="CF84" s="73">
        <f t="shared" si="420"/>
        <v>25.71</v>
      </c>
      <c r="CG84" s="74">
        <f t="shared" si="420"/>
        <v>19.330000000000002</v>
      </c>
      <c r="CH84" s="73">
        <f t="shared" si="420"/>
        <v>26.14</v>
      </c>
      <c r="CI84" s="74">
        <f t="shared" si="420"/>
        <v>19.96</v>
      </c>
      <c r="CK84" s="73">
        <f t="shared" ref="CK84" si="421">SUM(CK85:CK130)</f>
        <v>5167188</v>
      </c>
      <c r="CL84" s="74"/>
      <c r="CM84" s="73">
        <f t="shared" ref="CM84" si="422">SUM(CM85:CM130)</f>
        <v>1776003</v>
      </c>
      <c r="CN84" s="74"/>
      <c r="CO84" s="73">
        <f t="shared" ref="CO84" si="423">SUM(CO85:CO130)</f>
        <v>529505</v>
      </c>
      <c r="CP84" s="74"/>
      <c r="CQ84" s="73">
        <f t="shared" ref="CQ84" si="424">SUM(CQ85:CQ130)</f>
        <v>86829</v>
      </c>
      <c r="CR84" s="74"/>
      <c r="CS84" s="73">
        <f t="shared" ref="CS84" si="425">SUM(CS85:CS130)</f>
        <v>11263</v>
      </c>
      <c r="CT84" s="74">
        <f t="shared" ref="CT84:CU84" si="426">SUM(CT85:CT130)</f>
        <v>0</v>
      </c>
      <c r="CU84" s="73">
        <f t="shared" si="426"/>
        <v>-2227</v>
      </c>
      <c r="CV84" s="74"/>
      <c r="CW84" s="74" t="e">
        <f t="shared" ref="CW84" ca="1" si="427">SUM(CW85:CW130)</f>
        <v>#NUM!</v>
      </c>
      <c r="CY84" s="74" t="e">
        <f t="shared" ref="CY84" ca="1" si="428">SUM(CY85:CY130)</f>
        <v>#NUM!</v>
      </c>
      <c r="DA84" s="73">
        <f t="shared" ref="DA84:DB84" si="429">SUM(DA85:DA130)</f>
        <v>3725.5299999999997</v>
      </c>
      <c r="DB84" s="74">
        <f t="shared" si="429"/>
        <v>1710.9799999999991</v>
      </c>
      <c r="DC84" s="73">
        <f t="shared" ref="DC84:DF84" si="430">SUM(DC85:DC130)</f>
        <v>3787.9499999999985</v>
      </c>
      <c r="DD84" s="74">
        <f t="shared" si="430"/>
        <v>1841.849999999999</v>
      </c>
      <c r="DE84" s="73">
        <f t="shared" si="430"/>
        <v>3587.099999999999</v>
      </c>
      <c r="DF84" s="73">
        <f t="shared" si="430"/>
        <v>1727.1500000000005</v>
      </c>
      <c r="DH84" s="73">
        <f t="shared" ref="DH84:DM84" si="431">SUM(DH85:DH130)</f>
        <v>0</v>
      </c>
      <c r="DI84" s="74">
        <f t="shared" si="431"/>
        <v>0</v>
      </c>
      <c r="DJ84" s="73">
        <f t="shared" si="431"/>
        <v>0</v>
      </c>
      <c r="DK84" s="74">
        <f t="shared" si="431"/>
        <v>0</v>
      </c>
      <c r="DL84" s="73">
        <f t="shared" si="431"/>
        <v>0</v>
      </c>
      <c r="DM84" s="73">
        <f t="shared" si="431"/>
        <v>0</v>
      </c>
      <c r="DP84" s="73">
        <f t="shared" ref="DP84:DS84" si="432">SUM(DP85:DP130)</f>
        <v>0</v>
      </c>
      <c r="DQ84" s="74">
        <f t="shared" si="432"/>
        <v>0</v>
      </c>
      <c r="DR84" s="73" t="e">
        <f t="shared" ca="1" si="432"/>
        <v>#NUM!</v>
      </c>
      <c r="DS84" s="74">
        <f t="shared" si="432"/>
        <v>0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" si="433">SUM(EE85:EE130)</f>
        <v>41.293700000000001</v>
      </c>
      <c r="EF84" s="74">
        <f t="shared" ref="EF84" si="434">SUM(EF85:EF130)</f>
        <v>47.377099999999999</v>
      </c>
      <c r="EG84" s="73">
        <f t="shared" ref="EG84" si="435">SUM(EG85:EG130)</f>
        <v>9.003700000000002</v>
      </c>
      <c r="EH84" s="74">
        <f t="shared" ref="EH84" si="436">SUM(EH85:EH130)</f>
        <v>9.4147999999999978</v>
      </c>
      <c r="EI84" s="73">
        <f t="shared" ref="EI84" si="437">SUM(EI85:EI130)</f>
        <v>8.7918000000000021</v>
      </c>
      <c r="EJ84" s="73">
        <f t="shared" ref="EJ84" si="438">SUM(EJ85:EJ130)</f>
        <v>9.5179999999999971</v>
      </c>
      <c r="EL84" s="73">
        <f t="shared" ref="EL84" si="439">SUM(EL85:EL130)</f>
        <v>0</v>
      </c>
      <c r="EM84" s="74">
        <f t="shared" ref="EM84" si="440">SUM(EM85:EM130)</f>
        <v>0</v>
      </c>
      <c r="EN84" s="73">
        <f t="shared" ref="EN84" si="441">SUM(EN85:EN130)</f>
        <v>0</v>
      </c>
      <c r="EO84" s="74">
        <f t="shared" ref="EO84" si="442">SUM(EO85:EO130)</f>
        <v>0</v>
      </c>
      <c r="EP84" s="73">
        <f t="shared" ref="EP84" si="443">SUM(EP85:EP130)</f>
        <v>0</v>
      </c>
      <c r="EQ84" s="73">
        <f t="shared" ref="EQ84" si="444">SUM(EQ85:EQ130)</f>
        <v>0</v>
      </c>
      <c r="EU84" s="67">
        <v>560.91999999999996</v>
      </c>
      <c r="EV84" s="67" t="s">
        <v>691</v>
      </c>
      <c r="EW84" s="67">
        <v>482.77</v>
      </c>
      <c r="EX84" s="67" t="s">
        <v>692</v>
      </c>
      <c r="EY84" s="67">
        <v>5625.25</v>
      </c>
      <c r="EZ84" s="67" t="s">
        <v>693</v>
      </c>
      <c r="FA84" s="67">
        <v>19838.75</v>
      </c>
      <c r="FB84" s="67" t="s">
        <v>694</v>
      </c>
      <c r="FC84" s="67" t="s">
        <v>695</v>
      </c>
      <c r="FD84" s="67" t="s">
        <v>696</v>
      </c>
      <c r="FE84" s="68" t="s">
        <v>697</v>
      </c>
      <c r="FF84" s="68" t="s">
        <v>698</v>
      </c>
    </row>
    <row r="85" spans="1:162" s="63" customFormat="1" ht="12" customHeight="1" thickBot="1" x14ac:dyDescent="0.25">
      <c r="A85" s="2">
        <f>ROUND(E81/A81,0)*A81+22*A81</f>
        <v>5870</v>
      </c>
      <c r="B85" s="3">
        <f t="shared" ref="B85:B130" si="445">+IF($A$1="ABS",AS85-AT85,AS85+AT85)</f>
        <v>660</v>
      </c>
      <c r="C85" s="3">
        <f t="shared" ref="C85:C130" si="446">+IF($A$1="ABS",AU85-AV85,AU85+AV85)</f>
        <v>0</v>
      </c>
      <c r="D85" s="3">
        <f t="shared" ref="D85:D130" si="447">+IF($A$1="ABS",AW85-AX85,AW85+AX85)</f>
        <v>394</v>
      </c>
      <c r="E85" s="3">
        <f t="shared" ref="E85:E96" si="448">SUM(B85:D85)</f>
        <v>1054</v>
      </c>
      <c r="F85" s="4">
        <f>+$F$84/$A$84*A85</f>
        <v>5894.7777338082051</v>
      </c>
      <c r="G85" s="4">
        <f>+$G$84/$A$84*A85</f>
        <v>585.3429890515763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556</v>
      </c>
      <c r="AN85" s="20">
        <v>-1</v>
      </c>
      <c r="AO85" s="20">
        <v>5870</v>
      </c>
      <c r="AP85" s="20">
        <v>1223</v>
      </c>
      <c r="AQ85" s="20">
        <v>-5</v>
      </c>
      <c r="AR85" s="20"/>
      <c r="AS85" s="73">
        <f>IF(RTD("tos.rtd",,AS$83,"."&amp;$B$82&amp;$AS$82&amp;"C"&amp;$A85)="N/A",0,RTD("tos.rtd",,AS$83,"."&amp;$B$82&amp;$AS$82&amp;"C"&amp;$A85))</f>
        <v>639</v>
      </c>
      <c r="AT85" s="28">
        <f>-IF(RTD("tos.rtd",,AT$83,"."&amp;$B$82&amp;$AS$82&amp;"P"&amp;$A85)="N/A",0,RTD("tos.rtd",,AT$83,"."&amp;$B$82&amp;$AS$82&amp;"P"&amp;$A85))</f>
        <v>-21</v>
      </c>
      <c r="AU85" s="73">
        <f>IF(RTD("tos.rtd",,AU$83,"."&amp;$C$82&amp;$AU$82&amp;"C"&amp;$A85)="N/A",0,RTD("tos.rtd",,AU$83,"."&amp;$C$82&amp;$AU$82&amp;"C"&amp;$A85))</f>
        <v>0</v>
      </c>
      <c r="AV85" s="28">
        <f>-IF(RTD("tos.rtd",,AV$83,"."&amp;$C$82&amp;$AU$82&amp;"P"&amp;$A85)="N/A",0,RTD("tos.rtd",,AV$83,"."&amp;$C$82&amp;$AU$82&amp;"P"&amp;$A85))</f>
        <v>0</v>
      </c>
      <c r="AW85" s="73">
        <f>IF(RTD("tos.rtd",,AW$83,"."&amp;$D$82&amp;$AW$82&amp;"C"&amp;$A85)="N/A",0,RTD("tos.rtd",,AW$83,"."&amp;$D$82&amp;$AW$82&amp;"C"&amp;$A85))</f>
        <v>236</v>
      </c>
      <c r="AX85" s="28">
        <f>-IF(RTD("tos.rtd",,AX$83,"."&amp;$D$82&amp;$AW$82&amp;"P"&amp;$A85)="N/A",0,RTD("tos.rtd",,AX$83,"."&amp;$D$82&amp;$AW$82&amp;"P"&amp;$A85))</f>
        <v>-158</v>
      </c>
      <c r="AY85" s="78">
        <f>SUM(AS85:AX85)</f>
        <v>696</v>
      </c>
      <c r="AZ85" s="8">
        <f t="shared" ref="AZ85:AZ130" si="449">+A85</f>
        <v>5870</v>
      </c>
      <c r="BA85" s="73">
        <f>IF(RTD("tos.rtd",,BA$83,"."&amp;$B$82&amp;$AS$82&amp;"C"&amp;$A85)="N/A",0,RTD("tos.rtd",,BA$83,"."&amp;$B$82&amp;$AS$82&amp;"C"&amp;$A85))</f>
        <v>1223</v>
      </c>
      <c r="BB85" s="28">
        <f>-IF(RTD("tos.rtd",,BB$83,"."&amp;$B$82&amp;$AS$82&amp;"P"&amp;$A85)="N/A",0,RTD("tos.rtd",,BB$83,"."&amp;$B$82&amp;$AS$82&amp;"P"&amp;$A85))</f>
        <v>-5</v>
      </c>
      <c r="BC85" s="73">
        <f>IF(RTD("tos.rtd",,BC$83,"."&amp;$C$82&amp;$AU$82&amp;"C"&amp;$A85)="N/A",0,RTD("tos.rtd",,BC$83,"."&amp;$C$82&amp;$AU$82&amp;"C"&amp;$A85))</f>
        <v>301</v>
      </c>
      <c r="BD85" s="28">
        <f>-IF(RTD("tos.rtd",,BD$83,"."&amp;$C$82&amp;$AU$82&amp;"P"&amp;$A85)="N/A",0,RTD("tos.rtd",,BD$83,"."&amp;$C$82&amp;$AU$82&amp;"P"&amp;$A85))</f>
        <v>0</v>
      </c>
      <c r="BE85" s="73">
        <f>IF(RTD("tos.rtd",,BE$83,"."&amp;$D$82&amp;$AW$82&amp;"C"&amp;$A85)="N/A",0,RTD("tos.rtd",,BE$83,"."&amp;$D$82&amp;$AW$82&amp;"C"&amp;$A85))</f>
        <v>185</v>
      </c>
      <c r="BF85" s="28">
        <f>-IF(RTD("tos.rtd",,BF$83,"."&amp;$D$82&amp;$AW$82&amp;"P"&amp;$A85)="N/A",0,RTD("tos.rtd",,BF$83,"."&amp;$D$82&amp;$AW$82&amp;"P"&amp;$A85))</f>
        <v>0</v>
      </c>
      <c r="BG85" s="28" t="e">
        <f ca="1">+Hoja2!Y86</f>
        <v>#N/A</v>
      </c>
      <c r="BH85" s="74">
        <f>SUM(BA85:BF85)</f>
        <v>1704</v>
      </c>
      <c r="BI85" s="1"/>
      <c r="BJ85" s="3" t="e">
        <f ca="1">IF($BP$1=1,DX85,IF(RTD("tos.rtd",,BJ$83,"."&amp;$B$82&amp;$AS$82&amp;"C"&amp;$A85)="N/A",0,RTD("tos.rtd",,BJ$83,"."&amp;$B$82&amp;$AS$82&amp;"C"&amp;$A85)))</f>
        <v>#NUM!</v>
      </c>
      <c r="BK85" s="3" t="e">
        <f ca="1">IF($BP$1=1,DY85,-IF(RTD("tos.rtd",,BK$83,"."&amp;$B$82&amp;$AS$82&amp;"P"&amp;$A85)="N/A",0,RTD("tos.rtd",,BK$83,"."&amp;$B$82&amp;$AS$82&amp;"P"&amp;$A85)))</f>
        <v>#NUM!</v>
      </c>
      <c r="BL85" s="3">
        <f ca="1">IF($BP$1=1,DZ85,IF(RTD("tos.rtd",,BL$83,"."&amp;$C$82&amp;$AU$82&amp;"C"&amp;$A85)="N/A",0,RTD("tos.rtd",,BL$83,"."&amp;$C$82&amp;$AU$82&amp;"C"&amp;$A85)))</f>
        <v>1.5462506241551051E-2</v>
      </c>
      <c r="BM85" s="3">
        <f ca="1">IF($BP$1=1,EA85,-IF(RTD("tos.rtd",,BM$83,"."&amp;$C$82&amp;$AU$82&amp;"P"&amp;$A85)="N/A",0,RTD("tos.rtd",,BM$83,"."&amp;$C$82&amp;$AU$82&amp;"P"&amp;$A85)))</f>
        <v>-1.380566780935636E-3</v>
      </c>
      <c r="BN85" s="3">
        <f ca="1">IF($BP$1=1,EB85,IF(RTD("tos.rtd",,BN$83,"."&amp;$D$82&amp;$AW$82&amp;"C"&amp;$A85)="N/A",0,RTD("tos.rtd",,BN$83,"."&amp;$D$82&amp;$AW$82&amp;"C"&amp;$A85)))</f>
        <v>1.3417379428562E-3</v>
      </c>
      <c r="BO85" s="3">
        <f ca="1">IF($BP$1=1,EC85,-IF(RTD("tos.rtd",,BO$83,"."&amp;$D$82&amp;$AW$82&amp;"P"&amp;$A85)="N/A",0,RTD("tos.rtd",,BO$83,"."&amp;$D$82&amp;$AW$82&amp;"P"&amp;$A85)))</f>
        <v>-1.3965595394391283E-3</v>
      </c>
      <c r="BQ85" s="3" t="e">
        <f t="shared" ref="BQ85:BQ130" ca="1" si="450">+$A$44*$A$44*AS85*BJ85-$A$44*$A$44*AT85*BK85</f>
        <v>#NUM!</v>
      </c>
      <c r="BR85" s="3"/>
      <c r="BS85" s="3">
        <f t="shared" ref="BS85:BS130" ca="1" si="451">+$A$44*$A$44*AU85*BL85-$A$44*$A$44*AV85*BM85</f>
        <v>0</v>
      </c>
      <c r="BT85" s="3"/>
      <c r="BU85" s="3">
        <f t="shared" ref="BU85:BU130" ca="1" si="452">+$A$44*$A$44*AW85*BN85-$A$44*$A$44*AX85*BO85</f>
        <v>22950.365722178241</v>
      </c>
      <c r="BV85" s="3"/>
      <c r="BX85" s="3" t="e">
        <f t="shared" ref="BX85:BX130" ca="1" si="453">+$A$44*$A$44*BA85*BJ85-$A$44*$A$44*BB85*BK85</f>
        <v>#NUM!</v>
      </c>
      <c r="BY85" s="3"/>
      <c r="BZ85" s="3">
        <f t="shared" ref="BZ85:BZ130" ca="1" si="454">+$A$44*$A$44*BC85*BL85-$A$44*$A$44*BD85*BM85</f>
        <v>1112738.3310310126</v>
      </c>
      <c r="CA85" s="3"/>
      <c r="CB85" s="3">
        <f t="shared" ref="CB85:CB130" ca="1" si="455">+$A$44*$A$44*BE85*BN85-$A$44*$A$44*BF85*BO85</f>
        <v>59345.267918552112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1</v>
      </c>
      <c r="CF85" s="3">
        <f>IF(RTD("tos.rtd",,CF$83,"."&amp;$C$82&amp;$AU$82&amp;"C"&amp;$A85)="N/A",0,RTD("tos.rtd",,CF$83,"."&amp;$C$82&amp;$AU$82&amp;"C"&amp;$A85))</f>
        <v>7.0000000000000007E-2</v>
      </c>
      <c r="CG85" s="3">
        <f>-IF(RTD("tos.rtd",,CG$83,"."&amp;$C$82&amp;$AU$82&amp;"P"&amp;$A85)="N/A",0,RTD("tos.rtd",,CG$83,"."&amp;$C$82&amp;$AU$82&amp;"P"&amp;$A85))</f>
        <v>0.91</v>
      </c>
      <c r="CH85" s="3">
        <f>IF(RTD("tos.rtd",,CH$83,"."&amp;$D$82&amp;$AW$82&amp;"C"&amp;$A85)="N/A",0,RTD("tos.rtd",,CH$83,"."&amp;$D$82&amp;$AW$82&amp;"C"&amp;$A85))</f>
        <v>0.17</v>
      </c>
      <c r="CI85" s="3">
        <f>-IF(RTD("tos.rtd",,CI$83,"."&amp;$D$82&amp;$AW$82&amp;"P"&amp;$A85)="N/A",0,RTD("tos.rtd",,CI$83,"."&amp;$D$82&amp;$AW$82&amp;"P"&amp;$A85))</f>
        <v>0.8</v>
      </c>
      <c r="CK85" s="3">
        <f>+AS85*CD85*100+AT85*CE85*100</f>
        <v>-2100</v>
      </c>
      <c r="CL85" s="3"/>
      <c r="CM85" s="3">
        <f>+AU85*CF85*100+AV85*CG85*100</f>
        <v>0</v>
      </c>
      <c r="CN85" s="3"/>
      <c r="CO85" s="3">
        <f>+AW85*CH85*100+AX85*CI85*100</f>
        <v>-8628</v>
      </c>
      <c r="CP85" s="3">
        <f t="shared" ref="CP85:CP130" si="456">+CK85+CM85+CO85</f>
        <v>-10728</v>
      </c>
      <c r="CQ85" s="3">
        <f t="shared" ref="CQ85:CQ130" si="457">+BA85+BB85</f>
        <v>1218</v>
      </c>
      <c r="CR85" s="3"/>
      <c r="CS85" s="3">
        <f t="shared" ref="CS85:CS130" si="458">+BC85+BD85</f>
        <v>301</v>
      </c>
      <c r="CT85" s="3"/>
      <c r="CU85" s="3">
        <f t="shared" ref="CU85:CU130" si="459">+BE85+BF85</f>
        <v>185</v>
      </c>
      <c r="CV85" s="3"/>
      <c r="CW85" s="3" t="e">
        <f t="shared" ref="CW85:CW130" ca="1" si="460">+BQ85+BS85+BU85</f>
        <v>#NUM!</v>
      </c>
      <c r="CY85" s="3" t="e">
        <f t="shared" ref="CY85:CY130" ca="1" si="461">+BX85+BZ85+CB85</f>
        <v>#NUM!</v>
      </c>
      <c r="CZ85" s="70"/>
      <c r="DA85" s="3">
        <f>IF(RTD("tos.rtd",,DA$83,"."&amp;$B$82&amp;$AS$82&amp;"C"&amp;$A85)="N/A",0,RTD("tos.rtd",,DA$83,"."&amp;$B$82&amp;$AS$82&amp;"C"&amp;$A85))</f>
        <v>0.05</v>
      </c>
      <c r="DB85" s="3">
        <f>IF(RTD("tos.rtd",,DB$83,"."&amp;$B$82&amp;$AS$82&amp;"P"&amp;$A85)="N/A",0,RTD("tos.rtd",,DB$83,"."&amp;$B$82&amp;$AS$82&amp;"P"&amp;$A85))</f>
        <v>183.82</v>
      </c>
      <c r="DC85" s="3">
        <f>IF(RTD("tos.rtd",,DC$83,"."&amp;$B$82&amp;$AS$82&amp;"C"&amp;$A85)="N/A",0,RTD("tos.rtd",,DC$83,"."&amp;$B$82&amp;$AS$82&amp;"C"&amp;$A85))</f>
        <v>0.05</v>
      </c>
      <c r="DD85" s="3">
        <f>IF(RTD("tos.rtd",,DD$83,"."&amp;$B$82&amp;$AS$82&amp;"P"&amp;$A85)="N/A",0,RTD("tos.rtd",,DD$83,"."&amp;$B$82&amp;$AS$82&amp;"P"&amp;$A85))</f>
        <v>188.9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176.8</v>
      </c>
      <c r="DG85" s="86">
        <f>+$A85-$A$84</f>
        <v>184.25</v>
      </c>
      <c r="DH85" s="3">
        <f t="shared" ref="DH85:DH130" si="462">((DA85-DE85)/(DC85-DE85))*(BA85-AP85)</f>
        <v>0</v>
      </c>
      <c r="DI85" s="3">
        <f t="shared" ref="DI85:DI130" si="463">((DB85-DF85)/(DD85-DF85))*(BB85-AQ85)</f>
        <v>0</v>
      </c>
      <c r="DJ85" s="3">
        <f t="shared" ref="DJ85:DJ130" si="464">IF(DA85&gt;=(DE85+(DC85-DE85)*0.6),(BA85-AP85),IF(DA85&lt;=(DE85+(DC85-DE85)*0.4),-(BA85-AP85),0))</f>
        <v>0</v>
      </c>
      <c r="DK85" s="3">
        <f t="shared" ref="DK85:DK130" si="465">IF(DB85&lt;=(DF85+(DD85-DF85)*0.4),-(BB85-AQ85),IF(DB85&gt;=(DF85+(DD85-DF85)*0.6),(BB85-AQ85),0))</f>
        <v>0</v>
      </c>
      <c r="DL85" s="3">
        <f t="shared" ref="DL85:DL130" si="466">+DH85+DI85</f>
        <v>0</v>
      </c>
      <c r="DM85" s="3">
        <f t="shared" ref="DM85:DM130" si="467">+DJ85+DK85</f>
        <v>0</v>
      </c>
      <c r="DN85" s="64" t="str">
        <f t="shared" ref="DN85:DN130" si="468">IF(AND(DA85&gt;=(DE85+(DC85-DE85)*0.6),BA85&gt;AP85),"BUY",IF(AND(DA85&lt;=(DE85+(DC85-DE85)*0.4),BA85&gt;AP85),"SELL","UNKNOWN"))</f>
        <v>UNKNOWN</v>
      </c>
      <c r="DO85" s="64" t="str">
        <f t="shared" ref="DO85:DO130" si="469">IF(AND(DB85&gt;=(DF85+(DD85-DF85)*0.6),ABS(BB85)&gt;ABS(AQ85)),"BUY",IF(AND(DB85&lt;=(DF85+(DD85-DF85)*0.4),ABS(BB85)&gt;ABS(AQ85)),"SELL","UNKNOWN"))</f>
        <v>UNKNOWN</v>
      </c>
      <c r="DP85" s="3">
        <f t="shared" ref="DP85:DP130" si="470">+DH85*DA85+DI85*DB85</f>
        <v>0</v>
      </c>
      <c r="DQ85" s="3">
        <f t="shared" ref="DQ85:DQ130" si="471">+DA85*DJ85+DB85*DK85</f>
        <v>0</v>
      </c>
      <c r="DR85" s="3" t="e">
        <f t="shared" ref="DR85:DR130" ca="1" si="472">+BJ85*DJ85+BK85*DK85</f>
        <v>#NUM!</v>
      </c>
      <c r="DS85" s="3">
        <f t="shared" ref="DS85:DS130" si="473">+CD85*DJ85+CE85*DK85</f>
        <v>0</v>
      </c>
      <c r="DT85" s="3">
        <f>BA85-VLOOKUP(AZ85,$AO$85:$AQ$130,2,FALSE)</f>
        <v>0</v>
      </c>
      <c r="DU85" s="3">
        <f>BB85-VLOOKUP(AZ85,$AO$85:$AQ$130,3,FALSE)</f>
        <v>0</v>
      </c>
      <c r="DV85" s="3">
        <f>AM85+IF(DN85="BUY",DT85,IF(DN85="SELL",-DT85,0))</f>
        <v>556</v>
      </c>
      <c r="DW85" s="3">
        <f>AN85+IF(DO85="BUY",DU85,IF(DO85="SELL",-DU85,0))</f>
        <v>-1</v>
      </c>
      <c r="DX85" s="3" t="e">
        <f ca="1">(EXP(-POWER((LN($A$84/$A85)+($EC$1+POWER($EE85,2)/2)*($EM$1/$DY$1))/($EE85*SQRT($EM$1/$DY$1)),2)/2)/SQRT(2*PI())/($A$84*$EE85*SQRT($EM$1/$DY$1)))</f>
        <v>#NUM!</v>
      </c>
      <c r="DY85" s="3" t="e">
        <f t="shared" ref="DY85:DY130" ca="1" si="474">-(EXP(-POWER((LN($A$84/$A85)+($EC$1+POWER($EF85,2)/2)*($EM$1/$DY$1))/($EF85*SQRT($EM$1/$DY$1)),2)/2)/SQRT(2*PI())/($A$84*$EF85*SQRT($EM$1/$DY$1)))</f>
        <v>#NUM!</v>
      </c>
      <c r="DZ85" s="3">
        <f t="shared" ref="DZ85:DZ130" ca="1" si="475">(EXP(-POWER((LN($A$84/$A85)+($EC$1+POWER($EG85,2)/2)*($EO$1/$DY$1))/($EG85*SQRT($EO$1/$DY$1)),2)/2)/SQRT(2*PI())/($A$44*$EG85*SQRT($EO$1/$DY$1)))</f>
        <v>1.5462506241551051E-2</v>
      </c>
      <c r="EA85" s="3">
        <f t="shared" ref="EA85:EA130" ca="1" si="476">-(EXP(-POWER((LN($A$84/$A85)+($EC$1+POWER($EH85,2)/2)*($EO$1/$DY$1))/($EH85*SQRT($EO$1/$DY$1)),2)/2)/SQRT(2*PI())/($A$84*$EH85*SQRT($EO$1/$DY$1)))</f>
        <v>-1.380566780935636E-3</v>
      </c>
      <c r="EB85" s="3">
        <f t="shared" ref="EB85:EB130" ca="1" si="477">(EXP(-POWER((LN($A$84/$A85)+($EC$1+POWER($EI85,2)/2)*($EO$1/$DY$1))/($EI85*SQRT($EO$1/$DY$1)),2)/2)/SQRT(2*PI())/($A$84*$EI85*SQRT($EO$1/$DY$1)))</f>
        <v>1.3417379428562E-3</v>
      </c>
      <c r="EC85" s="3">
        <f t="shared" ref="EC85:EC130" ca="1" si="478">-(EXP(-POWER((LN($A$84/$A85)+($EC$1+POWER($EJ85,2)/2)*($EO$1/$DY$1))/($EJ85*SQRT($EO$1/$DY$1)),2)/2)/SQRT(2*PI())/($A$84*$EJ85*SQRT($EO$1/$DY$1)))</f>
        <v>-1.3965595394391283E-3</v>
      </c>
      <c r="EE85" s="59">
        <f t="shared" ref="EE85:EE130" si="479">IFERROR(VALUE(IF(OR(EL85="--",EL85="0.00%"),$EE$1,EL85)),$EE$1)</f>
        <v>1.4086000000000001</v>
      </c>
      <c r="EF85" s="59">
        <f t="shared" ref="EF85:EF130" si="480">IFERROR(VALUE(IF(OR(EM85="--",EM85="0.00%"),$EE$1,EM85)),$EE$1)</f>
        <v>0.25</v>
      </c>
      <c r="EG85" s="59">
        <f t="shared" ref="EG85:EG130" si="481">IFERROR(VALUE(IF(OR(EN85="--",EN85="0.00%"),$EE$1,EN85)),$EE$1)</f>
        <v>0.15290000000000001</v>
      </c>
      <c r="EH85" s="59">
        <f t="shared" ref="EH85:EH130" si="482">IFERROR(VALUE(IF(OR(EO85="--",EO85="0.00%"),$EE$1,EO85)),$EE$1)</f>
        <v>0.16769999999999999</v>
      </c>
      <c r="EI85" s="59">
        <f t="shared" ref="EI85:EI130" si="483">IFERROR(VALUE(IF(OR(EP85="--",EP85="0.00%"),$EE$1,EP85)),$EE$1)</f>
        <v>0.15559999999999999</v>
      </c>
      <c r="EJ85" s="59">
        <f t="shared" ref="EJ85:EJ130" si="484">IFERROR(VALUE(IF(OR(EQ85="--",EQ85="0.00%"),$EE$1,EQ85)),$EE$1)</f>
        <v>0.17699999999999999</v>
      </c>
      <c r="EL85" s="3" t="str">
        <f>RTD("tos.rtd",,EL$83,"."&amp;$B$82&amp;$AS$82&amp;"C"&amp;$A85)</f>
        <v>140.86%</v>
      </c>
      <c r="EM85" s="3" t="str">
        <f>RTD("tos.rtd",,EM$83,"."&amp;$B$82&amp;$AS$82&amp;"P"&amp;$A85)</f>
        <v>--</v>
      </c>
      <c r="EN85" s="3" t="str">
        <f>RTD("tos.rtd",,EN$83,"."&amp;$C$82&amp;$AU$82&amp;"C"&amp;$A85)</f>
        <v>15.29%</v>
      </c>
      <c r="EO85" s="3" t="str">
        <f>RTD("tos.rtd",,EO$83,"."&amp;$C$82&amp;$AU$82&amp;"P"&amp;$A85)</f>
        <v>16.77%</v>
      </c>
      <c r="EP85" s="3" t="str">
        <f>RTD("tos.rtd",,EP$83,"."&amp;$D$82&amp;$AW$82&amp;"C"&amp;$A85)</f>
        <v>15.56%</v>
      </c>
      <c r="EQ85" s="3" t="str">
        <f>RTD("tos.rtd",,EQ$83,"."&amp;$D$82&amp;$AW$82&amp;"P"&amp;$A85)</f>
        <v>17.70%</v>
      </c>
      <c r="ET85" s="64" t="str">
        <f t="shared" ref="ET85:ET130" ca="1" si="485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IF(ISNUMBER(DV85+DW85), (DV85+DW85),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IF(ISNUMBER(DV85+DW85), (DV85+DW85), 0)
        )))),
    "00.00")
)</f>
        <v>5870,00.00</v>
      </c>
      <c r="EU85" s="67">
        <v>562.54</v>
      </c>
      <c r="EV85" s="67" t="s">
        <v>699</v>
      </c>
      <c r="EW85" s="67">
        <v>484.55</v>
      </c>
      <c r="EX85" s="67" t="s">
        <v>700</v>
      </c>
      <c r="EY85" s="67">
        <v>5641.75</v>
      </c>
      <c r="EZ85" s="67" t="s">
        <v>701</v>
      </c>
      <c r="FA85" s="67">
        <v>19910.75</v>
      </c>
      <c r="FB85" s="67" t="s">
        <v>702</v>
      </c>
      <c r="FC85" s="67" t="s">
        <v>703</v>
      </c>
      <c r="FD85" s="67" t="s">
        <v>704</v>
      </c>
      <c r="FE85" s="68" t="s">
        <v>705</v>
      </c>
      <c r="FF85" s="68" t="s">
        <v>706</v>
      </c>
    </row>
    <row r="86" spans="1:162" s="63" customFormat="1" ht="12" customHeight="1" thickBot="1" x14ac:dyDescent="0.25">
      <c r="A86" s="2">
        <f>+A85-$A$81</f>
        <v>5860</v>
      </c>
      <c r="B86" s="3">
        <f t="shared" si="445"/>
        <v>1379</v>
      </c>
      <c r="C86" s="3">
        <f t="shared" si="446"/>
        <v>0</v>
      </c>
      <c r="D86" s="3">
        <f t="shared" si="447"/>
        <v>446</v>
      </c>
      <c r="E86" s="3">
        <f t="shared" si="448"/>
        <v>1825</v>
      </c>
      <c r="F86" s="4">
        <f>+$F$84/$A$84*A86</f>
        <v>5884.7355230180719</v>
      </c>
      <c r="G86" s="4">
        <f t="shared" ref="G86:G98" si="486">+$G$84/$A$84*A86</f>
        <v>584.34581189816652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1511</v>
      </c>
      <c r="AN86" s="20">
        <v>0</v>
      </c>
      <c r="AO86" s="20">
        <v>5860</v>
      </c>
      <c r="AP86" s="20">
        <v>2743</v>
      </c>
      <c r="AQ86" s="20">
        <v>-36</v>
      </c>
      <c r="AR86" s="20"/>
      <c r="AS86" s="54">
        <f>IF(RTD("tos.rtd",,AS$83,"."&amp;$B$82&amp;$AS$82&amp;"C"&amp;$A86)="N/A",0,RTD("tos.rtd",,AS$83,"."&amp;$B$82&amp;$AS$82&amp;"C"&amp;$A86))</f>
        <v>1351</v>
      </c>
      <c r="AT86" s="3">
        <f>-IF(RTD("tos.rtd",,AT$83,"."&amp;$B$82&amp;$AS$82&amp;"P"&amp;$A86)="N/A",0,RTD("tos.rtd",,AT$83,"."&amp;$B$82&amp;$AS$82&amp;"P"&amp;$A86))</f>
        <v>-28</v>
      </c>
      <c r="AU86" s="54">
        <f>IF(RTD("tos.rtd",,AU$83,"."&amp;$C$82&amp;$AU$82&amp;"C"&amp;$A86)="N/A",0,RTD("tos.rtd",,AU$83,"."&amp;$C$82&amp;$AU$82&amp;"C"&amp;$A86))</f>
        <v>0</v>
      </c>
      <c r="AV86" s="3">
        <f>-IF(RTD("tos.rtd",,AV$83,"."&amp;$C$82&amp;$AU$82&amp;"P"&amp;$A86)="N/A",0,RTD("tos.rtd",,AV$83,"."&amp;$C$82&amp;$AU$82&amp;"P"&amp;$A86))</f>
        <v>0</v>
      </c>
      <c r="AW86" s="54">
        <f>IF(RTD("tos.rtd",,AW$83,"."&amp;$D$82&amp;$AW$82&amp;"C"&amp;$A86)="N/A",0,RTD("tos.rtd",,AW$83,"."&amp;$D$82&amp;$AW$82&amp;"C"&amp;$A86))</f>
        <v>163</v>
      </c>
      <c r="AX86" s="3">
        <f>-IF(RTD("tos.rtd",,AX$83,"."&amp;$D$82&amp;$AW$82&amp;"P"&amp;$A86)="N/A",0,RTD("tos.rtd",,AX$83,"."&amp;$D$82&amp;$AW$82&amp;"P"&amp;$A86))</f>
        <v>-283</v>
      </c>
      <c r="AY86" s="79">
        <f t="shared" ref="AY86:AY98" si="487">SUM(AS86:AX86)</f>
        <v>1203</v>
      </c>
      <c r="AZ86" s="8">
        <f t="shared" si="449"/>
        <v>5860</v>
      </c>
      <c r="BA86" s="54">
        <f>IF(RTD("tos.rtd",,BA$83,"."&amp;$B$82&amp;$AS$82&amp;"C"&amp;$A86)="N/A",0,RTD("tos.rtd",,BA$83,"."&amp;$B$82&amp;$AS$82&amp;"C"&amp;$A86))</f>
        <v>2743</v>
      </c>
      <c r="BB86" s="3">
        <f>-IF(RTD("tos.rtd",,BB$83,"."&amp;$B$82&amp;$AS$82&amp;"P"&amp;$A86)="N/A",0,RTD("tos.rtd",,BB$83,"."&amp;$B$82&amp;$AS$82&amp;"P"&amp;$A86))</f>
        <v>-36</v>
      </c>
      <c r="BC86" s="54">
        <f>IF(RTD("tos.rtd",,BC$83,"."&amp;$C$82&amp;$AU$82&amp;"C"&amp;$A86)="N/A",0,RTD("tos.rtd",,BC$83,"."&amp;$C$82&amp;$AU$82&amp;"C"&amp;$A86))</f>
        <v>203</v>
      </c>
      <c r="BD86" s="3">
        <f>-IF(RTD("tos.rtd",,BD$83,"."&amp;$C$82&amp;$AU$82&amp;"P"&amp;$A86)="N/A",0,RTD("tos.rtd",,BD$83,"."&amp;$C$82&amp;$AU$82&amp;"P"&amp;$A86))</f>
        <v>-2</v>
      </c>
      <c r="BE86" s="54">
        <f>IF(RTD("tos.rtd",,BE$83,"."&amp;$D$82&amp;$AW$82&amp;"C"&amp;$A86)="N/A",0,RTD("tos.rtd",,BE$83,"."&amp;$D$82&amp;$AW$82&amp;"C"&amp;$A86))</f>
        <v>830</v>
      </c>
      <c r="BF86" s="3">
        <f>-IF(RTD("tos.rtd",,BF$83,"."&amp;$D$82&amp;$AW$82&amp;"P"&amp;$A86)="N/A",0,RTD("tos.rtd",,BF$83,"."&amp;$D$82&amp;$AW$82&amp;"P"&amp;$A86))</f>
        <v>0</v>
      </c>
      <c r="BG86" s="3" t="e">
        <f ca="1">+Hoja2!Y87</f>
        <v>#N/A</v>
      </c>
      <c r="BH86" s="55" t="e">
        <f t="shared" ref="BH86:BH130" ca="1" si="488">SUM(BA86:BG86)</f>
        <v>#N/A</v>
      </c>
      <c r="BI86" s="32"/>
      <c r="BJ86" s="3" t="e">
        <f ca="1">IF($BP$1=1,DX86,IF(RTD("tos.rtd",,BJ$83,"."&amp;$B$82&amp;$AS$82&amp;"C"&amp;$A86)="N/A",0,RTD("tos.rtd",,BJ$83,"."&amp;$B$82&amp;$AS$82&amp;"C"&amp;$A86)))</f>
        <v>#NUM!</v>
      </c>
      <c r="BK86" s="3" t="e">
        <f ca="1">IF($BP$1=1,DY86,-IF(RTD("tos.rtd",,BK$83,"."&amp;$B$82&amp;$AS$82&amp;"P"&amp;$A86)="N/A",0,RTD("tos.rtd",,BK$83,"."&amp;$B$82&amp;$AS$82&amp;"P"&amp;$A86)))</f>
        <v>#NUM!</v>
      </c>
      <c r="BL86" s="3">
        <f ca="1">IF($BP$1=1,DZ86,IF(RTD("tos.rtd",,BL$83,"."&amp;$C$82&amp;$AU$82&amp;"C"&amp;$A86)="N/A",0,RTD("tos.rtd",,BL$83,"."&amp;$C$82&amp;$AU$82&amp;"C"&amp;$A86)))</f>
        <v>1.6813469720439012E-2</v>
      </c>
      <c r="BM86" s="3">
        <f ca="1">IF($BP$1=1,EA86,-IF(RTD("tos.rtd",,BM$83,"."&amp;$C$82&amp;$AU$82&amp;"P"&amp;$A86)="N/A",0,RTD("tos.rtd",,BM$83,"."&amp;$C$82&amp;$AU$82&amp;"P"&amp;$A86)))</f>
        <v>-1.4767998704843025E-3</v>
      </c>
      <c r="BN86" s="3">
        <f ca="1">IF($BP$1=1,EB86,IF(RTD("tos.rtd",,BN$83,"."&amp;$D$82&amp;$AW$82&amp;"C"&amp;$A86)="N/A",0,RTD("tos.rtd",,BN$83,"."&amp;$D$82&amp;$AW$82&amp;"C"&amp;$A86)))</f>
        <v>1.4553318035786442E-3</v>
      </c>
      <c r="BO86" s="3">
        <f ca="1">IF($BP$1=1,EC86,-IF(RTD("tos.rtd",,BO$83,"."&amp;$D$82&amp;$AW$82&amp;"P"&amp;$A86)="N/A",0,RTD("tos.rtd",,BO$83,"."&amp;$D$82&amp;$AW$82&amp;"P"&amp;$A86)))</f>
        <v>-1.4846690091862348E-3</v>
      </c>
      <c r="BQ86" s="3" t="e">
        <f t="shared" ca="1" si="450"/>
        <v>#NUM!</v>
      </c>
      <c r="BR86" s="3" t="e">
        <f t="shared" ref="BR86:BV130" ca="1" si="489">IF(AND(BQ86&lt;0,BQ85&gt;0), "Cruce -", IF(AND(BQ86&gt;0,BQ85&lt;0),"Cruce +", ""))</f>
        <v>#NUM!</v>
      </c>
      <c r="BS86" s="3">
        <f t="shared" ca="1" si="451"/>
        <v>0</v>
      </c>
      <c r="BT86" s="3" t="str">
        <f t="shared" ca="1" si="489"/>
        <v/>
      </c>
      <c r="BU86" s="3">
        <f t="shared" ca="1" si="452"/>
        <v>-43738.176306094771</v>
      </c>
      <c r="BV86" s="3" t="str">
        <f t="shared" ca="1" si="489"/>
        <v>Cruce -</v>
      </c>
      <c r="BX86" s="3" t="e">
        <f t="shared" ca="1" si="453"/>
        <v>#NUM!</v>
      </c>
      <c r="BY86" s="3" t="e">
        <f ca="1">IF(AND(BX86&lt;0,BX85&gt;0), "Cruce -", IF(AND(BX86&gt;0,BX85&lt;0),"Cruce +", ""))</f>
        <v>#NUM!</v>
      </c>
      <c r="BZ86" s="3">
        <f t="shared" ca="1" si="454"/>
        <v>815312.4311448345</v>
      </c>
      <c r="CA86" s="3" t="str">
        <f ca="1">IF(AND(BZ86&lt;0,BZ85&gt;0), "Cruce -", IF(AND(BZ86&gt;0,BZ85&lt;0),"Cruce +", ""))</f>
        <v/>
      </c>
      <c r="CB86" s="3">
        <f t="shared" ca="1" si="455"/>
        <v>288793.0767400802</v>
      </c>
      <c r="CC86" s="3" t="str">
        <f ca="1">IF(AND(CB86&lt;0,CB85&gt;0), "Cruce -", IF(AND(CB86&gt;0,CB85&lt;0),"Cruce +", ""))</f>
        <v/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1</v>
      </c>
      <c r="CF86" s="3">
        <f>IF(RTD("tos.rtd",,CF$83,"."&amp;$C$82&amp;$AU$82&amp;"C"&amp;$A86)="N/A",0,RTD("tos.rtd",,CF$83,"."&amp;$C$82&amp;$AU$82&amp;"C"&amp;$A86))</f>
        <v>0.09</v>
      </c>
      <c r="CG86" s="3">
        <f>-IF(RTD("tos.rtd",,CG$83,"."&amp;$C$82&amp;$AU$82&amp;"P"&amp;$A86)="N/A",0,RTD("tos.rtd",,CG$83,"."&amp;$C$82&amp;$AU$82&amp;"P"&amp;$A86))</f>
        <v>0.89</v>
      </c>
      <c r="CH86" s="3">
        <f>IF(RTD("tos.rtd",,CH$83,"."&amp;$D$82&amp;$AW$82&amp;"C"&amp;$A86)="N/A",0,RTD("tos.rtd",,CH$83,"."&amp;$D$82&amp;$AW$82&amp;"C"&amp;$A86))</f>
        <v>0.18</v>
      </c>
      <c r="CI86" s="3">
        <f>-IF(RTD("tos.rtd",,CI$83,"."&amp;$D$82&amp;$AW$82&amp;"P"&amp;$A86)="N/A",0,RTD("tos.rtd",,CI$83,"."&amp;$D$82&amp;$AW$82&amp;"P"&amp;$A86))</f>
        <v>0.79</v>
      </c>
      <c r="CK86" s="3">
        <f t="shared" ref="CK86:CK130" si="490">+AS86*CD86*100+AT86*CE86*100</f>
        <v>-2800</v>
      </c>
      <c r="CL86" s="3"/>
      <c r="CM86" s="3">
        <f t="shared" ref="CM86:CM130" si="491">+AU86*CF86*100+AV86*CG86*100</f>
        <v>0</v>
      </c>
      <c r="CN86" s="3"/>
      <c r="CO86" s="3">
        <f t="shared" ref="CO86:CO130" si="492">+AW86*CH86*100+AX86*CI86*100</f>
        <v>-19423.000000000004</v>
      </c>
      <c r="CP86" s="3">
        <f t="shared" si="456"/>
        <v>-22223.000000000004</v>
      </c>
      <c r="CQ86" s="3">
        <f t="shared" si="457"/>
        <v>2707</v>
      </c>
      <c r="CR86" s="3"/>
      <c r="CS86" s="3">
        <f t="shared" si="458"/>
        <v>201</v>
      </c>
      <c r="CT86" s="3"/>
      <c r="CU86" s="3">
        <f t="shared" si="459"/>
        <v>830</v>
      </c>
      <c r="CV86" s="3"/>
      <c r="CW86" s="3" t="e">
        <f t="shared" ref="CW86:CW98" ca="1" si="493">+BQ86+BS86+BU86</f>
        <v>#NUM!</v>
      </c>
      <c r="CY86" s="3" t="e">
        <f t="shared" ca="1" si="461"/>
        <v>#NUM!</v>
      </c>
      <c r="CZ86" s="70" t="e">
        <f ca="1">IF(AND(CY86&lt;0,CY85&gt;0), "Cruce -", IF(AND(CY86&gt;0,CY85&lt;0),"Cruce +", ""))</f>
        <v>#NUM!</v>
      </c>
      <c r="DA86" s="3">
        <f>IF(RTD("tos.rtd",,DA$83,"."&amp;$B$82&amp;$AS$82&amp;"C"&amp;$A86)="N/A",0,RTD("tos.rtd",,DA$83,"."&amp;$B$82&amp;$AS$82&amp;"C"&amp;$A86))</f>
        <v>0.03</v>
      </c>
      <c r="DB86" s="3">
        <f>IF(RTD("tos.rtd",,DB$83,"."&amp;$B$82&amp;$AS$82&amp;"P"&amp;$A86)="N/A",0,RTD("tos.rtd",,DB$83,"."&amp;$B$82&amp;$AS$82&amp;"P"&amp;$A86))</f>
        <v>162</v>
      </c>
      <c r="DC86" s="3">
        <f>IF(RTD("tos.rtd",,DC$83,"."&amp;$B$82&amp;$AS$82&amp;"C"&amp;$A86)="N/A",0,RTD("tos.rtd",,DC$83,"."&amp;$B$82&amp;$AS$82&amp;"C"&amp;$A86))</f>
        <v>0.05</v>
      </c>
      <c r="DD86" s="3">
        <f>IF(RTD("tos.rtd",,DD$83,"."&amp;$B$82&amp;$AS$82&amp;"P"&amp;$A86)="N/A",0,RTD("tos.rtd",,DD$83,"."&amp;$B$82&amp;$AS$82&amp;"P"&amp;$A86))</f>
        <v>178.9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166.8</v>
      </c>
      <c r="DG86" s="86">
        <f t="shared" ref="DG86:DG130" si="494">+$A86-$A$84</f>
        <v>174.25</v>
      </c>
      <c r="DH86" s="3">
        <f t="shared" si="462"/>
        <v>0</v>
      </c>
      <c r="DI86" s="3">
        <f t="shared" si="463"/>
        <v>0</v>
      </c>
      <c r="DJ86" s="3">
        <f t="shared" si="464"/>
        <v>0</v>
      </c>
      <c r="DK86" s="3">
        <f t="shared" si="465"/>
        <v>0</v>
      </c>
      <c r="DL86" s="3">
        <f t="shared" si="466"/>
        <v>0</v>
      </c>
      <c r="DM86" s="3">
        <f t="shared" si="467"/>
        <v>0</v>
      </c>
      <c r="DN86" s="64" t="str">
        <f t="shared" si="468"/>
        <v>UNKNOWN</v>
      </c>
      <c r="DO86" s="64" t="str">
        <f t="shared" si="469"/>
        <v>UNKNOWN</v>
      </c>
      <c r="DP86" s="3">
        <f t="shared" si="470"/>
        <v>0</v>
      </c>
      <c r="DQ86" s="3">
        <f t="shared" si="471"/>
        <v>0</v>
      </c>
      <c r="DR86" s="3" t="e">
        <f t="shared" ca="1" si="472"/>
        <v>#NUM!</v>
      </c>
      <c r="DS86" s="3">
        <f t="shared" si="473"/>
        <v>0</v>
      </c>
      <c r="DT86" s="3">
        <f t="shared" ref="DT86:DT130" si="495">BA86-VLOOKUP(AZ86,$AO$85:$AQ$130,2,FALSE)</f>
        <v>0</v>
      </c>
      <c r="DU86" s="3">
        <f t="shared" ref="DU86:DU130" si="496">BB86-VLOOKUP(AZ86,$AO$85:$AQ$130,3,FALSE)</f>
        <v>0</v>
      </c>
      <c r="DV86" s="3">
        <f t="shared" ref="DV86:DV130" si="497">AM86+IF(DN86="BUY",DT86,IF(DN86="SELL",-DT86,0))</f>
        <v>1511</v>
      </c>
      <c r="DW86" s="3">
        <f t="shared" ref="DW86:DW130" si="498">AN86+IF(DO86="BUY",DU86,IF(DO86="SELL",-DU86,0))</f>
        <v>0</v>
      </c>
      <c r="DX86" s="3" t="e">
        <f ca="1">(EXP(-POWER((LN($A$84/$A86)+($EC$1+POWER($EE86,2)/2)*($EM$1/$DY$1))/($EE86*SQRT($EM$1/$DY$1)),2)/2)/SQRT(2*PI())/($A$84*$EE86*SQRT($EM$1/$DY$1)))</f>
        <v>#NUM!</v>
      </c>
      <c r="DY86" s="3" t="e">
        <f t="shared" ca="1" si="474"/>
        <v>#NUM!</v>
      </c>
      <c r="DZ86" s="3">
        <f t="shared" ca="1" si="475"/>
        <v>1.6813469720439012E-2</v>
      </c>
      <c r="EA86" s="3">
        <f t="shared" ca="1" si="476"/>
        <v>-1.4767998704843025E-3</v>
      </c>
      <c r="EB86" s="3">
        <f t="shared" ca="1" si="477"/>
        <v>1.4553318035786442E-3</v>
      </c>
      <c r="EC86" s="3">
        <f t="shared" ca="1" si="478"/>
        <v>-1.4846690091862348E-3</v>
      </c>
      <c r="EE86" s="59">
        <f t="shared" si="479"/>
        <v>1.3393999999999999</v>
      </c>
      <c r="EF86" s="59">
        <f t="shared" si="480"/>
        <v>0.25</v>
      </c>
      <c r="EG86" s="59">
        <f t="shared" si="481"/>
        <v>0.15359999999999999</v>
      </c>
      <c r="EH86" s="59">
        <f t="shared" si="482"/>
        <v>0.16689999999999999</v>
      </c>
      <c r="EI86" s="59">
        <f t="shared" si="483"/>
        <v>0.15659999999999999</v>
      </c>
      <c r="EJ86" s="59">
        <f t="shared" si="484"/>
        <v>0.17860000000000001</v>
      </c>
      <c r="EL86" s="3" t="str">
        <f>RTD("tos.rtd",,EL$83,"."&amp;$B$82&amp;$AS$82&amp;"C"&amp;$A86)</f>
        <v>133.94%</v>
      </c>
      <c r="EM86" s="3" t="str">
        <f>RTD("tos.rtd",,EM$83,"."&amp;$B$82&amp;$AS$82&amp;"P"&amp;$A86)</f>
        <v>--</v>
      </c>
      <c r="EN86" s="3" t="str">
        <f>RTD("tos.rtd",,EN$83,"."&amp;$C$82&amp;$AU$82&amp;"C"&amp;$A86)</f>
        <v>15.36%</v>
      </c>
      <c r="EO86" s="3" t="str">
        <f>RTD("tos.rtd",,EO$83,"."&amp;$C$82&amp;$AU$82&amp;"P"&amp;$A86)</f>
        <v>16.69%</v>
      </c>
      <c r="EP86" s="3" t="str">
        <f>RTD("tos.rtd",,EP$83,"."&amp;$D$82&amp;$AW$82&amp;"C"&amp;$A86)</f>
        <v>15.66%</v>
      </c>
      <c r="EQ86" s="3" t="str">
        <f>RTD("tos.rtd",,EQ$83,"."&amp;$D$82&amp;$AW$82&amp;"P"&amp;$A86)</f>
        <v>17.86%</v>
      </c>
      <c r="ET86" s="64" t="str">
        <f t="shared" ca="1" si="485"/>
        <v>5860,00.00</v>
      </c>
      <c r="EU86" s="67">
        <v>563.12</v>
      </c>
      <c r="EV86" s="67" t="s">
        <v>707</v>
      </c>
      <c r="EW86" s="67">
        <v>484.97</v>
      </c>
      <c r="EX86" s="67" t="s">
        <v>708</v>
      </c>
      <c r="EY86" s="67">
        <v>5646.75</v>
      </c>
      <c r="EZ86" s="67" t="s">
        <v>709</v>
      </c>
      <c r="FA86" s="67">
        <v>19927.5</v>
      </c>
      <c r="FB86" s="67" t="s">
        <v>710</v>
      </c>
      <c r="FC86" s="67" t="s">
        <v>711</v>
      </c>
      <c r="FD86" s="67" t="s">
        <v>712</v>
      </c>
      <c r="FE86" s="68" t="s">
        <v>713</v>
      </c>
      <c r="FF86" s="68" t="s">
        <v>714</v>
      </c>
    </row>
    <row r="87" spans="1:162" s="63" customFormat="1" ht="12" customHeight="1" thickBot="1" x14ac:dyDescent="0.25">
      <c r="A87" s="2">
        <f t="shared" ref="A87:A130" si="499">+A86-$A$81</f>
        <v>5850</v>
      </c>
      <c r="B87" s="3">
        <f t="shared" si="445"/>
        <v>3781</v>
      </c>
      <c r="C87" s="3">
        <f t="shared" si="446"/>
        <v>1990</v>
      </c>
      <c r="D87" s="3">
        <f t="shared" si="447"/>
        <v>2012</v>
      </c>
      <c r="E87" s="3">
        <f t="shared" si="448"/>
        <v>7783</v>
      </c>
      <c r="F87" s="4">
        <f t="shared" ref="F87:F92" si="500">+$F$84/$A$84*A87</f>
        <v>5874.6933122279388</v>
      </c>
      <c r="G87" s="4">
        <f t="shared" si="486"/>
        <v>583.34863474475662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1136</v>
      </c>
      <c r="AN87" s="20">
        <v>-163</v>
      </c>
      <c r="AO87" s="20">
        <v>5850</v>
      </c>
      <c r="AP87" s="20">
        <v>4898</v>
      </c>
      <c r="AQ87" s="20">
        <v>-203</v>
      </c>
      <c r="AR87" s="20"/>
      <c r="AS87" s="54">
        <f>IF(RTD("tos.rtd",,AS$83,"."&amp;$B$82&amp;$AS$82&amp;"C"&amp;$A87)="N/A",0,RTD("tos.rtd",,AS$83,"."&amp;$B$82&amp;$AS$82&amp;"C"&amp;$A87))</f>
        <v>3590</v>
      </c>
      <c r="AT87" s="3">
        <f>-IF(RTD("tos.rtd",,AT$83,"."&amp;$B$82&amp;$AS$82&amp;"P"&amp;$A87)="N/A",0,RTD("tos.rtd",,AT$83,"."&amp;$B$82&amp;$AS$82&amp;"P"&amp;$A87))</f>
        <v>-191</v>
      </c>
      <c r="AU87" s="54">
        <f>IF(RTD("tos.rtd",,AU$83,"."&amp;$C$82&amp;$AU$82&amp;"C"&amp;$A87)="N/A",0,RTD("tos.rtd",,AU$83,"."&amp;$C$82&amp;$AU$82&amp;"C"&amp;$A87))</f>
        <v>1955</v>
      </c>
      <c r="AV87" s="3">
        <f>-IF(RTD("tos.rtd",,AV$83,"."&amp;$C$82&amp;$AU$82&amp;"P"&amp;$A87)="N/A",0,RTD("tos.rtd",,AV$83,"."&amp;$C$82&amp;$AU$82&amp;"P"&amp;$A87))</f>
        <v>-35</v>
      </c>
      <c r="AW87" s="54">
        <f>IF(RTD("tos.rtd",,AW$83,"."&amp;$D$82&amp;$AW$82&amp;"C"&amp;$A87)="N/A",0,RTD("tos.rtd",,AW$83,"."&amp;$D$82&amp;$AW$82&amp;"C"&amp;$A87))</f>
        <v>1112</v>
      </c>
      <c r="AX87" s="3">
        <f>-IF(RTD("tos.rtd",,AX$83,"."&amp;$D$82&amp;$AW$82&amp;"P"&amp;$A87)="N/A",0,RTD("tos.rtd",,AX$83,"."&amp;$D$82&amp;$AW$82&amp;"P"&amp;$A87))</f>
        <v>-900</v>
      </c>
      <c r="AY87" s="79">
        <f t="shared" si="487"/>
        <v>5531</v>
      </c>
      <c r="AZ87" s="8">
        <f t="shared" si="449"/>
        <v>5850</v>
      </c>
      <c r="BA87" s="54">
        <f>IF(RTD("tos.rtd",,BA$83,"."&amp;$B$82&amp;$AS$82&amp;"C"&amp;$A87)="N/A",0,RTD("tos.rtd",,BA$83,"."&amp;$B$82&amp;$AS$82&amp;"C"&amp;$A87))</f>
        <v>4898</v>
      </c>
      <c r="BB87" s="3">
        <f>-IF(RTD("tos.rtd",,BB$83,"."&amp;$B$82&amp;$AS$82&amp;"P"&amp;$A87)="N/A",0,RTD("tos.rtd",,BB$83,"."&amp;$B$82&amp;$AS$82&amp;"P"&amp;$A87))</f>
        <v>-203</v>
      </c>
      <c r="BC87" s="54">
        <f>IF(RTD("tos.rtd",,BC$83,"."&amp;$C$82&amp;$AU$82&amp;"C"&amp;$A87)="N/A",0,RTD("tos.rtd",,BC$83,"."&amp;$C$82&amp;$AU$82&amp;"C"&amp;$A87))</f>
        <v>8137</v>
      </c>
      <c r="BD87" s="3">
        <f>-IF(RTD("tos.rtd",,BD$83,"."&amp;$C$82&amp;$AU$82&amp;"P"&amp;$A87)="N/A",0,RTD("tos.rtd",,BD$83,"."&amp;$C$82&amp;$AU$82&amp;"P"&amp;$A87))</f>
        <v>-50</v>
      </c>
      <c r="BE87" s="54">
        <f>IF(RTD("tos.rtd",,BE$83,"."&amp;$D$82&amp;$AW$82&amp;"C"&amp;$A87)="N/A",0,RTD("tos.rtd",,BE$83,"."&amp;$D$82&amp;$AW$82&amp;"C"&amp;$A87))</f>
        <v>1042</v>
      </c>
      <c r="BF87" s="3">
        <f>-IF(RTD("tos.rtd",,BF$83,"."&amp;$D$82&amp;$AW$82&amp;"P"&amp;$A87)="N/A",0,RTD("tos.rtd",,BF$83,"."&amp;$D$82&amp;$AW$82&amp;"P"&amp;$A87))</f>
        <v>-12</v>
      </c>
      <c r="BG87" s="3" t="e">
        <f ca="1">+Hoja2!Y88</f>
        <v>#N/A</v>
      </c>
      <c r="BH87" s="55" t="e">
        <f t="shared" ca="1" si="488"/>
        <v>#N/A</v>
      </c>
      <c r="BI87" s="32" t="e">
        <f ca="1">IF(AND(BH87&lt;0,BH86&gt;0), "Cruce -", IF(AND(BH87&gt;0,BH86&lt;0),"Cruce +", ""))</f>
        <v>#N/A</v>
      </c>
      <c r="BJ87" s="3" t="e">
        <f ca="1">IF($BP$1=1,DX87,IF(RTD("tos.rtd",,BJ$83,"."&amp;$B$82&amp;$AS$82&amp;"C"&amp;$A87)="N/A",0,RTD("tos.rtd",,BJ$83,"."&amp;$B$82&amp;$AS$82&amp;"C"&amp;$A87)))</f>
        <v>#NUM!</v>
      </c>
      <c r="BK87" s="3" t="e">
        <f ca="1">IF($BP$1=1,DY87,-IF(RTD("tos.rtd",,BK$83,"."&amp;$B$82&amp;$AS$82&amp;"P"&amp;$A87)="N/A",0,RTD("tos.rtd",,BK$83,"."&amp;$B$82&amp;$AS$82&amp;"P"&amp;$A87)))</f>
        <v>#NUM!</v>
      </c>
      <c r="BL87" s="3">
        <f ca="1">IF($BP$1=1,DZ87,IF(RTD("tos.rtd",,BL$83,"."&amp;$C$82&amp;$AU$82&amp;"C"&amp;$A87)="N/A",0,RTD("tos.rtd",,BL$83,"."&amp;$C$82&amp;$AU$82&amp;"C"&amp;$A87)))</f>
        <v>1.8171735212330762E-2</v>
      </c>
      <c r="BM87" s="3">
        <f ca="1">IF($BP$1=1,EA87,-IF(RTD("tos.rtd",,BM$83,"."&amp;$C$82&amp;$AU$82&amp;"P"&amp;$A87)="N/A",0,RTD("tos.rtd",,BM$83,"."&amp;$C$82&amp;$AU$82&amp;"P"&amp;$A87)))</f>
        <v>-1.5756702312781769E-3</v>
      </c>
      <c r="BN87" s="3">
        <f ca="1">IF($BP$1=1,EB87,IF(RTD("tos.rtd",,BN$83,"."&amp;$D$82&amp;$AW$82&amp;"C"&amp;$A87)="N/A",0,RTD("tos.rtd",,BN$83,"."&amp;$D$82&amp;$AW$82&amp;"C"&amp;$A87)))</f>
        <v>1.5685145961202261E-3</v>
      </c>
      <c r="BO87" s="3">
        <f ca="1">IF($BP$1=1,EC87,-IF(RTD("tos.rtd",,BO$83,"."&amp;$D$82&amp;$AW$82&amp;"P"&amp;$A87)="N/A",0,RTD("tos.rtd",,BO$83,"."&amp;$D$82&amp;$AW$82&amp;"P"&amp;$A87)))</f>
        <v>-1.573247465899577E-3</v>
      </c>
      <c r="BQ87" s="3" t="e">
        <f t="shared" ca="1" si="450"/>
        <v>#NUM!</v>
      </c>
      <c r="BR87" s="3" t="e">
        <f t="shared" ca="1" si="489"/>
        <v>#NUM!</v>
      </c>
      <c r="BS87" s="3">
        <f t="shared" ca="1" si="451"/>
        <v>8480376.3267808538</v>
      </c>
      <c r="BT87" s="3" t="str">
        <f t="shared" ca="1" si="489"/>
        <v/>
      </c>
      <c r="BU87" s="3">
        <f t="shared" ca="1" si="452"/>
        <v>78482.336171993928</v>
      </c>
      <c r="BV87" s="3" t="str">
        <f t="shared" ca="1" si="489"/>
        <v>Cruce +</v>
      </c>
      <c r="BX87" s="3" t="e">
        <f t="shared" ca="1" si="453"/>
        <v>#NUM!</v>
      </c>
      <c r="BY87" s="3" t="e">
        <f t="shared" ref="BY87:CC130" ca="1" si="501">IF(AND(BX87&lt;0,BX86&gt;0), "Cruce -", IF(AND(BX87&gt;0,BX86&lt;0),"Cruce +", ""))</f>
        <v>#NUM!</v>
      </c>
      <c r="BZ87" s="3">
        <f t="shared" ca="1" si="454"/>
        <v>35332626.434395</v>
      </c>
      <c r="CA87" s="3" t="str">
        <f t="shared" ca="1" si="501"/>
        <v/>
      </c>
      <c r="CB87" s="3">
        <f t="shared" ca="1" si="455"/>
        <v>386239.94506526575</v>
      </c>
      <c r="CC87" s="3" t="str">
        <f t="shared" ca="1" si="501"/>
        <v/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1</v>
      </c>
      <c r="CF87" s="3">
        <f>IF(RTD("tos.rtd",,CF$83,"."&amp;$C$82&amp;$AU$82&amp;"C"&amp;$A87)="N/A",0,RTD("tos.rtd",,CF$83,"."&amp;$C$82&amp;$AU$82&amp;"C"&amp;$A87))</f>
        <v>0.1</v>
      </c>
      <c r="CG87" s="3">
        <f>-IF(RTD("tos.rtd",,CG$83,"."&amp;$C$82&amp;$AU$82&amp;"P"&amp;$A87)="N/A",0,RTD("tos.rtd",,CG$83,"."&amp;$C$82&amp;$AU$82&amp;"P"&amp;$A87))</f>
        <v>0.88</v>
      </c>
      <c r="CH87" s="3">
        <f>IF(RTD("tos.rtd",,CH$83,"."&amp;$D$82&amp;$AW$82&amp;"C"&amp;$A87)="N/A",0,RTD("tos.rtd",,CH$83,"."&amp;$D$82&amp;$AW$82&amp;"C"&amp;$A87))</f>
        <v>0.2</v>
      </c>
      <c r="CI87" s="3">
        <f>-IF(RTD("tos.rtd",,CI$83,"."&amp;$D$82&amp;$AW$82&amp;"P"&amp;$A87)="N/A",0,RTD("tos.rtd",,CI$83,"."&amp;$D$82&amp;$AW$82&amp;"P"&amp;$A87))</f>
        <v>0.77</v>
      </c>
      <c r="CK87" s="3">
        <f t="shared" si="490"/>
        <v>-19100</v>
      </c>
      <c r="CL87" s="3"/>
      <c r="CM87" s="3">
        <f t="shared" si="491"/>
        <v>16470</v>
      </c>
      <c r="CN87" s="3"/>
      <c r="CO87" s="3">
        <f t="shared" si="492"/>
        <v>-47060</v>
      </c>
      <c r="CP87" s="3">
        <f t="shared" si="456"/>
        <v>-49690</v>
      </c>
      <c r="CQ87" s="3">
        <f t="shared" si="457"/>
        <v>4695</v>
      </c>
      <c r="CR87" s="3"/>
      <c r="CS87" s="3">
        <f t="shared" si="458"/>
        <v>8087</v>
      </c>
      <c r="CT87" s="3"/>
      <c r="CU87" s="3">
        <f t="shared" si="459"/>
        <v>1030</v>
      </c>
      <c r="CV87" s="3"/>
      <c r="CW87" s="3" t="e">
        <f t="shared" ca="1" si="493"/>
        <v>#NUM!</v>
      </c>
      <c r="CY87" s="3" t="e">
        <f t="shared" ca="1" si="461"/>
        <v>#NUM!</v>
      </c>
      <c r="CZ87" s="70" t="e">
        <f t="shared" ref="CZ87:CZ130" ca="1" si="502">IF(AND(CY87&lt;0,CY86&gt;0), "Cruce -", IF(AND(CY87&gt;0,CY86&lt;0),"Cruce +", ""))</f>
        <v>#NUM!</v>
      </c>
      <c r="DA87" s="3">
        <f>IF(RTD("tos.rtd",,DA$83,"."&amp;$B$82&amp;$AS$82&amp;"C"&amp;$A87)="N/A",0,RTD("tos.rtd",,DA$83,"."&amp;$B$82&amp;$AS$82&amp;"C"&amp;$A87))</f>
        <v>0.02</v>
      </c>
      <c r="DB87" s="3">
        <f>IF(RTD("tos.rtd",,DB$83,"."&amp;$B$82&amp;$AS$82&amp;"P"&amp;$A87)="N/A",0,RTD("tos.rtd",,DB$83,"."&amp;$B$82&amp;$AS$82&amp;"P"&amp;$A87))</f>
        <v>154.4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168.9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156.80000000000001</v>
      </c>
      <c r="DG87" s="86">
        <f t="shared" si="494"/>
        <v>164.25</v>
      </c>
      <c r="DH87" s="3">
        <f t="shared" si="462"/>
        <v>0</v>
      </c>
      <c r="DI87" s="3">
        <f t="shared" si="463"/>
        <v>0</v>
      </c>
      <c r="DJ87" s="3">
        <f t="shared" si="464"/>
        <v>0</v>
      </c>
      <c r="DK87" s="3">
        <f t="shared" si="465"/>
        <v>0</v>
      </c>
      <c r="DL87" s="3">
        <f t="shared" si="466"/>
        <v>0</v>
      </c>
      <c r="DM87" s="3">
        <f t="shared" si="467"/>
        <v>0</v>
      </c>
      <c r="DN87" s="64" t="str">
        <f t="shared" si="468"/>
        <v>UNKNOWN</v>
      </c>
      <c r="DO87" s="64" t="str">
        <f t="shared" si="469"/>
        <v>UNKNOWN</v>
      </c>
      <c r="DP87" s="3">
        <f t="shared" si="470"/>
        <v>0</v>
      </c>
      <c r="DQ87" s="3">
        <f t="shared" si="471"/>
        <v>0</v>
      </c>
      <c r="DR87" s="3" t="e">
        <f t="shared" ca="1" si="472"/>
        <v>#NUM!</v>
      </c>
      <c r="DS87" s="3">
        <f t="shared" si="473"/>
        <v>0</v>
      </c>
      <c r="DT87" s="3">
        <f t="shared" si="495"/>
        <v>0</v>
      </c>
      <c r="DU87" s="3">
        <f t="shared" si="496"/>
        <v>0</v>
      </c>
      <c r="DV87" s="3">
        <f t="shared" si="497"/>
        <v>1136</v>
      </c>
      <c r="DW87" s="3">
        <f t="shared" si="498"/>
        <v>-163</v>
      </c>
      <c r="DX87" s="3" t="e">
        <f t="shared" ref="DX87:DX130" ca="1" si="503">(EXP(-POWER((LN($A$84/$A87)+($EC$1+POWER($EE87,2)/2)*($EM$1/$DY$1))/($EE87*SQRT($EM$1/$DY$1)),2)/2)/SQRT(2*PI())/($A$84*$EE87*SQRT($EM$1/$DY$1)))</f>
        <v>#NUM!</v>
      </c>
      <c r="DY87" s="3" t="e">
        <f t="shared" ca="1" si="474"/>
        <v>#NUM!</v>
      </c>
      <c r="DZ87" s="3">
        <f t="shared" ca="1" si="475"/>
        <v>1.8171735212330762E-2</v>
      </c>
      <c r="EA87" s="3">
        <f t="shared" ca="1" si="476"/>
        <v>-1.5756702312781769E-3</v>
      </c>
      <c r="EB87" s="3">
        <f t="shared" ca="1" si="477"/>
        <v>1.5685145961202261E-3</v>
      </c>
      <c r="EC87" s="3">
        <f t="shared" ca="1" si="478"/>
        <v>-1.573247465899577E-3</v>
      </c>
      <c r="EE87" s="59">
        <f t="shared" si="479"/>
        <v>1.2698</v>
      </c>
      <c r="EF87" s="59">
        <f t="shared" si="480"/>
        <v>0.25</v>
      </c>
      <c r="EG87" s="59">
        <f t="shared" si="481"/>
        <v>0.15429999999999999</v>
      </c>
      <c r="EH87" s="59">
        <f t="shared" si="482"/>
        <v>0.1663</v>
      </c>
      <c r="EI87" s="59">
        <f t="shared" si="483"/>
        <v>0.15770000000000001</v>
      </c>
      <c r="EJ87" s="59">
        <f t="shared" si="484"/>
        <v>0.17599999999999999</v>
      </c>
      <c r="EL87" s="3" t="str">
        <f>RTD("tos.rtd",,EL$83,"."&amp;$B$82&amp;$AS$82&amp;"C"&amp;$A87)</f>
        <v>126.98%</v>
      </c>
      <c r="EM87" s="3" t="str">
        <f>RTD("tos.rtd",,EM$83,"."&amp;$B$82&amp;$AS$82&amp;"P"&amp;$A87)</f>
        <v>--</v>
      </c>
      <c r="EN87" s="3" t="str">
        <f>RTD("tos.rtd",,EN$83,"."&amp;$C$82&amp;$AU$82&amp;"C"&amp;$A87)</f>
        <v>15.43%</v>
      </c>
      <c r="EO87" s="3" t="str">
        <f>RTD("tos.rtd",,EO$83,"."&amp;$C$82&amp;$AU$82&amp;"P"&amp;$A87)</f>
        <v>16.63%</v>
      </c>
      <c r="EP87" s="3" t="str">
        <f>RTD("tos.rtd",,EP$83,"."&amp;$D$82&amp;$AW$82&amp;"C"&amp;$A87)</f>
        <v>15.77%</v>
      </c>
      <c r="EQ87" s="3" t="str">
        <f>RTD("tos.rtd",,EQ$83,"."&amp;$D$82&amp;$AW$82&amp;"P"&amp;$A87)</f>
        <v>17.60%</v>
      </c>
      <c r="ET87" s="64" t="str">
        <f t="shared" ca="1" si="485"/>
        <v>5850,00.00</v>
      </c>
      <c r="EU87" s="67">
        <v>563</v>
      </c>
      <c r="EV87" s="67" t="s">
        <v>715</v>
      </c>
      <c r="EW87" s="67">
        <v>484.84</v>
      </c>
      <c r="EX87" s="67" t="s">
        <v>716</v>
      </c>
      <c r="EY87" s="67">
        <v>5646</v>
      </c>
      <c r="EZ87" s="67" t="s">
        <v>717</v>
      </c>
      <c r="FA87" s="67">
        <v>19924.25</v>
      </c>
      <c r="FB87" s="67" t="s">
        <v>718</v>
      </c>
      <c r="FC87" s="67" t="s">
        <v>719</v>
      </c>
      <c r="FD87" s="67" t="s">
        <v>720</v>
      </c>
      <c r="FE87" s="68" t="s">
        <v>721</v>
      </c>
      <c r="FF87" s="68" t="s">
        <v>722</v>
      </c>
    </row>
    <row r="88" spans="1:162" s="63" customFormat="1" ht="12" customHeight="1" thickBot="1" x14ac:dyDescent="0.25">
      <c r="A88" s="2">
        <f t="shared" si="499"/>
        <v>5840</v>
      </c>
      <c r="B88" s="3">
        <f t="shared" si="445"/>
        <v>1105</v>
      </c>
      <c r="C88" s="3">
        <f t="shared" si="446"/>
        <v>223</v>
      </c>
      <c r="D88" s="3">
        <f t="shared" si="447"/>
        <v>290</v>
      </c>
      <c r="E88" s="3">
        <f t="shared" si="448"/>
        <v>1618</v>
      </c>
      <c r="F88" s="4">
        <f t="shared" si="500"/>
        <v>5864.6511014378048</v>
      </c>
      <c r="G88" s="4">
        <f t="shared" si="486"/>
        <v>582.35145759134684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-2526</v>
      </c>
      <c r="AN88" s="20">
        <v>-1</v>
      </c>
      <c r="AO88" s="20">
        <v>5840</v>
      </c>
      <c r="AP88" s="20">
        <v>8077</v>
      </c>
      <c r="AQ88" s="20">
        <v>-47</v>
      </c>
      <c r="AR88" s="20"/>
      <c r="AS88" s="54">
        <f>IF(RTD("tos.rtd",,AS$83,"."&amp;$B$82&amp;$AS$82&amp;"C"&amp;$A88)="N/A",0,RTD("tos.rtd",,AS$83,"."&amp;$B$82&amp;$AS$82&amp;"C"&amp;$A88))</f>
        <v>1009</v>
      </c>
      <c r="AT88" s="3">
        <f>-IF(RTD("tos.rtd",,AT$83,"."&amp;$B$82&amp;$AS$82&amp;"P"&amp;$A88)="N/A",0,RTD("tos.rtd",,AT$83,"."&amp;$B$82&amp;$AS$82&amp;"P"&amp;$A88))</f>
        <v>-96</v>
      </c>
      <c r="AU88" s="54">
        <f>IF(RTD("tos.rtd",,AU$83,"."&amp;$C$82&amp;$AU$82&amp;"C"&amp;$A88)="N/A",0,RTD("tos.rtd",,AU$83,"."&amp;$C$82&amp;$AU$82&amp;"C"&amp;$A88))</f>
        <v>223</v>
      </c>
      <c r="AV88" s="3">
        <f>-IF(RTD("tos.rtd",,AV$83,"."&amp;$C$82&amp;$AU$82&amp;"P"&amp;$A88)="N/A",0,RTD("tos.rtd",,AV$83,"."&amp;$C$82&amp;$AU$82&amp;"P"&amp;$A88))</f>
        <v>0</v>
      </c>
      <c r="AW88" s="54">
        <f>IF(RTD("tos.rtd",,AW$83,"."&amp;$D$82&amp;$AW$82&amp;"C"&amp;$A88)="N/A",0,RTD("tos.rtd",,AW$83,"."&amp;$D$82&amp;$AW$82&amp;"C"&amp;$A88))</f>
        <v>168</v>
      </c>
      <c r="AX88" s="3">
        <f>-IF(RTD("tos.rtd",,AX$83,"."&amp;$D$82&amp;$AW$82&amp;"P"&amp;$A88)="N/A",0,RTD("tos.rtd",,AX$83,"."&amp;$D$82&amp;$AW$82&amp;"P"&amp;$A88))</f>
        <v>-122</v>
      </c>
      <c r="AY88" s="79">
        <f t="shared" si="487"/>
        <v>1182</v>
      </c>
      <c r="AZ88" s="8">
        <f t="shared" si="449"/>
        <v>5840</v>
      </c>
      <c r="BA88" s="54">
        <f>IF(RTD("tos.rtd",,BA$83,"."&amp;$B$82&amp;$AS$82&amp;"C"&amp;$A88)="N/A",0,RTD("tos.rtd",,BA$83,"."&amp;$B$82&amp;$AS$82&amp;"C"&amp;$A88))</f>
        <v>8077</v>
      </c>
      <c r="BB88" s="3">
        <f>-IF(RTD("tos.rtd",,BB$83,"."&amp;$B$82&amp;$AS$82&amp;"P"&amp;$A88)="N/A",0,RTD("tos.rtd",,BB$83,"."&amp;$B$82&amp;$AS$82&amp;"P"&amp;$A88))</f>
        <v>-47</v>
      </c>
      <c r="BC88" s="54">
        <f>IF(RTD("tos.rtd",,BC$83,"."&amp;$C$82&amp;$AU$82&amp;"C"&amp;$A88)="N/A",0,RTD("tos.rtd",,BC$83,"."&amp;$C$82&amp;$AU$82&amp;"C"&amp;$A88))</f>
        <v>401</v>
      </c>
      <c r="BD88" s="3">
        <f>-IF(RTD("tos.rtd",,BD$83,"."&amp;$C$82&amp;$AU$82&amp;"P"&amp;$A88)="N/A",0,RTD("tos.rtd",,BD$83,"."&amp;$C$82&amp;$AU$82&amp;"P"&amp;$A88))</f>
        <v>-11</v>
      </c>
      <c r="BE88" s="54">
        <f>IF(RTD("tos.rtd",,BE$83,"."&amp;$D$82&amp;$AW$82&amp;"C"&amp;$A88)="N/A",0,RTD("tos.rtd",,BE$83,"."&amp;$D$82&amp;$AW$82&amp;"C"&amp;$A88))</f>
        <v>220</v>
      </c>
      <c r="BF88" s="3">
        <f>-IF(RTD("tos.rtd",,BF$83,"."&amp;$D$82&amp;$AW$82&amp;"P"&amp;$A88)="N/A",0,RTD("tos.rtd",,BF$83,"."&amp;$D$82&amp;$AW$82&amp;"P"&amp;$A88))</f>
        <v>-27</v>
      </c>
      <c r="BG88" s="3" t="e">
        <f ca="1">+Hoja2!Y89</f>
        <v>#N/A</v>
      </c>
      <c r="BH88" s="55" t="e">
        <f t="shared" ca="1" si="488"/>
        <v>#N/A</v>
      </c>
      <c r="BI88" s="32" t="e">
        <f t="shared" ref="BI88:BI130" ca="1" si="504">IF(AND(BH88&lt;0,BH87&gt;0), "Cruce -", IF(AND(BH88&gt;0,BH87&lt;0),"Cruce +", ""))</f>
        <v>#N/A</v>
      </c>
      <c r="BJ88" s="3" t="e">
        <f ca="1">IF($BP$1=1,DX88,IF(RTD("tos.rtd",,BJ$83,"."&amp;$B$82&amp;$AS$82&amp;"C"&amp;$A88)="N/A",0,RTD("tos.rtd",,BJ$83,"."&amp;$B$82&amp;$AS$82&amp;"C"&amp;$A88)))</f>
        <v>#NUM!</v>
      </c>
      <c r="BK88" s="3" t="e">
        <f ca="1">IF($BP$1=1,DY88,-IF(RTD("tos.rtd",,BK$83,"."&amp;$B$82&amp;$AS$82&amp;"P"&amp;$A88)="N/A",0,RTD("tos.rtd",,BK$83,"."&amp;$B$82&amp;$AS$82&amp;"P"&amp;$A88)))</f>
        <v>#NUM!</v>
      </c>
      <c r="BL88" s="3">
        <f ca="1">IF($BP$1=1,DZ88,IF(RTD("tos.rtd",,BL$83,"."&amp;$C$82&amp;$AU$82&amp;"C"&amp;$A88)="N/A",0,RTD("tos.rtd",,BL$83,"."&amp;$C$82&amp;$AU$82&amp;"C"&amp;$A88)))</f>
        <v>1.9524799826155105E-2</v>
      </c>
      <c r="BM88" s="3">
        <f ca="1">IF($BP$1=1,EA88,-IF(RTD("tos.rtd",,BM$83,"."&amp;$C$82&amp;$AU$82&amp;"P"&amp;$A88)="N/A",0,RTD("tos.rtd",,BM$83,"."&amp;$C$82&amp;$AU$82&amp;"P"&amp;$A88)))</f>
        <v>-1.675746660868158E-3</v>
      </c>
      <c r="BN88" s="3">
        <f ca="1">IF($BP$1=1,EB88,IF(RTD("tos.rtd",,BN$83,"."&amp;$D$82&amp;$AW$82&amp;"C"&amp;$A88)="N/A",0,RTD("tos.rtd",,BN$83,"."&amp;$D$82&amp;$AW$82&amp;"C"&amp;$A88)))</f>
        <v>1.6796283705442833E-3</v>
      </c>
      <c r="BO88" s="3">
        <f ca="1">IF($BP$1=1,EC88,-IF(RTD("tos.rtd",,BO$83,"."&amp;$D$82&amp;$AW$82&amp;"P"&amp;$A88)="N/A",0,RTD("tos.rtd",,BO$83,"."&amp;$D$82&amp;$AW$82&amp;"P"&amp;$A88)))</f>
        <v>-1.6588389711883636E-3</v>
      </c>
      <c r="BQ88" s="3" t="e">
        <f t="shared" ca="1" si="450"/>
        <v>#NUM!</v>
      </c>
      <c r="BR88" s="3" t="e">
        <f t="shared" ca="1" si="489"/>
        <v>#NUM!</v>
      </c>
      <c r="BS88" s="3">
        <f t="shared" ca="1" si="451"/>
        <v>1040969.771307015</v>
      </c>
      <c r="BT88" s="3" t="str">
        <f t="shared" ca="1" si="489"/>
        <v/>
      </c>
      <c r="BU88" s="3">
        <f t="shared" ca="1" si="452"/>
        <v>19078.545699321934</v>
      </c>
      <c r="BV88" s="3" t="str">
        <f t="shared" ca="1" si="489"/>
        <v/>
      </c>
      <c r="BX88" s="3" t="e">
        <f t="shared" ca="1" si="453"/>
        <v>#NUM!</v>
      </c>
      <c r="BY88" s="3" t="e">
        <f t="shared" ca="1" si="501"/>
        <v>#NUM!</v>
      </c>
      <c r="BZ88" s="3">
        <f t="shared" ca="1" si="454"/>
        <v>1867471.3306880884</v>
      </c>
      <c r="CA88" s="3" t="str">
        <f t="shared" ca="1" si="501"/>
        <v/>
      </c>
      <c r="CB88" s="3">
        <f t="shared" ca="1" si="455"/>
        <v>77636.96122047893</v>
      </c>
      <c r="CC88" s="3" t="str">
        <f t="shared" ca="1" si="501"/>
        <v/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0.97</v>
      </c>
      <c r="CF88" s="3">
        <f>IF(RTD("tos.rtd",,CF$83,"."&amp;$C$82&amp;$AU$82&amp;"C"&amp;$A88)="N/A",0,RTD("tos.rtd",,CF$83,"."&amp;$C$82&amp;$AU$82&amp;"C"&amp;$A88))</f>
        <v>0.12</v>
      </c>
      <c r="CG88" s="3">
        <f>-IF(RTD("tos.rtd",,CG$83,"."&amp;$C$82&amp;$AU$82&amp;"P"&amp;$A88)="N/A",0,RTD("tos.rtd",,CG$83,"."&amp;$C$82&amp;$AU$82&amp;"P"&amp;$A88))</f>
        <v>0.87</v>
      </c>
      <c r="CH88" s="3">
        <f>IF(RTD("tos.rtd",,CH$83,"."&amp;$D$82&amp;$AW$82&amp;"C"&amp;$A88)="N/A",0,RTD("tos.rtd",,CH$83,"."&amp;$D$82&amp;$AW$82&amp;"C"&amp;$A88))</f>
        <v>0.22</v>
      </c>
      <c r="CI88" s="3">
        <f>-IF(RTD("tos.rtd",,CI$83,"."&amp;$D$82&amp;$AW$82&amp;"P"&amp;$A88)="N/A",0,RTD("tos.rtd",,CI$83,"."&amp;$D$82&amp;$AW$82&amp;"P"&amp;$A88))</f>
        <v>0.76</v>
      </c>
      <c r="CK88" s="3">
        <f t="shared" si="490"/>
        <v>-9312</v>
      </c>
      <c r="CL88" s="3"/>
      <c r="CM88" s="3">
        <f t="shared" si="491"/>
        <v>2676</v>
      </c>
      <c r="CN88" s="3"/>
      <c r="CO88" s="3">
        <f t="shared" si="492"/>
        <v>-5576</v>
      </c>
      <c r="CP88" s="3">
        <f t="shared" si="456"/>
        <v>-12212</v>
      </c>
      <c r="CQ88" s="3">
        <f t="shared" si="457"/>
        <v>8030</v>
      </c>
      <c r="CR88" s="3"/>
      <c r="CS88" s="3">
        <f t="shared" si="458"/>
        <v>390</v>
      </c>
      <c r="CT88" s="3"/>
      <c r="CU88" s="3">
        <f t="shared" si="459"/>
        <v>193</v>
      </c>
      <c r="CV88" s="3"/>
      <c r="CW88" s="3" t="e">
        <f t="shared" ca="1" si="493"/>
        <v>#NUM!</v>
      </c>
      <c r="CY88" s="3" t="e">
        <f t="shared" ca="1" si="461"/>
        <v>#NUM!</v>
      </c>
      <c r="CZ88" s="70" t="e">
        <f t="shared" ca="1" si="502"/>
        <v>#NUM!</v>
      </c>
      <c r="DA88" s="3">
        <f>IF(RTD("tos.rtd",,DA$83,"."&amp;$B$82&amp;$AS$82&amp;"C"&amp;$A88)="N/A",0,RTD("tos.rtd",,DA$83,"."&amp;$B$82&amp;$AS$82&amp;"C"&amp;$A88))</f>
        <v>0.03</v>
      </c>
      <c r="DB88" s="3">
        <f>IF(RTD("tos.rtd",,DB$83,"."&amp;$B$82&amp;$AS$82&amp;"P"&amp;$A88)="N/A",0,RTD("tos.rtd",,DB$83,"."&amp;$B$82&amp;$AS$82&amp;"P"&amp;$A88))</f>
        <v>144.4</v>
      </c>
      <c r="DC88" s="3">
        <f>IF(RTD("tos.rtd",,DC$83,"."&amp;$B$82&amp;$AS$82&amp;"C"&amp;$A88)="N/A",0,RTD("tos.rtd",,DC$83,"."&amp;$B$82&amp;$AS$82&amp;"C"&amp;$A88))</f>
        <v>0.05</v>
      </c>
      <c r="DD88" s="3">
        <f>IF(RTD("tos.rtd",,DD$83,"."&amp;$B$82&amp;$AS$82&amp;"P"&amp;$A88)="N/A",0,RTD("tos.rtd",,DD$83,"."&amp;$B$82&amp;$AS$82&amp;"P"&amp;$A88))</f>
        <v>160.4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148.30000000000001</v>
      </c>
      <c r="DG88" s="86">
        <f t="shared" si="494"/>
        <v>154.25</v>
      </c>
      <c r="DH88" s="3">
        <f t="shared" si="462"/>
        <v>0</v>
      </c>
      <c r="DI88" s="3">
        <f t="shared" si="463"/>
        <v>0</v>
      </c>
      <c r="DJ88" s="3">
        <f t="shared" si="464"/>
        <v>0</v>
      </c>
      <c r="DK88" s="3">
        <f t="shared" si="465"/>
        <v>0</v>
      </c>
      <c r="DL88" s="3">
        <f t="shared" si="466"/>
        <v>0</v>
      </c>
      <c r="DM88" s="3">
        <f t="shared" si="467"/>
        <v>0</v>
      </c>
      <c r="DN88" s="64" t="str">
        <f t="shared" si="468"/>
        <v>UNKNOWN</v>
      </c>
      <c r="DO88" s="64" t="str">
        <f t="shared" si="469"/>
        <v>UNKNOWN</v>
      </c>
      <c r="DP88" s="3">
        <f t="shared" si="470"/>
        <v>0</v>
      </c>
      <c r="DQ88" s="3">
        <f t="shared" si="471"/>
        <v>0</v>
      </c>
      <c r="DR88" s="3" t="e">
        <f t="shared" ca="1" si="472"/>
        <v>#NUM!</v>
      </c>
      <c r="DS88" s="3">
        <f t="shared" si="473"/>
        <v>0</v>
      </c>
      <c r="DT88" s="3">
        <f t="shared" si="495"/>
        <v>0</v>
      </c>
      <c r="DU88" s="3">
        <f t="shared" si="496"/>
        <v>0</v>
      </c>
      <c r="DV88" s="3">
        <f t="shared" si="497"/>
        <v>-2526</v>
      </c>
      <c r="DW88" s="3">
        <f t="shared" si="498"/>
        <v>-1</v>
      </c>
      <c r="DX88" s="3" t="e">
        <f t="shared" ca="1" si="503"/>
        <v>#NUM!</v>
      </c>
      <c r="DY88" s="3" t="e">
        <f t="shared" ca="1" si="474"/>
        <v>#NUM!</v>
      </c>
      <c r="DZ88" s="3">
        <f t="shared" ca="1" si="475"/>
        <v>1.9524799826155105E-2</v>
      </c>
      <c r="EA88" s="3">
        <f t="shared" ca="1" si="476"/>
        <v>-1.675746660868158E-3</v>
      </c>
      <c r="EB88" s="3">
        <f t="shared" ca="1" si="477"/>
        <v>1.6796283705442833E-3</v>
      </c>
      <c r="EC88" s="3">
        <f t="shared" ca="1" si="478"/>
        <v>-1.6588389711883636E-3</v>
      </c>
      <c r="EE88" s="59">
        <f t="shared" si="479"/>
        <v>1.1998</v>
      </c>
      <c r="EF88" s="59">
        <f t="shared" si="480"/>
        <v>1.9049</v>
      </c>
      <c r="EG88" s="59">
        <f t="shared" si="481"/>
        <v>0.15529999999999999</v>
      </c>
      <c r="EH88" s="59">
        <f t="shared" si="482"/>
        <v>0.1661</v>
      </c>
      <c r="EI88" s="59">
        <f t="shared" si="483"/>
        <v>0.15870000000000001</v>
      </c>
      <c r="EJ88" s="59">
        <f t="shared" si="484"/>
        <v>0.17760000000000001</v>
      </c>
      <c r="EL88" s="3" t="str">
        <f>RTD("tos.rtd",,EL$83,"."&amp;$B$82&amp;$AS$82&amp;"C"&amp;$A88)</f>
        <v>119.98%</v>
      </c>
      <c r="EM88" s="3" t="str">
        <f>RTD("tos.rtd",,EM$83,"."&amp;$B$82&amp;$AS$82&amp;"P"&amp;$A88)</f>
        <v>190.49%</v>
      </c>
      <c r="EN88" s="3" t="str">
        <f>RTD("tos.rtd",,EN$83,"."&amp;$C$82&amp;$AU$82&amp;"C"&amp;$A88)</f>
        <v>15.53%</v>
      </c>
      <c r="EO88" s="3" t="str">
        <f>RTD("tos.rtd",,EO$83,"."&amp;$C$82&amp;$AU$82&amp;"P"&amp;$A88)</f>
        <v>16.61%</v>
      </c>
      <c r="EP88" s="3" t="str">
        <f>RTD("tos.rtd",,EP$83,"."&amp;$D$82&amp;$AW$82&amp;"C"&amp;$A88)</f>
        <v>15.87%</v>
      </c>
      <c r="EQ88" s="3" t="str">
        <f>RTD("tos.rtd",,EQ$83,"."&amp;$D$82&amp;$AW$82&amp;"P"&amp;$A88)</f>
        <v>17.76%</v>
      </c>
      <c r="ET88" s="64" t="str">
        <f t="shared" ca="1" si="485"/>
        <v>5840,00.00</v>
      </c>
      <c r="EU88" s="67">
        <v>562.46</v>
      </c>
      <c r="EV88" s="67" t="s">
        <v>723</v>
      </c>
      <c r="EW88" s="67">
        <v>484.43</v>
      </c>
      <c r="EX88" s="67" t="s">
        <v>724</v>
      </c>
      <c r="EY88" s="67">
        <v>5640.5</v>
      </c>
      <c r="EZ88" s="67" t="s">
        <v>725</v>
      </c>
      <c r="FA88" s="67">
        <v>19905.75</v>
      </c>
      <c r="FB88" s="67" t="s">
        <v>726</v>
      </c>
      <c r="FC88" s="67" t="s">
        <v>727</v>
      </c>
      <c r="FD88" s="67" t="s">
        <v>728</v>
      </c>
      <c r="FE88" s="68" t="s">
        <v>729</v>
      </c>
      <c r="FF88" s="68" t="s">
        <v>730</v>
      </c>
    </row>
    <row r="89" spans="1:162" s="63" customFormat="1" ht="12" customHeight="1" thickBot="1" x14ac:dyDescent="0.25">
      <c r="A89" s="2">
        <f t="shared" si="499"/>
        <v>5830</v>
      </c>
      <c r="B89" s="3">
        <f t="shared" si="445"/>
        <v>786</v>
      </c>
      <c r="C89" s="3">
        <f t="shared" si="446"/>
        <v>493</v>
      </c>
      <c r="D89" s="3">
        <f t="shared" si="447"/>
        <v>268</v>
      </c>
      <c r="E89" s="3">
        <f t="shared" si="448"/>
        <v>1547</v>
      </c>
      <c r="F89" s="4">
        <f t="shared" si="500"/>
        <v>5854.6088906476716</v>
      </c>
      <c r="G89" s="4">
        <f t="shared" si="486"/>
        <v>581.35428043793695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-139</v>
      </c>
      <c r="AN89" s="20">
        <v>-11</v>
      </c>
      <c r="AO89" s="20">
        <v>5830</v>
      </c>
      <c r="AP89" s="20">
        <v>8487</v>
      </c>
      <c r="AQ89" s="20">
        <v>-11</v>
      </c>
      <c r="AR89" s="20"/>
      <c r="AS89" s="54">
        <f>IF(RTD("tos.rtd",,AS$83,"."&amp;$B$82&amp;$AS$82&amp;"C"&amp;$A89)="N/A",0,RTD("tos.rtd",,AS$83,"."&amp;$B$82&amp;$AS$82&amp;"C"&amp;$A89))</f>
        <v>757</v>
      </c>
      <c r="AT89" s="3">
        <f>-IF(RTD("tos.rtd",,AT$83,"."&amp;$B$82&amp;$AS$82&amp;"P"&amp;$A89)="N/A",0,RTD("tos.rtd",,AT$83,"."&amp;$B$82&amp;$AS$82&amp;"P"&amp;$A89))</f>
        <v>-29</v>
      </c>
      <c r="AU89" s="54">
        <f>IF(RTD("tos.rtd",,AU$83,"."&amp;$C$82&amp;$AU$82&amp;"C"&amp;$A89)="N/A",0,RTD("tos.rtd",,AU$83,"."&amp;$C$82&amp;$AU$82&amp;"C"&amp;$A89))</f>
        <v>389</v>
      </c>
      <c r="AV89" s="3">
        <f>-IF(RTD("tos.rtd",,AV$83,"."&amp;$C$82&amp;$AU$82&amp;"P"&amp;$A89)="N/A",0,RTD("tos.rtd",,AV$83,"."&amp;$C$82&amp;$AU$82&amp;"P"&amp;$A89))</f>
        <v>-104</v>
      </c>
      <c r="AW89" s="54">
        <f>IF(RTD("tos.rtd",,AW$83,"."&amp;$D$82&amp;$AW$82&amp;"C"&amp;$A89)="N/A",0,RTD("tos.rtd",,AW$83,"."&amp;$D$82&amp;$AW$82&amp;"C"&amp;$A89))</f>
        <v>165</v>
      </c>
      <c r="AX89" s="3">
        <f>-IF(RTD("tos.rtd",,AX$83,"."&amp;$D$82&amp;$AW$82&amp;"P"&amp;$A89)="N/A",0,RTD("tos.rtd",,AX$83,"."&amp;$D$82&amp;$AW$82&amp;"P"&amp;$A89))</f>
        <v>-103</v>
      </c>
      <c r="AY89" s="79">
        <f t="shared" si="487"/>
        <v>1075</v>
      </c>
      <c r="AZ89" s="8">
        <f t="shared" si="449"/>
        <v>5830</v>
      </c>
      <c r="BA89" s="54">
        <f>IF(RTD("tos.rtd",,BA$83,"."&amp;$B$82&amp;$AS$82&amp;"C"&amp;$A89)="N/A",0,RTD("tos.rtd",,BA$83,"."&amp;$B$82&amp;$AS$82&amp;"C"&amp;$A89))</f>
        <v>8487</v>
      </c>
      <c r="BB89" s="3">
        <f>-IF(RTD("tos.rtd",,BB$83,"."&amp;$B$82&amp;$AS$82&amp;"P"&amp;$A89)="N/A",0,RTD("tos.rtd",,BB$83,"."&amp;$B$82&amp;$AS$82&amp;"P"&amp;$A89))</f>
        <v>-11</v>
      </c>
      <c r="BC89" s="54">
        <f>IF(RTD("tos.rtd",,BC$83,"."&amp;$C$82&amp;$AU$82&amp;"C"&amp;$A89)="N/A",0,RTD("tos.rtd",,BC$83,"."&amp;$C$82&amp;$AU$82&amp;"C"&amp;$A89))</f>
        <v>333</v>
      </c>
      <c r="BD89" s="3">
        <f>-IF(RTD("tos.rtd",,BD$83,"."&amp;$C$82&amp;$AU$82&amp;"P"&amp;$A89)="N/A",0,RTD("tos.rtd",,BD$83,"."&amp;$C$82&amp;$AU$82&amp;"P"&amp;$A89))</f>
        <v>-2</v>
      </c>
      <c r="BE89" s="54">
        <f>IF(RTD("tos.rtd",,BE$83,"."&amp;$D$82&amp;$AW$82&amp;"C"&amp;$A89)="N/A",0,RTD("tos.rtd",,BE$83,"."&amp;$D$82&amp;$AW$82&amp;"C"&amp;$A89))</f>
        <v>138</v>
      </c>
      <c r="BF89" s="3">
        <f>-IF(RTD("tos.rtd",,BF$83,"."&amp;$D$82&amp;$AW$82&amp;"P"&amp;$A89)="N/A",0,RTD("tos.rtd",,BF$83,"."&amp;$D$82&amp;$AW$82&amp;"P"&amp;$A89))</f>
        <v>-25</v>
      </c>
      <c r="BG89" s="3" t="e">
        <f ca="1">+Hoja2!Y90</f>
        <v>#N/A</v>
      </c>
      <c r="BH89" s="55" t="e">
        <f t="shared" ca="1" si="488"/>
        <v>#N/A</v>
      </c>
      <c r="BI89" s="32" t="e">
        <f t="shared" ca="1" si="504"/>
        <v>#N/A</v>
      </c>
      <c r="BJ89" s="3" t="e">
        <f ca="1">IF($BP$1=1,DX89,IF(RTD("tos.rtd",,BJ$83,"."&amp;$B$82&amp;$AS$82&amp;"C"&amp;$A89)="N/A",0,RTD("tos.rtd",,BJ$83,"."&amp;$B$82&amp;$AS$82&amp;"C"&amp;$A89)))</f>
        <v>#NUM!</v>
      </c>
      <c r="BK89" s="3" t="e">
        <f ca="1">IF($BP$1=1,DY89,-IF(RTD("tos.rtd",,BK$83,"."&amp;$B$82&amp;$AS$82&amp;"P"&amp;$A89)="N/A",0,RTD("tos.rtd",,BK$83,"."&amp;$B$82&amp;$AS$82&amp;"P"&amp;$A89)))</f>
        <v>#NUM!</v>
      </c>
      <c r="BL89" s="3">
        <f ca="1">IF($BP$1=1,DZ89,IF(RTD("tos.rtd",,BL$83,"."&amp;$C$82&amp;$AU$82&amp;"C"&amp;$A89)="N/A",0,RTD("tos.rtd",,BL$83,"."&amp;$C$82&amp;$AU$82&amp;"C"&amp;$A89)))</f>
        <v>2.0843905084624421E-2</v>
      </c>
      <c r="BM89" s="3">
        <f ca="1">IF($BP$1=1,EA89,-IF(RTD("tos.rtd",,BM$83,"."&amp;$C$82&amp;$AU$82&amp;"P"&amp;$A89)="N/A",0,RTD("tos.rtd",,BM$83,"."&amp;$C$82&amp;$AU$82&amp;"P"&amp;$A89)))</f>
        <v>-1.7743380462703527E-3</v>
      </c>
      <c r="BN89" s="3">
        <f ca="1">IF($BP$1=1,EB89,IF(RTD("tos.rtd",,BN$83,"."&amp;$D$82&amp;$AW$82&amp;"C"&amp;$A89)="N/A",0,RTD("tos.rtd",,BN$83,"."&amp;$D$82&amp;$AW$82&amp;"C"&amp;$A89)))</f>
        <v>1.7872513492068192E-3</v>
      </c>
      <c r="BO89" s="3">
        <f ca="1">IF($BP$1=1,EC89,-IF(RTD("tos.rtd",,BO$83,"."&amp;$D$82&amp;$AW$82&amp;"P"&amp;$A89)="N/A",0,RTD("tos.rtd",,BO$83,"."&amp;$D$82&amp;$AW$82&amp;"P"&amp;$A89)))</f>
        <v>-1.7376757834410531E-3</v>
      </c>
      <c r="BQ89" s="3" t="e">
        <f t="shared" ca="1" si="450"/>
        <v>#NUM!</v>
      </c>
      <c r="BR89" s="3" t="e">
        <f t="shared" ca="1" si="489"/>
        <v>#NUM!</v>
      </c>
      <c r="BS89" s="3">
        <f t="shared" ca="1" si="451"/>
        <v>1894424.5623022979</v>
      </c>
      <c r="BT89" s="3" t="str">
        <f t="shared" ca="1" si="489"/>
        <v/>
      </c>
      <c r="BU89" s="3">
        <f t="shared" ca="1" si="452"/>
        <v>27713.383571651699</v>
      </c>
      <c r="BV89" s="3" t="str">
        <f t="shared" ca="1" si="489"/>
        <v/>
      </c>
      <c r="BX89" s="3" t="e">
        <f t="shared" ca="1" si="453"/>
        <v>#NUM!</v>
      </c>
      <c r="BY89" s="3" t="e">
        <f t="shared" ca="1" si="501"/>
        <v>#NUM!</v>
      </c>
      <c r="BZ89" s="3">
        <f t="shared" ca="1" si="454"/>
        <v>1658623.7916680363</v>
      </c>
      <c r="CA89" s="3" t="str">
        <f t="shared" ca="1" si="501"/>
        <v/>
      </c>
      <c r="CB89" s="3">
        <f t="shared" ca="1" si="455"/>
        <v>48581.149435653664</v>
      </c>
      <c r="CC89" s="3" t="str">
        <f t="shared" ca="1" si="501"/>
        <v/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0.96</v>
      </c>
      <c r="CF89" s="3">
        <f>IF(RTD("tos.rtd",,CF$83,"."&amp;$C$82&amp;$AU$82&amp;"C"&amp;$A89)="N/A",0,RTD("tos.rtd",,CF$83,"."&amp;$C$82&amp;$AU$82&amp;"C"&amp;$A89))</f>
        <v>0.14000000000000001</v>
      </c>
      <c r="CG89" s="3">
        <f>-IF(RTD("tos.rtd",,CG$83,"."&amp;$C$82&amp;$AU$82&amp;"P"&amp;$A89)="N/A",0,RTD("tos.rtd",,CG$83,"."&amp;$C$82&amp;$AU$82&amp;"P"&amp;$A89))</f>
        <v>0.85</v>
      </c>
      <c r="CH89" s="3">
        <f>IF(RTD("tos.rtd",,CH$83,"."&amp;$D$82&amp;$AW$82&amp;"C"&amp;$A89)="N/A",0,RTD("tos.rtd",,CH$83,"."&amp;$D$82&amp;$AW$82&amp;"C"&amp;$A89))</f>
        <v>0.23</v>
      </c>
      <c r="CI89" s="3">
        <f>-IF(RTD("tos.rtd",,CI$83,"."&amp;$D$82&amp;$AW$82&amp;"P"&amp;$A89)="N/A",0,RTD("tos.rtd",,CI$83,"."&amp;$D$82&amp;$AW$82&amp;"P"&amp;$A89))</f>
        <v>0.74</v>
      </c>
      <c r="CK89" s="3">
        <f t="shared" si="490"/>
        <v>-2784</v>
      </c>
      <c r="CL89" s="3"/>
      <c r="CM89" s="3">
        <f t="shared" si="491"/>
        <v>-3393.9999999999991</v>
      </c>
      <c r="CN89" s="3"/>
      <c r="CO89" s="3">
        <f t="shared" si="492"/>
        <v>-3826.9999999999995</v>
      </c>
      <c r="CP89" s="3">
        <f t="shared" si="456"/>
        <v>-10004.999999999998</v>
      </c>
      <c r="CQ89" s="3">
        <f t="shared" si="457"/>
        <v>8476</v>
      </c>
      <c r="CR89" s="3"/>
      <c r="CS89" s="3">
        <f t="shared" si="458"/>
        <v>331</v>
      </c>
      <c r="CT89" s="3"/>
      <c r="CU89" s="3">
        <f t="shared" si="459"/>
        <v>113</v>
      </c>
      <c r="CV89" s="3"/>
      <c r="CW89" s="3" t="e">
        <f t="shared" ca="1" si="493"/>
        <v>#NUM!</v>
      </c>
      <c r="CY89" s="3" t="e">
        <f t="shared" ca="1" si="461"/>
        <v>#NUM!</v>
      </c>
      <c r="CZ89" s="70" t="e">
        <f t="shared" ca="1" si="502"/>
        <v>#NUM!</v>
      </c>
      <c r="DA89" s="3">
        <f>IF(RTD("tos.rtd",,DA$83,"."&amp;$B$82&amp;$AS$82&amp;"C"&amp;$A89)="N/A",0,RTD("tos.rtd",,DA$83,"."&amp;$B$82&amp;$AS$82&amp;"C"&amp;$A89))</f>
        <v>0.05</v>
      </c>
      <c r="DB89" s="3">
        <f>IF(RTD("tos.rtd",,DB$83,"."&amp;$B$82&amp;$AS$82&amp;"P"&amp;$A89)="N/A",0,RTD("tos.rtd",,DB$83,"."&amp;$B$82&amp;$AS$82&amp;"P"&amp;$A89))</f>
        <v>133</v>
      </c>
      <c r="DC89" s="3">
        <f>IF(RTD("tos.rtd",,DC$83,"."&amp;$B$82&amp;$AS$82&amp;"C"&amp;$A89)="N/A",0,RTD("tos.rtd",,DC$83,"."&amp;$B$82&amp;$AS$82&amp;"C"&amp;$A89))</f>
        <v>0.05</v>
      </c>
      <c r="DD89" s="3">
        <f>IF(RTD("tos.rtd",,DD$83,"."&amp;$B$82&amp;$AS$82&amp;"P"&amp;$A89)="N/A",0,RTD("tos.rtd",,DD$83,"."&amp;$B$82&amp;$AS$82&amp;"P"&amp;$A89))</f>
        <v>147.80000000000001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141.69999999999999</v>
      </c>
      <c r="DG89" s="86">
        <f t="shared" si="494"/>
        <v>144.25</v>
      </c>
      <c r="DH89" s="3">
        <f t="shared" si="462"/>
        <v>0</v>
      </c>
      <c r="DI89" s="3">
        <f t="shared" si="463"/>
        <v>0</v>
      </c>
      <c r="DJ89" s="3">
        <f t="shared" si="464"/>
        <v>0</v>
      </c>
      <c r="DK89" s="3">
        <f t="shared" si="465"/>
        <v>0</v>
      </c>
      <c r="DL89" s="3">
        <f t="shared" si="466"/>
        <v>0</v>
      </c>
      <c r="DM89" s="3">
        <f t="shared" si="467"/>
        <v>0</v>
      </c>
      <c r="DN89" s="64" t="str">
        <f t="shared" si="468"/>
        <v>UNKNOWN</v>
      </c>
      <c r="DO89" s="64" t="str">
        <f t="shared" si="469"/>
        <v>UNKNOWN</v>
      </c>
      <c r="DP89" s="3">
        <f t="shared" si="470"/>
        <v>0</v>
      </c>
      <c r="DQ89" s="3">
        <f t="shared" si="471"/>
        <v>0</v>
      </c>
      <c r="DR89" s="3" t="e">
        <f t="shared" ca="1" si="472"/>
        <v>#NUM!</v>
      </c>
      <c r="DS89" s="3">
        <f t="shared" si="473"/>
        <v>0</v>
      </c>
      <c r="DT89" s="3">
        <f t="shared" si="495"/>
        <v>0</v>
      </c>
      <c r="DU89" s="3">
        <f t="shared" si="496"/>
        <v>0</v>
      </c>
      <c r="DV89" s="3">
        <f t="shared" si="497"/>
        <v>-139</v>
      </c>
      <c r="DW89" s="3">
        <f t="shared" si="498"/>
        <v>-11</v>
      </c>
      <c r="DX89" s="3" t="e">
        <f t="shared" ca="1" si="503"/>
        <v>#NUM!</v>
      </c>
      <c r="DY89" s="3" t="e">
        <f t="shared" ca="1" si="474"/>
        <v>#NUM!</v>
      </c>
      <c r="DZ89" s="3">
        <f t="shared" ca="1" si="475"/>
        <v>2.0843905084624421E-2</v>
      </c>
      <c r="EA89" s="3">
        <f t="shared" ca="1" si="476"/>
        <v>-1.7743380462703527E-3</v>
      </c>
      <c r="EB89" s="3">
        <f t="shared" ca="1" si="477"/>
        <v>1.7872513492068192E-3</v>
      </c>
      <c r="EC89" s="3">
        <f t="shared" ca="1" si="478"/>
        <v>-1.7376757834410531E-3</v>
      </c>
      <c r="EE89" s="59">
        <f t="shared" si="479"/>
        <v>1.1274</v>
      </c>
      <c r="EF89" s="59">
        <f t="shared" si="480"/>
        <v>1.9144000000000001</v>
      </c>
      <c r="EG89" s="59">
        <f t="shared" si="481"/>
        <v>0.15640000000000001</v>
      </c>
      <c r="EH89" s="59">
        <f t="shared" si="482"/>
        <v>0.16650000000000001</v>
      </c>
      <c r="EI89" s="59">
        <f t="shared" si="483"/>
        <v>0.16</v>
      </c>
      <c r="EJ89" s="59">
        <f t="shared" si="484"/>
        <v>0.17979999999999999</v>
      </c>
      <c r="EL89" s="3" t="str">
        <f>RTD("tos.rtd",,EL$83,"."&amp;$B$82&amp;$AS$82&amp;"C"&amp;$A89)</f>
        <v>112.74%</v>
      </c>
      <c r="EM89" s="3" t="str">
        <f>RTD("tos.rtd",,EM$83,"."&amp;$B$82&amp;$AS$82&amp;"P"&amp;$A89)</f>
        <v>191.44%</v>
      </c>
      <c r="EN89" s="3" t="str">
        <f>RTD("tos.rtd",,EN$83,"."&amp;$C$82&amp;$AU$82&amp;"C"&amp;$A89)</f>
        <v>15.64%</v>
      </c>
      <c r="EO89" s="3" t="str">
        <f>RTD("tos.rtd",,EO$83,"."&amp;$C$82&amp;$AU$82&amp;"P"&amp;$A89)</f>
        <v>16.65%</v>
      </c>
      <c r="EP89" s="3" t="str">
        <f>RTD("tos.rtd",,EP$83,"."&amp;$D$82&amp;$AW$82&amp;"C"&amp;$A89)</f>
        <v>16.00%</v>
      </c>
      <c r="EQ89" s="3" t="str">
        <f>RTD("tos.rtd",,EQ$83,"."&amp;$D$82&amp;$AW$82&amp;"P"&amp;$A89)</f>
        <v>17.98%</v>
      </c>
      <c r="ET89" s="64" t="str">
        <f t="shared" ca="1" si="485"/>
        <v>5830,00.00</v>
      </c>
      <c r="EU89" s="67">
        <v>562.63</v>
      </c>
      <c r="EV89" s="67" t="s">
        <v>731</v>
      </c>
      <c r="EW89" s="67">
        <v>484.56</v>
      </c>
      <c r="EX89" s="67" t="s">
        <v>732</v>
      </c>
      <c r="EY89" s="67">
        <v>5642</v>
      </c>
      <c r="EZ89" s="67" t="s">
        <v>733</v>
      </c>
      <c r="FA89" s="67">
        <v>19911.75</v>
      </c>
      <c r="FB89" s="67" t="s">
        <v>734</v>
      </c>
      <c r="FC89" s="67" t="s">
        <v>735</v>
      </c>
      <c r="FD89" s="67" t="s">
        <v>736</v>
      </c>
      <c r="FE89" s="68" t="s">
        <v>737</v>
      </c>
      <c r="FF89" s="68" t="s">
        <v>738</v>
      </c>
    </row>
    <row r="90" spans="1:162" s="63" customFormat="1" ht="12" customHeight="1" thickBot="1" x14ac:dyDescent="0.25">
      <c r="A90" s="2">
        <f t="shared" si="499"/>
        <v>5820</v>
      </c>
      <c r="B90" s="3">
        <f t="shared" si="445"/>
        <v>1457</v>
      </c>
      <c r="C90" s="3">
        <f t="shared" si="446"/>
        <v>274</v>
      </c>
      <c r="D90" s="3">
        <f t="shared" si="447"/>
        <v>697</v>
      </c>
      <c r="E90" s="3">
        <f t="shared" si="448"/>
        <v>2428</v>
      </c>
      <c r="F90" s="4">
        <f t="shared" si="500"/>
        <v>5844.5666798575385</v>
      </c>
      <c r="G90" s="4">
        <f t="shared" si="486"/>
        <v>580.35710328452717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-987</v>
      </c>
      <c r="AN90" s="20">
        <v>-18</v>
      </c>
      <c r="AO90" s="20">
        <v>5820</v>
      </c>
      <c r="AP90" s="20">
        <v>3911</v>
      </c>
      <c r="AQ90" s="20">
        <v>-27</v>
      </c>
      <c r="AR90" s="20"/>
      <c r="AS90" s="54">
        <f>IF(RTD("tos.rtd",,AS$83,"."&amp;$B$82&amp;$AS$82&amp;"C"&amp;$A90)="N/A",0,RTD("tos.rtd",,AS$83,"."&amp;$B$82&amp;$AS$82&amp;"C"&amp;$A90))</f>
        <v>1420</v>
      </c>
      <c r="AT90" s="3">
        <f>-IF(RTD("tos.rtd",,AT$83,"."&amp;$B$82&amp;$AS$82&amp;"P"&amp;$A90)="N/A",0,RTD("tos.rtd",,AT$83,"."&amp;$B$82&amp;$AS$82&amp;"P"&amp;$A90))</f>
        <v>-37</v>
      </c>
      <c r="AU90" s="54">
        <f>IF(RTD("tos.rtd",,AU$83,"."&amp;$C$82&amp;$AU$82&amp;"C"&amp;$A90)="N/A",0,RTD("tos.rtd",,AU$83,"."&amp;$C$82&amp;$AU$82&amp;"C"&amp;$A90))</f>
        <v>267</v>
      </c>
      <c r="AV90" s="3">
        <f>-IF(RTD("tos.rtd",,AV$83,"."&amp;$C$82&amp;$AU$82&amp;"P"&amp;$A90)="N/A",0,RTD("tos.rtd",,AV$83,"."&amp;$C$82&amp;$AU$82&amp;"P"&amp;$A90))</f>
        <v>-7</v>
      </c>
      <c r="AW90" s="54">
        <f>IF(RTD("tos.rtd",,AW$83,"."&amp;$D$82&amp;$AW$82&amp;"C"&amp;$A90)="N/A",0,RTD("tos.rtd",,AW$83,"."&amp;$D$82&amp;$AW$82&amp;"C"&amp;$A90))</f>
        <v>486</v>
      </c>
      <c r="AX90" s="3">
        <f>-IF(RTD("tos.rtd",,AX$83,"."&amp;$D$82&amp;$AW$82&amp;"P"&amp;$A90)="N/A",0,RTD("tos.rtd",,AX$83,"."&amp;$D$82&amp;$AW$82&amp;"P"&amp;$A90))</f>
        <v>-211</v>
      </c>
      <c r="AY90" s="79">
        <f t="shared" si="487"/>
        <v>1918</v>
      </c>
      <c r="AZ90" s="8">
        <f t="shared" si="449"/>
        <v>5820</v>
      </c>
      <c r="BA90" s="54">
        <f>IF(RTD("tos.rtd",,BA$83,"."&amp;$B$82&amp;$AS$82&amp;"C"&amp;$A90)="N/A",0,RTD("tos.rtd",,BA$83,"."&amp;$B$82&amp;$AS$82&amp;"C"&amp;$A90))</f>
        <v>3911</v>
      </c>
      <c r="BB90" s="3">
        <f>-IF(RTD("tos.rtd",,BB$83,"."&amp;$B$82&amp;$AS$82&amp;"P"&amp;$A90)="N/A",0,RTD("tos.rtd",,BB$83,"."&amp;$B$82&amp;$AS$82&amp;"P"&amp;$A90))</f>
        <v>-27</v>
      </c>
      <c r="BC90" s="54">
        <f>IF(RTD("tos.rtd",,BC$83,"."&amp;$C$82&amp;$AU$82&amp;"C"&amp;$A90)="N/A",0,RTD("tos.rtd",,BC$83,"."&amp;$C$82&amp;$AU$82&amp;"C"&amp;$A90))</f>
        <v>346</v>
      </c>
      <c r="BD90" s="3">
        <f>-IF(RTD("tos.rtd",,BD$83,"."&amp;$C$82&amp;$AU$82&amp;"P"&amp;$A90)="N/A",0,RTD("tos.rtd",,BD$83,"."&amp;$C$82&amp;$AU$82&amp;"P"&amp;$A90))</f>
        <v>-5</v>
      </c>
      <c r="BE90" s="54">
        <f>IF(RTD("tos.rtd",,BE$83,"."&amp;$D$82&amp;$AW$82&amp;"C"&amp;$A90)="N/A",0,RTD("tos.rtd",,BE$83,"."&amp;$D$82&amp;$AW$82&amp;"C"&amp;$A90))</f>
        <v>214</v>
      </c>
      <c r="BF90" s="3">
        <f>-IF(RTD("tos.rtd",,BF$83,"."&amp;$D$82&amp;$AW$82&amp;"P"&amp;$A90)="N/A",0,RTD("tos.rtd",,BF$83,"."&amp;$D$82&amp;$AW$82&amp;"P"&amp;$A90))</f>
        <v>0</v>
      </c>
      <c r="BG90" s="3" t="e">
        <f ca="1">+Hoja2!Y91</f>
        <v>#N/A</v>
      </c>
      <c r="BH90" s="55" t="e">
        <f t="shared" ca="1" si="488"/>
        <v>#N/A</v>
      </c>
      <c r="BI90" s="32" t="e">
        <f t="shared" ca="1" si="504"/>
        <v>#N/A</v>
      </c>
      <c r="BJ90" s="3" t="e">
        <f ca="1">IF($BP$1=1,DX90,IF(RTD("tos.rtd",,BJ$83,"."&amp;$B$82&amp;$AS$82&amp;"C"&amp;$A90)="N/A",0,RTD("tos.rtd",,BJ$83,"."&amp;$B$82&amp;$AS$82&amp;"C"&amp;$A90)))</f>
        <v>#NUM!</v>
      </c>
      <c r="BK90" s="3" t="e">
        <f ca="1">IF($BP$1=1,DY90,-IF(RTD("tos.rtd",,BK$83,"."&amp;$B$82&amp;$AS$82&amp;"P"&amp;$A90)="N/A",0,RTD("tos.rtd",,BK$83,"."&amp;$B$82&amp;$AS$82&amp;"P"&amp;$A90)))</f>
        <v>#NUM!</v>
      </c>
      <c r="BL90" s="3">
        <f ca="1">IF($BP$1=1,DZ90,IF(RTD("tos.rtd",,BL$83,"."&amp;$C$82&amp;$AU$82&amp;"C"&amp;$A90)="N/A",0,RTD("tos.rtd",,BL$83,"."&amp;$C$82&amp;$AU$82&amp;"C"&amp;$A90)))</f>
        <v>2.2114915916347979E-2</v>
      </c>
      <c r="BM90" s="3">
        <f ca="1">IF($BP$1=1,EA90,-IF(RTD("tos.rtd",,BM$83,"."&amp;$C$82&amp;$AU$82&amp;"P"&amp;$A90)="N/A",0,RTD("tos.rtd",,BM$83,"."&amp;$C$82&amp;$AU$82&amp;"P"&amp;$A90)))</f>
        <v>-1.8710515128556092E-3</v>
      </c>
      <c r="BN90" s="3">
        <f ca="1">IF($BP$1=1,EB90,IF(RTD("tos.rtd",,BN$83,"."&amp;$D$82&amp;$AW$82&amp;"C"&amp;$A90)="N/A",0,RTD("tos.rtd",,BN$83,"."&amp;$D$82&amp;$AW$82&amp;"C"&amp;$A90)))</f>
        <v>1.8900627636552487E-3</v>
      </c>
      <c r="BO90" s="3">
        <f ca="1">IF($BP$1=1,EC90,-IF(RTD("tos.rtd",,BO$83,"."&amp;$D$82&amp;$AW$82&amp;"P"&amp;$A90)="N/A",0,RTD("tos.rtd",,BO$83,"."&amp;$D$82&amp;$AW$82&amp;"P"&amp;$A90)))</f>
        <v>-1.8185469924550288E-3</v>
      </c>
      <c r="BQ90" s="3" t="e">
        <f t="shared" ca="1" si="450"/>
        <v>#NUM!</v>
      </c>
      <c r="BR90" s="3" t="e">
        <f t="shared" ca="1" si="489"/>
        <v>#NUM!</v>
      </c>
      <c r="BS90" s="3">
        <f t="shared" ca="1" si="451"/>
        <v>1408571.272610724</v>
      </c>
      <c r="BT90" s="3" t="str">
        <f t="shared" ca="1" si="489"/>
        <v/>
      </c>
      <c r="BU90" s="3">
        <f t="shared" ca="1" si="452"/>
        <v>127874.63892121166</v>
      </c>
      <c r="BV90" s="3" t="str">
        <f t="shared" ca="1" si="489"/>
        <v/>
      </c>
      <c r="BX90" s="3" t="e">
        <f t="shared" ca="1" si="453"/>
        <v>#NUM!</v>
      </c>
      <c r="BY90" s="3" t="e">
        <f t="shared" ca="1" si="501"/>
        <v>#NUM!</v>
      </c>
      <c r="BZ90" s="3">
        <f t="shared" ca="1" si="454"/>
        <v>1827160.722631047</v>
      </c>
      <c r="CA90" s="3" t="str">
        <f t="shared" ca="1" si="501"/>
        <v/>
      </c>
      <c r="CB90" s="3">
        <f t="shared" ca="1" si="455"/>
        <v>96702.269041633699</v>
      </c>
      <c r="CC90" s="3" t="str">
        <f t="shared" ca="1" si="501"/>
        <v/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0.95</v>
      </c>
      <c r="CF90" s="3">
        <f>IF(RTD("tos.rtd",,CF$83,"."&amp;$C$82&amp;$AU$82&amp;"C"&amp;$A90)="N/A",0,RTD("tos.rtd",,CF$83,"."&amp;$C$82&amp;$AU$82&amp;"C"&amp;$A90))</f>
        <v>0.16</v>
      </c>
      <c r="CG90" s="3">
        <f>-IF(RTD("tos.rtd",,CG$83,"."&amp;$C$82&amp;$AU$82&amp;"P"&amp;$A90)="N/A",0,RTD("tos.rtd",,CG$83,"."&amp;$C$82&amp;$AU$82&amp;"P"&amp;$A90))</f>
        <v>0.83</v>
      </c>
      <c r="CH90" s="3">
        <f>IF(RTD("tos.rtd",,CH$83,"."&amp;$D$82&amp;$AW$82&amp;"C"&amp;$A90)="N/A",0,RTD("tos.rtd",,CH$83,"."&amp;$D$82&amp;$AW$82&amp;"C"&amp;$A90))</f>
        <v>0.25</v>
      </c>
      <c r="CI90" s="3">
        <f>-IF(RTD("tos.rtd",,CI$83,"."&amp;$D$82&amp;$AW$82&amp;"P"&amp;$A90)="N/A",0,RTD("tos.rtd",,CI$83,"."&amp;$D$82&amp;$AW$82&amp;"P"&amp;$A90))</f>
        <v>0.72</v>
      </c>
      <c r="CK90" s="3">
        <f t="shared" si="490"/>
        <v>-3515</v>
      </c>
      <c r="CL90" s="3"/>
      <c r="CM90" s="3">
        <f t="shared" si="491"/>
        <v>3691</v>
      </c>
      <c r="CN90" s="3"/>
      <c r="CO90" s="3">
        <f t="shared" si="492"/>
        <v>-3041.9999999999982</v>
      </c>
      <c r="CP90" s="3">
        <f t="shared" si="456"/>
        <v>-2865.9999999999982</v>
      </c>
      <c r="CQ90" s="3">
        <f t="shared" si="457"/>
        <v>3884</v>
      </c>
      <c r="CR90" s="3"/>
      <c r="CS90" s="3">
        <f t="shared" si="458"/>
        <v>341</v>
      </c>
      <c r="CT90" s="3"/>
      <c r="CU90" s="3">
        <f t="shared" si="459"/>
        <v>214</v>
      </c>
      <c r="CV90" s="3"/>
      <c r="CW90" s="3" t="e">
        <f t="shared" ca="1" si="493"/>
        <v>#NUM!</v>
      </c>
      <c r="CY90" s="3" t="e">
        <f t="shared" ca="1" si="461"/>
        <v>#NUM!</v>
      </c>
      <c r="CZ90" s="70" t="e">
        <f t="shared" ca="1" si="502"/>
        <v>#NUM!</v>
      </c>
      <c r="DA90" s="3">
        <f>IF(RTD("tos.rtd",,DA$83,"."&amp;$B$82&amp;$AS$82&amp;"C"&amp;$A90)="N/A",0,RTD("tos.rtd",,DA$83,"."&amp;$B$82&amp;$AS$82&amp;"C"&amp;$A90))</f>
        <v>0.05</v>
      </c>
      <c r="DB90" s="3">
        <f>IF(RTD("tos.rtd",,DB$83,"."&amp;$B$82&amp;$AS$82&amp;"P"&amp;$A90)="N/A",0,RTD("tos.rtd",,DB$83,"."&amp;$B$82&amp;$AS$82&amp;"P"&amp;$A90))</f>
        <v>125.44</v>
      </c>
      <c r="DC90" s="3">
        <f>IF(RTD("tos.rtd",,DC$83,"."&amp;$B$82&amp;$AS$82&amp;"C"&amp;$A90)="N/A",0,RTD("tos.rtd",,DC$83,"."&amp;$B$82&amp;$AS$82&amp;"C"&amp;$A90))</f>
        <v>0.05</v>
      </c>
      <c r="DD90" s="3">
        <f>IF(RTD("tos.rtd",,DD$83,"."&amp;$B$82&amp;$AS$82&amp;"P"&amp;$A90)="N/A",0,RTD("tos.rtd",,DD$83,"."&amp;$B$82&amp;$AS$82&amp;"P"&amp;$A90))</f>
        <v>137.80000000000001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131.69999999999999</v>
      </c>
      <c r="DG90" s="86">
        <f t="shared" si="494"/>
        <v>134.25</v>
      </c>
      <c r="DH90" s="3">
        <f t="shared" si="462"/>
        <v>0</v>
      </c>
      <c r="DI90" s="3">
        <f t="shared" si="463"/>
        <v>0</v>
      </c>
      <c r="DJ90" s="3">
        <f t="shared" si="464"/>
        <v>0</v>
      </c>
      <c r="DK90" s="3">
        <f t="shared" si="465"/>
        <v>0</v>
      </c>
      <c r="DL90" s="3">
        <f t="shared" si="466"/>
        <v>0</v>
      </c>
      <c r="DM90" s="3">
        <f t="shared" si="467"/>
        <v>0</v>
      </c>
      <c r="DN90" s="64" t="str">
        <f t="shared" si="468"/>
        <v>UNKNOWN</v>
      </c>
      <c r="DO90" s="64" t="str">
        <f t="shared" si="469"/>
        <v>UNKNOWN</v>
      </c>
      <c r="DP90" s="3">
        <f t="shared" si="470"/>
        <v>0</v>
      </c>
      <c r="DQ90" s="3">
        <f t="shared" si="471"/>
        <v>0</v>
      </c>
      <c r="DR90" s="3" t="e">
        <f t="shared" ca="1" si="472"/>
        <v>#NUM!</v>
      </c>
      <c r="DS90" s="3">
        <f t="shared" si="473"/>
        <v>0</v>
      </c>
      <c r="DT90" s="3">
        <f t="shared" si="495"/>
        <v>0</v>
      </c>
      <c r="DU90" s="3">
        <f t="shared" si="496"/>
        <v>0</v>
      </c>
      <c r="DV90" s="3">
        <f t="shared" si="497"/>
        <v>-987</v>
      </c>
      <c r="DW90" s="3">
        <f t="shared" si="498"/>
        <v>-18</v>
      </c>
      <c r="DX90" s="3" t="e">
        <f t="shared" ca="1" si="503"/>
        <v>#NUM!</v>
      </c>
      <c r="DY90" s="3" t="e">
        <f t="shared" ca="1" si="474"/>
        <v>#NUM!</v>
      </c>
      <c r="DZ90" s="3">
        <f t="shared" ca="1" si="475"/>
        <v>2.2114915916347979E-2</v>
      </c>
      <c r="EA90" s="3">
        <f t="shared" ca="1" si="476"/>
        <v>-1.8710515128556092E-3</v>
      </c>
      <c r="EB90" s="3">
        <f t="shared" ca="1" si="477"/>
        <v>1.8900627636552487E-3</v>
      </c>
      <c r="EC90" s="3">
        <f t="shared" ca="1" si="478"/>
        <v>-1.8185469924550288E-3</v>
      </c>
      <c r="EE90" s="59">
        <f t="shared" si="479"/>
        <v>1.0567</v>
      </c>
      <c r="EF90" s="59">
        <f t="shared" si="480"/>
        <v>1.8073999999999999</v>
      </c>
      <c r="EG90" s="59">
        <f t="shared" si="481"/>
        <v>0.15740000000000001</v>
      </c>
      <c r="EH90" s="59">
        <f t="shared" si="482"/>
        <v>0.16669999999999999</v>
      </c>
      <c r="EI90" s="59">
        <f t="shared" si="483"/>
        <v>0.16120000000000001</v>
      </c>
      <c r="EJ90" s="59">
        <f t="shared" si="484"/>
        <v>0.1799</v>
      </c>
      <c r="EL90" s="3" t="str">
        <f>RTD("tos.rtd",,EL$83,"."&amp;$B$82&amp;$AS$82&amp;"C"&amp;$A90)</f>
        <v>105.67%</v>
      </c>
      <c r="EM90" s="3" t="str">
        <f>RTD("tos.rtd",,EM$83,"."&amp;$B$82&amp;$AS$82&amp;"P"&amp;$A90)</f>
        <v>180.74%</v>
      </c>
      <c r="EN90" s="3" t="str">
        <f>RTD("tos.rtd",,EN$83,"."&amp;$C$82&amp;$AU$82&amp;"C"&amp;$A90)</f>
        <v>15.74%</v>
      </c>
      <c r="EO90" s="3" t="str">
        <f>RTD("tos.rtd",,EO$83,"."&amp;$C$82&amp;$AU$82&amp;"P"&amp;$A90)</f>
        <v>16.67%</v>
      </c>
      <c r="EP90" s="3" t="str">
        <f>RTD("tos.rtd",,EP$83,"."&amp;$D$82&amp;$AW$82&amp;"C"&amp;$A90)</f>
        <v>16.12%</v>
      </c>
      <c r="EQ90" s="3" t="str">
        <f>RTD("tos.rtd",,EQ$83,"."&amp;$D$82&amp;$AW$82&amp;"P"&amp;$A90)</f>
        <v>17.99%</v>
      </c>
      <c r="ET90" s="64" t="str">
        <f t="shared" ca="1" si="485"/>
        <v>5820,00.00</v>
      </c>
      <c r="EU90" s="67">
        <v>562.97</v>
      </c>
      <c r="EV90" s="67" t="s">
        <v>739</v>
      </c>
      <c r="EW90" s="67">
        <v>484.9</v>
      </c>
      <c r="EX90" s="67" t="s">
        <v>740</v>
      </c>
      <c r="EY90" s="67">
        <v>5645</v>
      </c>
      <c r="EZ90" s="67" t="s">
        <v>741</v>
      </c>
      <c r="FA90" s="67">
        <v>19923.75</v>
      </c>
      <c r="FB90" s="67" t="s">
        <v>742</v>
      </c>
      <c r="FC90" s="67" t="s">
        <v>743</v>
      </c>
      <c r="FD90" s="67" t="s">
        <v>744</v>
      </c>
      <c r="FE90" s="68" t="s">
        <v>745</v>
      </c>
      <c r="FF90" s="68" t="s">
        <v>746</v>
      </c>
    </row>
    <row r="91" spans="1:162" s="63" customFormat="1" ht="12" customHeight="1" thickBot="1" x14ac:dyDescent="0.25">
      <c r="A91" s="2">
        <f t="shared" si="499"/>
        <v>5810</v>
      </c>
      <c r="B91" s="3">
        <f t="shared" si="445"/>
        <v>1503</v>
      </c>
      <c r="C91" s="3">
        <f t="shared" si="446"/>
        <v>220</v>
      </c>
      <c r="D91" s="3">
        <f t="shared" si="447"/>
        <v>938</v>
      </c>
      <c r="E91" s="3">
        <f t="shared" si="448"/>
        <v>2661</v>
      </c>
      <c r="F91" s="4">
        <f t="shared" si="500"/>
        <v>5834.5244690674053</v>
      </c>
      <c r="G91" s="4">
        <f t="shared" si="486"/>
        <v>579.35992613111728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-412</v>
      </c>
      <c r="AN91" s="20">
        <v>22</v>
      </c>
      <c r="AO91" s="20">
        <v>5810</v>
      </c>
      <c r="AP91" s="20">
        <v>5782</v>
      </c>
      <c r="AQ91" s="20">
        <v>-46</v>
      </c>
      <c r="AR91" s="20"/>
      <c r="AS91" s="54">
        <f>IF(RTD("tos.rtd",,AS$83,"."&amp;$B$82&amp;$AS$82&amp;"C"&amp;$A91)="N/A",0,RTD("tos.rtd",,AS$83,"."&amp;$B$82&amp;$AS$82&amp;"C"&amp;$A91))</f>
        <v>1054</v>
      </c>
      <c r="AT91" s="3">
        <f>-IF(RTD("tos.rtd",,AT$83,"."&amp;$B$82&amp;$AS$82&amp;"P"&amp;$A91)="N/A",0,RTD("tos.rtd",,AT$83,"."&amp;$B$82&amp;$AS$82&amp;"P"&amp;$A91))</f>
        <v>-449</v>
      </c>
      <c r="AU91" s="54">
        <f>IF(RTD("tos.rtd",,AU$83,"."&amp;$C$82&amp;$AU$82&amp;"C"&amp;$A91)="N/A",0,RTD("tos.rtd",,AU$83,"."&amp;$C$82&amp;$AU$82&amp;"C"&amp;$A91))</f>
        <v>167</v>
      </c>
      <c r="AV91" s="3">
        <f>-IF(RTD("tos.rtd",,AV$83,"."&amp;$C$82&amp;$AU$82&amp;"P"&amp;$A91)="N/A",0,RTD("tos.rtd",,AV$83,"."&amp;$C$82&amp;$AU$82&amp;"P"&amp;$A91))</f>
        <v>-53</v>
      </c>
      <c r="AW91" s="54">
        <f>IF(RTD("tos.rtd",,AW$83,"."&amp;$D$82&amp;$AW$82&amp;"C"&amp;$A91)="N/A",0,RTD("tos.rtd",,AW$83,"."&amp;$D$82&amp;$AW$82&amp;"C"&amp;$A91))</f>
        <v>269</v>
      </c>
      <c r="AX91" s="3">
        <f>-IF(RTD("tos.rtd",,AX$83,"."&amp;$D$82&amp;$AW$82&amp;"P"&amp;$A91)="N/A",0,RTD("tos.rtd",,AX$83,"."&amp;$D$82&amp;$AW$82&amp;"P"&amp;$A91))</f>
        <v>-669</v>
      </c>
      <c r="AY91" s="79">
        <f t="shared" si="487"/>
        <v>319</v>
      </c>
      <c r="AZ91" s="8">
        <f t="shared" si="449"/>
        <v>5810</v>
      </c>
      <c r="BA91" s="54">
        <f>IF(RTD("tos.rtd",,BA$83,"."&amp;$B$82&amp;$AS$82&amp;"C"&amp;$A91)="N/A",0,RTD("tos.rtd",,BA$83,"."&amp;$B$82&amp;$AS$82&amp;"C"&amp;$A91))</f>
        <v>5782</v>
      </c>
      <c r="BB91" s="3">
        <f>-IF(RTD("tos.rtd",,BB$83,"."&amp;$B$82&amp;$AS$82&amp;"P"&amp;$A91)="N/A",0,RTD("tos.rtd",,BB$83,"."&amp;$B$82&amp;$AS$82&amp;"P"&amp;$A91))</f>
        <v>-46</v>
      </c>
      <c r="BC91" s="54">
        <f>IF(RTD("tos.rtd",,BC$83,"."&amp;$C$82&amp;$AU$82&amp;"C"&amp;$A91)="N/A",0,RTD("tos.rtd",,BC$83,"."&amp;$C$82&amp;$AU$82&amp;"C"&amp;$A91))</f>
        <v>455</v>
      </c>
      <c r="BD91" s="3">
        <f>-IF(RTD("tos.rtd",,BD$83,"."&amp;$C$82&amp;$AU$82&amp;"P"&amp;$A91)="N/A",0,RTD("tos.rtd",,BD$83,"."&amp;$C$82&amp;$AU$82&amp;"P"&amp;$A91))</f>
        <v>-8</v>
      </c>
      <c r="BE91" s="54">
        <f>IF(RTD("tos.rtd",,BE$83,"."&amp;$D$82&amp;$AW$82&amp;"C"&amp;$A91)="N/A",0,RTD("tos.rtd",,BE$83,"."&amp;$D$82&amp;$AW$82&amp;"C"&amp;$A91))</f>
        <v>89</v>
      </c>
      <c r="BF91" s="3">
        <f>-IF(RTD("tos.rtd",,BF$83,"."&amp;$D$82&amp;$AW$82&amp;"P"&amp;$A91)="N/A",0,RTD("tos.rtd",,BF$83,"."&amp;$D$82&amp;$AW$82&amp;"P"&amp;$A91))</f>
        <v>0</v>
      </c>
      <c r="BG91" s="3" t="e">
        <f ca="1">+Hoja2!Y92</f>
        <v>#N/A</v>
      </c>
      <c r="BH91" s="55" t="e">
        <f t="shared" ca="1" si="488"/>
        <v>#N/A</v>
      </c>
      <c r="BI91" s="32" t="e">
        <f t="shared" ca="1" si="504"/>
        <v>#N/A</v>
      </c>
      <c r="BJ91" s="3" t="e">
        <f ca="1">IF($BP$1=1,DX91,IF(RTD("tos.rtd",,BJ$83,"."&amp;$B$82&amp;$AS$82&amp;"C"&amp;$A91)="N/A",0,RTD("tos.rtd",,BJ$83,"."&amp;$B$82&amp;$AS$82&amp;"C"&amp;$A91)))</f>
        <v>#NUM!</v>
      </c>
      <c r="BK91" s="3" t="e">
        <f ca="1">IF($BP$1=1,DY91,-IF(RTD("tos.rtd",,BK$83,"."&amp;$B$82&amp;$AS$82&amp;"P"&amp;$A91)="N/A",0,RTD("tos.rtd",,BK$83,"."&amp;$B$82&amp;$AS$82&amp;"P"&amp;$A91)))</f>
        <v>#NUM!</v>
      </c>
      <c r="BL91" s="3">
        <f ca="1">IF($BP$1=1,DZ91,IF(RTD("tos.rtd",,BL$83,"."&amp;$C$82&amp;$AU$82&amp;"C"&amp;$A91)="N/A",0,RTD("tos.rtd",,BL$83,"."&amp;$C$82&amp;$AU$82&amp;"C"&amp;$A91)))</f>
        <v>2.3296985882448159E-2</v>
      </c>
      <c r="BM91" s="3">
        <f ca="1">IF($BP$1=1,EA91,-IF(RTD("tos.rtd",,BM$83,"."&amp;$C$82&amp;$AU$82&amp;"P"&amp;$A91)="N/A",0,RTD("tos.rtd",,BM$83,"."&amp;$C$82&amp;$AU$82&amp;"P"&amp;$A91)))</f>
        <v>-1.9515953434463031E-3</v>
      </c>
      <c r="BN91" s="3">
        <f ca="1">IF($BP$1=1,EB91,IF(RTD("tos.rtd",,BN$83,"."&amp;$D$82&amp;$AW$82&amp;"C"&amp;$A91)="N/A",0,RTD("tos.rtd",,BN$83,"."&amp;$D$82&amp;$AW$82&amp;"C"&amp;$A91)))</f>
        <v>1.985965626362985E-3</v>
      </c>
      <c r="BO91" s="3">
        <f ca="1">IF($BP$1=1,EC91,-IF(RTD("tos.rtd",,BO$83,"."&amp;$D$82&amp;$AW$82&amp;"P"&amp;$A91)="N/A",0,RTD("tos.rtd",,BO$83,"."&amp;$D$82&amp;$AW$82&amp;"P"&amp;$A91)))</f>
        <v>-1.9061427111461368E-3</v>
      </c>
      <c r="BQ91" s="3" t="e">
        <f t="shared" ca="1" si="450"/>
        <v>#NUM!</v>
      </c>
      <c r="BR91" s="3" t="e">
        <f t="shared" ca="1" si="489"/>
        <v>#NUM!</v>
      </c>
      <c r="BS91" s="3">
        <f t="shared" ca="1" si="451"/>
        <v>905441.83820203936</v>
      </c>
      <c r="BT91" s="3" t="str">
        <f t="shared" ca="1" si="489"/>
        <v/>
      </c>
      <c r="BU91" s="3">
        <f t="shared" ca="1" si="452"/>
        <v>-177156.02115783514</v>
      </c>
      <c r="BV91" s="3" t="str">
        <f t="shared" ca="1" si="489"/>
        <v>Cruce -</v>
      </c>
      <c r="BX91" s="3" t="e">
        <f t="shared" ca="1" si="453"/>
        <v>#NUM!</v>
      </c>
      <c r="BY91" s="3" t="e">
        <f t="shared" ca="1" si="501"/>
        <v>#NUM!</v>
      </c>
      <c r="BZ91" s="3">
        <f t="shared" ca="1" si="454"/>
        <v>2530565.9565802123</v>
      </c>
      <c r="CA91" s="3" t="str">
        <f t="shared" ca="1" si="501"/>
        <v/>
      </c>
      <c r="CB91" s="3">
        <f t="shared" ca="1" si="455"/>
        <v>42257.947488196871</v>
      </c>
      <c r="CC91" s="3" t="str">
        <f t="shared" ca="1" si="501"/>
        <v/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0.95</v>
      </c>
      <c r="CF91" s="3">
        <f>IF(RTD("tos.rtd",,CF$83,"."&amp;$C$82&amp;$AU$82&amp;"C"&amp;$A91)="N/A",0,RTD("tos.rtd",,CF$83,"."&amp;$C$82&amp;$AU$82&amp;"C"&amp;$A91))</f>
        <v>0.18</v>
      </c>
      <c r="CG91" s="3">
        <f>-IF(RTD("tos.rtd",,CG$83,"."&amp;$C$82&amp;$AU$82&amp;"P"&amp;$A91)="N/A",0,RTD("tos.rtd",,CG$83,"."&amp;$C$82&amp;$AU$82&amp;"P"&amp;$A91))</f>
        <v>0.81</v>
      </c>
      <c r="CH91" s="3">
        <f>IF(RTD("tos.rtd",,CH$83,"."&amp;$D$82&amp;$AW$82&amp;"C"&amp;$A91)="N/A",0,RTD("tos.rtd",,CH$83,"."&amp;$D$82&amp;$AW$82&amp;"C"&amp;$A91))</f>
        <v>0.27</v>
      </c>
      <c r="CI91" s="3">
        <f>-IF(RTD("tos.rtd",,CI$83,"."&amp;$D$82&amp;$AW$82&amp;"P"&amp;$A91)="N/A",0,RTD("tos.rtd",,CI$83,"."&amp;$D$82&amp;$AW$82&amp;"P"&amp;$A91))</f>
        <v>0.71</v>
      </c>
      <c r="CK91" s="3">
        <f t="shared" si="490"/>
        <v>-42654.999999999993</v>
      </c>
      <c r="CL91" s="3"/>
      <c r="CM91" s="3">
        <f t="shared" si="491"/>
        <v>-1287</v>
      </c>
      <c r="CN91" s="3"/>
      <c r="CO91" s="3">
        <f t="shared" si="492"/>
        <v>-40235.999999999993</v>
      </c>
      <c r="CP91" s="3">
        <f t="shared" si="456"/>
        <v>-84177.999999999985</v>
      </c>
      <c r="CQ91" s="3">
        <f t="shared" si="457"/>
        <v>5736</v>
      </c>
      <c r="CR91" s="3"/>
      <c r="CS91" s="3">
        <f t="shared" si="458"/>
        <v>447</v>
      </c>
      <c r="CT91" s="3"/>
      <c r="CU91" s="3">
        <f t="shared" si="459"/>
        <v>89</v>
      </c>
      <c r="CV91" s="3"/>
      <c r="CW91" s="3" t="e">
        <f t="shared" ca="1" si="493"/>
        <v>#NUM!</v>
      </c>
      <c r="CY91" s="3" t="e">
        <f t="shared" ca="1" si="461"/>
        <v>#NUM!</v>
      </c>
      <c r="CZ91" s="70" t="e">
        <f t="shared" ca="1" si="502"/>
        <v>#NUM!</v>
      </c>
      <c r="DA91" s="3">
        <f>IF(RTD("tos.rtd",,DA$83,"."&amp;$B$82&amp;$AS$82&amp;"C"&amp;$A91)="N/A",0,RTD("tos.rtd",,DA$83,"."&amp;$B$82&amp;$AS$82&amp;"C"&amp;$A91))</f>
        <v>0.03</v>
      </c>
      <c r="DB91" s="3">
        <f>IF(RTD("tos.rtd",,DB$83,"."&amp;$B$82&amp;$AS$82&amp;"P"&amp;$A91)="N/A",0,RTD("tos.rtd",,DB$83,"."&amp;$B$82&amp;$AS$82&amp;"P"&amp;$A91))</f>
        <v>120.17</v>
      </c>
      <c r="DC91" s="3">
        <f>IF(RTD("tos.rtd",,DC$83,"."&amp;$B$82&amp;$AS$82&amp;"C"&amp;$A91)="N/A",0,RTD("tos.rtd",,DC$83,"."&amp;$B$82&amp;$AS$82&amp;"C"&amp;$A91))</f>
        <v>0.05</v>
      </c>
      <c r="DD91" s="3">
        <f>IF(RTD("tos.rtd",,DD$83,"."&amp;$B$82&amp;$AS$82&amp;"P"&amp;$A91)="N/A",0,RTD("tos.rtd",,DD$83,"."&amp;$B$82&amp;$AS$82&amp;"P"&amp;$A91))</f>
        <v>127.8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121.7</v>
      </c>
      <c r="DG91" s="86">
        <f t="shared" si="494"/>
        <v>124.25</v>
      </c>
      <c r="DH91" s="3">
        <f t="shared" si="462"/>
        <v>0</v>
      </c>
      <c r="DI91" s="3">
        <f t="shared" si="463"/>
        <v>0</v>
      </c>
      <c r="DJ91" s="3">
        <f t="shared" si="464"/>
        <v>0</v>
      </c>
      <c r="DK91" s="3">
        <f t="shared" si="465"/>
        <v>0</v>
      </c>
      <c r="DL91" s="3">
        <f t="shared" si="466"/>
        <v>0</v>
      </c>
      <c r="DM91" s="3">
        <f t="shared" si="467"/>
        <v>0</v>
      </c>
      <c r="DN91" s="64" t="str">
        <f t="shared" si="468"/>
        <v>UNKNOWN</v>
      </c>
      <c r="DO91" s="64" t="str">
        <f t="shared" si="469"/>
        <v>UNKNOWN</v>
      </c>
      <c r="DP91" s="3">
        <f t="shared" si="470"/>
        <v>0</v>
      </c>
      <c r="DQ91" s="3">
        <f t="shared" si="471"/>
        <v>0</v>
      </c>
      <c r="DR91" s="3" t="e">
        <f t="shared" ca="1" si="472"/>
        <v>#NUM!</v>
      </c>
      <c r="DS91" s="3">
        <f t="shared" si="473"/>
        <v>0</v>
      </c>
      <c r="DT91" s="3">
        <f t="shared" si="495"/>
        <v>0</v>
      </c>
      <c r="DU91" s="3">
        <f t="shared" si="496"/>
        <v>0</v>
      </c>
      <c r="DV91" s="3">
        <f t="shared" si="497"/>
        <v>-412</v>
      </c>
      <c r="DW91" s="3">
        <f t="shared" si="498"/>
        <v>22</v>
      </c>
      <c r="DX91" s="3" t="e">
        <f t="shared" ca="1" si="503"/>
        <v>#NUM!</v>
      </c>
      <c r="DY91" s="3" t="e">
        <f t="shared" ca="1" si="474"/>
        <v>#NUM!</v>
      </c>
      <c r="DZ91" s="3">
        <f t="shared" ca="1" si="475"/>
        <v>2.3296985882448159E-2</v>
      </c>
      <c r="EA91" s="3">
        <f t="shared" ca="1" si="476"/>
        <v>-1.9515953434463031E-3</v>
      </c>
      <c r="EB91" s="3">
        <f t="shared" ca="1" si="477"/>
        <v>1.985965626362985E-3</v>
      </c>
      <c r="EC91" s="3">
        <f t="shared" ca="1" si="478"/>
        <v>-1.9061427111461368E-3</v>
      </c>
      <c r="EE91" s="59">
        <f t="shared" si="479"/>
        <v>0.98540000000000005</v>
      </c>
      <c r="EF91" s="59">
        <f t="shared" si="480"/>
        <v>1.6991000000000001</v>
      </c>
      <c r="EG91" s="59">
        <f t="shared" si="481"/>
        <v>0.15890000000000001</v>
      </c>
      <c r="EH91" s="59">
        <f t="shared" si="482"/>
        <v>0.16950000000000001</v>
      </c>
      <c r="EI91" s="59">
        <f t="shared" si="483"/>
        <v>0.16259999999999999</v>
      </c>
      <c r="EJ91" s="59">
        <f t="shared" si="484"/>
        <v>0.1782</v>
      </c>
      <c r="EL91" s="3" t="str">
        <f>RTD("tos.rtd",,EL$83,"."&amp;$B$82&amp;$AS$82&amp;"C"&amp;$A91)</f>
        <v>98.54%</v>
      </c>
      <c r="EM91" s="3" t="str">
        <f>RTD("tos.rtd",,EM$83,"."&amp;$B$82&amp;$AS$82&amp;"P"&amp;$A91)</f>
        <v>169.91%</v>
      </c>
      <c r="EN91" s="3" t="str">
        <f>RTD("tos.rtd",,EN$83,"."&amp;$C$82&amp;$AU$82&amp;"C"&amp;$A91)</f>
        <v>15.89%</v>
      </c>
      <c r="EO91" s="3" t="str">
        <f>RTD("tos.rtd",,EO$83,"."&amp;$C$82&amp;$AU$82&amp;"P"&amp;$A91)</f>
        <v>16.95%</v>
      </c>
      <c r="EP91" s="3" t="str">
        <f>RTD("tos.rtd",,EP$83,"."&amp;$D$82&amp;$AW$82&amp;"C"&amp;$A91)</f>
        <v>16.26%</v>
      </c>
      <c r="EQ91" s="3" t="str">
        <f>RTD("tos.rtd",,EQ$83,"."&amp;$D$82&amp;$AW$82&amp;"P"&amp;$A91)</f>
        <v>17.82%</v>
      </c>
      <c r="ET91" s="64" t="str">
        <f t="shared" ca="1" si="485"/>
        <v>5810,00.00</v>
      </c>
      <c r="EU91" s="67">
        <v>563.1</v>
      </c>
      <c r="EV91" s="67" t="s">
        <v>747</v>
      </c>
      <c r="EW91" s="67">
        <v>484.98</v>
      </c>
      <c r="EX91" s="67" t="s">
        <v>748</v>
      </c>
      <c r="EY91" s="67">
        <v>5646.5</v>
      </c>
      <c r="EZ91" s="67" t="s">
        <v>749</v>
      </c>
      <c r="FA91" s="67">
        <v>19927.75</v>
      </c>
      <c r="FB91" s="67" t="s">
        <v>750</v>
      </c>
      <c r="FC91" s="67" t="s">
        <v>751</v>
      </c>
      <c r="FD91" s="67" t="s">
        <v>752</v>
      </c>
      <c r="FE91" s="68" t="s">
        <v>753</v>
      </c>
      <c r="FF91" s="68" t="s">
        <v>754</v>
      </c>
    </row>
    <row r="92" spans="1:162" s="63" customFormat="1" ht="12" customHeight="1" thickBot="1" x14ac:dyDescent="0.25">
      <c r="A92" s="2">
        <f t="shared" si="499"/>
        <v>5800</v>
      </c>
      <c r="B92" s="3">
        <f t="shared" si="445"/>
        <v>13679</v>
      </c>
      <c r="C92" s="3">
        <f t="shared" si="446"/>
        <v>3013</v>
      </c>
      <c r="D92" s="3">
        <f t="shared" si="447"/>
        <v>27299</v>
      </c>
      <c r="E92" s="3">
        <f t="shared" si="448"/>
        <v>43991</v>
      </c>
      <c r="F92" s="4">
        <f t="shared" si="500"/>
        <v>5824.4822582772722</v>
      </c>
      <c r="G92" s="4">
        <f t="shared" si="486"/>
        <v>578.3627489777075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-5703</v>
      </c>
      <c r="AN92" s="20">
        <v>102</v>
      </c>
      <c r="AO92" s="20">
        <v>5800</v>
      </c>
      <c r="AP92" s="20">
        <v>15562</v>
      </c>
      <c r="AQ92" s="20">
        <v>-353</v>
      </c>
      <c r="AR92" s="20"/>
      <c r="AS92" s="54">
        <f>IF(RTD("tos.rtd",,AS$83,"."&amp;$B$82&amp;$AS$82&amp;"C"&amp;$A92)="N/A",0,RTD("tos.rtd",,AS$83,"."&amp;$B$82&amp;$AS$82&amp;"C"&amp;$A92))</f>
        <v>12826</v>
      </c>
      <c r="AT92" s="3">
        <f>-IF(RTD("tos.rtd",,AT$83,"."&amp;$B$82&amp;$AS$82&amp;"P"&amp;$A92)="N/A",0,RTD("tos.rtd",,AT$83,"."&amp;$B$82&amp;$AS$82&amp;"P"&amp;$A92))</f>
        <v>-853</v>
      </c>
      <c r="AU92" s="54">
        <f>IF(RTD("tos.rtd",,AU$83,"."&amp;$C$82&amp;$AU$82&amp;"C"&amp;$A92)="N/A",0,RTD("tos.rtd",,AU$83,"."&amp;$C$82&amp;$AU$82&amp;"C"&amp;$A92))</f>
        <v>2985</v>
      </c>
      <c r="AV92" s="3">
        <f>-IF(RTD("tos.rtd",,AV$83,"."&amp;$C$82&amp;$AU$82&amp;"P"&amp;$A92)="N/A",0,RTD("tos.rtd",,AV$83,"."&amp;$C$82&amp;$AU$82&amp;"P"&amp;$A92))</f>
        <v>-28</v>
      </c>
      <c r="AW92" s="54">
        <f>IF(RTD("tos.rtd",,AW$83,"."&amp;$D$82&amp;$AW$82&amp;"C"&amp;$A92)="N/A",0,RTD("tos.rtd",,AW$83,"."&amp;$D$82&amp;$AW$82&amp;"C"&amp;$A92))</f>
        <v>19800</v>
      </c>
      <c r="AX92" s="3">
        <f>-IF(RTD("tos.rtd",,AX$83,"."&amp;$D$82&amp;$AW$82&amp;"P"&amp;$A92)="N/A",0,RTD("tos.rtd",,AX$83,"."&amp;$D$82&amp;$AW$82&amp;"P"&amp;$A92))</f>
        <v>-7499</v>
      </c>
      <c r="AY92" s="79">
        <f t="shared" si="487"/>
        <v>27231</v>
      </c>
      <c r="AZ92" s="8">
        <f t="shared" si="449"/>
        <v>5800</v>
      </c>
      <c r="BA92" s="54">
        <f>IF(RTD("tos.rtd",,BA$83,"."&amp;$B$82&amp;$AS$82&amp;"C"&amp;$A92)="N/A",0,RTD("tos.rtd",,BA$83,"."&amp;$B$82&amp;$AS$82&amp;"C"&amp;$A92))</f>
        <v>15562</v>
      </c>
      <c r="BB92" s="3">
        <f>-IF(RTD("tos.rtd",,BB$83,"."&amp;$B$82&amp;$AS$82&amp;"P"&amp;$A92)="N/A",0,RTD("tos.rtd",,BB$83,"."&amp;$B$82&amp;$AS$82&amp;"P"&amp;$A92))</f>
        <v>-353</v>
      </c>
      <c r="BC92" s="54">
        <f>IF(RTD("tos.rtd",,BC$83,"."&amp;$C$82&amp;$AU$82&amp;"C"&amp;$A92)="N/A",0,RTD("tos.rtd",,BC$83,"."&amp;$C$82&amp;$AU$82&amp;"C"&amp;$A92))</f>
        <v>4082</v>
      </c>
      <c r="BD92" s="3">
        <f>-IF(RTD("tos.rtd",,BD$83,"."&amp;$C$82&amp;$AU$82&amp;"P"&amp;$A92)="N/A",0,RTD("tos.rtd",,BD$83,"."&amp;$C$82&amp;$AU$82&amp;"P"&amp;$A92))</f>
        <v>-16</v>
      </c>
      <c r="BE92" s="54">
        <f>IF(RTD("tos.rtd",,BE$83,"."&amp;$D$82&amp;$AW$82&amp;"C"&amp;$A92)="N/A",0,RTD("tos.rtd",,BE$83,"."&amp;$D$82&amp;$AW$82&amp;"C"&amp;$A92))</f>
        <v>1038</v>
      </c>
      <c r="BF92" s="3">
        <f>-IF(RTD("tos.rtd",,BF$83,"."&amp;$D$82&amp;$AW$82&amp;"P"&amp;$A92)="N/A",0,RTD("tos.rtd",,BF$83,"."&amp;$D$82&amp;$AW$82&amp;"P"&amp;$A92))</f>
        <v>-39</v>
      </c>
      <c r="BG92" s="3" t="e">
        <f ca="1">+Hoja2!Y93</f>
        <v>#N/A</v>
      </c>
      <c r="BH92" s="55" t="e">
        <f t="shared" ca="1" si="488"/>
        <v>#N/A</v>
      </c>
      <c r="BI92" s="32" t="e">
        <f t="shared" ca="1" si="504"/>
        <v>#N/A</v>
      </c>
      <c r="BJ92" s="3" t="e">
        <f ca="1">IF($BP$1=1,DX92,IF(RTD("tos.rtd",,BJ$83,"."&amp;$B$82&amp;$AS$82&amp;"C"&amp;$A92)="N/A",0,RTD("tos.rtd",,BJ$83,"."&amp;$B$82&amp;$AS$82&amp;"C"&amp;$A92)))</f>
        <v>#NUM!</v>
      </c>
      <c r="BK92" s="3" t="e">
        <f ca="1">IF($BP$1=1,DY92,-IF(RTD("tos.rtd",,BK$83,"."&amp;$B$82&amp;$AS$82&amp;"P"&amp;$A92)="N/A",0,RTD("tos.rtd",,BK$83,"."&amp;$B$82&amp;$AS$82&amp;"P"&amp;$A92)))</f>
        <v>#NUM!</v>
      </c>
      <c r="BL92" s="3">
        <f ca="1">IF($BP$1=1,DZ92,IF(RTD("tos.rtd",,BL$83,"."&amp;$C$82&amp;$AU$82&amp;"C"&amp;$A92)="N/A",0,RTD("tos.rtd",,BL$83,"."&amp;$C$82&amp;$AU$82&amp;"C"&amp;$A92)))</f>
        <v>2.438434077500325E-2</v>
      </c>
      <c r="BM92" s="3">
        <f ca="1">IF($BP$1=1,EA92,-IF(RTD("tos.rtd",,BM$83,"."&amp;$C$82&amp;$AU$82&amp;"P"&amp;$A92)="N/A",0,RTD("tos.rtd",,BM$83,"."&amp;$C$82&amp;$AU$82&amp;"P"&amp;$A92)))</f>
        <v>-2.0353257512405465E-3</v>
      </c>
      <c r="BN92" s="3">
        <f ca="1">IF($BP$1=1,EB92,IF(RTD("tos.rtd",,BN$83,"."&amp;$D$82&amp;$AW$82&amp;"C"&amp;$A92)="N/A",0,RTD("tos.rtd",,BN$83,"."&amp;$D$82&amp;$AW$82&amp;"C"&amp;$A92)))</f>
        <v>2.0736601602686605E-3</v>
      </c>
      <c r="BO92" s="3">
        <f ca="1">IF($BP$1=1,EC92,-IF(RTD("tos.rtd",,BO$83,"."&amp;$D$82&amp;$AW$82&amp;"P"&amp;$A92)="N/A",0,RTD("tos.rtd",,BO$83,"."&amp;$D$82&amp;$AW$82&amp;"P"&amp;$A92)))</f>
        <v>-1.9799956117778415E-3</v>
      </c>
      <c r="BQ92" s="3" t="e">
        <f t="shared" ca="1" si="450"/>
        <v>#NUM!</v>
      </c>
      <c r="BR92" s="3" t="e">
        <f t="shared" ca="1" si="489"/>
        <v>#NUM!</v>
      </c>
      <c r="BS92" s="3">
        <f t="shared" ca="1" si="451"/>
        <v>17388489.344791472</v>
      </c>
      <c r="BT92" s="3" t="str">
        <f t="shared" ca="1" si="489"/>
        <v/>
      </c>
      <c r="BU92" s="3">
        <f t="shared" ca="1" si="452"/>
        <v>6266451.8516360838</v>
      </c>
      <c r="BV92" s="3" t="str">
        <f t="shared" ca="1" si="489"/>
        <v>Cruce +</v>
      </c>
      <c r="BX92" s="3" t="e">
        <f t="shared" ca="1" si="453"/>
        <v>#NUM!</v>
      </c>
      <c r="BY92" s="3" t="e">
        <f t="shared" ca="1" si="501"/>
        <v>#NUM!</v>
      </c>
      <c r="BZ92" s="3">
        <f t="shared" ca="1" si="454"/>
        <v>23789678.578162305</v>
      </c>
      <c r="CA92" s="3" t="str">
        <f t="shared" ca="1" si="501"/>
        <v/>
      </c>
      <c r="CB92" s="3">
        <f t="shared" ca="1" si="455"/>
        <v>496152.14470627648</v>
      </c>
      <c r="CC92" s="3" t="str">
        <f t="shared" ca="1" si="501"/>
        <v/>
      </c>
      <c r="CD92" s="3">
        <f>IF(RTD("tos.rtd",,CD$83,"."&amp;$B$82&amp;$AS$82&amp;"C"&amp;$A92)="N/A",0,RTD("tos.rtd",,CD$83,"."&amp;$B$82&amp;$AS$82&amp;"C"&amp;$A92))</f>
        <v>0</v>
      </c>
      <c r="CE92" s="3">
        <f>-IF(RTD("tos.rtd",,CE$83,"."&amp;$B$82&amp;$AS$82&amp;"P"&amp;$A92)="N/A",0,RTD("tos.rtd",,CE$83,"."&amp;$B$82&amp;$AS$82&amp;"P"&amp;$A92))</f>
        <v>0.95</v>
      </c>
      <c r="CF92" s="3">
        <f>IF(RTD("tos.rtd",,CF$83,"."&amp;$C$82&amp;$AU$82&amp;"C"&amp;$A92)="N/A",0,RTD("tos.rtd",,CF$83,"."&amp;$C$82&amp;$AU$82&amp;"C"&amp;$A92))</f>
        <v>0.2</v>
      </c>
      <c r="CG92" s="3">
        <f>-IF(RTD("tos.rtd",,CG$83,"."&amp;$C$82&amp;$AU$82&amp;"P"&amp;$A92)="N/A",0,RTD("tos.rtd",,CG$83,"."&amp;$C$82&amp;$AU$82&amp;"P"&amp;$A92))</f>
        <v>0.79</v>
      </c>
      <c r="CH92" s="3">
        <f>IF(RTD("tos.rtd",,CH$83,"."&amp;$D$82&amp;$AW$82&amp;"C"&amp;$A92)="N/A",0,RTD("tos.rtd",,CH$83,"."&amp;$D$82&amp;$AW$82&amp;"C"&amp;$A92))</f>
        <v>0.28999999999999998</v>
      </c>
      <c r="CI92" s="3">
        <f>-IF(RTD("tos.rtd",,CI$83,"."&amp;$D$82&amp;$AW$82&amp;"P"&amp;$A92)="N/A",0,RTD("tos.rtd",,CI$83,"."&amp;$D$82&amp;$AW$82&amp;"P"&amp;$A92))</f>
        <v>0.69</v>
      </c>
      <c r="CK92" s="3">
        <f t="shared" si="490"/>
        <v>-81034.999999999985</v>
      </c>
      <c r="CL92" s="3"/>
      <c r="CM92" s="3">
        <f t="shared" si="491"/>
        <v>57488</v>
      </c>
      <c r="CN92" s="3"/>
      <c r="CO92" s="3">
        <f t="shared" si="492"/>
        <v>56769.000000000058</v>
      </c>
      <c r="CP92" s="3">
        <f t="shared" si="456"/>
        <v>33222.000000000073</v>
      </c>
      <c r="CQ92" s="3">
        <f t="shared" si="457"/>
        <v>15209</v>
      </c>
      <c r="CR92" s="3"/>
      <c r="CS92" s="3">
        <f t="shared" si="458"/>
        <v>4066</v>
      </c>
      <c r="CT92" s="3"/>
      <c r="CU92" s="3">
        <f t="shared" si="459"/>
        <v>999</v>
      </c>
      <c r="CV92" s="3"/>
      <c r="CW92" s="3" t="e">
        <f t="shared" ca="1" si="493"/>
        <v>#NUM!</v>
      </c>
      <c r="CY92" s="3" t="e">
        <f t="shared" ca="1" si="461"/>
        <v>#NUM!</v>
      </c>
      <c r="CZ92" s="70" t="e">
        <f t="shared" ca="1" si="502"/>
        <v>#NUM!</v>
      </c>
      <c r="DA92" s="3">
        <f>IF(RTD("tos.rtd",,DA$83,"."&amp;$B$82&amp;$AS$82&amp;"C"&amp;$A92)="N/A",0,RTD("tos.rtd",,DA$83,"."&amp;$B$82&amp;$AS$82&amp;"C"&amp;$A92))</f>
        <v>0.03</v>
      </c>
      <c r="DB92" s="3">
        <f>IF(RTD("tos.rtd",,DB$83,"."&amp;$B$82&amp;$AS$82&amp;"P"&amp;$A92)="N/A",0,RTD("tos.rtd",,DB$83,"."&amp;$B$82&amp;$AS$82&amp;"P"&amp;$A92))</f>
        <v>113.08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117.8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111.7</v>
      </c>
      <c r="DG92" s="86">
        <f t="shared" si="494"/>
        <v>114.25</v>
      </c>
      <c r="DH92" s="3">
        <f t="shared" si="462"/>
        <v>0</v>
      </c>
      <c r="DI92" s="3">
        <f t="shared" si="463"/>
        <v>0</v>
      </c>
      <c r="DJ92" s="3">
        <f t="shared" si="464"/>
        <v>0</v>
      </c>
      <c r="DK92" s="3">
        <f t="shared" si="465"/>
        <v>0</v>
      </c>
      <c r="DL92" s="3">
        <f t="shared" si="466"/>
        <v>0</v>
      </c>
      <c r="DM92" s="3">
        <f t="shared" si="467"/>
        <v>0</v>
      </c>
      <c r="DN92" s="64" t="str">
        <f t="shared" si="468"/>
        <v>UNKNOWN</v>
      </c>
      <c r="DO92" s="64" t="str">
        <f t="shared" si="469"/>
        <v>UNKNOWN</v>
      </c>
      <c r="DP92" s="3">
        <f t="shared" si="470"/>
        <v>0</v>
      </c>
      <c r="DQ92" s="3">
        <f t="shared" si="471"/>
        <v>0</v>
      </c>
      <c r="DR92" s="3" t="e">
        <f t="shared" ca="1" si="472"/>
        <v>#NUM!</v>
      </c>
      <c r="DS92" s="3">
        <f t="shared" si="473"/>
        <v>0</v>
      </c>
      <c r="DT92" s="3">
        <f t="shared" si="495"/>
        <v>0</v>
      </c>
      <c r="DU92" s="3">
        <f t="shared" si="496"/>
        <v>0</v>
      </c>
      <c r="DV92" s="3">
        <f t="shared" si="497"/>
        <v>-5703</v>
      </c>
      <c r="DW92" s="3">
        <f t="shared" si="498"/>
        <v>102</v>
      </c>
      <c r="DX92" s="3" t="e">
        <f t="shared" ca="1" si="503"/>
        <v>#NUM!</v>
      </c>
      <c r="DY92" s="3" t="e">
        <f t="shared" ca="1" si="474"/>
        <v>#NUM!</v>
      </c>
      <c r="DZ92" s="3">
        <f t="shared" ca="1" si="475"/>
        <v>2.438434077500325E-2</v>
      </c>
      <c r="EA92" s="3">
        <f t="shared" ca="1" si="476"/>
        <v>-2.0353257512405465E-3</v>
      </c>
      <c r="EB92" s="3">
        <f t="shared" ca="1" si="477"/>
        <v>2.0736601602686605E-3</v>
      </c>
      <c r="EC92" s="3">
        <f t="shared" ca="1" si="478"/>
        <v>-1.9799956117778415E-3</v>
      </c>
      <c r="EE92" s="59">
        <f t="shared" si="479"/>
        <v>0.91359999999999997</v>
      </c>
      <c r="EF92" s="59">
        <f t="shared" si="480"/>
        <v>1.5893999999999999</v>
      </c>
      <c r="EG92" s="59">
        <f t="shared" si="481"/>
        <v>0.16039999999999999</v>
      </c>
      <c r="EH92" s="59">
        <f t="shared" si="482"/>
        <v>0.1701</v>
      </c>
      <c r="EI92" s="59">
        <f t="shared" si="483"/>
        <v>0.1641</v>
      </c>
      <c r="EJ92" s="59">
        <f t="shared" si="484"/>
        <v>0.1787</v>
      </c>
      <c r="EL92" s="3" t="str">
        <f>RTD("tos.rtd",,EL$83,"."&amp;$B$82&amp;$AS$82&amp;"C"&amp;$A92)</f>
        <v>91.36%</v>
      </c>
      <c r="EM92" s="3" t="str">
        <f>RTD("tos.rtd",,EM$83,"."&amp;$B$82&amp;$AS$82&amp;"P"&amp;$A92)</f>
        <v>158.94%</v>
      </c>
      <c r="EN92" s="3" t="str">
        <f>RTD("tos.rtd",,EN$83,"."&amp;$C$82&amp;$AU$82&amp;"C"&amp;$A92)</f>
        <v>16.04%</v>
      </c>
      <c r="EO92" s="3" t="str">
        <f>RTD("tos.rtd",,EO$83,"."&amp;$C$82&amp;$AU$82&amp;"P"&amp;$A92)</f>
        <v>17.01%</v>
      </c>
      <c r="EP92" s="3" t="str">
        <f>RTD("tos.rtd",,EP$83,"."&amp;$D$82&amp;$AW$82&amp;"C"&amp;$A92)</f>
        <v>16.41%</v>
      </c>
      <c r="EQ92" s="3" t="str">
        <f>RTD("tos.rtd",,EQ$83,"."&amp;$D$82&amp;$AW$82&amp;"P"&amp;$A92)</f>
        <v>17.87%</v>
      </c>
      <c r="ET92" s="64" t="str">
        <f t="shared" ca="1" si="485"/>
        <v>5800,00.00</v>
      </c>
      <c r="EU92" s="67">
        <v>563.72</v>
      </c>
      <c r="EV92" s="67" t="s">
        <v>755</v>
      </c>
      <c r="EW92" s="67">
        <v>485.59</v>
      </c>
      <c r="EX92" s="67" t="s">
        <v>756</v>
      </c>
      <c r="EY92" s="67">
        <v>5653</v>
      </c>
      <c r="EZ92" s="67" t="s">
        <v>757</v>
      </c>
      <c r="FA92" s="67">
        <v>19953</v>
      </c>
      <c r="FB92" s="67" t="s">
        <v>758</v>
      </c>
      <c r="FC92" s="67" t="s">
        <v>759</v>
      </c>
      <c r="FD92" s="67" t="s">
        <v>760</v>
      </c>
      <c r="FE92" s="68" t="s">
        <v>761</v>
      </c>
      <c r="FF92" s="68" t="s">
        <v>762</v>
      </c>
    </row>
    <row r="93" spans="1:162" s="63" customFormat="1" ht="12" customHeight="1" thickBot="1" x14ac:dyDescent="0.25">
      <c r="A93" s="2">
        <f t="shared" si="499"/>
        <v>5790</v>
      </c>
      <c r="B93" s="3">
        <f t="shared" si="445"/>
        <v>1660</v>
      </c>
      <c r="C93" s="3">
        <f t="shared" si="446"/>
        <v>259</v>
      </c>
      <c r="D93" s="3">
        <f t="shared" si="447"/>
        <v>447</v>
      </c>
      <c r="E93" s="3">
        <f t="shared" si="448"/>
        <v>2366</v>
      </c>
      <c r="F93" s="4">
        <f>+$F$84/$A$84*A93</f>
        <v>5814.4400474871391</v>
      </c>
      <c r="G93" s="4">
        <f t="shared" si="486"/>
        <v>577.3655718242976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-2572</v>
      </c>
      <c r="AN93" s="20">
        <v>51</v>
      </c>
      <c r="AO93" s="20">
        <v>5790</v>
      </c>
      <c r="AP93" s="20">
        <v>7291</v>
      </c>
      <c r="AQ93" s="20">
        <v>-131</v>
      </c>
      <c r="AR93" s="20"/>
      <c r="AS93" s="54">
        <f>IF(RTD("tos.rtd",,AS$83,"."&amp;$B$82&amp;$AS$82&amp;"C"&amp;$A93)="N/A",0,RTD("tos.rtd",,AS$83,"."&amp;$B$82&amp;$AS$82&amp;"C"&amp;$A93))</f>
        <v>1462</v>
      </c>
      <c r="AT93" s="3">
        <f>-IF(RTD("tos.rtd",,AT$83,"."&amp;$B$82&amp;$AS$82&amp;"P"&amp;$A93)="N/A",0,RTD("tos.rtd",,AT$83,"."&amp;$B$82&amp;$AS$82&amp;"P"&amp;$A93))</f>
        <v>-198</v>
      </c>
      <c r="AU93" s="54">
        <f>IF(RTD("tos.rtd",,AU$83,"."&amp;$C$82&amp;$AU$82&amp;"C"&amp;$A93)="N/A",0,RTD("tos.rtd",,AU$83,"."&amp;$C$82&amp;$AU$82&amp;"C"&amp;$A93))</f>
        <v>254</v>
      </c>
      <c r="AV93" s="3">
        <f>-IF(RTD("tos.rtd",,AV$83,"."&amp;$C$82&amp;$AU$82&amp;"P"&amp;$A93)="N/A",0,RTD("tos.rtd",,AV$83,"."&amp;$C$82&amp;$AU$82&amp;"P"&amp;$A93))</f>
        <v>-5</v>
      </c>
      <c r="AW93" s="54">
        <f>IF(RTD("tos.rtd",,AW$83,"."&amp;$D$82&amp;$AW$82&amp;"C"&amp;$A93)="N/A",0,RTD("tos.rtd",,AW$83,"."&amp;$D$82&amp;$AW$82&amp;"C"&amp;$A93))</f>
        <v>284</v>
      </c>
      <c r="AX93" s="3">
        <f>-IF(RTD("tos.rtd",,AX$83,"."&amp;$D$82&amp;$AW$82&amp;"P"&amp;$A93)="N/A",0,RTD("tos.rtd",,AX$83,"."&amp;$D$82&amp;$AW$82&amp;"P"&amp;$A93))</f>
        <v>-163</v>
      </c>
      <c r="AY93" s="79">
        <f t="shared" si="487"/>
        <v>1634</v>
      </c>
      <c r="AZ93" s="8">
        <f t="shared" si="449"/>
        <v>5790</v>
      </c>
      <c r="BA93" s="54">
        <f>IF(RTD("tos.rtd",,BA$83,"."&amp;$B$82&amp;$AS$82&amp;"C"&amp;$A93)="N/A",0,RTD("tos.rtd",,BA$83,"."&amp;$B$82&amp;$AS$82&amp;"C"&amp;$A93))</f>
        <v>7291</v>
      </c>
      <c r="BB93" s="3">
        <f>-IF(RTD("tos.rtd",,BB$83,"."&amp;$B$82&amp;$AS$82&amp;"P"&amp;$A93)="N/A",0,RTD("tos.rtd",,BB$83,"."&amp;$B$82&amp;$AS$82&amp;"P"&amp;$A93))</f>
        <v>-131</v>
      </c>
      <c r="BC93" s="54">
        <f>IF(RTD("tos.rtd",,BC$83,"."&amp;$C$82&amp;$AU$82&amp;"C"&amp;$A93)="N/A",0,RTD("tos.rtd",,BC$83,"."&amp;$C$82&amp;$AU$82&amp;"C"&amp;$A93))</f>
        <v>739</v>
      </c>
      <c r="BD93" s="3">
        <f>-IF(RTD("tos.rtd",,BD$83,"."&amp;$C$82&amp;$AU$82&amp;"P"&amp;$A93)="N/A",0,RTD("tos.rtd",,BD$83,"."&amp;$C$82&amp;$AU$82&amp;"P"&amp;$A93))</f>
        <v>-17</v>
      </c>
      <c r="BE93" s="54">
        <f>IF(RTD("tos.rtd",,BE$83,"."&amp;$D$82&amp;$AW$82&amp;"C"&amp;$A93)="N/A",0,RTD("tos.rtd",,BE$83,"."&amp;$D$82&amp;$AW$82&amp;"C"&amp;$A93))</f>
        <v>533</v>
      </c>
      <c r="BF93" s="3">
        <f>-IF(RTD("tos.rtd",,BF$83,"."&amp;$D$82&amp;$AW$82&amp;"P"&amp;$A93)="N/A",0,RTD("tos.rtd",,BF$83,"."&amp;$D$82&amp;$AW$82&amp;"P"&amp;$A93))</f>
        <v>0</v>
      </c>
      <c r="BG93" s="3" t="e">
        <f ca="1">+Hoja2!Y94</f>
        <v>#N/A</v>
      </c>
      <c r="BH93" s="55" t="e">
        <f t="shared" ca="1" si="488"/>
        <v>#N/A</v>
      </c>
      <c r="BI93" s="32" t="e">
        <f t="shared" ca="1" si="504"/>
        <v>#N/A</v>
      </c>
      <c r="BJ93" s="3" t="e">
        <f ca="1">IF($BP$1=1,DX93,IF(RTD("tos.rtd",,BJ$83,"."&amp;$B$82&amp;$AS$82&amp;"C"&amp;$A93)="N/A",0,RTD("tos.rtd",,BJ$83,"."&amp;$B$82&amp;$AS$82&amp;"C"&amp;$A93)))</f>
        <v>#NUM!</v>
      </c>
      <c r="BK93" s="3" t="e">
        <f ca="1">IF($BP$1=1,DY93,-IF(RTD("tos.rtd",,BK$83,"."&amp;$B$82&amp;$AS$82&amp;"P"&amp;$A93)="N/A",0,RTD("tos.rtd",,BK$83,"."&amp;$B$82&amp;$AS$82&amp;"P"&amp;$A93)))</f>
        <v>#NUM!</v>
      </c>
      <c r="BL93" s="3">
        <f ca="1">IF($BP$1=1,DZ93,IF(RTD("tos.rtd",,BL$83,"."&amp;$C$82&amp;$AU$82&amp;"C"&amp;$A93)="N/A",0,RTD("tos.rtd",,BL$83,"."&amp;$C$82&amp;$AU$82&amp;"C"&amp;$A93)))</f>
        <v>2.5347892950421384E-2</v>
      </c>
      <c r="BM93" s="3">
        <f ca="1">IF($BP$1=1,EA93,-IF(RTD("tos.rtd",,BM$83,"."&amp;$C$82&amp;$AU$82&amp;"P"&amp;$A93)="N/A",0,RTD("tos.rtd",,BM$83,"."&amp;$C$82&amp;$AU$82&amp;"P"&amp;$A93)))</f>
        <v>-2.1224845881673009E-3</v>
      </c>
      <c r="BN93" s="3">
        <f ca="1">IF($BP$1=1,EB93,IF(RTD("tos.rtd",,BN$83,"."&amp;$D$82&amp;$AW$82&amp;"C"&amp;$A93)="N/A",0,RTD("tos.rtd",,BN$83,"."&amp;$D$82&amp;$AW$82&amp;"C"&amp;$A93)))</f>
        <v>2.1526409662879506E-3</v>
      </c>
      <c r="BO93" s="3">
        <f ca="1">IF($BP$1=1,EC93,-IF(RTD("tos.rtd",,BO$83,"."&amp;$D$82&amp;$AW$82&amp;"P"&amp;$A93)="N/A",0,RTD("tos.rtd",,BO$83,"."&amp;$D$82&amp;$AW$82&amp;"P"&amp;$A93)))</f>
        <v>-2.0233554103649171E-3</v>
      </c>
      <c r="BQ93" s="3" t="e">
        <f t="shared" ca="1" si="450"/>
        <v>#NUM!</v>
      </c>
      <c r="BR93" s="3" t="e">
        <f t="shared" ca="1" si="489"/>
        <v>#NUM!</v>
      </c>
      <c r="BS93" s="3">
        <f t="shared" ca="1" si="451"/>
        <v>1536759.1350152283</v>
      </c>
      <c r="BT93" s="3" t="str">
        <f t="shared" ca="1" si="489"/>
        <v/>
      </c>
      <c r="BU93" s="3">
        <f t="shared" ca="1" si="452"/>
        <v>67311.854705879494</v>
      </c>
      <c r="BV93" s="3" t="str">
        <f t="shared" ca="1" si="489"/>
        <v/>
      </c>
      <c r="BX93" s="3" t="e">
        <f t="shared" ca="1" si="453"/>
        <v>#NUM!</v>
      </c>
      <c r="BY93" s="3" t="e">
        <f t="shared" ca="1" si="501"/>
        <v>#NUM!</v>
      </c>
      <c r="BZ93" s="3">
        <f t="shared" ca="1" si="454"/>
        <v>4469877.4051804831</v>
      </c>
      <c r="CA93" s="3" t="str">
        <f t="shared" ca="1" si="501"/>
        <v/>
      </c>
      <c r="CB93" s="3">
        <f t="shared" ca="1" si="455"/>
        <v>274312.42225145176</v>
      </c>
      <c r="CC93" s="3" t="str">
        <f t="shared" ca="1" si="501"/>
        <v/>
      </c>
      <c r="CD93" s="3">
        <f>IF(RTD("tos.rtd",,CD$83,"."&amp;$B$82&amp;$AS$82&amp;"C"&amp;$A93)="N/A",0,RTD("tos.rtd",,CD$83,"."&amp;$B$82&amp;$AS$82&amp;"C"&amp;$A93))</f>
        <v>0</v>
      </c>
      <c r="CE93" s="3">
        <f>-IF(RTD("tos.rtd",,CE$83,"."&amp;$B$82&amp;$AS$82&amp;"P"&amp;$A93)="N/A",0,RTD("tos.rtd",,CE$83,"."&amp;$B$82&amp;$AS$82&amp;"P"&amp;$A93))</f>
        <v>0.95</v>
      </c>
      <c r="CF93" s="3">
        <f>IF(RTD("tos.rtd",,CF$83,"."&amp;$C$82&amp;$AU$82&amp;"C"&amp;$A93)="N/A",0,RTD("tos.rtd",,CF$83,"."&amp;$C$82&amp;$AU$82&amp;"C"&amp;$A93))</f>
        <v>0.23</v>
      </c>
      <c r="CG93" s="3">
        <f>-IF(RTD("tos.rtd",,CG$83,"."&amp;$C$82&amp;$AU$82&amp;"P"&amp;$A93)="N/A",0,RTD("tos.rtd",,CG$83,"."&amp;$C$82&amp;$AU$82&amp;"P"&amp;$A93))</f>
        <v>0.76</v>
      </c>
      <c r="CH93" s="3">
        <f>IF(RTD("tos.rtd",,CH$83,"."&amp;$D$82&amp;$AW$82&amp;"C"&amp;$A93)="N/A",0,RTD("tos.rtd",,CH$83,"."&amp;$D$82&amp;$AW$82&amp;"C"&amp;$A93))</f>
        <v>0.31</v>
      </c>
      <c r="CI93" s="3">
        <f>-IF(RTD("tos.rtd",,CI$83,"."&amp;$D$82&amp;$AW$82&amp;"P"&amp;$A93)="N/A",0,RTD("tos.rtd",,CI$83,"."&amp;$D$82&amp;$AW$82&amp;"P"&amp;$A93))</f>
        <v>0.67</v>
      </c>
      <c r="CK93" s="3">
        <f t="shared" ref="CK93:CK98" si="505">+AS93*CD93*100+AT93*CE93*100</f>
        <v>-18810</v>
      </c>
      <c r="CL93" s="3"/>
      <c r="CM93" s="3">
        <f t="shared" ref="CM93:CM98" si="506">+AU93*CF93*100+AV93*CG93*100</f>
        <v>5462</v>
      </c>
      <c r="CN93" s="3"/>
      <c r="CO93" s="3">
        <f t="shared" ref="CO93:CO98" si="507">+AW93*CH93*100+AX93*CI93*100</f>
        <v>-2117</v>
      </c>
      <c r="CP93" s="3">
        <f t="shared" si="456"/>
        <v>-15465</v>
      </c>
      <c r="CQ93" s="3">
        <f t="shared" si="457"/>
        <v>7160</v>
      </c>
      <c r="CR93" s="3"/>
      <c r="CS93" s="3">
        <f t="shared" si="458"/>
        <v>722</v>
      </c>
      <c r="CT93" s="3"/>
      <c r="CU93" s="3">
        <f t="shared" si="459"/>
        <v>533</v>
      </c>
      <c r="CV93" s="3"/>
      <c r="CW93" s="3" t="e">
        <f t="shared" ca="1" si="493"/>
        <v>#NUM!</v>
      </c>
      <c r="CY93" s="3" t="e">
        <f t="shared" ca="1" si="461"/>
        <v>#NUM!</v>
      </c>
      <c r="CZ93" s="70" t="e">
        <f t="shared" ca="1" si="502"/>
        <v>#NUM!</v>
      </c>
      <c r="DA93" s="3">
        <f>IF(RTD("tos.rtd",,DA$83,"."&amp;$B$82&amp;$AS$82&amp;"C"&amp;$A93)="N/A",0,RTD("tos.rtd",,DA$83,"."&amp;$B$82&amp;$AS$82&amp;"C"&amp;$A93))</f>
        <v>0.03</v>
      </c>
      <c r="DB93" s="3">
        <f>IF(RTD("tos.rtd",,DB$83,"."&amp;$B$82&amp;$AS$82&amp;"P"&amp;$A93)="N/A",0,RTD("tos.rtd",,DB$83,"."&amp;$B$82&amp;$AS$82&amp;"P"&amp;$A93))</f>
        <v>101.9</v>
      </c>
      <c r="DC93" s="3">
        <f>IF(RTD("tos.rtd",,DC$83,"."&amp;$B$82&amp;$AS$82&amp;"C"&amp;$A93)="N/A",0,RTD("tos.rtd",,DC$83,"."&amp;$B$82&amp;$AS$82&amp;"C"&amp;$A93))</f>
        <v>0.05</v>
      </c>
      <c r="DD93" s="3">
        <f>IF(RTD("tos.rtd",,DD$83,"."&amp;$B$82&amp;$AS$82&amp;"P"&amp;$A93)="N/A",0,RTD("tos.rtd",,DD$83,"."&amp;$B$82&amp;$AS$82&amp;"P"&amp;$A93))</f>
        <v>107.8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101.7</v>
      </c>
      <c r="DG93" s="86">
        <f t="shared" si="494"/>
        <v>104.25</v>
      </c>
      <c r="DH93" s="3">
        <f t="shared" si="462"/>
        <v>0</v>
      </c>
      <c r="DI93" s="3">
        <f t="shared" si="463"/>
        <v>0</v>
      </c>
      <c r="DJ93" s="3">
        <f t="shared" si="464"/>
        <v>0</v>
      </c>
      <c r="DK93" s="3">
        <f t="shared" si="465"/>
        <v>0</v>
      </c>
      <c r="DL93" s="3">
        <f t="shared" si="466"/>
        <v>0</v>
      </c>
      <c r="DM93" s="3">
        <f t="shared" si="467"/>
        <v>0</v>
      </c>
      <c r="DN93" s="64" t="str">
        <f t="shared" si="468"/>
        <v>UNKNOWN</v>
      </c>
      <c r="DO93" s="64" t="str">
        <f t="shared" si="469"/>
        <v>UNKNOWN</v>
      </c>
      <c r="DP93" s="3">
        <f t="shared" si="470"/>
        <v>0</v>
      </c>
      <c r="DQ93" s="3">
        <f t="shared" si="471"/>
        <v>0</v>
      </c>
      <c r="DR93" s="3" t="e">
        <f t="shared" ca="1" si="472"/>
        <v>#NUM!</v>
      </c>
      <c r="DS93" s="3">
        <f t="shared" si="473"/>
        <v>0</v>
      </c>
      <c r="DT93" s="3">
        <f t="shared" si="495"/>
        <v>0</v>
      </c>
      <c r="DU93" s="3">
        <f t="shared" si="496"/>
        <v>0</v>
      </c>
      <c r="DV93" s="3">
        <f t="shared" si="497"/>
        <v>-2572</v>
      </c>
      <c r="DW93" s="3">
        <f t="shared" si="498"/>
        <v>51</v>
      </c>
      <c r="DX93" s="3" t="e">
        <f t="shared" ca="1" si="503"/>
        <v>#NUM!</v>
      </c>
      <c r="DY93" s="3" t="e">
        <f t="shared" ca="1" si="474"/>
        <v>#NUM!</v>
      </c>
      <c r="DZ93" s="3">
        <f t="shared" ca="1" si="475"/>
        <v>2.5347892950421384E-2</v>
      </c>
      <c r="EA93" s="3">
        <f t="shared" ca="1" si="476"/>
        <v>-2.1224845881673009E-3</v>
      </c>
      <c r="EB93" s="3">
        <f t="shared" ca="1" si="477"/>
        <v>2.1526409662879506E-3</v>
      </c>
      <c r="EC93" s="3">
        <f t="shared" ca="1" si="478"/>
        <v>-2.0233554103649171E-3</v>
      </c>
      <c r="EE93" s="59">
        <f t="shared" si="479"/>
        <v>0.84099999999999997</v>
      </c>
      <c r="EF93" s="59">
        <f t="shared" si="480"/>
        <v>1.4781</v>
      </c>
      <c r="EG93" s="59">
        <f t="shared" si="481"/>
        <v>0.16209999999999999</v>
      </c>
      <c r="EH93" s="59">
        <f t="shared" si="482"/>
        <v>0.16950000000000001</v>
      </c>
      <c r="EI93" s="59">
        <f t="shared" si="483"/>
        <v>0.1656</v>
      </c>
      <c r="EJ93" s="59">
        <f t="shared" si="484"/>
        <v>0.18260000000000001</v>
      </c>
      <c r="EL93" s="3" t="str">
        <f>RTD("tos.rtd",,EL$83,"."&amp;$B$82&amp;$AS$82&amp;"C"&amp;$A93)</f>
        <v>84.10%</v>
      </c>
      <c r="EM93" s="3" t="str">
        <f>RTD("tos.rtd",,EM$83,"."&amp;$B$82&amp;$AS$82&amp;"P"&amp;$A93)</f>
        <v>147.81%</v>
      </c>
      <c r="EN93" s="3" t="str">
        <f>RTD("tos.rtd",,EN$83,"."&amp;$C$82&amp;$AU$82&amp;"C"&amp;$A93)</f>
        <v>16.21%</v>
      </c>
      <c r="EO93" s="3" t="str">
        <f>RTD("tos.rtd",,EO$83,"."&amp;$C$82&amp;$AU$82&amp;"P"&amp;$A93)</f>
        <v>16.95%</v>
      </c>
      <c r="EP93" s="3" t="str">
        <f>RTD("tos.rtd",,EP$83,"."&amp;$D$82&amp;$AW$82&amp;"C"&amp;$A93)</f>
        <v>16.56%</v>
      </c>
      <c r="EQ93" s="3" t="str">
        <f>RTD("tos.rtd",,EQ$83,"."&amp;$D$82&amp;$AW$82&amp;"P"&amp;$A93)</f>
        <v>18.26%</v>
      </c>
      <c r="ET93" s="64" t="str">
        <f t="shared" ca="1" si="485"/>
        <v>5790,00.00</v>
      </c>
      <c r="EU93" s="67">
        <v>563.64</v>
      </c>
      <c r="EV93" s="67" t="s">
        <v>763</v>
      </c>
      <c r="EW93" s="67">
        <v>485.49</v>
      </c>
      <c r="EX93" s="67" t="s">
        <v>764</v>
      </c>
      <c r="EY93" s="67">
        <v>5652.5</v>
      </c>
      <c r="EZ93" s="67" t="s">
        <v>765</v>
      </c>
      <c r="FA93" s="67">
        <v>19950</v>
      </c>
      <c r="FB93" s="67" t="s">
        <v>766</v>
      </c>
      <c r="FC93" s="67" t="s">
        <v>767</v>
      </c>
      <c r="FD93" s="67" t="s">
        <v>768</v>
      </c>
      <c r="FE93" s="68" t="s">
        <v>769</v>
      </c>
      <c r="FF93" s="68" t="s">
        <v>770</v>
      </c>
    </row>
    <row r="94" spans="1:162" s="63" customFormat="1" ht="12" customHeight="1" thickBot="1" x14ac:dyDescent="0.25">
      <c r="A94" s="2">
        <f t="shared" si="499"/>
        <v>5780</v>
      </c>
      <c r="B94" s="3">
        <f t="shared" si="445"/>
        <v>2346</v>
      </c>
      <c r="C94" s="3">
        <f t="shared" si="446"/>
        <v>320</v>
      </c>
      <c r="D94" s="3">
        <f t="shared" si="447"/>
        <v>754</v>
      </c>
      <c r="E94" s="3">
        <f t="shared" si="448"/>
        <v>3420</v>
      </c>
      <c r="F94" s="4">
        <f t="shared" ref="F94:F98" si="508">+$F$84/$A$84*A94</f>
        <v>5804.3978366970059</v>
      </c>
      <c r="G94" s="4">
        <f t="shared" si="486"/>
        <v>576.36839467088782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-2520</v>
      </c>
      <c r="AN94" s="20">
        <v>139</v>
      </c>
      <c r="AO94" s="20">
        <v>5780</v>
      </c>
      <c r="AP94" s="20">
        <v>6927</v>
      </c>
      <c r="AQ94" s="20">
        <v>-587</v>
      </c>
      <c r="AR94" s="20"/>
      <c r="AS94" s="54">
        <f>IF(RTD("tos.rtd",,AS$83,"."&amp;$B$82&amp;$AS$82&amp;"C"&amp;$A94)="N/A",0,RTD("tos.rtd",,AS$83,"."&amp;$B$82&amp;$AS$82&amp;"C"&amp;$A94))</f>
        <v>1800</v>
      </c>
      <c r="AT94" s="3">
        <f>-IF(RTD("tos.rtd",,AT$83,"."&amp;$B$82&amp;$AS$82&amp;"P"&amp;$A94)="N/A",0,RTD("tos.rtd",,AT$83,"."&amp;$B$82&amp;$AS$82&amp;"P"&amp;$A94))</f>
        <v>-546</v>
      </c>
      <c r="AU94" s="54">
        <f>IF(RTD("tos.rtd",,AU$83,"."&amp;$C$82&amp;$AU$82&amp;"C"&amp;$A94)="N/A",0,RTD("tos.rtd",,AU$83,"."&amp;$C$82&amp;$AU$82&amp;"C"&amp;$A94))</f>
        <v>312</v>
      </c>
      <c r="AV94" s="3">
        <f>-IF(RTD("tos.rtd",,AV$83,"."&amp;$C$82&amp;$AU$82&amp;"P"&amp;$A94)="N/A",0,RTD("tos.rtd",,AV$83,"."&amp;$C$82&amp;$AU$82&amp;"P"&amp;$A94))</f>
        <v>-8</v>
      </c>
      <c r="AW94" s="54">
        <f>IF(RTD("tos.rtd",,AW$83,"."&amp;$D$82&amp;$AW$82&amp;"C"&amp;$A94)="N/A",0,RTD("tos.rtd",,AW$83,"."&amp;$D$82&amp;$AW$82&amp;"C"&amp;$A94))</f>
        <v>304</v>
      </c>
      <c r="AX94" s="3">
        <f>-IF(RTD("tos.rtd",,AX$83,"."&amp;$D$82&amp;$AW$82&amp;"P"&amp;$A94)="N/A",0,RTD("tos.rtd",,AX$83,"."&amp;$D$82&amp;$AW$82&amp;"P"&amp;$A94))</f>
        <v>-450</v>
      </c>
      <c r="AY94" s="79">
        <f t="shared" si="487"/>
        <v>1412</v>
      </c>
      <c r="AZ94" s="8">
        <f t="shared" si="449"/>
        <v>5780</v>
      </c>
      <c r="BA94" s="54">
        <f>IF(RTD("tos.rtd",,BA$83,"."&amp;$B$82&amp;$AS$82&amp;"C"&amp;$A94)="N/A",0,RTD("tos.rtd",,BA$83,"."&amp;$B$82&amp;$AS$82&amp;"C"&amp;$A94))</f>
        <v>6927</v>
      </c>
      <c r="BB94" s="3">
        <f>-IF(RTD("tos.rtd",,BB$83,"."&amp;$B$82&amp;$AS$82&amp;"P"&amp;$A94)="N/A",0,RTD("tos.rtd",,BB$83,"."&amp;$B$82&amp;$AS$82&amp;"P"&amp;$A94))</f>
        <v>-587</v>
      </c>
      <c r="BC94" s="54">
        <f>IF(RTD("tos.rtd",,BC$83,"."&amp;$C$82&amp;$AU$82&amp;"C"&amp;$A94)="N/A",0,RTD("tos.rtd",,BC$83,"."&amp;$C$82&amp;$AU$82&amp;"C"&amp;$A94))</f>
        <v>959</v>
      </c>
      <c r="BD94" s="3">
        <f>-IF(RTD("tos.rtd",,BD$83,"."&amp;$C$82&amp;$AU$82&amp;"P"&amp;$A94)="N/A",0,RTD("tos.rtd",,BD$83,"."&amp;$C$82&amp;$AU$82&amp;"P"&amp;$A94))</f>
        <v>-5</v>
      </c>
      <c r="BE94" s="54">
        <f>IF(RTD("tos.rtd",,BE$83,"."&amp;$D$82&amp;$AW$82&amp;"C"&amp;$A94)="N/A",0,RTD("tos.rtd",,BE$83,"."&amp;$D$82&amp;$AW$82&amp;"C"&amp;$A94))</f>
        <v>72</v>
      </c>
      <c r="BF94" s="3">
        <f>-IF(RTD("tos.rtd",,BF$83,"."&amp;$D$82&amp;$AW$82&amp;"P"&amp;$A94)="N/A",0,RTD("tos.rtd",,BF$83,"."&amp;$D$82&amp;$AW$82&amp;"P"&amp;$A94))</f>
        <v>-9</v>
      </c>
      <c r="BG94" s="3" t="e">
        <f ca="1">+Hoja2!Y95</f>
        <v>#N/A</v>
      </c>
      <c r="BH94" s="55" t="e">
        <f t="shared" ca="1" si="488"/>
        <v>#N/A</v>
      </c>
      <c r="BI94" s="32" t="e">
        <f t="shared" ca="1" si="504"/>
        <v>#N/A</v>
      </c>
      <c r="BJ94" s="3" t="e">
        <f ca="1">IF($BP$1=1,DX94,IF(RTD("tos.rtd",,BJ$83,"."&amp;$B$82&amp;$AS$82&amp;"C"&amp;$A94)="N/A",0,RTD("tos.rtd",,BJ$83,"."&amp;$B$82&amp;$AS$82&amp;"C"&amp;$A94)))</f>
        <v>#NUM!</v>
      </c>
      <c r="BK94" s="3" t="e">
        <f ca="1">IF($BP$1=1,DY94,-IF(RTD("tos.rtd",,BK$83,"."&amp;$B$82&amp;$AS$82&amp;"P"&amp;$A94)="N/A",0,RTD("tos.rtd",,BK$83,"."&amp;$B$82&amp;$AS$82&amp;"P"&amp;$A94)))</f>
        <v>#NUM!</v>
      </c>
      <c r="BL94" s="3">
        <f ca="1">IF($BP$1=1,DZ94,IF(RTD("tos.rtd",,BL$83,"."&amp;$C$82&amp;$AU$82&amp;"C"&amp;$A94)="N/A",0,RTD("tos.rtd",,BL$83,"."&amp;$C$82&amp;$AU$82&amp;"C"&amp;$A94)))</f>
        <v>2.6190365168611663E-2</v>
      </c>
      <c r="BM94" s="3">
        <f ca="1">IF($BP$1=1,EA94,-IF(RTD("tos.rtd",,BM$83,"."&amp;$C$82&amp;$AU$82&amp;"P"&amp;$A94)="N/A",0,RTD("tos.rtd",,BM$83,"."&amp;$C$82&amp;$AU$82&amp;"P"&amp;$A94)))</f>
        <v>-2.1908255695154743E-3</v>
      </c>
      <c r="BN94" s="3">
        <f ca="1">IF($BP$1=1,EB94,IF(RTD("tos.rtd",,BN$83,"."&amp;$D$82&amp;$AW$82&amp;"C"&amp;$A94)="N/A",0,RTD("tos.rtd",,BN$83,"."&amp;$D$82&amp;$AW$82&amp;"C"&amp;$A94)))</f>
        <v>2.2204296999074908E-3</v>
      </c>
      <c r="BO94" s="3">
        <f ca="1">IF($BP$1=1,EC94,-IF(RTD("tos.rtd",,BO$83,"."&amp;$D$82&amp;$AW$82&amp;"P"&amp;$A94)="N/A",0,RTD("tos.rtd",,BO$83,"."&amp;$D$82&amp;$AW$82&amp;"P"&amp;$A94)))</f>
        <v>-2.1133128410774104E-3</v>
      </c>
      <c r="BQ94" s="3" t="e">
        <f t="shared" ca="1" si="450"/>
        <v>#NUM!</v>
      </c>
      <c r="BR94" s="3" t="e">
        <f t="shared" ca="1" si="489"/>
        <v>#NUM!</v>
      </c>
      <c r="BS94" s="3">
        <f t="shared" ca="1" si="451"/>
        <v>1949441.9431071293</v>
      </c>
      <c r="BT94" s="3" t="str">
        <f t="shared" ca="1" si="489"/>
        <v/>
      </c>
      <c r="BU94" s="3">
        <f t="shared" ca="1" si="452"/>
        <v>-65981.853477623576</v>
      </c>
      <c r="BV94" s="3" t="str">
        <f t="shared" ca="1" si="489"/>
        <v>Cruce -</v>
      </c>
      <c r="BX94" s="3" t="e">
        <f t="shared" ca="1" si="453"/>
        <v>#NUM!</v>
      </c>
      <c r="BY94" s="3" t="e">
        <f t="shared" ca="1" si="501"/>
        <v>#NUM!</v>
      </c>
      <c r="BZ94" s="3">
        <f t="shared" ca="1" si="454"/>
        <v>6002295.5376492776</v>
      </c>
      <c r="CA94" s="3" t="str">
        <f t="shared" ca="1" si="501"/>
        <v/>
      </c>
      <c r="CB94" s="3">
        <f t="shared" ca="1" si="455"/>
        <v>33674.951470149186</v>
      </c>
      <c r="CC94" s="3" t="str">
        <f t="shared" ca="1" si="501"/>
        <v/>
      </c>
      <c r="CD94" s="3">
        <f>IF(RTD("tos.rtd",,CD$83,"."&amp;$B$82&amp;$AS$82&amp;"C"&amp;$A94)="N/A",0,RTD("tos.rtd",,CD$83,"."&amp;$B$82&amp;$AS$82&amp;"C"&amp;$A94))</f>
        <v>0</v>
      </c>
      <c r="CE94" s="3">
        <f>-IF(RTD("tos.rtd",,CE$83,"."&amp;$B$82&amp;$AS$82&amp;"P"&amp;$A94)="N/A",0,RTD("tos.rtd",,CE$83,"."&amp;$B$82&amp;$AS$82&amp;"P"&amp;$A94))</f>
        <v>0.97</v>
      </c>
      <c r="CF94" s="3">
        <f>IF(RTD("tos.rtd",,CF$83,"."&amp;$C$82&amp;$AU$82&amp;"C"&amp;$A94)="N/A",0,RTD("tos.rtd",,CF$83,"."&amp;$C$82&amp;$AU$82&amp;"C"&amp;$A94))</f>
        <v>0.25</v>
      </c>
      <c r="CG94" s="3">
        <f>-IF(RTD("tos.rtd",,CG$83,"."&amp;$C$82&amp;$AU$82&amp;"P"&amp;$A94)="N/A",0,RTD("tos.rtd",,CG$83,"."&amp;$C$82&amp;$AU$82&amp;"P"&amp;$A94))</f>
        <v>0.74</v>
      </c>
      <c r="CH94" s="3">
        <f>IF(RTD("tos.rtd",,CH$83,"."&amp;$D$82&amp;$AW$82&amp;"C"&amp;$A94)="N/A",0,RTD("tos.rtd",,CH$83,"."&amp;$D$82&amp;$AW$82&amp;"C"&amp;$A94))</f>
        <v>0.33</v>
      </c>
      <c r="CI94" s="3">
        <f>-IF(RTD("tos.rtd",,CI$83,"."&amp;$D$82&amp;$AW$82&amp;"P"&amp;$A94)="N/A",0,RTD("tos.rtd",,CI$83,"."&amp;$D$82&amp;$AW$82&amp;"P"&amp;$A94))</f>
        <v>0.65</v>
      </c>
      <c r="CK94" s="3">
        <f t="shared" si="505"/>
        <v>-52962</v>
      </c>
      <c r="CL94" s="3"/>
      <c r="CM94" s="3">
        <f t="shared" si="506"/>
        <v>7208</v>
      </c>
      <c r="CN94" s="3"/>
      <c r="CO94" s="3">
        <f t="shared" si="507"/>
        <v>-19218</v>
      </c>
      <c r="CP94" s="3">
        <f t="shared" si="456"/>
        <v>-64972</v>
      </c>
      <c r="CQ94" s="3">
        <f t="shared" si="457"/>
        <v>6340</v>
      </c>
      <c r="CR94" s="3"/>
      <c r="CS94" s="3">
        <f t="shared" si="458"/>
        <v>954</v>
      </c>
      <c r="CT94" s="3"/>
      <c r="CU94" s="3">
        <f t="shared" si="459"/>
        <v>63</v>
      </c>
      <c r="CV94" s="3"/>
      <c r="CW94" s="3" t="e">
        <f t="shared" ca="1" si="493"/>
        <v>#NUM!</v>
      </c>
      <c r="CY94" s="3" t="e">
        <f t="shared" ca="1" si="461"/>
        <v>#NUM!</v>
      </c>
      <c r="CZ94" s="70" t="e">
        <f t="shared" ca="1" si="502"/>
        <v>#NUM!</v>
      </c>
      <c r="DA94" s="3">
        <f>IF(RTD("tos.rtd",,DA$83,"."&amp;$B$82&amp;$AS$82&amp;"C"&amp;$A94)="N/A",0,RTD("tos.rtd",,DA$83,"."&amp;$B$82&amp;$AS$82&amp;"C"&amp;$A94))</f>
        <v>0.05</v>
      </c>
      <c r="DB94" s="3">
        <f>IF(RTD("tos.rtd",,DB$83,"."&amp;$B$82&amp;$AS$82&amp;"P"&amp;$A94)="N/A",0,RTD("tos.rtd",,DB$83,"."&amp;$B$82&amp;$AS$82&amp;"P"&amp;$A94))</f>
        <v>89.3</v>
      </c>
      <c r="DC94" s="3">
        <f>IF(RTD("tos.rtd",,DC$83,"."&amp;$B$82&amp;$AS$82&amp;"C"&amp;$A94)="N/A",0,RTD("tos.rtd",,DC$83,"."&amp;$B$82&amp;$AS$82&amp;"C"&amp;$A94))</f>
        <v>0.05</v>
      </c>
      <c r="DD94" s="3">
        <f>IF(RTD("tos.rtd",,DD$83,"."&amp;$B$82&amp;$AS$82&amp;"P"&amp;$A94)="N/A",0,RTD("tos.rtd",,DD$83,"."&amp;$B$82&amp;$AS$82&amp;"P"&amp;$A94))</f>
        <v>96.2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91.7</v>
      </c>
      <c r="DG94" s="86">
        <f t="shared" si="494"/>
        <v>94.25</v>
      </c>
      <c r="DH94" s="3">
        <f t="shared" si="462"/>
        <v>0</v>
      </c>
      <c r="DI94" s="3">
        <f t="shared" si="463"/>
        <v>0</v>
      </c>
      <c r="DJ94" s="3">
        <f t="shared" si="464"/>
        <v>0</v>
      </c>
      <c r="DK94" s="3">
        <f t="shared" si="465"/>
        <v>0</v>
      </c>
      <c r="DL94" s="3">
        <f t="shared" si="466"/>
        <v>0</v>
      </c>
      <c r="DM94" s="3">
        <f t="shared" si="467"/>
        <v>0</v>
      </c>
      <c r="DN94" s="64" t="str">
        <f t="shared" si="468"/>
        <v>UNKNOWN</v>
      </c>
      <c r="DO94" s="64" t="str">
        <f t="shared" si="469"/>
        <v>UNKNOWN</v>
      </c>
      <c r="DP94" s="3">
        <f t="shared" si="470"/>
        <v>0</v>
      </c>
      <c r="DQ94" s="3">
        <f t="shared" si="471"/>
        <v>0</v>
      </c>
      <c r="DR94" s="3" t="e">
        <f t="shared" ca="1" si="472"/>
        <v>#NUM!</v>
      </c>
      <c r="DS94" s="3">
        <f t="shared" si="473"/>
        <v>0</v>
      </c>
      <c r="DT94" s="3">
        <f t="shared" si="495"/>
        <v>0</v>
      </c>
      <c r="DU94" s="3">
        <f t="shared" si="496"/>
        <v>0</v>
      </c>
      <c r="DV94" s="3">
        <f t="shared" si="497"/>
        <v>-2520</v>
      </c>
      <c r="DW94" s="3">
        <f t="shared" si="498"/>
        <v>139</v>
      </c>
      <c r="DX94" s="3" t="e">
        <f t="shared" ca="1" si="503"/>
        <v>#NUM!</v>
      </c>
      <c r="DY94" s="3" t="e">
        <f t="shared" ca="1" si="474"/>
        <v>#NUM!</v>
      </c>
      <c r="DZ94" s="3">
        <f t="shared" ca="1" si="475"/>
        <v>2.6190365168611663E-2</v>
      </c>
      <c r="EA94" s="3">
        <f t="shared" ca="1" si="476"/>
        <v>-2.1908255695154743E-3</v>
      </c>
      <c r="EB94" s="3">
        <f t="shared" ca="1" si="477"/>
        <v>2.2204296999074908E-3</v>
      </c>
      <c r="EC94" s="3">
        <f t="shared" ca="1" si="478"/>
        <v>-2.1133128410774104E-3</v>
      </c>
      <c r="EE94" s="59">
        <f t="shared" si="479"/>
        <v>0.76980000000000004</v>
      </c>
      <c r="EF94" s="59">
        <f t="shared" si="480"/>
        <v>1.1681999999999999</v>
      </c>
      <c r="EG94" s="59">
        <f t="shared" si="481"/>
        <v>0.1638</v>
      </c>
      <c r="EH94" s="59">
        <f t="shared" si="482"/>
        <v>0.1706</v>
      </c>
      <c r="EI94" s="59">
        <f t="shared" si="483"/>
        <v>0.1673</v>
      </c>
      <c r="EJ94" s="59">
        <f t="shared" si="484"/>
        <v>0.17949999999999999</v>
      </c>
      <c r="EL94" s="3" t="str">
        <f>RTD("tos.rtd",,EL$83,"."&amp;$B$82&amp;$AS$82&amp;"C"&amp;$A94)</f>
        <v>76.98%</v>
      </c>
      <c r="EM94" s="3" t="str">
        <f>RTD("tos.rtd",,EM$83,"."&amp;$B$82&amp;$AS$82&amp;"P"&amp;$A94)</f>
        <v>116.82%</v>
      </c>
      <c r="EN94" s="3" t="str">
        <f>RTD("tos.rtd",,EN$83,"."&amp;$C$82&amp;$AU$82&amp;"C"&amp;$A94)</f>
        <v>16.38%</v>
      </c>
      <c r="EO94" s="3" t="str">
        <f>RTD("tos.rtd",,EO$83,"."&amp;$C$82&amp;$AU$82&amp;"P"&amp;$A94)</f>
        <v>17.06%</v>
      </c>
      <c r="EP94" s="3" t="str">
        <f>RTD("tos.rtd",,EP$83,"."&amp;$D$82&amp;$AW$82&amp;"C"&amp;$A94)</f>
        <v>16.73%</v>
      </c>
      <c r="EQ94" s="3" t="str">
        <f>RTD("tos.rtd",,EQ$83,"."&amp;$D$82&amp;$AW$82&amp;"P"&amp;$A94)</f>
        <v>17.95%</v>
      </c>
      <c r="ET94" s="64" t="str">
        <f t="shared" ca="1" si="485"/>
        <v>5780,00.00</v>
      </c>
      <c r="EU94" s="67">
        <v>563.66</v>
      </c>
      <c r="EV94" s="67" t="s">
        <v>771</v>
      </c>
      <c r="EW94" s="67">
        <v>485.5</v>
      </c>
      <c r="EX94" s="67" t="s">
        <v>772</v>
      </c>
      <c r="EY94" s="67">
        <v>5652.25</v>
      </c>
      <c r="EZ94" s="67" t="s">
        <v>773</v>
      </c>
      <c r="FA94" s="67">
        <v>19948.5</v>
      </c>
      <c r="FB94" s="67" t="s">
        <v>774</v>
      </c>
      <c r="FC94" s="67" t="s">
        <v>775</v>
      </c>
      <c r="FD94" s="67" t="s">
        <v>776</v>
      </c>
      <c r="FE94" s="68" t="s">
        <v>777</v>
      </c>
      <c r="FF94" s="68" t="s">
        <v>778</v>
      </c>
    </row>
    <row r="95" spans="1:162" s="63" customFormat="1" ht="12" customHeight="1" thickBot="1" x14ac:dyDescent="0.25">
      <c r="A95" s="2">
        <f t="shared" si="499"/>
        <v>5770</v>
      </c>
      <c r="B95" s="3">
        <f t="shared" si="445"/>
        <v>2186</v>
      </c>
      <c r="C95" s="3">
        <f t="shared" si="446"/>
        <v>202</v>
      </c>
      <c r="D95" s="3">
        <f t="shared" si="447"/>
        <v>399</v>
      </c>
      <c r="E95" s="3">
        <f t="shared" si="448"/>
        <v>2787</v>
      </c>
      <c r="F95" s="4">
        <f t="shared" si="508"/>
        <v>5794.3556259068728</v>
      </c>
      <c r="G95" s="4">
        <f t="shared" si="486"/>
        <v>575.37121751747793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-2182</v>
      </c>
      <c r="AN95" s="20">
        <v>163</v>
      </c>
      <c r="AO95" s="20">
        <v>5770</v>
      </c>
      <c r="AP95" s="20">
        <v>11160</v>
      </c>
      <c r="AQ95" s="20">
        <v>-668</v>
      </c>
      <c r="AR95" s="20"/>
      <c r="AS95" s="54">
        <f>IF(RTD("tos.rtd",,AS$83,"."&amp;$B$82&amp;$AS$82&amp;"C"&amp;$A95)="N/A",0,RTD("tos.rtd",,AS$83,"."&amp;$B$82&amp;$AS$82&amp;"C"&amp;$A95))</f>
        <v>1600</v>
      </c>
      <c r="AT95" s="3">
        <f>-IF(RTD("tos.rtd",,AT$83,"."&amp;$B$82&amp;$AS$82&amp;"P"&amp;$A95)="N/A",0,RTD("tos.rtd",,AT$83,"."&amp;$B$82&amp;$AS$82&amp;"P"&amp;$A95))</f>
        <v>-586</v>
      </c>
      <c r="AU95" s="54">
        <f>IF(RTD("tos.rtd",,AU$83,"."&amp;$C$82&amp;$AU$82&amp;"C"&amp;$A95)="N/A",0,RTD("tos.rtd",,AU$83,"."&amp;$C$82&amp;$AU$82&amp;"C"&amp;$A95))</f>
        <v>189</v>
      </c>
      <c r="AV95" s="3">
        <f>-IF(RTD("tos.rtd",,AV$83,"."&amp;$C$82&amp;$AU$82&amp;"P"&amp;$A95)="N/A",0,RTD("tos.rtd",,AV$83,"."&amp;$C$82&amp;$AU$82&amp;"P"&amp;$A95))</f>
        <v>-13</v>
      </c>
      <c r="AW95" s="54">
        <f>IF(RTD("tos.rtd",,AW$83,"."&amp;$D$82&amp;$AW$82&amp;"C"&amp;$A95)="N/A",0,RTD("tos.rtd",,AW$83,"."&amp;$D$82&amp;$AW$82&amp;"C"&amp;$A95))</f>
        <v>199</v>
      </c>
      <c r="AX95" s="3">
        <f>-IF(RTD("tos.rtd",,AX$83,"."&amp;$D$82&amp;$AW$82&amp;"P"&amp;$A95)="N/A",0,RTD("tos.rtd",,AX$83,"."&amp;$D$82&amp;$AW$82&amp;"P"&amp;$A95))</f>
        <v>-200</v>
      </c>
      <c r="AY95" s="79">
        <f t="shared" si="487"/>
        <v>1189</v>
      </c>
      <c r="AZ95" s="8">
        <f t="shared" si="449"/>
        <v>5770</v>
      </c>
      <c r="BA95" s="54">
        <f>IF(RTD("tos.rtd",,BA$83,"."&amp;$B$82&amp;$AS$82&amp;"C"&amp;$A95)="N/A",0,RTD("tos.rtd",,BA$83,"."&amp;$B$82&amp;$AS$82&amp;"C"&amp;$A95))</f>
        <v>11160</v>
      </c>
      <c r="BB95" s="3">
        <f>-IF(RTD("tos.rtd",,BB$83,"."&amp;$B$82&amp;$AS$82&amp;"P"&amp;$A95)="N/A",0,RTD("tos.rtd",,BB$83,"."&amp;$B$82&amp;$AS$82&amp;"P"&amp;$A95))</f>
        <v>-668</v>
      </c>
      <c r="BC95" s="54">
        <f>IF(RTD("tos.rtd",,BC$83,"."&amp;$C$82&amp;$AU$82&amp;"C"&amp;$A95)="N/A",0,RTD("tos.rtd",,BC$83,"."&amp;$C$82&amp;$AU$82&amp;"C"&amp;$A95))</f>
        <v>1099</v>
      </c>
      <c r="BD95" s="3">
        <f>-IF(RTD("tos.rtd",,BD$83,"."&amp;$C$82&amp;$AU$82&amp;"P"&amp;$A95)="N/A",0,RTD("tos.rtd",,BD$83,"."&amp;$C$82&amp;$AU$82&amp;"P"&amp;$A95))</f>
        <v>-2</v>
      </c>
      <c r="BE95" s="54">
        <f>IF(RTD("tos.rtd",,BE$83,"."&amp;$D$82&amp;$AW$82&amp;"C"&amp;$A95)="N/A",0,RTD("tos.rtd",,BE$83,"."&amp;$D$82&amp;$AW$82&amp;"C"&amp;$A95))</f>
        <v>220</v>
      </c>
      <c r="BF95" s="3">
        <f>-IF(RTD("tos.rtd",,BF$83,"."&amp;$D$82&amp;$AW$82&amp;"P"&amp;$A95)="N/A",0,RTD("tos.rtd",,BF$83,"."&amp;$D$82&amp;$AW$82&amp;"P"&amp;$A95))</f>
        <v>-7</v>
      </c>
      <c r="BG95" s="3" t="e">
        <f ca="1">+Hoja2!Y96</f>
        <v>#N/A</v>
      </c>
      <c r="BH95" s="55" t="e">
        <f t="shared" ca="1" si="488"/>
        <v>#N/A</v>
      </c>
      <c r="BI95" s="32" t="e">
        <f t="shared" ca="1" si="504"/>
        <v>#N/A</v>
      </c>
      <c r="BJ95" s="3" t="e">
        <f ca="1">IF($BP$1=1,DX95,IF(RTD("tos.rtd",,BJ$83,"."&amp;$B$82&amp;$AS$82&amp;"C"&amp;$A95)="N/A",0,RTD("tos.rtd",,BJ$83,"."&amp;$B$82&amp;$AS$82&amp;"C"&amp;$A95)))</f>
        <v>#NUM!</v>
      </c>
      <c r="BK95" s="3" t="e">
        <f ca="1">IF($BP$1=1,DY95,-IF(RTD("tos.rtd",,BK$83,"."&amp;$B$82&amp;$AS$82&amp;"P"&amp;$A95)="N/A",0,RTD("tos.rtd",,BK$83,"."&amp;$B$82&amp;$AS$82&amp;"P"&amp;$A95)))</f>
        <v>#NUM!</v>
      </c>
      <c r="BL95" s="3">
        <f ca="1">IF($BP$1=1,DZ95,IF(RTD("tos.rtd",,BL$83,"."&amp;$C$82&amp;$AU$82&amp;"C"&amp;$A95)="N/A",0,RTD("tos.rtd",,BL$83,"."&amp;$C$82&amp;$AU$82&amp;"C"&amp;$A95)))</f>
        <v>2.6869843032684523E-2</v>
      </c>
      <c r="BM95" s="3">
        <f ca="1">IF($BP$1=1,EA95,-IF(RTD("tos.rtd",,BM$83,"."&amp;$C$82&amp;$AU$82&amp;"P"&amp;$A95)="N/A",0,RTD("tos.rtd",,BM$83,"."&amp;$C$82&amp;$AU$82&amp;"P"&amp;$A95)))</f>
        <v>-2.2427089758458329E-3</v>
      </c>
      <c r="BN95" s="3">
        <f ca="1">IF($BP$1=1,EB95,IF(RTD("tos.rtd",,BN$83,"."&amp;$D$82&amp;$AW$82&amp;"C"&amp;$A95)="N/A",0,RTD("tos.rtd",,BN$83,"."&amp;$D$82&amp;$AW$82&amp;"C"&amp;$A95)))</f>
        <v>2.2788926694087774E-3</v>
      </c>
      <c r="BO95" s="3">
        <f ca="1">IF($BP$1=1,EC95,-IF(RTD("tos.rtd",,BO$83,"."&amp;$D$82&amp;$AW$82&amp;"P"&amp;$A95)="N/A",0,RTD("tos.rtd",,BO$83,"."&amp;$D$82&amp;$AW$82&amp;"P"&amp;$A95)))</f>
        <v>-2.1615882838077376E-3</v>
      </c>
      <c r="BQ95" s="3" t="e">
        <f t="shared" ca="1" si="450"/>
        <v>#NUM!</v>
      </c>
      <c r="BR95" s="3" t="e">
        <f t="shared" ca="1" si="489"/>
        <v>#NUM!</v>
      </c>
      <c r="BS95" s="3">
        <f t="shared" ca="1" si="451"/>
        <v>1207183.0231103702</v>
      </c>
      <c r="BT95" s="3" t="str">
        <f t="shared" ca="1" si="489"/>
        <v/>
      </c>
      <c r="BU95" s="3">
        <f t="shared" ca="1" si="452"/>
        <v>5064.2286985190149</v>
      </c>
      <c r="BV95" s="3" t="str">
        <f t="shared" ca="1" si="489"/>
        <v>Cruce +</v>
      </c>
      <c r="BX95" s="3" t="e">
        <f t="shared" ca="1" si="453"/>
        <v>#NUM!</v>
      </c>
      <c r="BY95" s="3" t="e">
        <f t="shared" ca="1" si="501"/>
        <v>#NUM!</v>
      </c>
      <c r="BZ95" s="3">
        <f t="shared" ca="1" si="454"/>
        <v>7059005.4188117487</v>
      </c>
      <c r="CA95" s="3" t="str">
        <f t="shared" ca="1" si="501"/>
        <v/>
      </c>
      <c r="CB95" s="3">
        <f t="shared" ca="1" si="455"/>
        <v>116247.6522617125</v>
      </c>
      <c r="CC95" s="3" t="str">
        <f t="shared" ca="1" si="501"/>
        <v/>
      </c>
      <c r="CD95" s="3">
        <f>IF(RTD("tos.rtd",,CD$83,"."&amp;$B$82&amp;$AS$82&amp;"C"&amp;$A95)="N/A",0,RTD("tos.rtd",,CD$83,"."&amp;$B$82&amp;$AS$82&amp;"C"&amp;$A95))</f>
        <v>0</v>
      </c>
      <c r="CE95" s="3">
        <f>-IF(RTD("tos.rtd",,CE$83,"."&amp;$B$82&amp;$AS$82&amp;"P"&amp;$A95)="N/A",0,RTD("tos.rtd",,CE$83,"."&amp;$B$82&amp;$AS$82&amp;"P"&amp;$A95))</f>
        <v>0.96</v>
      </c>
      <c r="CF95" s="3">
        <f>IF(RTD("tos.rtd",,CF$83,"."&amp;$C$82&amp;$AU$82&amp;"C"&amp;$A95)="N/A",0,RTD("tos.rtd",,CF$83,"."&amp;$C$82&amp;$AU$82&amp;"C"&amp;$A95))</f>
        <v>0.28000000000000003</v>
      </c>
      <c r="CG95" s="3">
        <f>-IF(RTD("tos.rtd",,CG$83,"."&amp;$C$82&amp;$AU$82&amp;"P"&amp;$A95)="N/A",0,RTD("tos.rtd",,CG$83,"."&amp;$C$82&amp;$AU$82&amp;"P"&amp;$A95))</f>
        <v>0.71</v>
      </c>
      <c r="CH95" s="3">
        <f>IF(RTD("tos.rtd",,CH$83,"."&amp;$D$82&amp;$AW$82&amp;"C"&amp;$A95)="N/A",0,RTD("tos.rtd",,CH$83,"."&amp;$D$82&amp;$AW$82&amp;"C"&amp;$A95))</f>
        <v>0.36</v>
      </c>
      <c r="CI95" s="3">
        <f>-IF(RTD("tos.rtd",,CI$83,"."&amp;$D$82&amp;$AW$82&amp;"P"&amp;$A95)="N/A",0,RTD("tos.rtd",,CI$83,"."&amp;$D$82&amp;$AW$82&amp;"P"&amp;$A95))</f>
        <v>0.63</v>
      </c>
      <c r="CK95" s="3">
        <f t="shared" si="505"/>
        <v>-56255.999999999993</v>
      </c>
      <c r="CL95" s="3"/>
      <c r="CM95" s="3">
        <f t="shared" si="506"/>
        <v>4369</v>
      </c>
      <c r="CN95" s="3"/>
      <c r="CO95" s="3">
        <f t="shared" si="507"/>
        <v>-5436</v>
      </c>
      <c r="CP95" s="3">
        <f t="shared" si="456"/>
        <v>-57322.999999999993</v>
      </c>
      <c r="CQ95" s="3">
        <f t="shared" si="457"/>
        <v>10492</v>
      </c>
      <c r="CR95" s="3"/>
      <c r="CS95" s="3">
        <f t="shared" si="458"/>
        <v>1097</v>
      </c>
      <c r="CT95" s="3"/>
      <c r="CU95" s="3">
        <f t="shared" si="459"/>
        <v>213</v>
      </c>
      <c r="CV95" s="3"/>
      <c r="CW95" s="3" t="e">
        <f t="shared" ca="1" si="493"/>
        <v>#NUM!</v>
      </c>
      <c r="CY95" s="3" t="e">
        <f t="shared" ca="1" si="461"/>
        <v>#NUM!</v>
      </c>
      <c r="CZ95" s="70" t="e">
        <f t="shared" ca="1" si="502"/>
        <v>#NUM!</v>
      </c>
      <c r="DA95" s="3">
        <f>IF(RTD("tos.rtd",,DA$83,"."&amp;$B$82&amp;$AS$82&amp;"C"&amp;$A95)="N/A",0,RTD("tos.rtd",,DA$83,"."&amp;$B$82&amp;$AS$82&amp;"C"&amp;$A95))</f>
        <v>0.05</v>
      </c>
      <c r="DB95" s="3">
        <f>IF(RTD("tos.rtd",,DB$83,"."&amp;$B$82&amp;$AS$82&amp;"P"&amp;$A95)="N/A",0,RTD("tos.rtd",,DB$83,"."&amp;$B$82&amp;$AS$82&amp;"P"&amp;$A95))</f>
        <v>81.099999999999994</v>
      </c>
      <c r="DC95" s="3">
        <f>IF(RTD("tos.rtd",,DC$83,"."&amp;$B$82&amp;$AS$82&amp;"C"&amp;$A95)="N/A",0,RTD("tos.rtd",,DC$83,"."&amp;$B$82&amp;$AS$82&amp;"C"&amp;$A95))</f>
        <v>0.05</v>
      </c>
      <c r="DD95" s="3">
        <f>IF(RTD("tos.rtd",,DD$83,"."&amp;$B$82&amp;$AS$82&amp;"P"&amp;$A95)="N/A",0,RTD("tos.rtd",,DD$83,"."&amp;$B$82&amp;$AS$82&amp;"P"&amp;$A95))</f>
        <v>86.2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81.7</v>
      </c>
      <c r="DG95" s="86">
        <f t="shared" si="494"/>
        <v>84.25</v>
      </c>
      <c r="DH95" s="3">
        <f t="shared" si="462"/>
        <v>0</v>
      </c>
      <c r="DI95" s="3">
        <f t="shared" si="463"/>
        <v>0</v>
      </c>
      <c r="DJ95" s="3">
        <f t="shared" si="464"/>
        <v>0</v>
      </c>
      <c r="DK95" s="3">
        <f t="shared" si="465"/>
        <v>0</v>
      </c>
      <c r="DL95" s="3">
        <f t="shared" si="466"/>
        <v>0</v>
      </c>
      <c r="DM95" s="3">
        <f t="shared" si="467"/>
        <v>0</v>
      </c>
      <c r="DN95" s="64" t="str">
        <f t="shared" si="468"/>
        <v>UNKNOWN</v>
      </c>
      <c r="DO95" s="64" t="str">
        <f t="shared" si="469"/>
        <v>UNKNOWN</v>
      </c>
      <c r="DP95" s="3">
        <f t="shared" si="470"/>
        <v>0</v>
      </c>
      <c r="DQ95" s="3">
        <f t="shared" si="471"/>
        <v>0</v>
      </c>
      <c r="DR95" s="3" t="e">
        <f t="shared" ca="1" si="472"/>
        <v>#NUM!</v>
      </c>
      <c r="DS95" s="3">
        <f t="shared" si="473"/>
        <v>0</v>
      </c>
      <c r="DT95" s="3">
        <f t="shared" si="495"/>
        <v>0</v>
      </c>
      <c r="DU95" s="3">
        <f t="shared" si="496"/>
        <v>0</v>
      </c>
      <c r="DV95" s="3">
        <f t="shared" si="497"/>
        <v>-2182</v>
      </c>
      <c r="DW95" s="3">
        <f t="shared" si="498"/>
        <v>163</v>
      </c>
      <c r="DX95" s="3" t="e">
        <f t="shared" ca="1" si="503"/>
        <v>#NUM!</v>
      </c>
      <c r="DY95" s="3" t="e">
        <f t="shared" ca="1" si="474"/>
        <v>#NUM!</v>
      </c>
      <c r="DZ95" s="3">
        <f t="shared" ca="1" si="475"/>
        <v>2.6869843032684523E-2</v>
      </c>
      <c r="EA95" s="3">
        <f t="shared" ca="1" si="476"/>
        <v>-2.2427089758458329E-3</v>
      </c>
      <c r="EB95" s="3">
        <f t="shared" ca="1" si="477"/>
        <v>2.2788926694087774E-3</v>
      </c>
      <c r="EC95" s="3">
        <f t="shared" ca="1" si="478"/>
        <v>-2.1615882838077376E-3</v>
      </c>
      <c r="EE95" s="59">
        <f t="shared" si="479"/>
        <v>0.6956</v>
      </c>
      <c r="EF95" s="59">
        <f t="shared" si="480"/>
        <v>1.0650999999999999</v>
      </c>
      <c r="EG95" s="59">
        <f t="shared" si="481"/>
        <v>0.1658</v>
      </c>
      <c r="EH95" s="59">
        <f t="shared" si="482"/>
        <v>0.17249999999999999</v>
      </c>
      <c r="EI95" s="59">
        <f t="shared" si="483"/>
        <v>0.16889999999999999</v>
      </c>
      <c r="EJ95" s="59">
        <f t="shared" si="484"/>
        <v>0.18090000000000001</v>
      </c>
      <c r="EL95" s="3" t="str">
        <f>RTD("tos.rtd",,EL$83,"."&amp;$B$82&amp;$AS$82&amp;"C"&amp;$A95)</f>
        <v>69.56%</v>
      </c>
      <c r="EM95" s="3" t="str">
        <f>RTD("tos.rtd",,EM$83,"."&amp;$B$82&amp;$AS$82&amp;"P"&amp;$A95)</f>
        <v>106.51%</v>
      </c>
      <c r="EN95" s="3" t="str">
        <f>RTD("tos.rtd",,EN$83,"."&amp;$C$82&amp;$AU$82&amp;"C"&amp;$A95)</f>
        <v>16.58%</v>
      </c>
      <c r="EO95" s="3" t="str">
        <f>RTD("tos.rtd",,EO$83,"."&amp;$C$82&amp;$AU$82&amp;"P"&amp;$A95)</f>
        <v>17.25%</v>
      </c>
      <c r="EP95" s="3" t="str">
        <f>RTD("tos.rtd",,EP$83,"."&amp;$D$82&amp;$AW$82&amp;"C"&amp;$A95)</f>
        <v>16.89%</v>
      </c>
      <c r="EQ95" s="3" t="str">
        <f>RTD("tos.rtd",,EQ$83,"."&amp;$D$82&amp;$AW$82&amp;"P"&amp;$A95)</f>
        <v>18.09%</v>
      </c>
      <c r="ET95" s="64" t="str">
        <f t="shared" ca="1" si="485"/>
        <v>5770,00.00</v>
      </c>
      <c r="EU95" s="67">
        <v>563.25</v>
      </c>
      <c r="EV95" s="67" t="s">
        <v>779</v>
      </c>
      <c r="EW95" s="67">
        <v>485.02</v>
      </c>
      <c r="EX95" s="67" t="s">
        <v>780</v>
      </c>
      <c r="EY95" s="67">
        <v>5648</v>
      </c>
      <c r="EZ95" s="67" t="s">
        <v>781</v>
      </c>
      <c r="FA95" s="67">
        <v>19928</v>
      </c>
      <c r="FB95" s="67" t="s">
        <v>782</v>
      </c>
      <c r="FC95" s="67" t="s">
        <v>783</v>
      </c>
      <c r="FD95" s="67" t="s">
        <v>784</v>
      </c>
      <c r="FE95" s="68" t="s">
        <v>785</v>
      </c>
      <c r="FF95" s="68" t="s">
        <v>786</v>
      </c>
    </row>
    <row r="96" spans="1:162" s="63" customFormat="1" ht="12" customHeight="1" thickBot="1" x14ac:dyDescent="0.25">
      <c r="A96" s="2">
        <f t="shared" si="499"/>
        <v>5760</v>
      </c>
      <c r="B96" s="3">
        <f t="shared" si="445"/>
        <v>2209</v>
      </c>
      <c r="C96" s="3">
        <f t="shared" si="446"/>
        <v>657</v>
      </c>
      <c r="D96" s="3">
        <f t="shared" si="447"/>
        <v>636</v>
      </c>
      <c r="E96" s="3">
        <f t="shared" si="448"/>
        <v>3502</v>
      </c>
      <c r="F96" s="4">
        <f t="shared" si="508"/>
        <v>5784.3134151167396</v>
      </c>
      <c r="G96" s="4">
        <f t="shared" si="486"/>
        <v>574.37404036406815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-4833</v>
      </c>
      <c r="AN96" s="20">
        <v>222</v>
      </c>
      <c r="AO96" s="20">
        <v>5760</v>
      </c>
      <c r="AP96" s="20">
        <v>14707</v>
      </c>
      <c r="AQ96" s="20">
        <v>-469</v>
      </c>
      <c r="AR96" s="20"/>
      <c r="AS96" s="54">
        <f>IF(RTD("tos.rtd",,AS$83,"."&amp;$B$82&amp;$AS$82&amp;"C"&amp;$A96)="N/A",0,RTD("tos.rtd",,AS$83,"."&amp;$B$82&amp;$AS$82&amp;"C"&amp;$A96))</f>
        <v>2131</v>
      </c>
      <c r="AT96" s="3">
        <f>-IF(RTD("tos.rtd",,AT$83,"."&amp;$B$82&amp;$AS$82&amp;"P"&amp;$A96)="N/A",0,RTD("tos.rtd",,AT$83,"."&amp;$B$82&amp;$AS$82&amp;"P"&amp;$A96))</f>
        <v>-78</v>
      </c>
      <c r="AU96" s="54">
        <f>IF(RTD("tos.rtd",,AU$83,"."&amp;$C$82&amp;$AU$82&amp;"C"&amp;$A96)="N/A",0,RTD("tos.rtd",,AU$83,"."&amp;$C$82&amp;$AU$82&amp;"C"&amp;$A96))</f>
        <v>648</v>
      </c>
      <c r="AV96" s="3">
        <f>-IF(RTD("tos.rtd",,AV$83,"."&amp;$C$82&amp;$AU$82&amp;"P"&amp;$A96)="N/A",0,RTD("tos.rtd",,AV$83,"."&amp;$C$82&amp;$AU$82&amp;"P"&amp;$A96))</f>
        <v>-9</v>
      </c>
      <c r="AW96" s="54">
        <f>IF(RTD("tos.rtd",,AW$83,"."&amp;$D$82&amp;$AW$82&amp;"C"&amp;$A96)="N/A",0,RTD("tos.rtd",,AW$83,"."&amp;$D$82&amp;$AW$82&amp;"C"&amp;$A96))</f>
        <v>291</v>
      </c>
      <c r="AX96" s="3">
        <f>-IF(RTD("tos.rtd",,AX$83,"."&amp;$D$82&amp;$AW$82&amp;"P"&amp;$A96)="N/A",0,RTD("tos.rtd",,AX$83,"."&amp;$D$82&amp;$AW$82&amp;"P"&amp;$A96))</f>
        <v>-345</v>
      </c>
      <c r="AY96" s="79">
        <f t="shared" si="487"/>
        <v>2638</v>
      </c>
      <c r="AZ96" s="8">
        <f t="shared" si="449"/>
        <v>5760</v>
      </c>
      <c r="BA96" s="54">
        <f>IF(RTD("tos.rtd",,BA$83,"."&amp;$B$82&amp;$AS$82&amp;"C"&amp;$A96)="N/A",0,RTD("tos.rtd",,BA$83,"."&amp;$B$82&amp;$AS$82&amp;"C"&amp;$A96))</f>
        <v>14707</v>
      </c>
      <c r="BB96" s="3">
        <f>-IF(RTD("tos.rtd",,BB$83,"."&amp;$B$82&amp;$AS$82&amp;"P"&amp;$A96)="N/A",0,RTD("tos.rtd",,BB$83,"."&amp;$B$82&amp;$AS$82&amp;"P"&amp;$A96))</f>
        <v>-469</v>
      </c>
      <c r="BC96" s="54">
        <f>IF(RTD("tos.rtd",,BC$83,"."&amp;$C$82&amp;$AU$82&amp;"C"&amp;$A96)="N/A",0,RTD("tos.rtd",,BC$83,"."&amp;$C$82&amp;$AU$82&amp;"C"&amp;$A96))</f>
        <v>1598</v>
      </c>
      <c r="BD96" s="3">
        <f>-IF(RTD("tos.rtd",,BD$83,"."&amp;$C$82&amp;$AU$82&amp;"P"&amp;$A96)="N/A",0,RTD("tos.rtd",,BD$83,"."&amp;$C$82&amp;$AU$82&amp;"P"&amp;$A96))</f>
        <v>-32</v>
      </c>
      <c r="BE96" s="54">
        <f>IF(RTD("tos.rtd",,BE$83,"."&amp;$D$82&amp;$AW$82&amp;"C"&amp;$A96)="N/A",0,RTD("tos.rtd",,BE$83,"."&amp;$D$82&amp;$AW$82&amp;"C"&amp;$A96))</f>
        <v>157</v>
      </c>
      <c r="BF96" s="3">
        <f>-IF(RTD("tos.rtd",,BF$83,"."&amp;$D$82&amp;$AW$82&amp;"P"&amp;$A96)="N/A",0,RTD("tos.rtd",,BF$83,"."&amp;$D$82&amp;$AW$82&amp;"P"&amp;$A96))</f>
        <v>-5</v>
      </c>
      <c r="BG96" s="3" t="e">
        <f ca="1">+Hoja2!Y97</f>
        <v>#N/A</v>
      </c>
      <c r="BH96" s="55" t="e">
        <f t="shared" ca="1" si="488"/>
        <v>#N/A</v>
      </c>
      <c r="BI96" s="32" t="e">
        <f t="shared" ca="1" si="504"/>
        <v>#N/A</v>
      </c>
      <c r="BJ96" s="3" t="e">
        <f ca="1">IF($BP$1=1,DX96,IF(RTD("tos.rtd",,BJ$83,"."&amp;$B$82&amp;$AS$82&amp;"C"&amp;$A96)="N/A",0,RTD("tos.rtd",,BJ$83,"."&amp;$B$82&amp;$AS$82&amp;"C"&amp;$A96)))</f>
        <v>#NUM!</v>
      </c>
      <c r="BK96" s="3" t="e">
        <f ca="1">IF($BP$1=1,DY96,-IF(RTD("tos.rtd",,BK$83,"."&amp;$B$82&amp;$AS$82&amp;"P"&amp;$A96)="N/A",0,RTD("tos.rtd",,BK$83,"."&amp;$B$82&amp;$AS$82&amp;"P"&amp;$A96)))</f>
        <v>#NUM!</v>
      </c>
      <c r="BL96" s="3">
        <f ca="1">IF($BP$1=1,DZ96,IF(RTD("tos.rtd",,BL$83,"."&amp;$C$82&amp;$AU$82&amp;"C"&amp;$A96)="N/A",0,RTD("tos.rtd",,BL$83,"."&amp;$C$82&amp;$AU$82&amp;"C"&amp;$A96)))</f>
        <v>2.7398783343489237E-2</v>
      </c>
      <c r="BM96" s="3">
        <f ca="1">IF($BP$1=1,EA96,-IF(RTD("tos.rtd",,BM$83,"."&amp;$C$82&amp;$AU$82&amp;"P"&amp;$A96)="N/A",0,RTD("tos.rtd",,BM$83,"."&amp;$C$82&amp;$AU$82&amp;"P"&amp;$A96)))</f>
        <v>-2.2885212496411588E-3</v>
      </c>
      <c r="BN96" s="3">
        <f ca="1">IF($BP$1=1,EB96,IF(RTD("tos.rtd",,BN$83,"."&amp;$D$82&amp;$AW$82&amp;"C"&amp;$A96)="N/A",0,RTD("tos.rtd",,BN$83,"."&amp;$D$82&amp;$AW$82&amp;"C"&amp;$A96)))</f>
        <v>2.3269633223534487E-3</v>
      </c>
      <c r="BO96" s="3">
        <f ca="1">IF($BP$1=1,EC96,-IF(RTD("tos.rtd",,BO$83,"."&amp;$D$82&amp;$AW$82&amp;"P"&amp;$A96)="N/A",0,RTD("tos.rtd",,BO$83,"."&amp;$D$82&amp;$AW$82&amp;"P"&amp;$A96)))</f>
        <v>-2.1995260102578981E-3</v>
      </c>
      <c r="BQ96" s="3" t="e">
        <f t="shared" ca="1" si="450"/>
        <v>#NUM!</v>
      </c>
      <c r="BR96" s="3" t="e">
        <f t="shared" ca="1" si="489"/>
        <v>#NUM!</v>
      </c>
      <c r="BS96" s="3">
        <f t="shared" ca="1" si="451"/>
        <v>4239833.8379042586</v>
      </c>
      <c r="BT96" s="3" t="str">
        <f t="shared" ca="1" si="489"/>
        <v/>
      </c>
      <c r="BU96" s="3">
        <f t="shared" ca="1" si="452"/>
        <v>-19530.633989373804</v>
      </c>
      <c r="BV96" s="3" t="str">
        <f t="shared" ca="1" si="489"/>
        <v>Cruce -</v>
      </c>
      <c r="BX96" s="3" t="e">
        <f t="shared" ca="1" si="453"/>
        <v>#NUM!</v>
      </c>
      <c r="BY96" s="3" t="e">
        <f t="shared" ca="1" si="501"/>
        <v>#NUM!</v>
      </c>
      <c r="BZ96" s="3">
        <f t="shared" ca="1" si="454"/>
        <v>10450274.568222543</v>
      </c>
      <c r="CA96" s="3" t="str">
        <f t="shared" ca="1" si="501"/>
        <v/>
      </c>
      <c r="CB96" s="3">
        <f t="shared" ca="1" si="455"/>
        <v>84715.224729221634</v>
      </c>
      <c r="CC96" s="3" t="str">
        <f t="shared" ca="1" si="501"/>
        <v/>
      </c>
      <c r="CD96" s="3">
        <f>IF(RTD("tos.rtd",,CD$83,"."&amp;$B$82&amp;$AS$82&amp;"C"&amp;$A96)="N/A",0,RTD("tos.rtd",,CD$83,"."&amp;$B$82&amp;$AS$82&amp;"C"&amp;$A96))</f>
        <v>0</v>
      </c>
      <c r="CE96" s="3">
        <f>-IF(RTD("tos.rtd",,CE$83,"."&amp;$B$82&amp;$AS$82&amp;"P"&amp;$A96)="N/A",0,RTD("tos.rtd",,CE$83,"."&amp;$B$82&amp;$AS$82&amp;"P"&amp;$A96))</f>
        <v>0.96</v>
      </c>
      <c r="CF96" s="3">
        <f>IF(RTD("tos.rtd",,CF$83,"."&amp;$C$82&amp;$AU$82&amp;"C"&amp;$A96)="N/A",0,RTD("tos.rtd",,CF$83,"."&amp;$C$82&amp;$AU$82&amp;"C"&amp;$A96))</f>
        <v>0.31</v>
      </c>
      <c r="CG96" s="3">
        <f>-IF(RTD("tos.rtd",,CG$83,"."&amp;$C$82&amp;$AU$82&amp;"P"&amp;$A96)="N/A",0,RTD("tos.rtd",,CG$83,"."&amp;$C$82&amp;$AU$82&amp;"P"&amp;$A96))</f>
        <v>0.69</v>
      </c>
      <c r="CH96" s="3">
        <f>IF(RTD("tos.rtd",,CH$83,"."&amp;$D$82&amp;$AW$82&amp;"C"&amp;$A96)="N/A",0,RTD("tos.rtd",,CH$83,"."&amp;$D$82&amp;$AW$82&amp;"C"&amp;$A96))</f>
        <v>0.38</v>
      </c>
      <c r="CI96" s="3">
        <f>-IF(RTD("tos.rtd",,CI$83,"."&amp;$D$82&amp;$AW$82&amp;"P"&amp;$A96)="N/A",0,RTD("tos.rtd",,CI$83,"."&amp;$D$82&amp;$AW$82&amp;"P"&amp;$A96))</f>
        <v>0.61</v>
      </c>
      <c r="CK96" s="3">
        <f t="shared" si="505"/>
        <v>-7488</v>
      </c>
      <c r="CL96" s="3"/>
      <c r="CM96" s="3">
        <f t="shared" si="506"/>
        <v>19467</v>
      </c>
      <c r="CN96" s="3"/>
      <c r="CO96" s="3">
        <f t="shared" si="507"/>
        <v>-9987</v>
      </c>
      <c r="CP96" s="3">
        <f t="shared" si="456"/>
        <v>1992</v>
      </c>
      <c r="CQ96" s="3">
        <f t="shared" si="457"/>
        <v>14238</v>
      </c>
      <c r="CR96" s="3"/>
      <c r="CS96" s="3">
        <f t="shared" si="458"/>
        <v>1566</v>
      </c>
      <c r="CT96" s="3"/>
      <c r="CU96" s="3">
        <f t="shared" si="459"/>
        <v>152</v>
      </c>
      <c r="CV96" s="3"/>
      <c r="CW96" s="3" t="e">
        <f t="shared" ca="1" si="493"/>
        <v>#NUM!</v>
      </c>
      <c r="CY96" s="3" t="e">
        <f t="shared" ca="1" si="461"/>
        <v>#NUM!</v>
      </c>
      <c r="CZ96" s="70" t="e">
        <f t="shared" ca="1" si="502"/>
        <v>#NUM!</v>
      </c>
      <c r="DA96" s="3">
        <f>IF(RTD("tos.rtd",,DA$83,"."&amp;$B$82&amp;$AS$82&amp;"C"&amp;$A96)="N/A",0,RTD("tos.rtd",,DA$83,"."&amp;$B$82&amp;$AS$82&amp;"C"&amp;$A96))</f>
        <v>0.03</v>
      </c>
      <c r="DB96" s="3">
        <f>IF(RTD("tos.rtd",,DB$83,"."&amp;$B$82&amp;$AS$82&amp;"P"&amp;$A96)="N/A",0,RTD("tos.rtd",,DB$83,"."&amp;$B$82&amp;$AS$82&amp;"P"&amp;$A96))</f>
        <v>71</v>
      </c>
      <c r="DC96" s="3">
        <f>IF(RTD("tos.rtd",,DC$83,"."&amp;$B$82&amp;$AS$82&amp;"C"&amp;$A96)="N/A",0,RTD("tos.rtd",,DC$83,"."&amp;$B$82&amp;$AS$82&amp;"C"&amp;$A96))</f>
        <v>0.05</v>
      </c>
      <c r="DD96" s="3">
        <f>IF(RTD("tos.rtd",,DD$83,"."&amp;$B$82&amp;$AS$82&amp;"P"&amp;$A96)="N/A",0,RTD("tos.rtd",,DD$83,"."&amp;$B$82&amp;$AS$82&amp;"P"&amp;$A96))</f>
        <v>76.2</v>
      </c>
      <c r="DE96" s="3">
        <f>IF(RTD("tos.rtd",,DE$83,"."&amp;$B$82&amp;$AS$82&amp;"C"&amp;$A96)="N/A",0,RTD("tos.rtd",,DE$83,"."&amp;$B$82&amp;$AS$82&amp;"C"&amp;$A96))</f>
        <v>0</v>
      </c>
      <c r="DF96" s="3">
        <f>IF(RTD("tos.rtd",,DF$83,"."&amp;$B$82&amp;$AS$82&amp;"P"&amp;$A96)="N/A",0,RTD("tos.rtd",,DF$83,"."&amp;$B$82&amp;$AS$82&amp;"P"&amp;$A96))</f>
        <v>71.7</v>
      </c>
      <c r="DG96" s="86">
        <f t="shared" si="494"/>
        <v>74.25</v>
      </c>
      <c r="DH96" s="3">
        <f t="shared" si="462"/>
        <v>0</v>
      </c>
      <c r="DI96" s="3">
        <f t="shared" si="463"/>
        <v>0</v>
      </c>
      <c r="DJ96" s="3">
        <f t="shared" si="464"/>
        <v>0</v>
      </c>
      <c r="DK96" s="3">
        <f t="shared" si="465"/>
        <v>0</v>
      </c>
      <c r="DL96" s="3">
        <f t="shared" si="466"/>
        <v>0</v>
      </c>
      <c r="DM96" s="3">
        <f t="shared" si="467"/>
        <v>0</v>
      </c>
      <c r="DN96" s="64" t="str">
        <f t="shared" si="468"/>
        <v>UNKNOWN</v>
      </c>
      <c r="DO96" s="64" t="str">
        <f t="shared" si="469"/>
        <v>UNKNOWN</v>
      </c>
      <c r="DP96" s="3">
        <f t="shared" si="470"/>
        <v>0</v>
      </c>
      <c r="DQ96" s="3">
        <f t="shared" si="471"/>
        <v>0</v>
      </c>
      <c r="DR96" s="3" t="e">
        <f t="shared" ca="1" si="472"/>
        <v>#NUM!</v>
      </c>
      <c r="DS96" s="3">
        <f t="shared" si="473"/>
        <v>0</v>
      </c>
      <c r="DT96" s="3">
        <f t="shared" si="495"/>
        <v>0</v>
      </c>
      <c r="DU96" s="3">
        <f t="shared" si="496"/>
        <v>0</v>
      </c>
      <c r="DV96" s="3">
        <f t="shared" si="497"/>
        <v>-4833</v>
      </c>
      <c r="DW96" s="3">
        <f t="shared" si="498"/>
        <v>222</v>
      </c>
      <c r="DX96" s="3" t="e">
        <f t="shared" ca="1" si="503"/>
        <v>#NUM!</v>
      </c>
      <c r="DY96" s="3" t="e">
        <f t="shared" ca="1" si="474"/>
        <v>#NUM!</v>
      </c>
      <c r="DZ96" s="3">
        <f t="shared" ca="1" si="475"/>
        <v>2.7398783343489237E-2</v>
      </c>
      <c r="EA96" s="3">
        <f t="shared" ca="1" si="476"/>
        <v>-2.2885212496411588E-3</v>
      </c>
      <c r="EB96" s="3">
        <f t="shared" ca="1" si="477"/>
        <v>2.3269633223534487E-3</v>
      </c>
      <c r="EC96" s="3">
        <f t="shared" ca="1" si="478"/>
        <v>-2.1995260102578981E-3</v>
      </c>
      <c r="EE96" s="59">
        <f t="shared" si="479"/>
        <v>0.61990000000000001</v>
      </c>
      <c r="EF96" s="59">
        <f t="shared" si="480"/>
        <v>0.96020000000000005</v>
      </c>
      <c r="EG96" s="59">
        <f t="shared" si="481"/>
        <v>0.16789999999999999</v>
      </c>
      <c r="EH96" s="59">
        <f t="shared" si="482"/>
        <v>0.17399999999999999</v>
      </c>
      <c r="EI96" s="59">
        <f t="shared" si="483"/>
        <v>0.17050000000000001</v>
      </c>
      <c r="EJ96" s="59">
        <f t="shared" si="484"/>
        <v>0.1825</v>
      </c>
      <c r="EL96" s="3" t="str">
        <f>RTD("tos.rtd",,EL$83,"."&amp;$B$82&amp;$AS$82&amp;"C"&amp;$A96)</f>
        <v>61.99%</v>
      </c>
      <c r="EM96" s="3" t="str">
        <f>RTD("tos.rtd",,EM$83,"."&amp;$B$82&amp;$AS$82&amp;"P"&amp;$A96)</f>
        <v>96.02%</v>
      </c>
      <c r="EN96" s="3" t="str">
        <f>RTD("tos.rtd",,EN$83,"."&amp;$C$82&amp;$AU$82&amp;"C"&amp;$A96)</f>
        <v>16.79%</v>
      </c>
      <c r="EO96" s="3" t="str">
        <f>RTD("tos.rtd",,EO$83,"."&amp;$C$82&amp;$AU$82&amp;"P"&amp;$A96)</f>
        <v>17.40%</v>
      </c>
      <c r="EP96" s="3" t="str">
        <f>RTD("tos.rtd",,EP$83,"."&amp;$D$82&amp;$AW$82&amp;"C"&amp;$A96)</f>
        <v>17.05%</v>
      </c>
      <c r="EQ96" s="3" t="str">
        <f>RTD("tos.rtd",,EQ$83,"."&amp;$D$82&amp;$AW$82&amp;"P"&amp;$A96)</f>
        <v>18.25%</v>
      </c>
      <c r="ET96" s="64" t="str">
        <f t="shared" ca="1" si="485"/>
        <v>5760,00.00</v>
      </c>
      <c r="EU96" s="67">
        <v>563.29</v>
      </c>
      <c r="EV96" s="67" t="s">
        <v>787</v>
      </c>
      <c r="EW96" s="67">
        <v>485.14</v>
      </c>
      <c r="EX96" s="67" t="s">
        <v>788</v>
      </c>
      <c r="EY96" s="67">
        <v>5648.5</v>
      </c>
      <c r="EZ96" s="67" t="s">
        <v>789</v>
      </c>
      <c r="FA96" s="67">
        <v>19935</v>
      </c>
      <c r="FB96" s="67" t="s">
        <v>790</v>
      </c>
      <c r="FC96" s="67" t="s">
        <v>791</v>
      </c>
      <c r="FD96" s="67" t="s">
        <v>792</v>
      </c>
      <c r="FE96" s="68" t="s">
        <v>793</v>
      </c>
      <c r="FF96" s="68" t="s">
        <v>794</v>
      </c>
    </row>
    <row r="97" spans="1:162" s="63" customFormat="1" ht="12" customHeight="1" thickBot="1" x14ac:dyDescent="0.25">
      <c r="A97" s="2">
        <f t="shared" si="499"/>
        <v>5750</v>
      </c>
      <c r="B97" s="3">
        <f t="shared" si="445"/>
        <v>3705</v>
      </c>
      <c r="C97" s="3">
        <f t="shared" si="446"/>
        <v>2051</v>
      </c>
      <c r="D97" s="3">
        <f t="shared" si="447"/>
        <v>3312</v>
      </c>
      <c r="E97" s="3">
        <f>SUM(B97:D97)</f>
        <v>9068</v>
      </c>
      <c r="F97" s="4">
        <f t="shared" si="508"/>
        <v>5774.2712043266065</v>
      </c>
      <c r="G97" s="4">
        <f t="shared" si="486"/>
        <v>573.37686321065826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-7678</v>
      </c>
      <c r="AN97" s="20">
        <v>333</v>
      </c>
      <c r="AO97" s="20">
        <v>5750</v>
      </c>
      <c r="AP97" s="20">
        <v>35039</v>
      </c>
      <c r="AQ97" s="20">
        <v>-1132</v>
      </c>
      <c r="AR97" s="20"/>
      <c r="AS97" s="54">
        <f>IF(RTD("tos.rtd",,AS$83,"."&amp;$B$82&amp;$AS$82&amp;"C"&amp;$A97)="N/A",0,RTD("tos.rtd",,AS$83,"."&amp;$B$82&amp;$AS$82&amp;"C"&amp;$A97))</f>
        <v>3152</v>
      </c>
      <c r="AT97" s="3">
        <f>-IF(RTD("tos.rtd",,AT$83,"."&amp;$B$82&amp;$AS$82&amp;"P"&amp;$A97)="N/A",0,RTD("tos.rtd",,AT$83,"."&amp;$B$82&amp;$AS$82&amp;"P"&amp;$A97))</f>
        <v>-553</v>
      </c>
      <c r="AU97" s="54">
        <f>IF(RTD("tos.rtd",,AU$83,"."&amp;$C$82&amp;$AU$82&amp;"C"&amp;$A97)="N/A",0,RTD("tos.rtd",,AU$83,"."&amp;$C$82&amp;$AU$82&amp;"C"&amp;$A97))</f>
        <v>1955</v>
      </c>
      <c r="AV97" s="3">
        <f>-IF(RTD("tos.rtd",,AV$83,"."&amp;$C$82&amp;$AU$82&amp;"P"&amp;$A97)="N/A",0,RTD("tos.rtd",,AV$83,"."&amp;$C$82&amp;$AU$82&amp;"P"&amp;$A97))</f>
        <v>-96</v>
      </c>
      <c r="AW97" s="54">
        <f>IF(RTD("tos.rtd",,AW$83,"."&amp;$D$82&amp;$AW$82&amp;"C"&amp;$A97)="N/A",0,RTD("tos.rtd",,AW$83,"."&amp;$D$82&amp;$AW$82&amp;"C"&amp;$A97))</f>
        <v>3009</v>
      </c>
      <c r="AX97" s="3">
        <f>-IF(RTD("tos.rtd",,AX$83,"."&amp;$D$82&amp;$AW$82&amp;"P"&amp;$A97)="N/A",0,RTD("tos.rtd",,AX$83,"."&amp;$D$82&amp;$AW$82&amp;"P"&amp;$A97))</f>
        <v>-303</v>
      </c>
      <c r="AY97" s="79">
        <f t="shared" si="487"/>
        <v>7164</v>
      </c>
      <c r="AZ97" s="8">
        <f t="shared" si="449"/>
        <v>5750</v>
      </c>
      <c r="BA97" s="54">
        <f>IF(RTD("tos.rtd",,BA$83,"."&amp;$B$82&amp;$AS$82&amp;"C"&amp;$A97)="N/A",0,RTD("tos.rtd",,BA$83,"."&amp;$B$82&amp;$AS$82&amp;"C"&amp;$A97))</f>
        <v>35039</v>
      </c>
      <c r="BB97" s="3">
        <f>-IF(RTD("tos.rtd",,BB$83,"."&amp;$B$82&amp;$AS$82&amp;"P"&amp;$A97)="N/A",0,RTD("tos.rtd",,BB$83,"."&amp;$B$82&amp;$AS$82&amp;"P"&amp;$A97))</f>
        <v>-1132</v>
      </c>
      <c r="BC97" s="54">
        <f>IF(RTD("tos.rtd",,BC$83,"."&amp;$C$82&amp;$AU$82&amp;"C"&amp;$A97)="N/A",0,RTD("tos.rtd",,BC$83,"."&amp;$C$82&amp;$AU$82&amp;"C"&amp;$A97))</f>
        <v>2614</v>
      </c>
      <c r="BD97" s="3">
        <f>-IF(RTD("tos.rtd",,BD$83,"."&amp;$C$82&amp;$AU$82&amp;"P"&amp;$A97)="N/A",0,RTD("tos.rtd",,BD$83,"."&amp;$C$82&amp;$AU$82&amp;"P"&amp;$A97))</f>
        <v>-53</v>
      </c>
      <c r="BE97" s="54">
        <f>IF(RTD("tos.rtd",,BE$83,"."&amp;$D$82&amp;$AW$82&amp;"C"&amp;$A97)="N/A",0,RTD("tos.rtd",,BE$83,"."&amp;$D$82&amp;$AW$82&amp;"C"&amp;$A97))</f>
        <v>611</v>
      </c>
      <c r="BF97" s="3">
        <f>-IF(RTD("tos.rtd",,BF$83,"."&amp;$D$82&amp;$AW$82&amp;"P"&amp;$A97)="N/A",0,RTD("tos.rtd",,BF$83,"."&amp;$D$82&amp;$AW$82&amp;"P"&amp;$A97))</f>
        <v>-31</v>
      </c>
      <c r="BG97" s="3" t="e">
        <f ca="1">+Hoja2!Y98</f>
        <v>#N/A</v>
      </c>
      <c r="BH97" s="55" t="e">
        <f t="shared" ca="1" si="488"/>
        <v>#N/A</v>
      </c>
      <c r="BI97" s="32" t="e">
        <f t="shared" ca="1" si="504"/>
        <v>#N/A</v>
      </c>
      <c r="BJ97" s="3" t="e">
        <f ca="1">IF($BP$1=1,DX97,IF(RTD("tos.rtd",,BJ$83,"."&amp;$B$82&amp;$AS$82&amp;"C"&amp;$A97)="N/A",0,RTD("tos.rtd",,BJ$83,"."&amp;$B$82&amp;$AS$82&amp;"C"&amp;$A97)))</f>
        <v>#NUM!</v>
      </c>
      <c r="BK97" s="3" t="e">
        <f ca="1">IF($BP$1=1,DY97,-IF(RTD("tos.rtd",,BK$83,"."&amp;$B$82&amp;$AS$82&amp;"P"&amp;$A97)="N/A",0,RTD("tos.rtd",,BK$83,"."&amp;$B$82&amp;$AS$82&amp;"P"&amp;$A97)))</f>
        <v>#NUM!</v>
      </c>
      <c r="BL97" s="3">
        <f ca="1">IF($BP$1=1,DZ97,IF(RTD("tos.rtd",,BL$83,"."&amp;$C$82&amp;$AU$82&amp;"C"&amp;$A97)="N/A",0,RTD("tos.rtd",,BL$83,"."&amp;$C$82&amp;$AU$82&amp;"C"&amp;$A97)))</f>
        <v>2.7803518503644462E-2</v>
      </c>
      <c r="BM97" s="3">
        <f ca="1">IF($BP$1=1,EA97,-IF(RTD("tos.rtd",,BM$83,"."&amp;$C$82&amp;$AU$82&amp;"P"&amp;$A97)="N/A",0,RTD("tos.rtd",,BM$83,"."&amp;$C$82&amp;$AU$82&amp;"P"&amp;$A97)))</f>
        <v>-2.3199406584765397E-3</v>
      </c>
      <c r="BN97" s="3">
        <f ca="1">IF($BP$1=1,EB97,IF(RTD("tos.rtd",,BN$83,"."&amp;$D$82&amp;$AW$82&amp;"C"&amp;$A97)="N/A",0,RTD("tos.rtd",,BN$83,"."&amp;$D$82&amp;$AW$82&amp;"C"&amp;$A97)))</f>
        <v>2.3621296551624383E-3</v>
      </c>
      <c r="BO97" s="3">
        <f ca="1">IF($BP$1=1,EC97,-IF(RTD("tos.rtd",,BO$83,"."&amp;$D$82&amp;$AW$82&amp;"P"&amp;$A97)="N/A",0,RTD("tos.rtd",,BO$83,"."&amp;$D$82&amp;$AW$82&amp;"P"&amp;$A97)))</f>
        <v>-2.2309303693160607E-3</v>
      </c>
      <c r="BQ97" s="3" t="e">
        <f t="shared" ca="1" si="450"/>
        <v>#NUM!</v>
      </c>
      <c r="BR97" s="3" t="e">
        <f t="shared" ca="1" si="489"/>
        <v>#NUM!</v>
      </c>
      <c r="BS97" s="3">
        <f t="shared" ca="1" si="451"/>
        <v>12942258.794879064</v>
      </c>
      <c r="BT97" s="3" t="str">
        <f t="shared" ca="1" si="489"/>
        <v/>
      </c>
      <c r="BU97" s="3">
        <f t="shared" ca="1" si="452"/>
        <v>1537697.2550253952</v>
      </c>
      <c r="BV97" s="3" t="str">
        <f t="shared" ca="1" si="489"/>
        <v>Cruce +</v>
      </c>
      <c r="BX97" s="3" t="e">
        <f t="shared" ca="1" si="453"/>
        <v>#NUM!</v>
      </c>
      <c r="BY97" s="3" t="e">
        <f t="shared" ca="1" si="501"/>
        <v>#NUM!</v>
      </c>
      <c r="BZ97" s="3">
        <f t="shared" ca="1" si="454"/>
        <v>17346691.238314901</v>
      </c>
      <c r="CA97" s="3" t="str">
        <f t="shared" ca="1" si="501"/>
        <v/>
      </c>
      <c r="CB97" s="3">
        <f t="shared" ca="1" si="455"/>
        <v>328522.98200871557</v>
      </c>
      <c r="CC97" s="3" t="str">
        <f t="shared" ca="1" si="501"/>
        <v/>
      </c>
      <c r="CD97" s="3">
        <f>IF(RTD("tos.rtd",,CD$83,"."&amp;$B$82&amp;$AS$82&amp;"C"&amp;$A97)="N/A",0,RTD("tos.rtd",,CD$83,"."&amp;$B$82&amp;$AS$82&amp;"C"&amp;$A97))</f>
        <v>0</v>
      </c>
      <c r="CE97" s="3">
        <f>-IF(RTD("tos.rtd",,CE$83,"."&amp;$B$82&amp;$AS$82&amp;"P"&amp;$A97)="N/A",0,RTD("tos.rtd",,CE$83,"."&amp;$B$82&amp;$AS$82&amp;"P"&amp;$A97))</f>
        <v>0.96</v>
      </c>
      <c r="CF97" s="3">
        <f>IF(RTD("tos.rtd",,CF$83,"."&amp;$C$82&amp;$AU$82&amp;"C"&amp;$A97)="N/A",0,RTD("tos.rtd",,CF$83,"."&amp;$C$82&amp;$AU$82&amp;"C"&amp;$A97))</f>
        <v>0.34</v>
      </c>
      <c r="CG97" s="3">
        <f>-IF(RTD("tos.rtd",,CG$83,"."&amp;$C$82&amp;$AU$82&amp;"P"&amp;$A97)="N/A",0,RTD("tos.rtd",,CG$83,"."&amp;$C$82&amp;$AU$82&amp;"P"&amp;$A97))</f>
        <v>0.66</v>
      </c>
      <c r="CH97" s="3">
        <f>IF(RTD("tos.rtd",,CH$83,"."&amp;$D$82&amp;$AW$82&amp;"C"&amp;$A97)="N/A",0,RTD("tos.rtd",,CH$83,"."&amp;$D$82&amp;$AW$82&amp;"C"&amp;$A97))</f>
        <v>0.4</v>
      </c>
      <c r="CI97" s="3">
        <f>-IF(RTD("tos.rtd",,CI$83,"."&amp;$D$82&amp;$AW$82&amp;"P"&amp;$A97)="N/A",0,RTD("tos.rtd",,CI$83,"."&amp;$D$82&amp;$AW$82&amp;"P"&amp;$A97))</f>
        <v>0.6</v>
      </c>
      <c r="CK97" s="3">
        <f t="shared" si="505"/>
        <v>-53088</v>
      </c>
      <c r="CL97" s="3"/>
      <c r="CM97" s="3">
        <f t="shared" si="506"/>
        <v>60134</v>
      </c>
      <c r="CN97" s="3"/>
      <c r="CO97" s="3">
        <f t="shared" si="507"/>
        <v>102180.00000000001</v>
      </c>
      <c r="CP97" s="3">
        <f t="shared" si="456"/>
        <v>109226.00000000001</v>
      </c>
      <c r="CQ97" s="3">
        <f t="shared" si="457"/>
        <v>33907</v>
      </c>
      <c r="CR97" s="3"/>
      <c r="CS97" s="3">
        <f t="shared" si="458"/>
        <v>2561</v>
      </c>
      <c r="CT97" s="3"/>
      <c r="CU97" s="3">
        <f t="shared" si="459"/>
        <v>580</v>
      </c>
      <c r="CV97" s="3"/>
      <c r="CW97" s="3" t="e">
        <f t="shared" ca="1" si="493"/>
        <v>#NUM!</v>
      </c>
      <c r="CY97" s="3" t="e">
        <f t="shared" ca="1" si="461"/>
        <v>#NUM!</v>
      </c>
      <c r="CZ97" s="70" t="e">
        <f t="shared" ca="1" si="502"/>
        <v>#NUM!</v>
      </c>
      <c r="DA97" s="3">
        <f>IF(RTD("tos.rtd",,DA$83,"."&amp;$B$82&amp;$AS$82&amp;"C"&amp;$A97)="N/A",0,RTD("tos.rtd",,DA$83,"."&amp;$B$82&amp;$AS$82&amp;"C"&amp;$A97))</f>
        <v>0.03</v>
      </c>
      <c r="DB97" s="3">
        <f>IF(RTD("tos.rtd",,DB$83,"."&amp;$B$82&amp;$AS$82&amp;"P"&amp;$A97)="N/A",0,RTD("tos.rtd",,DB$83,"."&amp;$B$82&amp;$AS$82&amp;"P"&amp;$A97))</f>
        <v>64.2</v>
      </c>
      <c r="DC97" s="3">
        <f>IF(RTD("tos.rtd",,DC$83,"."&amp;$B$82&amp;$AS$82&amp;"C"&amp;$A97)="N/A",0,RTD("tos.rtd",,DC$83,"."&amp;$B$82&amp;$AS$82&amp;"C"&amp;$A97))</f>
        <v>0.05</v>
      </c>
      <c r="DD97" s="3">
        <f>IF(RTD("tos.rtd",,DD$83,"."&amp;$B$82&amp;$AS$82&amp;"P"&amp;$A97)="N/A",0,RTD("tos.rtd",,DD$83,"."&amp;$B$82&amp;$AS$82&amp;"P"&amp;$A97))</f>
        <v>66.2</v>
      </c>
      <c r="DE97" s="3">
        <f>IF(RTD("tos.rtd",,DE$83,"."&amp;$B$82&amp;$AS$82&amp;"C"&amp;$A97)="N/A",0,RTD("tos.rtd",,DE$83,"."&amp;$B$82&amp;$AS$82&amp;"C"&amp;$A97))</f>
        <v>0</v>
      </c>
      <c r="DF97" s="3">
        <f>IF(RTD("tos.rtd",,DF$83,"."&amp;$B$82&amp;$AS$82&amp;"P"&amp;$A97)="N/A",0,RTD("tos.rtd",,DF$83,"."&amp;$B$82&amp;$AS$82&amp;"P"&amp;$A97))</f>
        <v>61.7</v>
      </c>
      <c r="DG97" s="86">
        <f t="shared" si="494"/>
        <v>64.25</v>
      </c>
      <c r="DH97" s="3">
        <f t="shared" si="462"/>
        <v>0</v>
      </c>
      <c r="DI97" s="3">
        <f t="shared" si="463"/>
        <v>0</v>
      </c>
      <c r="DJ97" s="3">
        <f t="shared" si="464"/>
        <v>0</v>
      </c>
      <c r="DK97" s="3">
        <f t="shared" si="465"/>
        <v>0</v>
      </c>
      <c r="DL97" s="3">
        <f t="shared" si="466"/>
        <v>0</v>
      </c>
      <c r="DM97" s="3">
        <f t="shared" si="467"/>
        <v>0</v>
      </c>
      <c r="DN97" s="64" t="str">
        <f t="shared" si="468"/>
        <v>UNKNOWN</v>
      </c>
      <c r="DO97" s="64" t="str">
        <f t="shared" si="469"/>
        <v>UNKNOWN</v>
      </c>
      <c r="DP97" s="3">
        <f t="shared" si="470"/>
        <v>0</v>
      </c>
      <c r="DQ97" s="3">
        <f t="shared" si="471"/>
        <v>0</v>
      </c>
      <c r="DR97" s="3" t="e">
        <f t="shared" ca="1" si="472"/>
        <v>#NUM!</v>
      </c>
      <c r="DS97" s="3">
        <f t="shared" si="473"/>
        <v>0</v>
      </c>
      <c r="DT97" s="3">
        <f t="shared" si="495"/>
        <v>0</v>
      </c>
      <c r="DU97" s="3">
        <f t="shared" si="496"/>
        <v>0</v>
      </c>
      <c r="DV97" s="3">
        <f t="shared" si="497"/>
        <v>-7678</v>
      </c>
      <c r="DW97" s="3">
        <f t="shared" si="498"/>
        <v>333</v>
      </c>
      <c r="DX97" s="3" t="e">
        <f t="shared" ca="1" si="503"/>
        <v>#NUM!</v>
      </c>
      <c r="DY97" s="3" t="e">
        <f t="shared" ca="1" si="474"/>
        <v>#NUM!</v>
      </c>
      <c r="DZ97" s="3">
        <f t="shared" ca="1" si="475"/>
        <v>2.7803518503644462E-2</v>
      </c>
      <c r="EA97" s="3">
        <f t="shared" ca="1" si="476"/>
        <v>-2.3199406584765397E-3</v>
      </c>
      <c r="EB97" s="3">
        <f t="shared" ca="1" si="477"/>
        <v>2.3621296551624383E-3</v>
      </c>
      <c r="EC97" s="3">
        <f t="shared" ca="1" si="478"/>
        <v>-2.2309303693160607E-3</v>
      </c>
      <c r="EE97" s="59">
        <f t="shared" si="479"/>
        <v>0.54349999999999998</v>
      </c>
      <c r="EF97" s="59">
        <f t="shared" si="480"/>
        <v>0.85319999999999996</v>
      </c>
      <c r="EG97" s="59">
        <f t="shared" si="481"/>
        <v>0.1699</v>
      </c>
      <c r="EH97" s="59">
        <f t="shared" si="482"/>
        <v>0.1759</v>
      </c>
      <c r="EI97" s="59">
        <f t="shared" si="483"/>
        <v>0.17230000000000001</v>
      </c>
      <c r="EJ97" s="59">
        <f t="shared" si="484"/>
        <v>0.18390000000000001</v>
      </c>
      <c r="EL97" s="3" t="str">
        <f>RTD("tos.rtd",,EL$83,"."&amp;$B$82&amp;$AS$82&amp;"C"&amp;$A97)</f>
        <v>54.35%</v>
      </c>
      <c r="EM97" s="3" t="str">
        <f>RTD("tos.rtd",,EM$83,"."&amp;$B$82&amp;$AS$82&amp;"P"&amp;$A97)</f>
        <v>85.32%</v>
      </c>
      <c r="EN97" s="3" t="str">
        <f>RTD("tos.rtd",,EN$83,"."&amp;$C$82&amp;$AU$82&amp;"C"&amp;$A97)</f>
        <v>16.99%</v>
      </c>
      <c r="EO97" s="3" t="str">
        <f>RTD("tos.rtd",,EO$83,"."&amp;$C$82&amp;$AU$82&amp;"P"&amp;$A97)</f>
        <v>17.59%</v>
      </c>
      <c r="EP97" s="3" t="str">
        <f>RTD("tos.rtd",,EP$83,"."&amp;$D$82&amp;$AW$82&amp;"C"&amp;$A97)</f>
        <v>17.23%</v>
      </c>
      <c r="EQ97" s="3" t="str">
        <f>RTD("tos.rtd",,EQ$83,"."&amp;$D$82&amp;$AW$82&amp;"P"&amp;$A97)</f>
        <v>18.39%</v>
      </c>
      <c r="ET97" s="64" t="str">
        <f t="shared" ca="1" si="485"/>
        <v>5750,00.00</v>
      </c>
      <c r="EU97" s="67">
        <v>563.16</v>
      </c>
      <c r="EV97" s="67" t="s">
        <v>795</v>
      </c>
      <c r="EW97" s="67">
        <v>485.05</v>
      </c>
      <c r="EX97" s="67" t="s">
        <v>796</v>
      </c>
      <c r="EY97" s="67">
        <v>5647.25</v>
      </c>
      <c r="EZ97" s="67" t="s">
        <v>797</v>
      </c>
      <c r="FA97" s="67">
        <v>19931.25</v>
      </c>
      <c r="FB97" s="67" t="s">
        <v>798</v>
      </c>
      <c r="FC97" s="67" t="s">
        <v>799</v>
      </c>
      <c r="FD97" s="67" t="s">
        <v>800</v>
      </c>
      <c r="FE97" s="68" t="s">
        <v>801</v>
      </c>
      <c r="FF97" s="68" t="s">
        <v>802</v>
      </c>
    </row>
    <row r="98" spans="1:162" s="63" customFormat="1" ht="12" customHeight="1" thickBot="1" x14ac:dyDescent="0.25">
      <c r="A98" s="2">
        <f t="shared" si="499"/>
        <v>5740</v>
      </c>
      <c r="B98" s="3">
        <f t="shared" si="445"/>
        <v>2592</v>
      </c>
      <c r="C98" s="3">
        <f t="shared" si="446"/>
        <v>309</v>
      </c>
      <c r="D98" s="3">
        <f t="shared" si="447"/>
        <v>439</v>
      </c>
      <c r="E98" s="3">
        <f t="shared" ref="E98" si="509">SUM(B98:D98)</f>
        <v>3340</v>
      </c>
      <c r="F98" s="4">
        <f t="shared" si="508"/>
        <v>5764.2289935364724</v>
      </c>
      <c r="G98" s="4">
        <f t="shared" si="486"/>
        <v>572.37968605724836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-5698</v>
      </c>
      <c r="AN98" s="20">
        <v>-80</v>
      </c>
      <c r="AO98" s="20">
        <v>5740</v>
      </c>
      <c r="AP98" s="20">
        <v>25965</v>
      </c>
      <c r="AQ98" s="20">
        <v>-407</v>
      </c>
      <c r="AR98" s="20"/>
      <c r="AS98" s="54">
        <f>IF(RTD("tos.rtd",,AS$83,"."&amp;$B$82&amp;$AS$82&amp;"C"&amp;$A98)="N/A",0,RTD("tos.rtd",,AS$83,"."&amp;$B$82&amp;$AS$82&amp;"C"&amp;$A98))</f>
        <v>2518</v>
      </c>
      <c r="AT98" s="3">
        <f>-IF(RTD("tos.rtd",,AT$83,"."&amp;$B$82&amp;$AS$82&amp;"P"&amp;$A98)="N/A",0,RTD("tos.rtd",,AT$83,"."&amp;$B$82&amp;$AS$82&amp;"P"&amp;$A98))</f>
        <v>-74</v>
      </c>
      <c r="AU98" s="54">
        <f>IF(RTD("tos.rtd",,AU$83,"."&amp;$C$82&amp;$AU$82&amp;"C"&amp;$A98)="N/A",0,RTD("tos.rtd",,AU$83,"."&amp;$C$82&amp;$AU$82&amp;"C"&amp;$A98))</f>
        <v>299</v>
      </c>
      <c r="AV98" s="3">
        <f>-IF(RTD("tos.rtd",,AV$83,"."&amp;$C$82&amp;$AU$82&amp;"P"&amp;$A98)="N/A",0,RTD("tos.rtd",,AV$83,"."&amp;$C$82&amp;$AU$82&amp;"P"&amp;$A98))</f>
        <v>-10</v>
      </c>
      <c r="AW98" s="54">
        <f>IF(RTD("tos.rtd",,AW$83,"."&amp;$D$82&amp;$AW$82&amp;"C"&amp;$A98)="N/A",0,RTD("tos.rtd",,AW$83,"."&amp;$D$82&amp;$AW$82&amp;"C"&amp;$A98))</f>
        <v>266</v>
      </c>
      <c r="AX98" s="3">
        <f>-IF(RTD("tos.rtd",,AX$83,"."&amp;$D$82&amp;$AW$82&amp;"P"&amp;$A98)="N/A",0,RTD("tos.rtd",,AX$83,"."&amp;$D$82&amp;$AW$82&amp;"P"&amp;$A98))</f>
        <v>-173</v>
      </c>
      <c r="AY98" s="79">
        <f t="shared" si="487"/>
        <v>2826</v>
      </c>
      <c r="AZ98" s="8">
        <f t="shared" si="449"/>
        <v>5740</v>
      </c>
      <c r="BA98" s="54">
        <f>IF(RTD("tos.rtd",,BA$83,"."&amp;$B$82&amp;$AS$82&amp;"C"&amp;$A98)="N/A",0,RTD("tos.rtd",,BA$83,"."&amp;$B$82&amp;$AS$82&amp;"C"&amp;$A98))</f>
        <v>25965</v>
      </c>
      <c r="BB98" s="3">
        <f>-IF(RTD("tos.rtd",,BB$83,"."&amp;$B$82&amp;$AS$82&amp;"P"&amp;$A98)="N/A",0,RTD("tos.rtd",,BB$83,"."&amp;$B$82&amp;$AS$82&amp;"P"&amp;$A98))</f>
        <v>-407</v>
      </c>
      <c r="BC98" s="54">
        <f>IF(RTD("tos.rtd",,BC$83,"."&amp;$C$82&amp;$AU$82&amp;"C"&amp;$A98)="N/A",0,RTD("tos.rtd",,BC$83,"."&amp;$C$82&amp;$AU$82&amp;"C"&amp;$A98))</f>
        <v>1072</v>
      </c>
      <c r="BD98" s="3">
        <f>-IF(RTD("tos.rtd",,BD$83,"."&amp;$C$82&amp;$AU$82&amp;"P"&amp;$A98)="N/A",0,RTD("tos.rtd",,BD$83,"."&amp;$C$82&amp;$AU$82&amp;"P"&amp;$A98))</f>
        <v>-27</v>
      </c>
      <c r="BE98" s="54">
        <f>IF(RTD("tos.rtd",,BE$83,"."&amp;$D$82&amp;$AW$82&amp;"C"&amp;$A98)="N/A",0,RTD("tos.rtd",,BE$83,"."&amp;$D$82&amp;$AW$82&amp;"C"&amp;$A98))</f>
        <v>200</v>
      </c>
      <c r="BF98" s="3">
        <f>-IF(RTD("tos.rtd",,BF$83,"."&amp;$D$82&amp;$AW$82&amp;"P"&amp;$A98)="N/A",0,RTD("tos.rtd",,BF$83,"."&amp;$D$82&amp;$AW$82&amp;"P"&amp;$A98))</f>
        <v>-19</v>
      </c>
      <c r="BG98" s="3" t="e">
        <f ca="1">+Hoja2!Y99</f>
        <v>#N/A</v>
      </c>
      <c r="BH98" s="55" t="e">
        <f t="shared" ca="1" si="488"/>
        <v>#N/A</v>
      </c>
      <c r="BI98" s="32" t="e">
        <f t="shared" ca="1" si="504"/>
        <v>#N/A</v>
      </c>
      <c r="BJ98" s="3" t="e">
        <f ca="1">IF($BP$1=1,DX98,IF(RTD("tos.rtd",,BJ$83,"."&amp;$B$82&amp;$AS$82&amp;"C"&amp;$A98)="N/A",0,RTD("tos.rtd",,BJ$83,"."&amp;$B$82&amp;$AS$82&amp;"C"&amp;$A98)))</f>
        <v>#NUM!</v>
      </c>
      <c r="BK98" s="3" t="e">
        <f ca="1">IF($BP$1=1,DY98,-IF(RTD("tos.rtd",,BK$83,"."&amp;$B$82&amp;$AS$82&amp;"P"&amp;$A98)="N/A",0,RTD("tos.rtd",,BK$83,"."&amp;$B$82&amp;$AS$82&amp;"P"&amp;$A98)))</f>
        <v>#NUM!</v>
      </c>
      <c r="BL98" s="3">
        <f ca="1">IF($BP$1=1,DZ98,IF(RTD("tos.rtd",,BL$83,"."&amp;$C$82&amp;$AU$82&amp;"C"&amp;$A98)="N/A",0,RTD("tos.rtd",,BL$83,"."&amp;$C$82&amp;$AU$82&amp;"C"&amp;$A98)))</f>
        <v>2.8059984505054966E-2</v>
      </c>
      <c r="BM98" s="3">
        <f ca="1">IF($BP$1=1,EA98,-IF(RTD("tos.rtd",,BM$83,"."&amp;$C$82&amp;$AU$82&amp;"P"&amp;$A98)="N/A",0,RTD("tos.rtd",,BM$83,"."&amp;$C$82&amp;$AU$82&amp;"P"&amp;$A98)))</f>
        <v>-2.3399311091535763E-3</v>
      </c>
      <c r="BN98" s="3">
        <f ca="1">IF($BP$1=1,EB98,IF(RTD("tos.rtd",,BN$83,"."&amp;$D$82&amp;$AW$82&amp;"C"&amp;$A98)="N/A",0,RTD("tos.rtd",,BN$83,"."&amp;$D$82&amp;$AW$82&amp;"C"&amp;$A98)))</f>
        <v>2.3865600201313369E-3</v>
      </c>
      <c r="BO98" s="3">
        <f ca="1">IF($BP$1=1,EC98,-IF(RTD("tos.rtd",,BO$83,"."&amp;$D$82&amp;$AW$82&amp;"P"&amp;$A98)="N/A",0,RTD("tos.rtd",,BO$83,"."&amp;$D$82&amp;$AW$82&amp;"P"&amp;$A98)))</f>
        <v>-2.2505469734868614E-3</v>
      </c>
      <c r="BQ98" s="3" t="e">
        <f t="shared" ca="1" si="450"/>
        <v>#NUM!</v>
      </c>
      <c r="BR98" s="3" t="e">
        <f t="shared" ca="1" si="489"/>
        <v>#NUM!</v>
      </c>
      <c r="BS98" s="3">
        <f t="shared" ca="1" si="451"/>
        <v>2000287.1827235722</v>
      </c>
      <c r="BT98" s="3" t="str">
        <f t="shared" ca="1" si="489"/>
        <v/>
      </c>
      <c r="BU98" s="3">
        <f t="shared" ca="1" si="452"/>
        <v>58689.901329989429</v>
      </c>
      <c r="BV98" s="3" t="str">
        <f t="shared" ca="1" si="489"/>
        <v/>
      </c>
      <c r="BX98" s="3" t="e">
        <f t="shared" ca="1" si="453"/>
        <v>#NUM!</v>
      </c>
      <c r="BY98" s="3" t="e">
        <f t="shared" ca="1" si="501"/>
        <v>#NUM!</v>
      </c>
      <c r="BZ98" s="3">
        <f t="shared" ca="1" si="454"/>
        <v>7176550.7848665817</v>
      </c>
      <c r="CA98" s="3" t="str">
        <f t="shared" ca="1" si="501"/>
        <v/>
      </c>
      <c r="CB98" s="3">
        <f t="shared" ca="1" si="455"/>
        <v>103893.41693690872</v>
      </c>
      <c r="CC98" s="3" t="str">
        <f t="shared" ca="1" si="501"/>
        <v/>
      </c>
      <c r="CD98" s="3">
        <f>IF(RTD("tos.rtd",,CD$83,"."&amp;$B$82&amp;$AS$82&amp;"C"&amp;$A98)="N/A",0,RTD("tos.rtd",,CD$83,"."&amp;$B$82&amp;$AS$82&amp;"C"&amp;$A98))</f>
        <v>0</v>
      </c>
      <c r="CE98" s="3">
        <f>-IF(RTD("tos.rtd",,CE$83,"."&amp;$B$82&amp;$AS$82&amp;"P"&amp;$A98)="N/A",0,RTD("tos.rtd",,CE$83,"."&amp;$B$82&amp;$AS$82&amp;"P"&amp;$A98))</f>
        <v>0.95</v>
      </c>
      <c r="CF98" s="3">
        <f>IF(RTD("tos.rtd",,CF$83,"."&amp;$C$82&amp;$AU$82&amp;"C"&amp;$A98)="N/A",0,RTD("tos.rtd",,CF$83,"."&amp;$C$82&amp;$AU$82&amp;"C"&amp;$A98))</f>
        <v>0.37</v>
      </c>
      <c r="CG98" s="3">
        <f>-IF(RTD("tos.rtd",,CG$83,"."&amp;$C$82&amp;$AU$82&amp;"P"&amp;$A98)="N/A",0,RTD("tos.rtd",,CG$83,"."&amp;$C$82&amp;$AU$82&amp;"P"&amp;$A98))</f>
        <v>0.63</v>
      </c>
      <c r="CH98" s="3">
        <f>IF(RTD("tos.rtd",,CH$83,"."&amp;$D$82&amp;$AW$82&amp;"C"&amp;$A98)="N/A",0,RTD("tos.rtd",,CH$83,"."&amp;$D$82&amp;$AW$82&amp;"C"&amp;$A98))</f>
        <v>0.42</v>
      </c>
      <c r="CI98" s="3">
        <f>-IF(RTD("tos.rtd",,CI$83,"."&amp;$D$82&amp;$AW$82&amp;"P"&amp;$A98)="N/A",0,RTD("tos.rtd",,CI$83,"."&amp;$D$82&amp;$AW$82&amp;"P"&amp;$A98))</f>
        <v>0.57999999999999996</v>
      </c>
      <c r="CK98" s="3">
        <f t="shared" si="505"/>
        <v>-7030</v>
      </c>
      <c r="CL98" s="3"/>
      <c r="CM98" s="3">
        <f t="shared" si="506"/>
        <v>10433</v>
      </c>
      <c r="CN98" s="3"/>
      <c r="CO98" s="3">
        <f t="shared" si="507"/>
        <v>1138.0000000000018</v>
      </c>
      <c r="CP98" s="3">
        <f t="shared" si="456"/>
        <v>4541.0000000000018</v>
      </c>
      <c r="CQ98" s="3">
        <f t="shared" si="457"/>
        <v>25558</v>
      </c>
      <c r="CR98" s="3"/>
      <c r="CS98" s="3">
        <f t="shared" si="458"/>
        <v>1045</v>
      </c>
      <c r="CT98" s="3"/>
      <c r="CU98" s="3">
        <f t="shared" si="459"/>
        <v>181</v>
      </c>
      <c r="CV98" s="3"/>
      <c r="CW98" s="3" t="e">
        <f t="shared" ca="1" si="493"/>
        <v>#NUM!</v>
      </c>
      <c r="CY98" s="3" t="e">
        <f t="shared" ca="1" si="461"/>
        <v>#NUM!</v>
      </c>
      <c r="CZ98" s="70" t="e">
        <f t="shared" ca="1" si="502"/>
        <v>#NUM!</v>
      </c>
      <c r="DA98" s="3">
        <f>IF(RTD("tos.rtd",,DA$83,"."&amp;$B$82&amp;$AS$82&amp;"C"&amp;$A98)="N/A",0,RTD("tos.rtd",,DA$83,"."&amp;$B$82&amp;$AS$82&amp;"C"&amp;$A98))</f>
        <v>0.03</v>
      </c>
      <c r="DB98" s="3">
        <f>IF(RTD("tos.rtd",,DB$83,"."&amp;$B$82&amp;$AS$82&amp;"P"&amp;$A98)="N/A",0,RTD("tos.rtd",,DB$83,"."&amp;$B$82&amp;$AS$82&amp;"P"&amp;$A98))</f>
        <v>54</v>
      </c>
      <c r="DC98" s="3">
        <f>IF(RTD("tos.rtd",,DC$83,"."&amp;$B$82&amp;$AS$82&amp;"C"&amp;$A98)="N/A",0,RTD("tos.rtd",,DC$83,"."&amp;$B$82&amp;$AS$82&amp;"C"&amp;$A98))</f>
        <v>0.05</v>
      </c>
      <c r="DD98" s="3">
        <f>IF(RTD("tos.rtd",,DD$83,"."&amp;$B$82&amp;$AS$82&amp;"P"&amp;$A98)="N/A",0,RTD("tos.rtd",,DD$83,"."&amp;$B$82&amp;$AS$82&amp;"P"&amp;$A98))</f>
        <v>56.2</v>
      </c>
      <c r="DE98" s="3">
        <f>IF(RTD("tos.rtd",,DE$83,"."&amp;$B$82&amp;$AS$82&amp;"C"&amp;$A98)="N/A",0,RTD("tos.rtd",,DE$83,"."&amp;$B$82&amp;$AS$82&amp;"C"&amp;$A98))</f>
        <v>0</v>
      </c>
      <c r="DF98" s="3">
        <f>IF(RTD("tos.rtd",,DF$83,"."&amp;$B$82&amp;$AS$82&amp;"P"&amp;$A98)="N/A",0,RTD("tos.rtd",,DF$83,"."&amp;$B$82&amp;$AS$82&amp;"P"&amp;$A98))</f>
        <v>51.7</v>
      </c>
      <c r="DG98" s="86">
        <f t="shared" si="494"/>
        <v>54.25</v>
      </c>
      <c r="DH98" s="3">
        <f t="shared" si="462"/>
        <v>0</v>
      </c>
      <c r="DI98" s="3">
        <f t="shared" si="463"/>
        <v>0</v>
      </c>
      <c r="DJ98" s="3">
        <f t="shared" si="464"/>
        <v>0</v>
      </c>
      <c r="DK98" s="3">
        <f t="shared" si="465"/>
        <v>0</v>
      </c>
      <c r="DL98" s="3">
        <f t="shared" si="466"/>
        <v>0</v>
      </c>
      <c r="DM98" s="3">
        <f t="shared" si="467"/>
        <v>0</v>
      </c>
      <c r="DN98" s="64" t="str">
        <f t="shared" si="468"/>
        <v>UNKNOWN</v>
      </c>
      <c r="DO98" s="64" t="str">
        <f t="shared" si="469"/>
        <v>UNKNOWN</v>
      </c>
      <c r="DP98" s="3">
        <f t="shared" si="470"/>
        <v>0</v>
      </c>
      <c r="DQ98" s="3">
        <f t="shared" si="471"/>
        <v>0</v>
      </c>
      <c r="DR98" s="3" t="e">
        <f t="shared" ca="1" si="472"/>
        <v>#NUM!</v>
      </c>
      <c r="DS98" s="3">
        <f t="shared" si="473"/>
        <v>0</v>
      </c>
      <c r="DT98" s="3">
        <f t="shared" si="495"/>
        <v>0</v>
      </c>
      <c r="DU98" s="3">
        <f t="shared" si="496"/>
        <v>0</v>
      </c>
      <c r="DV98" s="3">
        <f>AM98+IF(DN98="BUY",DT98,IF(DN98="SELL",-DT98,0))</f>
        <v>-5698</v>
      </c>
      <c r="DW98" s="3">
        <f t="shared" si="498"/>
        <v>-80</v>
      </c>
      <c r="DX98" s="3" t="e">
        <f t="shared" ca="1" si="503"/>
        <v>#NUM!</v>
      </c>
      <c r="DY98" s="3" t="e">
        <f t="shared" ca="1" si="474"/>
        <v>#NUM!</v>
      </c>
      <c r="DZ98" s="3">
        <f t="shared" ca="1" si="475"/>
        <v>2.8059984505054966E-2</v>
      </c>
      <c r="EA98" s="3">
        <f t="shared" ca="1" si="476"/>
        <v>-2.3399311091535763E-3</v>
      </c>
      <c r="EB98" s="3">
        <f t="shared" ca="1" si="477"/>
        <v>2.3865600201313369E-3</v>
      </c>
      <c r="EC98" s="3">
        <f t="shared" ca="1" si="478"/>
        <v>-2.2505469734868614E-3</v>
      </c>
      <c r="EE98" s="59">
        <f t="shared" si="479"/>
        <v>0.46610000000000001</v>
      </c>
      <c r="EF98" s="59">
        <f t="shared" si="480"/>
        <v>0.74370000000000003</v>
      </c>
      <c r="EG98" s="59">
        <f t="shared" si="481"/>
        <v>0.17199999999999999</v>
      </c>
      <c r="EH98" s="59">
        <f t="shared" si="482"/>
        <v>0.1779</v>
      </c>
      <c r="EI98" s="59">
        <f t="shared" si="483"/>
        <v>0.1741</v>
      </c>
      <c r="EJ98" s="59">
        <f t="shared" si="484"/>
        <v>0.18559999999999999</v>
      </c>
      <c r="EL98" s="3" t="str">
        <f>RTD("tos.rtd",,EL$83,"."&amp;$B$82&amp;$AS$82&amp;"C"&amp;$A98)</f>
        <v>46.61%</v>
      </c>
      <c r="EM98" s="3" t="str">
        <f>RTD("tos.rtd",,EM$83,"."&amp;$B$82&amp;$AS$82&amp;"P"&amp;$A98)</f>
        <v>74.37%</v>
      </c>
      <c r="EN98" s="3" t="str">
        <f>RTD("tos.rtd",,EN$83,"."&amp;$C$82&amp;$AU$82&amp;"C"&amp;$A98)</f>
        <v>17.20%</v>
      </c>
      <c r="EO98" s="3" t="str">
        <f>RTD("tos.rtd",,EO$83,"."&amp;$C$82&amp;$AU$82&amp;"P"&amp;$A98)</f>
        <v>17.79%</v>
      </c>
      <c r="EP98" s="3" t="str">
        <f>RTD("tos.rtd",,EP$83,"."&amp;$D$82&amp;$AW$82&amp;"C"&amp;$A98)</f>
        <v>17.41%</v>
      </c>
      <c r="EQ98" s="3" t="str">
        <f>RTD("tos.rtd",,EQ$83,"."&amp;$D$82&amp;$AW$82&amp;"P"&amp;$A98)</f>
        <v>18.56%</v>
      </c>
      <c r="ET98" s="64" t="str">
        <f t="shared" ca="1" si="485"/>
        <v>5740,00.00</v>
      </c>
      <c r="EU98" s="67">
        <v>563.21</v>
      </c>
      <c r="EV98" s="67" t="s">
        <v>803</v>
      </c>
      <c r="EW98" s="67">
        <v>485.16</v>
      </c>
      <c r="EX98" s="67" t="s">
        <v>804</v>
      </c>
      <c r="EY98" s="67">
        <v>5647.75</v>
      </c>
      <c r="EZ98" s="67" t="s">
        <v>805</v>
      </c>
      <c r="FA98" s="67">
        <v>19935</v>
      </c>
      <c r="FB98" s="67" t="s">
        <v>806</v>
      </c>
      <c r="FC98" s="67" t="s">
        <v>807</v>
      </c>
      <c r="FD98" s="67" t="s">
        <v>808</v>
      </c>
      <c r="FE98" s="68" t="s">
        <v>809</v>
      </c>
      <c r="FF98" s="68" t="s">
        <v>810</v>
      </c>
    </row>
    <row r="99" spans="1:162" s="63" customFormat="1" ht="12" customHeight="1" thickBot="1" x14ac:dyDescent="0.25">
      <c r="A99" s="2">
        <f t="shared" si="499"/>
        <v>5730</v>
      </c>
      <c r="B99" s="3">
        <f t="shared" si="445"/>
        <v>1387</v>
      </c>
      <c r="C99" s="3">
        <f t="shared" si="446"/>
        <v>210</v>
      </c>
      <c r="D99" s="3">
        <f t="shared" si="447"/>
        <v>391</v>
      </c>
      <c r="E99" s="3">
        <f t="shared" ref="E99:E129" si="510">SUM(B99:D99)</f>
        <v>1988</v>
      </c>
      <c r="F99" s="4">
        <f>+$F$84/$A$84*A99</f>
        <v>5754.1867827463393</v>
      </c>
      <c r="G99" s="4">
        <f t="shared" ref="G99:G130" si="511">+$G$84/$A$84*A99</f>
        <v>571.38250890383858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1848</v>
      </c>
      <c r="AN99" s="20">
        <v>160</v>
      </c>
      <c r="AO99" s="20">
        <v>5730</v>
      </c>
      <c r="AP99" s="20">
        <v>40828</v>
      </c>
      <c r="AQ99" s="20">
        <v>-603</v>
      </c>
      <c r="AR99" s="20"/>
      <c r="AS99" s="54">
        <f>IF(RTD("tos.rtd",,AS$83,"."&amp;$B$82&amp;$AS$82&amp;"C"&amp;$A99)="N/A",0,RTD("tos.rtd",,AS$83,"."&amp;$B$82&amp;$AS$82&amp;"C"&amp;$A99))</f>
        <v>1256</v>
      </c>
      <c r="AT99" s="3">
        <f>-IF(RTD("tos.rtd",,AT$83,"."&amp;$B$82&amp;$AS$82&amp;"P"&amp;$A99)="N/A",0,RTD("tos.rtd",,AT$83,"."&amp;$B$82&amp;$AS$82&amp;"P"&amp;$A99))</f>
        <v>-131</v>
      </c>
      <c r="AU99" s="54">
        <f>IF(RTD("tos.rtd",,AU$83,"."&amp;$C$82&amp;$AU$82&amp;"C"&amp;$A99)="N/A",0,RTD("tos.rtd",,AU$83,"."&amp;$C$82&amp;$AU$82&amp;"C"&amp;$A99))</f>
        <v>181</v>
      </c>
      <c r="AV99" s="3">
        <f>-IF(RTD("tos.rtd",,AV$83,"."&amp;$C$82&amp;$AU$82&amp;"P"&amp;$A99)="N/A",0,RTD("tos.rtd",,AV$83,"."&amp;$C$82&amp;$AU$82&amp;"P"&amp;$A99))</f>
        <v>-29</v>
      </c>
      <c r="AW99" s="54">
        <f>IF(RTD("tos.rtd",,AW$83,"."&amp;$D$82&amp;$AW$82&amp;"C"&amp;$A99)="N/A",0,RTD("tos.rtd",,AW$83,"."&amp;$D$82&amp;$AW$82&amp;"C"&amp;$A99))</f>
        <v>294</v>
      </c>
      <c r="AX99" s="3">
        <f>-IF(RTD("tos.rtd",,AX$83,"."&amp;$D$82&amp;$AW$82&amp;"P"&amp;$A99)="N/A",0,RTD("tos.rtd",,AX$83,"."&amp;$D$82&amp;$AW$82&amp;"P"&amp;$A99))</f>
        <v>-97</v>
      </c>
      <c r="AY99" s="79">
        <f t="shared" ref="AY99:AY130" si="512">SUM(AS99:AX99)</f>
        <v>1474</v>
      </c>
      <c r="AZ99" s="8">
        <f t="shared" si="449"/>
        <v>5730</v>
      </c>
      <c r="BA99" s="54">
        <f>IF(RTD("tos.rtd",,BA$83,"."&amp;$B$82&amp;$AS$82&amp;"C"&amp;$A99)="N/A",0,RTD("tos.rtd",,BA$83,"."&amp;$B$82&amp;$AS$82&amp;"C"&amp;$A99))</f>
        <v>40828</v>
      </c>
      <c r="BB99" s="3">
        <f>-IF(RTD("tos.rtd",,BB$83,"."&amp;$B$82&amp;$AS$82&amp;"P"&amp;$A99)="N/A",0,RTD("tos.rtd",,BB$83,"."&amp;$B$82&amp;$AS$82&amp;"P"&amp;$A99))</f>
        <v>-603</v>
      </c>
      <c r="BC99" s="54">
        <f>IF(RTD("tos.rtd",,BC$83,"."&amp;$C$82&amp;$AU$82&amp;"C"&amp;$A99)="N/A",0,RTD("tos.rtd",,BC$83,"."&amp;$C$82&amp;$AU$82&amp;"C"&amp;$A99))</f>
        <v>452</v>
      </c>
      <c r="BD99" s="3">
        <f>-IF(RTD("tos.rtd",,BD$83,"."&amp;$C$82&amp;$AU$82&amp;"P"&amp;$A99)="N/A",0,RTD("tos.rtd",,BD$83,"."&amp;$C$82&amp;$AU$82&amp;"P"&amp;$A99))</f>
        <v>-36</v>
      </c>
      <c r="BE99" s="54">
        <f>IF(RTD("tos.rtd",,BE$83,"."&amp;$D$82&amp;$AW$82&amp;"C"&amp;$A99)="N/A",0,RTD("tos.rtd",,BE$83,"."&amp;$D$82&amp;$AW$82&amp;"C"&amp;$A99))</f>
        <v>165</v>
      </c>
      <c r="BF99" s="3">
        <f>-IF(RTD("tos.rtd",,BF$83,"."&amp;$D$82&amp;$AW$82&amp;"P"&amp;$A99)="N/A",0,RTD("tos.rtd",,BF$83,"."&amp;$D$82&amp;$AW$82&amp;"P"&amp;$A99))</f>
        <v>-12</v>
      </c>
      <c r="BG99" s="3" t="e">
        <f ca="1">+Hoja2!Y100</f>
        <v>#N/A</v>
      </c>
      <c r="BH99" s="55" t="e">
        <f t="shared" ca="1" si="488"/>
        <v>#N/A</v>
      </c>
      <c r="BI99" s="32" t="e">
        <f t="shared" ca="1" si="504"/>
        <v>#N/A</v>
      </c>
      <c r="BJ99" s="3" t="e">
        <f ca="1">IF($BP$1=1,DX99,IF(RTD("tos.rtd",,BJ$83,"."&amp;$B$82&amp;$AS$82&amp;"C"&amp;$A99)="N/A",0,RTD("tos.rtd",,BJ$83,"."&amp;$B$82&amp;$AS$82&amp;"C"&amp;$A99)))</f>
        <v>#NUM!</v>
      </c>
      <c r="BK99" s="3" t="e">
        <f ca="1">IF($BP$1=1,DY99,-IF(RTD("tos.rtd",,BK$83,"."&amp;$B$82&amp;$AS$82&amp;"P"&amp;$A99)="N/A",0,RTD("tos.rtd",,BK$83,"."&amp;$B$82&amp;$AS$82&amp;"P"&amp;$A99)))</f>
        <v>#NUM!</v>
      </c>
      <c r="BL99" s="3">
        <f ca="1">IF($BP$1=1,DZ99,IF(RTD("tos.rtd",,BL$83,"."&amp;$C$82&amp;$AU$82&amp;"C"&amp;$A99)="N/A",0,RTD("tos.rtd",,BL$83,"."&amp;$C$82&amp;$AU$82&amp;"C"&amp;$A99)))</f>
        <v>2.8171411725544659E-2</v>
      </c>
      <c r="BM99" s="3">
        <f ca="1">IF($BP$1=1,EA99,-IF(RTD("tos.rtd",,BM$83,"."&amp;$C$82&amp;$AU$82&amp;"P"&amp;$A99)="N/A",0,RTD("tos.rtd",,BM$83,"."&amp;$C$82&amp;$AU$82&amp;"P"&amp;$A99)))</f>
        <v>-2.3511823349593604E-3</v>
      </c>
      <c r="BN99" s="3">
        <f ca="1">IF($BP$1=1,EB99,IF(RTD("tos.rtd",,BN$83,"."&amp;$D$82&amp;$AW$82&amp;"C"&amp;$A99)="N/A",0,RTD("tos.rtd",,BN$83,"."&amp;$D$82&amp;$AW$82&amp;"C"&amp;$A99)))</f>
        <v>2.4018190670261766E-3</v>
      </c>
      <c r="BO99" s="3">
        <f ca="1">IF($BP$1=1,EC99,-IF(RTD("tos.rtd",,BO$83,"."&amp;$D$82&amp;$AW$82&amp;"P"&amp;$A99)="N/A",0,RTD("tos.rtd",,BO$83,"."&amp;$D$82&amp;$AW$82&amp;"P"&amp;$A99)))</f>
        <v>-2.2616171398831108E-3</v>
      </c>
      <c r="BQ99" s="3" t="e">
        <f t="shared" ca="1" si="450"/>
        <v>#NUM!</v>
      </c>
      <c r="BR99" s="3" t="e">
        <f t="shared" ca="1" si="489"/>
        <v>#NUM!</v>
      </c>
      <c r="BS99" s="3">
        <f t="shared" ca="1" si="451"/>
        <v>1202782.988401369</v>
      </c>
      <c r="BT99" s="3" t="str">
        <f t="shared" ca="1" si="489"/>
        <v/>
      </c>
      <c r="BU99" s="3">
        <f t="shared" ca="1" si="452"/>
        <v>116375.00492894795</v>
      </c>
      <c r="BV99" s="3" t="str">
        <f t="shared" ca="1" si="489"/>
        <v/>
      </c>
      <c r="BX99" s="3" t="e">
        <f t="shared" ca="1" si="453"/>
        <v>#NUM!</v>
      </c>
      <c r="BY99" s="3" t="e">
        <f t="shared" ca="1" si="501"/>
        <v>#NUM!</v>
      </c>
      <c r="BZ99" s="3">
        <f t="shared" ca="1" si="454"/>
        <v>3024107.3999689636</v>
      </c>
      <c r="CA99" s="3" t="str">
        <f t="shared" ca="1" si="501"/>
        <v/>
      </c>
      <c r="CB99" s="3">
        <f t="shared" ca="1" si="455"/>
        <v>88259.644423072066</v>
      </c>
      <c r="CC99" s="3" t="str">
        <f t="shared" ca="1" si="501"/>
        <v/>
      </c>
      <c r="CD99" s="3">
        <f>IF(RTD("tos.rtd",,CD$83,"."&amp;$B$82&amp;$AS$82&amp;"C"&amp;$A99)="N/A",0,RTD("tos.rtd",,CD$83,"."&amp;$B$82&amp;$AS$82&amp;"C"&amp;$A99))</f>
        <v>0</v>
      </c>
      <c r="CE99" s="3">
        <f>-IF(RTD("tos.rtd",,CE$83,"."&amp;$B$82&amp;$AS$82&amp;"P"&amp;$A99)="N/A",0,RTD("tos.rtd",,CE$83,"."&amp;$B$82&amp;$AS$82&amp;"P"&amp;$A99))</f>
        <v>0.94</v>
      </c>
      <c r="CF99" s="3">
        <f>IF(RTD("tos.rtd",,CF$83,"."&amp;$C$82&amp;$AU$82&amp;"C"&amp;$A99)="N/A",0,RTD("tos.rtd",,CF$83,"."&amp;$C$82&amp;$AU$82&amp;"C"&amp;$A99))</f>
        <v>0.39</v>
      </c>
      <c r="CG99" s="3">
        <f>-IF(RTD("tos.rtd",,CG$83,"."&amp;$C$82&amp;$AU$82&amp;"P"&amp;$A99)="N/A",0,RTD("tos.rtd",,CG$83,"."&amp;$C$82&amp;$AU$82&amp;"P"&amp;$A99))</f>
        <v>0.6</v>
      </c>
      <c r="CH99" s="3">
        <f>IF(RTD("tos.rtd",,CH$83,"."&amp;$D$82&amp;$AW$82&amp;"C"&amp;$A99)="N/A",0,RTD("tos.rtd",,CH$83,"."&amp;$D$82&amp;$AW$82&amp;"C"&amp;$A99))</f>
        <v>0.44</v>
      </c>
      <c r="CI99" s="3">
        <f>-IF(RTD("tos.rtd",,CI$83,"."&amp;$D$82&amp;$AW$82&amp;"P"&amp;$A99)="N/A",0,RTD("tos.rtd",,CI$83,"."&amp;$D$82&amp;$AW$82&amp;"P"&amp;$A99))</f>
        <v>0.56000000000000005</v>
      </c>
      <c r="CK99" s="3">
        <f t="shared" si="490"/>
        <v>-12313.999999999998</v>
      </c>
      <c r="CL99" s="3"/>
      <c r="CM99" s="3">
        <f t="shared" si="491"/>
        <v>5319</v>
      </c>
      <c r="CN99" s="3"/>
      <c r="CO99" s="3">
        <f t="shared" si="492"/>
        <v>7504.0000000000009</v>
      </c>
      <c r="CP99" s="3">
        <f t="shared" si="456"/>
        <v>509.00000000000273</v>
      </c>
      <c r="CQ99" s="3">
        <f t="shared" si="457"/>
        <v>40225</v>
      </c>
      <c r="CR99" s="3"/>
      <c r="CS99" s="3">
        <f t="shared" si="458"/>
        <v>416</v>
      </c>
      <c r="CT99" s="3"/>
      <c r="CU99" s="3">
        <f t="shared" si="459"/>
        <v>153</v>
      </c>
      <c r="CV99" s="3"/>
      <c r="CW99" s="3" t="e">
        <f t="shared" ca="1" si="460"/>
        <v>#NUM!</v>
      </c>
      <c r="CY99" s="3" t="e">
        <f t="shared" ca="1" si="461"/>
        <v>#NUM!</v>
      </c>
      <c r="CZ99" s="70" t="e">
        <f t="shared" ca="1" si="502"/>
        <v>#NUM!</v>
      </c>
      <c r="DA99" s="3">
        <f>IF(RTD("tos.rtd",,DA$83,"."&amp;$B$82&amp;$AS$82&amp;"C"&amp;$A99)="N/A",0,RTD("tos.rtd",,DA$83,"."&amp;$B$82&amp;$AS$82&amp;"C"&amp;$A99))</f>
        <v>0.03</v>
      </c>
      <c r="DB99" s="3">
        <f>IF(RTD("tos.rtd",,DB$83,"."&amp;$B$82&amp;$AS$82&amp;"P"&amp;$A99)="N/A",0,RTD("tos.rtd",,DB$83,"."&amp;$B$82&amp;$AS$82&amp;"P"&amp;$A99))</f>
        <v>43.4</v>
      </c>
      <c r="DC99" s="3">
        <f>IF(RTD("tos.rtd",,DC$83,"."&amp;$B$82&amp;$AS$82&amp;"C"&amp;$A99)="N/A",0,RTD("tos.rtd",,DC$83,"."&amp;$B$82&amp;$AS$82&amp;"C"&amp;$A99))</f>
        <v>0.05</v>
      </c>
      <c r="DD99" s="3">
        <f>IF(RTD("tos.rtd",,DD$83,"."&amp;$B$82&amp;$AS$82&amp;"P"&amp;$A99)="N/A",0,RTD("tos.rtd",,DD$83,"."&amp;$B$82&amp;$AS$82&amp;"P"&amp;$A99))</f>
        <v>46.2</v>
      </c>
      <c r="DE99" s="3">
        <f>IF(RTD("tos.rtd",,DE$83,"."&amp;$B$82&amp;$AS$82&amp;"C"&amp;$A99)="N/A",0,RTD("tos.rtd",,DE$83,"."&amp;$B$82&amp;$AS$82&amp;"C"&amp;$A99))</f>
        <v>0</v>
      </c>
      <c r="DF99" s="3">
        <f>IF(RTD("tos.rtd",,DF$83,"."&amp;$B$82&amp;$AS$82&amp;"P"&amp;$A99)="N/A",0,RTD("tos.rtd",,DF$83,"."&amp;$B$82&amp;$AS$82&amp;"P"&amp;$A99))</f>
        <v>41.7</v>
      </c>
      <c r="DG99" s="86">
        <f t="shared" si="494"/>
        <v>44.25</v>
      </c>
      <c r="DH99" s="3">
        <f t="shared" si="462"/>
        <v>0</v>
      </c>
      <c r="DI99" s="3">
        <f t="shared" si="463"/>
        <v>0</v>
      </c>
      <c r="DJ99" s="3">
        <f t="shared" si="464"/>
        <v>0</v>
      </c>
      <c r="DK99" s="3">
        <f t="shared" si="465"/>
        <v>0</v>
      </c>
      <c r="DL99" s="3">
        <f t="shared" si="466"/>
        <v>0</v>
      </c>
      <c r="DM99" s="3">
        <f t="shared" si="467"/>
        <v>0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469"/>
        <v>UNKNOWN</v>
      </c>
      <c r="DP99" s="3">
        <f t="shared" si="470"/>
        <v>0</v>
      </c>
      <c r="DQ99" s="3">
        <f t="shared" si="471"/>
        <v>0</v>
      </c>
      <c r="DR99" s="3" t="e">
        <f t="shared" ca="1" si="472"/>
        <v>#NUM!</v>
      </c>
      <c r="DS99" s="3">
        <f t="shared" si="473"/>
        <v>0</v>
      </c>
      <c r="DT99" s="3">
        <f t="shared" si="495"/>
        <v>0</v>
      </c>
      <c r="DU99" s="3">
        <f t="shared" si="496"/>
        <v>0</v>
      </c>
      <c r="DV99" s="3">
        <f t="shared" si="497"/>
        <v>1848</v>
      </c>
      <c r="DW99" s="3">
        <f t="shared" si="498"/>
        <v>160</v>
      </c>
      <c r="DX99" s="3" t="e">
        <f t="shared" ca="1" si="503"/>
        <v>#NUM!</v>
      </c>
      <c r="DY99" s="3" t="e">
        <f t="shared" ca="1" si="474"/>
        <v>#NUM!</v>
      </c>
      <c r="DZ99" s="3">
        <f t="shared" ca="1" si="475"/>
        <v>2.8171411725544659E-2</v>
      </c>
      <c r="EA99" s="3">
        <f t="shared" ca="1" si="476"/>
        <v>-2.3511823349593604E-3</v>
      </c>
      <c r="EB99" s="3">
        <f t="shared" ca="1" si="477"/>
        <v>2.4018190670261766E-3</v>
      </c>
      <c r="EC99" s="3">
        <f t="shared" ca="1" si="478"/>
        <v>-2.2616171398831108E-3</v>
      </c>
      <c r="EE99" s="59">
        <f t="shared" si="479"/>
        <v>0.38740000000000002</v>
      </c>
      <c r="EF99" s="59">
        <f t="shared" si="480"/>
        <v>0.63109999999999999</v>
      </c>
      <c r="EG99" s="59">
        <f t="shared" si="481"/>
        <v>0.17419999999999999</v>
      </c>
      <c r="EH99" s="59">
        <f t="shared" si="482"/>
        <v>0.17979999999999999</v>
      </c>
      <c r="EI99" s="59">
        <f t="shared" si="483"/>
        <v>0.17580000000000001</v>
      </c>
      <c r="EJ99" s="59">
        <f t="shared" si="484"/>
        <v>0.18729999999999999</v>
      </c>
      <c r="EL99" s="3" t="str">
        <f>RTD("tos.rtd",,EL$83,"."&amp;$B$82&amp;$AS$82&amp;"C"&amp;$A99)</f>
        <v>38.74%</v>
      </c>
      <c r="EM99" s="3" t="str">
        <f>RTD("tos.rtd",,EM$83,"."&amp;$B$82&amp;$AS$82&amp;"P"&amp;$A99)</f>
        <v>63.11%</v>
      </c>
      <c r="EN99" s="3" t="str">
        <f>RTD("tos.rtd",,EN$83,"."&amp;$C$82&amp;$AU$82&amp;"C"&amp;$A99)</f>
        <v>17.42%</v>
      </c>
      <c r="EO99" s="3" t="str">
        <f>RTD("tos.rtd",,EO$83,"."&amp;$C$82&amp;$AU$82&amp;"P"&amp;$A99)</f>
        <v>17.98%</v>
      </c>
      <c r="EP99" s="3" t="str">
        <f>RTD("tos.rtd",,EP$83,"."&amp;$D$82&amp;$AW$82&amp;"C"&amp;$A99)</f>
        <v>17.58%</v>
      </c>
      <c r="EQ99" s="3" t="str">
        <f>RTD("tos.rtd",,EQ$83,"."&amp;$D$82&amp;$AW$82&amp;"P"&amp;$A99)</f>
        <v>18.73%</v>
      </c>
      <c r="ET99" s="64" t="str">
        <f t="shared" ca="1" si="485"/>
        <v>5730,00.00</v>
      </c>
      <c r="EU99" s="67">
        <v>563.35</v>
      </c>
      <c r="EV99" s="67" t="s">
        <v>811</v>
      </c>
      <c r="EW99" s="67">
        <v>485.29</v>
      </c>
      <c r="EX99" s="67" t="s">
        <v>812</v>
      </c>
      <c r="EY99" s="67">
        <v>5649.25</v>
      </c>
      <c r="EZ99" s="67" t="s">
        <v>813</v>
      </c>
      <c r="FA99" s="67">
        <v>19941.25</v>
      </c>
      <c r="FB99" s="67" t="s">
        <v>814</v>
      </c>
      <c r="FC99" s="67" t="s">
        <v>815</v>
      </c>
      <c r="FD99" s="67" t="s">
        <v>816</v>
      </c>
      <c r="FE99" s="68" t="s">
        <v>817</v>
      </c>
      <c r="FF99" s="68" t="s">
        <v>818</v>
      </c>
    </row>
    <row r="100" spans="1:162" s="63" customFormat="1" ht="12" customHeight="1" thickBot="1" x14ac:dyDescent="0.25">
      <c r="A100" s="2">
        <f t="shared" si="499"/>
        <v>5720</v>
      </c>
      <c r="B100" s="3">
        <f t="shared" si="445"/>
        <v>2378</v>
      </c>
      <c r="C100" s="3">
        <f t="shared" si="446"/>
        <v>0</v>
      </c>
      <c r="D100" s="3">
        <f t="shared" si="447"/>
        <v>666</v>
      </c>
      <c r="E100" s="3">
        <f t="shared" si="510"/>
        <v>3044</v>
      </c>
      <c r="F100" s="4">
        <f t="shared" ref="F100:F129" si="513">+$F$84/$A$84*A100</f>
        <v>5744.1445719562062</v>
      </c>
      <c r="G100" s="4">
        <f t="shared" si="511"/>
        <v>570.38533175042869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-3924</v>
      </c>
      <c r="AN100" s="20">
        <v>168</v>
      </c>
      <c r="AO100" s="20">
        <v>5720</v>
      </c>
      <c r="AP100" s="20">
        <v>58223</v>
      </c>
      <c r="AQ100" s="20">
        <v>-1265</v>
      </c>
      <c r="AR100" s="20"/>
      <c r="AS100" s="54">
        <f>IF(RTD("tos.rtd",,AS$83,"."&amp;$B$82&amp;$AS$82&amp;"C"&amp;$A100)="N/A",0,RTD("tos.rtd",,AS$83,"."&amp;$B$82&amp;$AS$82&amp;"C"&amp;$A100))</f>
        <v>2161</v>
      </c>
      <c r="AT100" s="3">
        <f>-IF(RTD("tos.rtd",,AT$83,"."&amp;$B$82&amp;$AS$82&amp;"P"&amp;$A100)="N/A",0,RTD("tos.rtd",,AT$83,"."&amp;$B$82&amp;$AS$82&amp;"P"&amp;$A100))</f>
        <v>-217</v>
      </c>
      <c r="AU100" s="54">
        <f>IF(RTD("tos.rtd",,AU$83,"."&amp;$C$82&amp;$AU$82&amp;"C"&amp;$A100)="N/A",0,RTD("tos.rtd",,AU$83,"."&amp;$C$82&amp;$AU$82&amp;"C"&amp;$A100))</f>
        <v>0</v>
      </c>
      <c r="AV100" s="3">
        <f>-IF(RTD("tos.rtd",,AV$83,"."&amp;$C$82&amp;$AU$82&amp;"P"&amp;$A100)="N/A",0,RTD("tos.rtd",,AV$83,"."&amp;$C$82&amp;$AU$82&amp;"P"&amp;$A100))</f>
        <v>0</v>
      </c>
      <c r="AW100" s="54">
        <f>IF(RTD("tos.rtd",,AW$83,"."&amp;$D$82&amp;$AW$82&amp;"C"&amp;$A100)="N/A",0,RTD("tos.rtd",,AW$83,"."&amp;$D$82&amp;$AW$82&amp;"C"&amp;$A100))</f>
        <v>518</v>
      </c>
      <c r="AX100" s="3">
        <f>-IF(RTD("tos.rtd",,AX$83,"."&amp;$D$82&amp;$AW$82&amp;"P"&amp;$A100)="N/A",0,RTD("tos.rtd",,AX$83,"."&amp;$D$82&amp;$AW$82&amp;"P"&amp;$A100))</f>
        <v>-148</v>
      </c>
      <c r="AY100" s="79">
        <f t="shared" si="512"/>
        <v>2314</v>
      </c>
      <c r="AZ100" s="8">
        <f t="shared" si="449"/>
        <v>5720</v>
      </c>
      <c r="BA100" s="54">
        <f>IF(RTD("tos.rtd",,BA$83,"."&amp;$B$82&amp;$AS$82&amp;"C"&amp;$A100)="N/A",0,RTD("tos.rtd",,BA$83,"."&amp;$B$82&amp;$AS$82&amp;"C"&amp;$A100))</f>
        <v>58223</v>
      </c>
      <c r="BB100" s="3">
        <f>-IF(RTD("tos.rtd",,BB$83,"."&amp;$B$82&amp;$AS$82&amp;"P"&amp;$A100)="N/A",0,RTD("tos.rtd",,BB$83,"."&amp;$B$82&amp;$AS$82&amp;"P"&amp;$A100))</f>
        <v>-1265</v>
      </c>
      <c r="BC100" s="54">
        <f>IF(RTD("tos.rtd",,BC$83,"."&amp;$C$82&amp;$AU$82&amp;"C"&amp;$A100)="N/A",0,RTD("tos.rtd",,BC$83,"."&amp;$C$82&amp;$AU$82&amp;"C"&amp;$A100))</f>
        <v>0</v>
      </c>
      <c r="BD100" s="3">
        <f>-IF(RTD("tos.rtd",,BD$83,"."&amp;$C$82&amp;$AU$82&amp;"P"&amp;$A100)="N/A",0,RTD("tos.rtd",,BD$83,"."&amp;$C$82&amp;$AU$82&amp;"P"&amp;$A100))</f>
        <v>0</v>
      </c>
      <c r="BE100" s="54">
        <f>IF(RTD("tos.rtd",,BE$83,"."&amp;$D$82&amp;$AW$82&amp;"C"&amp;$A100)="N/A",0,RTD("tos.rtd",,BE$83,"."&amp;$D$82&amp;$AW$82&amp;"C"&amp;$A100))</f>
        <v>172</v>
      </c>
      <c r="BF100" s="3">
        <f>-IF(RTD("tos.rtd",,BF$83,"."&amp;$D$82&amp;$AW$82&amp;"P"&amp;$A100)="N/A",0,RTD("tos.rtd",,BF$83,"."&amp;$D$82&amp;$AW$82&amp;"P"&amp;$A100))</f>
        <v>-37</v>
      </c>
      <c r="BG100" s="3" t="e">
        <f ca="1">+Hoja2!Y101</f>
        <v>#N/A</v>
      </c>
      <c r="BH100" s="55" t="e">
        <f t="shared" ca="1" si="488"/>
        <v>#N/A</v>
      </c>
      <c r="BI100" s="32" t="e">
        <f t="shared" ca="1" si="504"/>
        <v>#N/A</v>
      </c>
      <c r="BJ100" s="3" t="e">
        <f ca="1">IF($BP$1=1,DX100,IF(RTD("tos.rtd",,BJ$83,"."&amp;$B$82&amp;$AS$82&amp;"C"&amp;$A100)="N/A",0,RTD("tos.rtd",,BJ$83,"."&amp;$B$82&amp;$AS$82&amp;"C"&amp;$A100)))</f>
        <v>#NUM!</v>
      </c>
      <c r="BK100" s="3" t="e">
        <f ca="1">IF($BP$1=1,DY100,-IF(RTD("tos.rtd",,BK$83,"."&amp;$B$82&amp;$AS$82&amp;"P"&amp;$A100)="N/A",0,RTD("tos.rtd",,BK$83,"."&amp;$B$82&amp;$AS$82&amp;"P"&amp;$A100)))</f>
        <v>#NUM!</v>
      </c>
      <c r="BL100" s="3">
        <f ca="1">IF($BP$1=1,DZ100,IF(RTD("tos.rtd",,BL$83,"."&amp;$C$82&amp;$AU$82&amp;"C"&amp;$A100)="N/A",0,RTD("tos.rtd",,BL$83,"."&amp;$C$82&amp;$AU$82&amp;"C"&amp;$A100)))</f>
        <v>2.0013943179989641E-2</v>
      </c>
      <c r="BM100" s="3">
        <f ca="1">IF($BP$1=1,EA100,-IF(RTD("tos.rtd",,BM$83,"."&amp;$C$82&amp;$AU$82&amp;"P"&amp;$A100)="N/A",0,RTD("tos.rtd",,BM$83,"."&amp;$C$82&amp;$AU$82&amp;"P"&amp;$A100)))</f>
        <v>-1.7211480732159759E-3</v>
      </c>
      <c r="BN100" s="3">
        <f ca="1">IF($BP$1=1,EB100,IF(RTD("tos.rtd",,BN$83,"."&amp;$D$82&amp;$AW$82&amp;"C"&amp;$A100)="N/A",0,RTD("tos.rtd",,BN$83,"."&amp;$D$82&amp;$AW$82&amp;"C"&amp;$A100)))</f>
        <v>2.4044260499428666E-3</v>
      </c>
      <c r="BO100" s="3">
        <f ca="1">IF($BP$1=1,EC100,-IF(RTD("tos.rtd",,BO$83,"."&amp;$D$82&amp;$AW$82&amp;"P"&amp;$A100)="N/A",0,RTD("tos.rtd",,BO$83,"."&amp;$D$82&amp;$AW$82&amp;"P"&amp;$A100)))</f>
        <v>-2.2632622298566127E-3</v>
      </c>
      <c r="BQ100" s="3" t="e">
        <f t="shared" ca="1" si="450"/>
        <v>#NUM!</v>
      </c>
      <c r="BR100" s="3" t="e">
        <f t="shared" ca="1" si="489"/>
        <v>#NUM!</v>
      </c>
      <c r="BS100" s="3">
        <f t="shared" ca="1" si="451"/>
        <v>0</v>
      </c>
      <c r="BT100" s="3" t="str">
        <f t="shared" ca="1" si="489"/>
        <v/>
      </c>
      <c r="BU100" s="3">
        <f t="shared" ca="1" si="452"/>
        <v>217691.19788427625</v>
      </c>
      <c r="BV100" s="3" t="str">
        <f t="shared" ca="1" si="489"/>
        <v/>
      </c>
      <c r="BX100" s="3" t="e">
        <f t="shared" ca="1" si="453"/>
        <v>#NUM!</v>
      </c>
      <c r="BY100" s="3" t="e">
        <f t="shared" ca="1" si="501"/>
        <v>#NUM!</v>
      </c>
      <c r="BZ100" s="3">
        <f t="shared" ca="1" si="454"/>
        <v>0</v>
      </c>
      <c r="CA100" s="3" t="str">
        <f t="shared" ca="1" si="501"/>
        <v/>
      </c>
      <c r="CB100" s="3">
        <f t="shared" ca="1" si="455"/>
        <v>78854.124399075896</v>
      </c>
      <c r="CC100" s="3" t="str">
        <f t="shared" ca="1" si="501"/>
        <v/>
      </c>
      <c r="CD100" s="3">
        <f>IF(RTD("tos.rtd",,CD$83,"."&amp;$B$82&amp;$AS$82&amp;"C"&amp;$A100)="N/A",0,RTD("tos.rtd",,CD$83,"."&amp;$B$82&amp;$AS$82&amp;"C"&amp;$A100))</f>
        <v>0.01</v>
      </c>
      <c r="CE100" s="3">
        <f>-IF(RTD("tos.rtd",,CE$83,"."&amp;$B$82&amp;$AS$82&amp;"P"&amp;$A100)="N/A",0,RTD("tos.rtd",,CE$83,"."&amp;$B$82&amp;$AS$82&amp;"P"&amp;$A100))</f>
        <v>0.97</v>
      </c>
      <c r="CF100" s="3">
        <f>IF(RTD("tos.rtd",,CF$83,"."&amp;$C$82&amp;$AU$82&amp;"C"&amp;$A100)="N/A",0,RTD("tos.rtd",,CF$83,"."&amp;$C$82&amp;$AU$82&amp;"C"&amp;$A100))</f>
        <v>0</v>
      </c>
      <c r="CG100" s="3">
        <f>-IF(RTD("tos.rtd",,CG$83,"."&amp;$C$82&amp;$AU$82&amp;"P"&amp;$A100)="N/A",0,RTD("tos.rtd",,CG$83,"."&amp;$C$82&amp;$AU$82&amp;"P"&amp;$A100))</f>
        <v>0</v>
      </c>
      <c r="CH100" s="3">
        <f>IF(RTD("tos.rtd",,CH$83,"."&amp;$D$82&amp;$AW$82&amp;"C"&amp;$A100)="N/A",0,RTD("tos.rtd",,CH$83,"."&amp;$D$82&amp;$AW$82&amp;"C"&amp;$A100))</f>
        <v>0.46</v>
      </c>
      <c r="CI100" s="3">
        <f>-IF(RTD("tos.rtd",,CI$83,"."&amp;$D$82&amp;$AW$82&amp;"P"&amp;$A100)="N/A",0,RTD("tos.rtd",,CI$83,"."&amp;$D$82&amp;$AW$82&amp;"P"&amp;$A100))</f>
        <v>0.54</v>
      </c>
      <c r="CK100" s="3">
        <f t="shared" si="490"/>
        <v>-18887.999999999996</v>
      </c>
      <c r="CL100" s="3"/>
      <c r="CM100" s="3">
        <f t="shared" si="491"/>
        <v>0</v>
      </c>
      <c r="CN100" s="3"/>
      <c r="CO100" s="3">
        <f t="shared" si="492"/>
        <v>15836</v>
      </c>
      <c r="CP100" s="3">
        <f t="shared" si="456"/>
        <v>-3051.9999999999964</v>
      </c>
      <c r="CQ100" s="3">
        <f t="shared" si="457"/>
        <v>56958</v>
      </c>
      <c r="CR100" s="3"/>
      <c r="CS100" s="3">
        <f t="shared" si="458"/>
        <v>0</v>
      </c>
      <c r="CT100" s="3"/>
      <c r="CU100" s="3">
        <f t="shared" si="459"/>
        <v>135</v>
      </c>
      <c r="CV100" s="3"/>
      <c r="CW100" s="3" t="e">
        <f t="shared" ca="1" si="460"/>
        <v>#NUM!</v>
      </c>
      <c r="CY100" s="3" t="e">
        <f t="shared" ca="1" si="461"/>
        <v>#NUM!</v>
      </c>
      <c r="CZ100" s="70" t="e">
        <f t="shared" ca="1" si="502"/>
        <v>#NUM!</v>
      </c>
      <c r="DA100" s="3">
        <f>IF(RTD("tos.rtd",,DA$83,"."&amp;$B$82&amp;$AS$82&amp;"C"&amp;$A100)="N/A",0,RTD("tos.rtd",,DA$83,"."&amp;$B$82&amp;$AS$82&amp;"C"&amp;$A100))</f>
        <v>0.05</v>
      </c>
      <c r="DB100" s="3">
        <f>IF(RTD("tos.rtd",,DB$83,"."&amp;$B$82&amp;$AS$82&amp;"P"&amp;$A100)="N/A",0,RTD("tos.rtd",,DB$83,"."&amp;$B$82&amp;$AS$82&amp;"P"&amp;$A100))</f>
        <v>30</v>
      </c>
      <c r="DC100" s="3">
        <f>IF(RTD("tos.rtd",,DC$83,"."&amp;$B$82&amp;$AS$82&amp;"C"&amp;$A100)="N/A",0,RTD("tos.rtd",,DC$83,"."&amp;$B$82&amp;$AS$82&amp;"C"&amp;$A100))</f>
        <v>0.05</v>
      </c>
      <c r="DD100" s="3">
        <f>IF(RTD("tos.rtd",,DD$83,"."&amp;$B$82&amp;$AS$82&amp;"P"&amp;$A100)="N/A",0,RTD("tos.rtd",,DD$83,"."&amp;$B$82&amp;$AS$82&amp;"P"&amp;$A100))</f>
        <v>35.200000000000003</v>
      </c>
      <c r="DE100" s="3">
        <f>IF(RTD("tos.rtd",,DE$83,"."&amp;$B$82&amp;$AS$82&amp;"C"&amp;$A100)="N/A",0,RTD("tos.rtd",,DE$83,"."&amp;$B$82&amp;$AS$82&amp;"C"&amp;$A100))</f>
        <v>0</v>
      </c>
      <c r="DF100" s="3">
        <f>IF(RTD("tos.rtd",,DF$83,"."&amp;$B$82&amp;$AS$82&amp;"P"&amp;$A100)="N/A",0,RTD("tos.rtd",,DF$83,"."&amp;$B$82&amp;$AS$82&amp;"P"&amp;$A100))</f>
        <v>31.8</v>
      </c>
      <c r="DG100" s="86">
        <f t="shared" si="494"/>
        <v>34.25</v>
      </c>
      <c r="DH100" s="3">
        <f t="shared" si="462"/>
        <v>0</v>
      </c>
      <c r="DI100" s="3">
        <f t="shared" si="463"/>
        <v>0</v>
      </c>
      <c r="DJ100" s="3">
        <f t="shared" si="464"/>
        <v>0</v>
      </c>
      <c r="DK100" s="3">
        <f t="shared" si="465"/>
        <v>0</v>
      </c>
      <c r="DL100" s="3">
        <f t="shared" si="466"/>
        <v>0</v>
      </c>
      <c r="DM100" s="3">
        <f t="shared" si="467"/>
        <v>0</v>
      </c>
      <c r="DN100" s="64" t="str">
        <f t="shared" si="468"/>
        <v>UNKNOWN</v>
      </c>
      <c r="DO100" s="64" t="str">
        <f t="shared" si="469"/>
        <v>UNKNOWN</v>
      </c>
      <c r="DP100" s="3">
        <f t="shared" si="470"/>
        <v>0</v>
      </c>
      <c r="DQ100" s="3">
        <f t="shared" si="471"/>
        <v>0</v>
      </c>
      <c r="DR100" s="3" t="e">
        <f t="shared" ca="1" si="472"/>
        <v>#NUM!</v>
      </c>
      <c r="DS100" s="3">
        <f t="shared" si="473"/>
        <v>0</v>
      </c>
      <c r="DT100" s="3">
        <f t="shared" si="495"/>
        <v>0</v>
      </c>
      <c r="DU100" s="3">
        <f t="shared" si="496"/>
        <v>0</v>
      </c>
      <c r="DV100" s="3">
        <f t="shared" si="497"/>
        <v>-3924</v>
      </c>
      <c r="DW100" s="3">
        <f t="shared" si="498"/>
        <v>168</v>
      </c>
      <c r="DX100" s="3" t="e">
        <f t="shared" ca="1" si="503"/>
        <v>#NUM!</v>
      </c>
      <c r="DY100" s="3" t="e">
        <f t="shared" ca="1" si="474"/>
        <v>#NUM!</v>
      </c>
      <c r="DZ100" s="3">
        <f t="shared" ca="1" si="475"/>
        <v>2.0013943179989641E-2</v>
      </c>
      <c r="EA100" s="3">
        <f t="shared" ca="1" si="476"/>
        <v>-1.7211480732159759E-3</v>
      </c>
      <c r="EB100" s="3">
        <f t="shared" ca="1" si="477"/>
        <v>2.4044260499428666E-3</v>
      </c>
      <c r="EC100" s="3">
        <f t="shared" ca="1" si="478"/>
        <v>-2.2632622298566127E-3</v>
      </c>
      <c r="EE100" s="59">
        <f t="shared" si="479"/>
        <v>0.30630000000000002</v>
      </c>
      <c r="EF100" s="59">
        <f t="shared" si="480"/>
        <v>0.4073</v>
      </c>
      <c r="EG100" s="59">
        <f t="shared" si="481"/>
        <v>0.25</v>
      </c>
      <c r="EH100" s="59">
        <f t="shared" si="482"/>
        <v>0.25</v>
      </c>
      <c r="EI100" s="59">
        <f t="shared" si="483"/>
        <v>0.1777</v>
      </c>
      <c r="EJ100" s="59">
        <f t="shared" si="484"/>
        <v>0.18909999999999999</v>
      </c>
      <c r="EL100" s="3" t="str">
        <f>RTD("tos.rtd",,EL$83,"."&amp;$B$82&amp;$AS$82&amp;"C"&amp;$A100)</f>
        <v>30.63%</v>
      </c>
      <c r="EM100" s="3" t="str">
        <f>RTD("tos.rtd",,EM$83,"."&amp;$B$82&amp;$AS$82&amp;"P"&amp;$A100)</f>
        <v>40.73%</v>
      </c>
      <c r="EN100" s="3" t="str">
        <f>RTD("tos.rtd",,EN$83,"."&amp;$C$82&amp;$AU$82&amp;"C"&amp;$A100)</f>
        <v>N/A</v>
      </c>
      <c r="EO100" s="3" t="str">
        <f>RTD("tos.rtd",,EO$83,"."&amp;$C$82&amp;$AU$82&amp;"P"&amp;$A100)</f>
        <v>N/A</v>
      </c>
      <c r="EP100" s="3" t="str">
        <f>RTD("tos.rtd",,EP$83,"."&amp;$D$82&amp;$AW$82&amp;"C"&amp;$A100)</f>
        <v>17.77%</v>
      </c>
      <c r="EQ100" s="3" t="str">
        <f>RTD("tos.rtd",,EQ$83,"."&amp;$D$82&amp;$AW$82&amp;"P"&amp;$A100)</f>
        <v>18.91%</v>
      </c>
      <c r="ET100" s="64" t="str">
        <f t="shared" ca="1" si="485"/>
        <v>5720,00.00</v>
      </c>
      <c r="EU100" s="67">
        <v>563.36</v>
      </c>
      <c r="EV100" s="67" t="s">
        <v>819</v>
      </c>
      <c r="EW100" s="67">
        <v>485.37</v>
      </c>
      <c r="EX100" s="67" t="s">
        <v>820</v>
      </c>
      <c r="EY100" s="67">
        <v>5649.25</v>
      </c>
      <c r="EZ100" s="67" t="s">
        <v>821</v>
      </c>
      <c r="FA100" s="67">
        <v>19944.5</v>
      </c>
      <c r="FB100" s="67" t="s">
        <v>822</v>
      </c>
      <c r="FC100" s="67" t="s">
        <v>823</v>
      </c>
      <c r="FD100" s="67" t="s">
        <v>824</v>
      </c>
      <c r="FE100" s="68" t="s">
        <v>825</v>
      </c>
      <c r="FF100" s="68" t="s">
        <v>826</v>
      </c>
    </row>
    <row r="101" spans="1:162" s="63" customFormat="1" ht="12" customHeight="1" thickBot="1" x14ac:dyDescent="0.25">
      <c r="A101" s="2">
        <f t="shared" si="499"/>
        <v>5710</v>
      </c>
      <c r="B101" s="3">
        <f t="shared" si="445"/>
        <v>2376</v>
      </c>
      <c r="C101" s="3">
        <f t="shared" si="446"/>
        <v>1167</v>
      </c>
      <c r="D101" s="3">
        <f t="shared" si="447"/>
        <v>1299</v>
      </c>
      <c r="E101" s="3">
        <f t="shared" si="510"/>
        <v>4842</v>
      </c>
      <c r="F101" s="4">
        <f t="shared" si="513"/>
        <v>5734.102361166073</v>
      </c>
      <c r="G101" s="4">
        <f t="shared" si="511"/>
        <v>569.38815459701891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-2956</v>
      </c>
      <c r="AN101" s="20">
        <v>-654</v>
      </c>
      <c r="AO101" s="20">
        <v>5710</v>
      </c>
      <c r="AP101" s="20">
        <v>82425</v>
      </c>
      <c r="AQ101" s="20">
        <v>-2429</v>
      </c>
      <c r="AR101" s="20"/>
      <c r="AS101" s="54">
        <f>IF(RTD("tos.rtd",,AS$83,"."&amp;$B$82&amp;$AS$82&amp;"C"&amp;$A101)="N/A",0,RTD("tos.rtd",,AS$83,"."&amp;$B$82&amp;$AS$82&amp;"C"&amp;$A101))</f>
        <v>2304</v>
      </c>
      <c r="AT101" s="3">
        <f>-IF(RTD("tos.rtd",,AT$83,"."&amp;$B$82&amp;$AS$82&amp;"P"&amp;$A101)="N/A",0,RTD("tos.rtd",,AT$83,"."&amp;$B$82&amp;$AS$82&amp;"P"&amp;$A101))</f>
        <v>-72</v>
      </c>
      <c r="AU101" s="54">
        <f>IF(RTD("tos.rtd",,AU$83,"."&amp;$C$82&amp;$AU$82&amp;"C"&amp;$A101)="N/A",0,RTD("tos.rtd",,AU$83,"."&amp;$C$82&amp;$AU$82&amp;"C"&amp;$A101))</f>
        <v>1149</v>
      </c>
      <c r="AV101" s="3">
        <f>-IF(RTD("tos.rtd",,AV$83,"."&amp;$C$82&amp;$AU$82&amp;"P"&amp;$A101)="N/A",0,RTD("tos.rtd",,AV$83,"."&amp;$C$82&amp;$AU$82&amp;"P"&amp;$A101))</f>
        <v>-18</v>
      </c>
      <c r="AW101" s="54">
        <f>IF(RTD("tos.rtd",,AW$83,"."&amp;$D$82&amp;$AW$82&amp;"C"&amp;$A101)="N/A",0,RTD("tos.rtd",,AW$83,"."&amp;$D$82&amp;$AW$82&amp;"C"&amp;$A101))</f>
        <v>910</v>
      </c>
      <c r="AX101" s="3">
        <f>-IF(RTD("tos.rtd",,AX$83,"."&amp;$D$82&amp;$AW$82&amp;"P"&amp;$A101)="N/A",0,RTD("tos.rtd",,AX$83,"."&amp;$D$82&amp;$AW$82&amp;"P"&amp;$A101))</f>
        <v>-389</v>
      </c>
      <c r="AY101" s="79">
        <f t="shared" si="512"/>
        <v>3884</v>
      </c>
      <c r="AZ101" s="8">
        <f t="shared" si="449"/>
        <v>5710</v>
      </c>
      <c r="BA101" s="54">
        <f>IF(RTD("tos.rtd",,BA$83,"."&amp;$B$82&amp;$AS$82&amp;"C"&amp;$A101)="N/A",0,RTD("tos.rtd",,BA$83,"."&amp;$B$82&amp;$AS$82&amp;"C"&amp;$A101))</f>
        <v>82425</v>
      </c>
      <c r="BB101" s="3">
        <f>-IF(RTD("tos.rtd",,BB$83,"."&amp;$B$82&amp;$AS$82&amp;"P"&amp;$A101)="N/A",0,RTD("tos.rtd",,BB$83,"."&amp;$B$82&amp;$AS$82&amp;"P"&amp;$A101))</f>
        <v>-2429</v>
      </c>
      <c r="BC101" s="54">
        <f>IF(RTD("tos.rtd",,BC$83,"."&amp;$C$82&amp;$AU$82&amp;"C"&amp;$A101)="N/A",0,RTD("tos.rtd",,BC$83,"."&amp;$C$82&amp;$AU$82&amp;"C"&amp;$A101))</f>
        <v>716</v>
      </c>
      <c r="BD101" s="3">
        <f>-IF(RTD("tos.rtd",,BD$83,"."&amp;$C$82&amp;$AU$82&amp;"P"&amp;$A101)="N/A",0,RTD("tos.rtd",,BD$83,"."&amp;$C$82&amp;$AU$82&amp;"P"&amp;$A101))</f>
        <v>-135</v>
      </c>
      <c r="BE101" s="54">
        <f>IF(RTD("tos.rtd",,BE$83,"."&amp;$D$82&amp;$AW$82&amp;"C"&amp;$A101)="N/A",0,RTD("tos.rtd",,BE$83,"."&amp;$D$82&amp;$AW$82&amp;"C"&amp;$A101))</f>
        <v>192</v>
      </c>
      <c r="BF101" s="3">
        <f>-IF(RTD("tos.rtd",,BF$83,"."&amp;$D$82&amp;$AW$82&amp;"P"&amp;$A101)="N/A",0,RTD("tos.rtd",,BF$83,"."&amp;$D$82&amp;$AW$82&amp;"P"&amp;$A101))</f>
        <v>-372</v>
      </c>
      <c r="BG101" s="3" t="e">
        <f ca="1">+Hoja2!Y102</f>
        <v>#N/A</v>
      </c>
      <c r="BH101" s="55" t="e">
        <f t="shared" ca="1" si="488"/>
        <v>#N/A</v>
      </c>
      <c r="BI101" s="32" t="e">
        <f t="shared" ca="1" si="504"/>
        <v>#N/A</v>
      </c>
      <c r="BJ101" s="3" t="e">
        <f ca="1">IF($BP$1=1,DX101,IF(RTD("tos.rtd",,BJ$83,"."&amp;$B$82&amp;$AS$82&amp;"C"&amp;$A101)="N/A",0,RTD("tos.rtd",,BJ$83,"."&amp;$B$82&amp;$AS$82&amp;"C"&amp;$A101)))</f>
        <v>#NUM!</v>
      </c>
      <c r="BK101" s="3" t="e">
        <f ca="1">IF($BP$1=1,DY101,-IF(RTD("tos.rtd",,BK$83,"."&amp;$B$82&amp;$AS$82&amp;"P"&amp;$A101)="N/A",0,RTD("tos.rtd",,BK$83,"."&amp;$B$82&amp;$AS$82&amp;"P"&amp;$A101)))</f>
        <v>#NUM!</v>
      </c>
      <c r="BL101" s="3">
        <f ca="1">IF($BP$1=1,DZ101,IF(RTD("tos.rtd",,BL$83,"."&amp;$C$82&amp;$AU$82&amp;"C"&amp;$A101)="N/A",0,RTD("tos.rtd",,BL$83,"."&amp;$C$82&amp;$AU$82&amp;"C"&amp;$A101)))</f>
        <v>2.8001228404843741E-2</v>
      </c>
      <c r="BM101" s="3">
        <f ca="1">IF($BP$1=1,EA101,-IF(RTD("tos.rtd",,BM$83,"."&amp;$C$82&amp;$AU$82&amp;"P"&amp;$A101)="N/A",0,RTD("tos.rtd",,BM$83,"."&amp;$C$82&amp;$AU$82&amp;"P"&amp;$A101)))</f>
        <v>-2.335713311715365E-3</v>
      </c>
      <c r="BN101" s="3">
        <f ca="1">IF($BP$1=1,EB101,IF(RTD("tos.rtd",,BN$83,"."&amp;$D$82&amp;$AW$82&amp;"C"&amp;$A101)="N/A",0,RTD("tos.rtd",,BN$83,"."&amp;$D$82&amp;$AW$82&amp;"C"&amp;$A101)))</f>
        <v>2.3987516990123785E-3</v>
      </c>
      <c r="BO101" s="3">
        <f ca="1">IF($BP$1=1,EC101,-IF(RTD("tos.rtd",,BO$83,"."&amp;$D$82&amp;$AW$82&amp;"P"&amp;$A101)="N/A",0,RTD("tos.rtd",,BO$83,"."&amp;$D$82&amp;$AW$82&amp;"P"&amp;$A101)))</f>
        <v>-2.2570034153732116E-3</v>
      </c>
      <c r="BQ101" s="3" t="e">
        <f t="shared" ca="1" si="450"/>
        <v>#NUM!</v>
      </c>
      <c r="BR101" s="3" t="e">
        <f t="shared" ca="1" si="489"/>
        <v>#NUM!</v>
      </c>
      <c r="BS101" s="3">
        <f t="shared" ca="1" si="451"/>
        <v>7682028.0626865029</v>
      </c>
      <c r="BT101" s="3" t="str">
        <f t="shared" ca="1" si="489"/>
        <v/>
      </c>
      <c r="BU101" s="3">
        <f t="shared" ca="1" si="452"/>
        <v>311975.48894543352</v>
      </c>
      <c r="BV101" s="3" t="str">
        <f t="shared" ca="1" si="489"/>
        <v/>
      </c>
      <c r="BX101" s="3" t="e">
        <f t="shared" ca="1" si="453"/>
        <v>#NUM!</v>
      </c>
      <c r="BY101" s="3" t="e">
        <f t="shared" ca="1" si="501"/>
        <v>#NUM!</v>
      </c>
      <c r="BZ101" s="3">
        <f t="shared" ca="1" si="454"/>
        <v>4717936.2348704329</v>
      </c>
      <c r="CA101" s="3" t="str">
        <f t="shared" ca="1" si="501"/>
        <v/>
      </c>
      <c r="CB101" s="3">
        <f t="shared" ca="1" si="455"/>
        <v>-90622.778496233354</v>
      </c>
      <c r="CC101" s="3" t="str">
        <f t="shared" ca="1" si="501"/>
        <v>Cruce -</v>
      </c>
      <c r="CD101" s="3">
        <f>IF(RTD("tos.rtd",,CD$83,"."&amp;$B$82&amp;$AS$82&amp;"C"&amp;$A101)="N/A",0,RTD("tos.rtd",,CD$83,"."&amp;$B$82&amp;$AS$82&amp;"C"&amp;$A101))</f>
        <v>0.01</v>
      </c>
      <c r="CE101" s="3">
        <f>-IF(RTD("tos.rtd",,CE$83,"."&amp;$B$82&amp;$AS$82&amp;"P"&amp;$A101)="N/A",0,RTD("tos.rtd",,CE$83,"."&amp;$B$82&amp;$AS$82&amp;"P"&amp;$A101))</f>
        <v>0.94</v>
      </c>
      <c r="CF101" s="3">
        <f>IF(RTD("tos.rtd",,CF$83,"."&amp;$C$82&amp;$AU$82&amp;"C"&amp;$A101)="N/A",0,RTD("tos.rtd",,CF$83,"."&amp;$C$82&amp;$AU$82&amp;"C"&amp;$A101))</f>
        <v>0.45</v>
      </c>
      <c r="CG101" s="3">
        <f>-IF(RTD("tos.rtd",,CG$83,"."&amp;$C$82&amp;$AU$82&amp;"P"&amp;$A101)="N/A",0,RTD("tos.rtd",,CG$83,"."&amp;$C$82&amp;$AU$82&amp;"P"&amp;$A101))</f>
        <v>0.55000000000000004</v>
      </c>
      <c r="CH101" s="3">
        <f>IF(RTD("tos.rtd",,CH$83,"."&amp;$D$82&amp;$AW$82&amp;"C"&amp;$A101)="N/A",0,RTD("tos.rtd",,CH$83,"."&amp;$D$82&amp;$AW$82&amp;"C"&amp;$A101))</f>
        <v>0.48</v>
      </c>
      <c r="CI101" s="3">
        <f>-IF(RTD("tos.rtd",,CI$83,"."&amp;$D$82&amp;$AW$82&amp;"P"&amp;$A101)="N/A",0,RTD("tos.rtd",,CI$83,"."&amp;$D$82&amp;$AW$82&amp;"P"&amp;$A101))</f>
        <v>0.52</v>
      </c>
      <c r="CK101" s="3">
        <f t="shared" si="490"/>
        <v>-4463.9999999999991</v>
      </c>
      <c r="CL101" s="3"/>
      <c r="CM101" s="3">
        <f t="shared" si="491"/>
        <v>50715.000000000007</v>
      </c>
      <c r="CN101" s="3"/>
      <c r="CO101" s="3">
        <f t="shared" si="492"/>
        <v>23452</v>
      </c>
      <c r="CP101" s="3">
        <f t="shared" si="456"/>
        <v>69703</v>
      </c>
      <c r="CQ101" s="3">
        <f t="shared" si="457"/>
        <v>79996</v>
      </c>
      <c r="CR101" s="3"/>
      <c r="CS101" s="3">
        <f t="shared" si="458"/>
        <v>581</v>
      </c>
      <c r="CT101" s="3"/>
      <c r="CU101" s="3">
        <f t="shared" si="459"/>
        <v>-180</v>
      </c>
      <c r="CV101" s="3"/>
      <c r="CW101" s="3" t="e">
        <f t="shared" ca="1" si="460"/>
        <v>#NUM!</v>
      </c>
      <c r="CY101" s="3" t="e">
        <f t="shared" ca="1" si="461"/>
        <v>#NUM!</v>
      </c>
      <c r="CZ101" s="70" t="e">
        <f t="shared" ca="1" si="502"/>
        <v>#NUM!</v>
      </c>
      <c r="DA101" s="3">
        <f>IF(RTD("tos.rtd",,DA$83,"."&amp;$B$82&amp;$AS$82&amp;"C"&amp;$A101)="N/A",0,RTD("tos.rtd",,DA$83,"."&amp;$B$82&amp;$AS$82&amp;"C"&amp;$A101))</f>
        <v>0.05</v>
      </c>
      <c r="DB101" s="3">
        <f>IF(RTD("tos.rtd",,DB$83,"."&amp;$B$82&amp;$AS$82&amp;"P"&amp;$A101)="N/A",0,RTD("tos.rtd",,DB$83,"."&amp;$B$82&amp;$AS$82&amp;"P"&amp;$A101))</f>
        <v>21.7</v>
      </c>
      <c r="DC101" s="3">
        <f>IF(RTD("tos.rtd",,DC$83,"."&amp;$B$82&amp;$AS$82&amp;"C"&amp;$A101)="N/A",0,RTD("tos.rtd",,DC$83,"."&amp;$B$82&amp;$AS$82&amp;"C"&amp;$A101))</f>
        <v>0.05</v>
      </c>
      <c r="DD101" s="3">
        <f>IF(RTD("tos.rtd",,DD$83,"."&amp;$B$82&amp;$AS$82&amp;"P"&amp;$A101)="N/A",0,RTD("tos.rtd",,DD$83,"."&amp;$B$82&amp;$AS$82&amp;"P"&amp;$A101))</f>
        <v>25</v>
      </c>
      <c r="DE101" s="3">
        <f>IF(RTD("tos.rtd",,DE$83,"."&amp;$B$82&amp;$AS$82&amp;"C"&amp;$A101)="N/A",0,RTD("tos.rtd",,DE$83,"."&amp;$B$82&amp;$AS$82&amp;"C"&amp;$A101))</f>
        <v>0</v>
      </c>
      <c r="DF101" s="3">
        <f>IF(RTD("tos.rtd",,DF$83,"."&amp;$B$82&amp;$AS$82&amp;"P"&amp;$A101)="N/A",0,RTD("tos.rtd",,DF$83,"."&amp;$B$82&amp;$AS$82&amp;"P"&amp;$A101))</f>
        <v>22.3</v>
      </c>
      <c r="DG101" s="86">
        <f t="shared" si="494"/>
        <v>24.25</v>
      </c>
      <c r="DH101" s="3">
        <f t="shared" si="462"/>
        <v>0</v>
      </c>
      <c r="DI101" s="3">
        <f t="shared" si="463"/>
        <v>0</v>
      </c>
      <c r="DJ101" s="3">
        <f t="shared" si="464"/>
        <v>0</v>
      </c>
      <c r="DK101" s="3">
        <f t="shared" si="465"/>
        <v>0</v>
      </c>
      <c r="DL101" s="3">
        <f t="shared" si="466"/>
        <v>0</v>
      </c>
      <c r="DM101" s="3">
        <f t="shared" si="467"/>
        <v>0</v>
      </c>
      <c r="DN101" s="64" t="str">
        <f t="shared" si="468"/>
        <v>UNKNOWN</v>
      </c>
      <c r="DO101" s="64" t="str">
        <f t="shared" si="469"/>
        <v>UNKNOWN</v>
      </c>
      <c r="DP101" s="3">
        <f t="shared" si="470"/>
        <v>0</v>
      </c>
      <c r="DQ101" s="3">
        <f t="shared" si="471"/>
        <v>0</v>
      </c>
      <c r="DR101" s="3" t="e">
        <f t="shared" ca="1" si="472"/>
        <v>#NUM!</v>
      </c>
      <c r="DS101" s="3">
        <f t="shared" si="473"/>
        <v>0</v>
      </c>
      <c r="DT101" s="3">
        <f t="shared" si="495"/>
        <v>0</v>
      </c>
      <c r="DU101" s="3">
        <f t="shared" si="496"/>
        <v>0</v>
      </c>
      <c r="DV101" s="3">
        <f t="shared" si="497"/>
        <v>-2956</v>
      </c>
      <c r="DW101" s="3">
        <f t="shared" si="498"/>
        <v>-654</v>
      </c>
      <c r="DX101" s="3" t="e">
        <f t="shared" ca="1" si="503"/>
        <v>#NUM!</v>
      </c>
      <c r="DY101" s="3" t="e">
        <f t="shared" ca="1" si="474"/>
        <v>#NUM!</v>
      </c>
      <c r="DZ101" s="3">
        <f t="shared" ca="1" si="475"/>
        <v>2.8001228404843741E-2</v>
      </c>
      <c r="EA101" s="3">
        <f t="shared" ca="1" si="476"/>
        <v>-2.335713311715365E-3</v>
      </c>
      <c r="EB101" s="3">
        <f t="shared" ca="1" si="477"/>
        <v>2.3987516990123785E-3</v>
      </c>
      <c r="EC101" s="3">
        <f t="shared" ca="1" si="478"/>
        <v>-2.2570034153732116E-3</v>
      </c>
      <c r="EE101" s="59">
        <f t="shared" si="479"/>
        <v>0.22459999999999999</v>
      </c>
      <c r="EF101" s="59">
        <f t="shared" si="480"/>
        <v>0.3397</v>
      </c>
      <c r="EG101" s="59">
        <f t="shared" si="481"/>
        <v>0.17879999999999999</v>
      </c>
      <c r="EH101" s="59">
        <f t="shared" si="482"/>
        <v>0.18440000000000001</v>
      </c>
      <c r="EI101" s="59">
        <f t="shared" si="483"/>
        <v>0.17949999999999999</v>
      </c>
      <c r="EJ101" s="59">
        <f t="shared" si="484"/>
        <v>0.19089999999999999</v>
      </c>
      <c r="EL101" s="3" t="str">
        <f>RTD("tos.rtd",,EL$83,"."&amp;$B$82&amp;$AS$82&amp;"C"&amp;$A101)</f>
        <v>22.46%</v>
      </c>
      <c r="EM101" s="3" t="str">
        <f>RTD("tos.rtd",,EM$83,"."&amp;$B$82&amp;$AS$82&amp;"P"&amp;$A101)</f>
        <v>33.97%</v>
      </c>
      <c r="EN101" s="3" t="str">
        <f>RTD("tos.rtd",,EN$83,"."&amp;$C$82&amp;$AU$82&amp;"C"&amp;$A101)</f>
        <v>17.88%</v>
      </c>
      <c r="EO101" s="3" t="str">
        <f>RTD("tos.rtd",,EO$83,"."&amp;$C$82&amp;$AU$82&amp;"P"&amp;$A101)</f>
        <v>18.44%</v>
      </c>
      <c r="EP101" s="3" t="str">
        <f>RTD("tos.rtd",,EP$83,"."&amp;$D$82&amp;$AW$82&amp;"C"&amp;$A101)</f>
        <v>17.95%</v>
      </c>
      <c r="EQ101" s="3" t="str">
        <f>RTD("tos.rtd",,EQ$83,"."&amp;$D$82&amp;$AW$82&amp;"P"&amp;$A101)</f>
        <v>19.09%</v>
      </c>
      <c r="ET101" s="64" t="str">
        <f t="shared" ca="1" si="485"/>
        <v>5710,00.00</v>
      </c>
      <c r="EU101" s="67">
        <v>563.47</v>
      </c>
      <c r="EV101" s="67" t="s">
        <v>827</v>
      </c>
      <c r="EW101" s="67">
        <v>485.46</v>
      </c>
      <c r="EX101" s="67" t="s">
        <v>828</v>
      </c>
      <c r="EY101" s="67">
        <v>5650.25</v>
      </c>
      <c r="EZ101" s="67" t="s">
        <v>829</v>
      </c>
      <c r="FA101" s="67">
        <v>19948</v>
      </c>
      <c r="FB101" s="67" t="s">
        <v>830</v>
      </c>
      <c r="FC101" s="67" t="s">
        <v>831</v>
      </c>
      <c r="FD101" s="67" t="s">
        <v>832</v>
      </c>
      <c r="FE101" s="68" t="s">
        <v>833</v>
      </c>
      <c r="FF101" s="68" t="s">
        <v>834</v>
      </c>
    </row>
    <row r="102" spans="1:162" s="63" customFormat="1" ht="12" customHeight="1" thickBot="1" x14ac:dyDescent="0.25">
      <c r="A102" s="2">
        <f t="shared" si="499"/>
        <v>5700</v>
      </c>
      <c r="B102" s="3">
        <f t="shared" si="445"/>
        <v>8916</v>
      </c>
      <c r="C102" s="3">
        <f t="shared" si="446"/>
        <v>3913</v>
      </c>
      <c r="D102" s="3">
        <f t="shared" si="447"/>
        <v>9743</v>
      </c>
      <c r="E102" s="3">
        <f t="shared" si="510"/>
        <v>22572</v>
      </c>
      <c r="F102" s="4">
        <f t="shared" si="513"/>
        <v>5724.0601503759399</v>
      </c>
      <c r="G102" s="4">
        <f t="shared" si="511"/>
        <v>568.39097744360902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-13361</v>
      </c>
      <c r="AN102" s="20">
        <v>-223</v>
      </c>
      <c r="AO102" s="20">
        <v>5700</v>
      </c>
      <c r="AP102" s="20">
        <v>150107</v>
      </c>
      <c r="AQ102" s="20">
        <v>-18418</v>
      </c>
      <c r="AR102" s="20"/>
      <c r="AS102" s="54">
        <f>IF(RTD("tos.rtd",,AS$83,"."&amp;$B$82&amp;$AS$82&amp;"C"&amp;$A102)="N/A",0,RTD("tos.rtd",,AS$83,"."&amp;$B$82&amp;$AS$82&amp;"C"&amp;$A102))</f>
        <v>8619</v>
      </c>
      <c r="AT102" s="3">
        <f>-IF(RTD("tos.rtd",,AT$83,"."&amp;$B$82&amp;$AS$82&amp;"P"&amp;$A102)="N/A",0,RTD("tos.rtd",,AT$83,"."&amp;$B$82&amp;$AS$82&amp;"P"&amp;$A102))</f>
        <v>-297</v>
      </c>
      <c r="AU102" s="54">
        <f>IF(RTD("tos.rtd",,AU$83,"."&amp;$C$82&amp;$AU$82&amp;"C"&amp;$A102)="N/A",0,RTD("tos.rtd",,AU$83,"."&amp;$C$82&amp;$AU$82&amp;"C"&amp;$A102))</f>
        <v>2998</v>
      </c>
      <c r="AV102" s="3">
        <f>-IF(RTD("tos.rtd",,AV$83,"."&amp;$C$82&amp;$AU$82&amp;"P"&amp;$A102)="N/A",0,RTD("tos.rtd",,AV$83,"."&amp;$C$82&amp;$AU$82&amp;"P"&amp;$A102))</f>
        <v>-915</v>
      </c>
      <c r="AW102" s="54">
        <f>IF(RTD("tos.rtd",,AW$83,"."&amp;$D$82&amp;$AW$82&amp;"C"&amp;$A102)="N/A",0,RTD("tos.rtd",,AW$83,"."&amp;$D$82&amp;$AW$82&amp;"C"&amp;$A102))</f>
        <v>3608</v>
      </c>
      <c r="AX102" s="3">
        <f>-IF(RTD("tos.rtd",,AX$83,"."&amp;$D$82&amp;$AW$82&amp;"P"&amp;$A102)="N/A",0,RTD("tos.rtd",,AX$83,"."&amp;$D$82&amp;$AW$82&amp;"P"&amp;$A102))</f>
        <v>-6135</v>
      </c>
      <c r="AY102" s="79">
        <f t="shared" si="512"/>
        <v>7878</v>
      </c>
      <c r="AZ102" s="8">
        <f t="shared" si="449"/>
        <v>5700</v>
      </c>
      <c r="BA102" s="54">
        <f>IF(RTD("tos.rtd",,BA$83,"."&amp;$B$82&amp;$AS$82&amp;"C"&amp;$A102)="N/A",0,RTD("tos.rtd",,BA$83,"."&amp;$B$82&amp;$AS$82&amp;"C"&amp;$A102))</f>
        <v>150107</v>
      </c>
      <c r="BB102" s="3">
        <f>-IF(RTD("tos.rtd",,BB$83,"."&amp;$B$82&amp;$AS$82&amp;"P"&amp;$A102)="N/A",0,RTD("tos.rtd",,BB$83,"."&amp;$B$82&amp;$AS$82&amp;"P"&amp;$A102))</f>
        <v>-18418</v>
      </c>
      <c r="BC102" s="54">
        <f>IF(RTD("tos.rtd",,BC$83,"."&amp;$C$82&amp;$AU$82&amp;"C"&amp;$A102)="N/A",0,RTD("tos.rtd",,BC$83,"."&amp;$C$82&amp;$AU$82&amp;"C"&amp;$A102))</f>
        <v>1912</v>
      </c>
      <c r="BD102" s="3">
        <f>-IF(RTD("tos.rtd",,BD$83,"."&amp;$C$82&amp;$AU$82&amp;"P"&amp;$A102)="N/A",0,RTD("tos.rtd",,BD$83,"."&amp;$C$82&amp;$AU$82&amp;"P"&amp;$A102))</f>
        <v>-790</v>
      </c>
      <c r="BE102" s="54">
        <f>IF(RTD("tos.rtd",,BE$83,"."&amp;$D$82&amp;$AW$82&amp;"C"&amp;$A102)="N/A",0,RTD("tos.rtd",,BE$83,"."&amp;$D$82&amp;$AW$82&amp;"C"&amp;$A102))</f>
        <v>848</v>
      </c>
      <c r="BF102" s="3">
        <f>-IF(RTD("tos.rtd",,BF$83,"."&amp;$D$82&amp;$AW$82&amp;"P"&amp;$A102)="N/A",0,RTD("tos.rtd",,BF$83,"."&amp;$D$82&amp;$AW$82&amp;"P"&amp;$A102))</f>
        <v>-247</v>
      </c>
      <c r="BG102" s="3" t="e">
        <f ca="1">+Hoja2!Y103</f>
        <v>#N/A</v>
      </c>
      <c r="BH102" s="55" t="e">
        <f t="shared" ca="1" si="488"/>
        <v>#N/A</v>
      </c>
      <c r="BI102" s="32" t="e">
        <f t="shared" ca="1" si="504"/>
        <v>#N/A</v>
      </c>
      <c r="BJ102" s="3" t="e">
        <f ca="1">IF($BP$1=1,DX102,IF(RTD("tos.rtd",,BJ$83,"."&amp;$B$82&amp;$AS$82&amp;"C"&amp;$A102)="N/A",0,RTD("tos.rtd",,BJ$83,"."&amp;$B$82&amp;$AS$82&amp;"C"&amp;$A102)))</f>
        <v>#NUM!</v>
      </c>
      <c r="BK102" s="3" t="e">
        <f ca="1">IF($BP$1=1,DY102,-IF(RTD("tos.rtd",,BK$83,"."&amp;$B$82&amp;$AS$82&amp;"P"&amp;$A102)="N/A",0,RTD("tos.rtd",,BK$83,"."&amp;$B$82&amp;$AS$82&amp;"P"&amp;$A102)))</f>
        <v>#NUM!</v>
      </c>
      <c r="BL102" s="3">
        <f ca="1">IF($BP$1=1,DZ102,IF(RTD("tos.rtd",,BL$83,"."&amp;$C$82&amp;$AU$82&amp;"C"&amp;$A102)="N/A",0,RTD("tos.rtd",,BL$83,"."&amp;$C$82&amp;$AU$82&amp;"C"&amp;$A102)))</f>
        <v>2.7737980537006292E-2</v>
      </c>
      <c r="BM102" s="3">
        <f ca="1">IF($BP$1=1,EA102,-IF(RTD("tos.rtd",,BM$83,"."&amp;$C$82&amp;$AU$82&amp;"P"&amp;$A102)="N/A",0,RTD("tos.rtd",,BM$83,"."&amp;$C$82&amp;$AU$82&amp;"P"&amp;$A102)))</f>
        <v>-2.3164990071374825E-3</v>
      </c>
      <c r="BN102" s="3">
        <f ca="1">IF($BP$1=1,EB102,IF(RTD("tos.rtd",,BN$83,"."&amp;$D$82&amp;$AW$82&amp;"C"&amp;$A102)="N/A",0,RTD("tos.rtd",,BN$83,"."&amp;$D$82&amp;$AW$82&amp;"C"&amp;$A102)))</f>
        <v>2.3840825569572143E-3</v>
      </c>
      <c r="BO102" s="3">
        <f ca="1">IF($BP$1=1,EC102,-IF(RTD("tos.rtd",,BO$83,"."&amp;$D$82&amp;$AW$82&amp;"P"&amp;$A102)="N/A",0,RTD("tos.rtd",,BO$83,"."&amp;$D$82&amp;$AW$82&amp;"P"&amp;$A102)))</f>
        <v>-2.2421395998105131E-3</v>
      </c>
      <c r="BQ102" s="3" t="e">
        <f t="shared" ca="1" si="450"/>
        <v>#NUM!</v>
      </c>
      <c r="BR102" s="3" t="e">
        <f t="shared" ca="1" si="489"/>
        <v>#NUM!</v>
      </c>
      <c r="BS102" s="3">
        <f t="shared" ca="1" si="451"/>
        <v>19374925.297221657</v>
      </c>
      <c r="BT102" s="3" t="str">
        <f t="shared" ca="1" si="489"/>
        <v/>
      </c>
      <c r="BU102" s="3">
        <f t="shared" ca="1" si="452"/>
        <v>-1232169.8202959991</v>
      </c>
      <c r="BV102" s="3" t="str">
        <f t="shared" ca="1" si="489"/>
        <v>Cruce -</v>
      </c>
      <c r="BX102" s="3" t="e">
        <f t="shared" ca="1" si="453"/>
        <v>#NUM!</v>
      </c>
      <c r="BY102" s="3" t="e">
        <f t="shared" ca="1" si="501"/>
        <v>#NUM!</v>
      </c>
      <c r="BZ102" s="3">
        <f t="shared" ca="1" si="454"/>
        <v>12242184.058561722</v>
      </c>
      <c r="CA102" s="3" t="str">
        <f t="shared" ca="1" si="501"/>
        <v/>
      </c>
      <c r="CB102" s="3">
        <f t="shared" ca="1" si="455"/>
        <v>350946.74645865092</v>
      </c>
      <c r="CC102" s="3" t="str">
        <f t="shared" ca="1" si="501"/>
        <v>Cruce +</v>
      </c>
      <c r="CD102" s="3">
        <f>IF(RTD("tos.rtd",,CD$83,"."&amp;$B$82&amp;$AS$82&amp;"C"&amp;$A102)="N/A",0,RTD("tos.rtd",,CD$83,"."&amp;$B$82&amp;$AS$82&amp;"C"&amp;$A102))</f>
        <v>0.01</v>
      </c>
      <c r="CE102" s="3">
        <f>-IF(RTD("tos.rtd",,CE$83,"."&amp;$B$82&amp;$AS$82&amp;"P"&amp;$A102)="N/A",0,RTD("tos.rtd",,CE$83,"."&amp;$B$82&amp;$AS$82&amp;"P"&amp;$A102))</f>
        <v>0.96</v>
      </c>
      <c r="CF102" s="3">
        <f>IF(RTD("tos.rtd",,CF$83,"."&amp;$C$82&amp;$AU$82&amp;"C"&amp;$A102)="N/A",0,RTD("tos.rtd",,CF$83,"."&amp;$C$82&amp;$AU$82&amp;"C"&amp;$A102))</f>
        <v>0.48</v>
      </c>
      <c r="CG102" s="3">
        <f>-IF(RTD("tos.rtd",,CG$83,"."&amp;$C$82&amp;$AU$82&amp;"P"&amp;$A102)="N/A",0,RTD("tos.rtd",,CG$83,"."&amp;$C$82&amp;$AU$82&amp;"P"&amp;$A102))</f>
        <v>0.52</v>
      </c>
      <c r="CH102" s="3">
        <f>IF(RTD("tos.rtd",,CH$83,"."&amp;$D$82&amp;$AW$82&amp;"C"&amp;$A102)="N/A",0,RTD("tos.rtd",,CH$83,"."&amp;$D$82&amp;$AW$82&amp;"C"&amp;$A102))</f>
        <v>0.5</v>
      </c>
      <c r="CI102" s="3">
        <f>-IF(RTD("tos.rtd",,CI$83,"."&amp;$D$82&amp;$AW$82&amp;"P"&amp;$A102)="N/A",0,RTD("tos.rtd",,CI$83,"."&amp;$D$82&amp;$AW$82&amp;"P"&amp;$A102))</f>
        <v>0.5</v>
      </c>
      <c r="CK102" s="3">
        <f t="shared" si="490"/>
        <v>-19893</v>
      </c>
      <c r="CL102" s="3"/>
      <c r="CM102" s="3">
        <f t="shared" si="491"/>
        <v>96324</v>
      </c>
      <c r="CN102" s="3"/>
      <c r="CO102" s="3">
        <f t="shared" si="492"/>
        <v>-126350</v>
      </c>
      <c r="CP102" s="3">
        <f t="shared" si="456"/>
        <v>-49919</v>
      </c>
      <c r="CQ102" s="3">
        <f t="shared" si="457"/>
        <v>131689</v>
      </c>
      <c r="CR102" s="3"/>
      <c r="CS102" s="3">
        <f t="shared" si="458"/>
        <v>1122</v>
      </c>
      <c r="CT102" s="3"/>
      <c r="CU102" s="3">
        <f t="shared" si="459"/>
        <v>601</v>
      </c>
      <c r="CV102" s="3"/>
      <c r="CW102" s="3" t="e">
        <f t="shared" ca="1" si="460"/>
        <v>#NUM!</v>
      </c>
      <c r="CY102" s="3" t="e">
        <f t="shared" ca="1" si="461"/>
        <v>#NUM!</v>
      </c>
      <c r="CZ102" s="70" t="e">
        <f t="shared" ca="1" si="502"/>
        <v>#NUM!</v>
      </c>
      <c r="DA102" s="3">
        <f>IF(RTD("tos.rtd",,DA$83,"."&amp;$B$82&amp;$AS$82&amp;"C"&amp;$A102)="N/A",0,RTD("tos.rtd",,DA$83,"."&amp;$B$82&amp;$AS$82&amp;"C"&amp;$A102))</f>
        <v>0.03</v>
      </c>
      <c r="DB102" s="3">
        <f>IF(RTD("tos.rtd",,DB$83,"."&amp;$B$82&amp;$AS$82&amp;"P"&amp;$A102)="N/A",0,RTD("tos.rtd",,DB$83,"."&amp;$B$82&amp;$AS$82&amp;"P"&amp;$A102))</f>
        <v>14</v>
      </c>
      <c r="DC102" s="3">
        <f>IF(RTD("tos.rtd",,DC$83,"."&amp;$B$82&amp;$AS$82&amp;"C"&amp;$A102)="N/A",0,RTD("tos.rtd",,DC$83,"."&amp;$B$82&amp;$AS$82&amp;"C"&amp;$A102))</f>
        <v>0.05</v>
      </c>
      <c r="DD102" s="3">
        <f>IF(RTD("tos.rtd",,DD$83,"."&amp;$B$82&amp;$AS$82&amp;"P"&amp;$A102)="N/A",0,RTD("tos.rtd",,DD$83,"."&amp;$B$82&amp;$AS$82&amp;"P"&amp;$A102))</f>
        <v>14</v>
      </c>
      <c r="DE102" s="3">
        <f>IF(RTD("tos.rtd",,DE$83,"."&amp;$B$82&amp;$AS$82&amp;"C"&amp;$A102)="N/A",0,RTD("tos.rtd",,DE$83,"."&amp;$B$82&amp;$AS$82&amp;"C"&amp;$A102))</f>
        <v>0</v>
      </c>
      <c r="DF102" s="3">
        <f>IF(RTD("tos.rtd",,DF$83,"."&amp;$B$82&amp;$AS$82&amp;"P"&amp;$A102)="N/A",0,RTD("tos.rtd",,DF$83,"."&amp;$B$82&amp;$AS$82&amp;"P"&amp;$A102))</f>
        <v>12.9</v>
      </c>
      <c r="DG102" s="86">
        <f t="shared" si="494"/>
        <v>14.25</v>
      </c>
      <c r="DH102" s="3">
        <f t="shared" si="462"/>
        <v>0</v>
      </c>
      <c r="DI102" s="3">
        <f t="shared" si="463"/>
        <v>0</v>
      </c>
      <c r="DJ102" s="3">
        <f t="shared" si="464"/>
        <v>0</v>
      </c>
      <c r="DK102" s="3">
        <f t="shared" si="465"/>
        <v>0</v>
      </c>
      <c r="DL102" s="3">
        <f t="shared" si="466"/>
        <v>0</v>
      </c>
      <c r="DM102" s="3">
        <f t="shared" si="467"/>
        <v>0</v>
      </c>
      <c r="DN102" s="64" t="str">
        <f t="shared" si="468"/>
        <v>UNKNOWN</v>
      </c>
      <c r="DO102" s="64" t="str">
        <f t="shared" si="469"/>
        <v>UNKNOWN</v>
      </c>
      <c r="DP102" s="3">
        <f t="shared" si="470"/>
        <v>0</v>
      </c>
      <c r="DQ102" s="3">
        <f t="shared" si="471"/>
        <v>0</v>
      </c>
      <c r="DR102" s="3" t="e">
        <f t="shared" ca="1" si="472"/>
        <v>#NUM!</v>
      </c>
      <c r="DS102" s="3">
        <f t="shared" si="473"/>
        <v>0</v>
      </c>
      <c r="DT102" s="3">
        <f t="shared" si="495"/>
        <v>0</v>
      </c>
      <c r="DU102" s="3">
        <f t="shared" si="496"/>
        <v>0</v>
      </c>
      <c r="DV102" s="3">
        <f t="shared" si="497"/>
        <v>-13361</v>
      </c>
      <c r="DW102" s="3">
        <f t="shared" si="498"/>
        <v>-223</v>
      </c>
      <c r="DX102" s="3" t="e">
        <f t="shared" ca="1" si="503"/>
        <v>#NUM!</v>
      </c>
      <c r="DY102" s="3" t="e">
        <f t="shared" ca="1" si="474"/>
        <v>#NUM!</v>
      </c>
      <c r="DZ102" s="3">
        <f t="shared" ca="1" si="475"/>
        <v>2.7737980537006292E-2</v>
      </c>
      <c r="EA102" s="3">
        <f t="shared" ca="1" si="476"/>
        <v>-2.3164990071374825E-3</v>
      </c>
      <c r="EB102" s="3">
        <f t="shared" ca="1" si="477"/>
        <v>2.3840825569572143E-3</v>
      </c>
      <c r="EC102" s="3">
        <f t="shared" ca="1" si="478"/>
        <v>-2.2421395998105131E-3</v>
      </c>
      <c r="EE102" s="59">
        <f t="shared" si="479"/>
        <v>0.13750000000000001</v>
      </c>
      <c r="EF102" s="59">
        <f t="shared" si="480"/>
        <v>0.18240000000000001</v>
      </c>
      <c r="EG102" s="59">
        <f t="shared" si="481"/>
        <v>0.1812</v>
      </c>
      <c r="EH102" s="59">
        <f t="shared" si="482"/>
        <v>0.18659999999999999</v>
      </c>
      <c r="EI102" s="59">
        <f t="shared" si="483"/>
        <v>0.18129999999999999</v>
      </c>
      <c r="EJ102" s="59">
        <f t="shared" si="484"/>
        <v>0.1928</v>
      </c>
      <c r="EL102" s="3" t="str">
        <f>RTD("tos.rtd",,EL$83,"."&amp;$B$82&amp;$AS$82&amp;"C"&amp;$A102)</f>
        <v>13.75%</v>
      </c>
      <c r="EM102" s="3" t="str">
        <f>RTD("tos.rtd",,EM$83,"."&amp;$B$82&amp;$AS$82&amp;"P"&amp;$A102)</f>
        <v>18.24%</v>
      </c>
      <c r="EN102" s="3" t="str">
        <f>RTD("tos.rtd",,EN$83,"."&amp;$C$82&amp;$AU$82&amp;"C"&amp;$A102)</f>
        <v>18.12%</v>
      </c>
      <c r="EO102" s="3" t="str">
        <f>RTD("tos.rtd",,EO$83,"."&amp;$C$82&amp;$AU$82&amp;"P"&amp;$A102)</f>
        <v>18.66%</v>
      </c>
      <c r="EP102" s="3" t="str">
        <f>RTD("tos.rtd",,EP$83,"."&amp;$D$82&amp;$AW$82&amp;"C"&amp;$A102)</f>
        <v>18.13%</v>
      </c>
      <c r="EQ102" s="3" t="str">
        <f>RTD("tos.rtd",,EQ$83,"."&amp;$D$82&amp;$AW$82&amp;"P"&amp;$A102)</f>
        <v>19.28%</v>
      </c>
      <c r="ET102" s="64" t="str">
        <f t="shared" ca="1" si="485"/>
        <v>5700,00.00</v>
      </c>
      <c r="EU102" s="67">
        <v>563.87</v>
      </c>
      <c r="EV102" s="67" t="s">
        <v>835</v>
      </c>
      <c r="EW102" s="67">
        <v>485.82</v>
      </c>
      <c r="EX102" s="67" t="s">
        <v>836</v>
      </c>
      <c r="EY102" s="67">
        <v>5654.25</v>
      </c>
      <c r="EZ102" s="67" t="s">
        <v>837</v>
      </c>
      <c r="FA102" s="67">
        <v>19963</v>
      </c>
      <c r="FB102" s="67" t="s">
        <v>838</v>
      </c>
      <c r="FC102" s="67" t="s">
        <v>839</v>
      </c>
      <c r="FD102" s="67" t="s">
        <v>840</v>
      </c>
      <c r="FE102" s="68" t="s">
        <v>841</v>
      </c>
      <c r="FF102" s="68" t="s">
        <v>842</v>
      </c>
    </row>
    <row r="103" spans="1:162" s="63" customFormat="1" ht="12" customHeight="1" thickBot="1" x14ac:dyDescent="0.25">
      <c r="A103" s="2">
        <f t="shared" si="499"/>
        <v>5690</v>
      </c>
      <c r="B103" s="3">
        <f t="shared" si="445"/>
        <v>2748</v>
      </c>
      <c r="C103" s="3">
        <f t="shared" si="446"/>
        <v>550</v>
      </c>
      <c r="D103" s="3">
        <f t="shared" si="447"/>
        <v>697</v>
      </c>
      <c r="E103" s="3">
        <f>SUM(B103:D103)</f>
        <v>3995</v>
      </c>
      <c r="F103" s="4">
        <f t="shared" si="513"/>
        <v>5714.0179395858067</v>
      </c>
      <c r="G103" s="4">
        <f t="shared" si="511"/>
        <v>567.39380029019924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1674</v>
      </c>
      <c r="AN103" s="20">
        <v>1680</v>
      </c>
      <c r="AO103" s="20">
        <v>5690</v>
      </c>
      <c r="AP103" s="20">
        <v>75059</v>
      </c>
      <c r="AQ103" s="20">
        <v>-45791</v>
      </c>
      <c r="AR103" s="20"/>
      <c r="AS103" s="54">
        <f>IF(RTD("tos.rtd",,AS$83,"."&amp;$B$82&amp;$AS$82&amp;"C"&amp;$A103)="N/A",0,RTD("tos.rtd",,AS$83,"."&amp;$B$82&amp;$AS$82&amp;"C"&amp;$A103))</f>
        <v>2293</v>
      </c>
      <c r="AT103" s="3">
        <f>-IF(RTD("tos.rtd",,AT$83,"."&amp;$B$82&amp;$AS$82&amp;"P"&amp;$A103)="N/A",0,RTD("tos.rtd",,AT$83,"."&amp;$B$82&amp;$AS$82&amp;"P"&amp;$A103))</f>
        <v>-455</v>
      </c>
      <c r="AU103" s="54">
        <f>IF(RTD("tos.rtd",,AU$83,"."&amp;$C$82&amp;$AU$82&amp;"C"&amp;$A103)="N/A",0,RTD("tos.rtd",,AU$83,"."&amp;$C$82&amp;$AU$82&amp;"C"&amp;$A103))</f>
        <v>535</v>
      </c>
      <c r="AV103" s="3">
        <f>-IF(RTD("tos.rtd",,AV$83,"."&amp;$C$82&amp;$AU$82&amp;"P"&amp;$A103)="N/A",0,RTD("tos.rtd",,AV$83,"."&amp;$C$82&amp;$AU$82&amp;"P"&amp;$A103))</f>
        <v>-15</v>
      </c>
      <c r="AW103" s="54">
        <f>IF(RTD("tos.rtd",,AW$83,"."&amp;$D$82&amp;$AW$82&amp;"C"&amp;$A103)="N/A",0,RTD("tos.rtd",,AW$83,"."&amp;$D$82&amp;$AW$82&amp;"C"&amp;$A103))</f>
        <v>498</v>
      </c>
      <c r="AX103" s="3">
        <f>-IF(RTD("tos.rtd",,AX$83,"."&amp;$D$82&amp;$AW$82&amp;"P"&amp;$A103)="N/A",0,RTD("tos.rtd",,AX$83,"."&amp;$D$82&amp;$AW$82&amp;"P"&amp;$A103))</f>
        <v>-199</v>
      </c>
      <c r="AY103" s="79">
        <f t="shared" si="512"/>
        <v>2657</v>
      </c>
      <c r="AZ103" s="8">
        <f t="shared" si="449"/>
        <v>5690</v>
      </c>
      <c r="BA103" s="54">
        <f>IF(RTD("tos.rtd",,BA$83,"."&amp;$B$82&amp;$AS$82&amp;"C"&amp;$A103)="N/A",0,RTD("tos.rtd",,BA$83,"."&amp;$B$82&amp;$AS$82&amp;"C"&amp;$A103))</f>
        <v>75059</v>
      </c>
      <c r="BB103" s="3">
        <f>-IF(RTD("tos.rtd",,BB$83,"."&amp;$B$82&amp;$AS$82&amp;"P"&amp;$A103)="N/A",0,RTD("tos.rtd",,BB$83,"."&amp;$B$82&amp;$AS$82&amp;"P"&amp;$A103))</f>
        <v>-45791</v>
      </c>
      <c r="BC103" s="54">
        <f>IF(RTD("tos.rtd",,BC$83,"."&amp;$C$82&amp;$AU$82&amp;"C"&amp;$A103)="N/A",0,RTD("tos.rtd",,BC$83,"."&amp;$C$82&amp;$AU$82&amp;"C"&amp;$A103))</f>
        <v>963</v>
      </c>
      <c r="BD103" s="3">
        <f>-IF(RTD("tos.rtd",,BD$83,"."&amp;$C$82&amp;$AU$82&amp;"P"&amp;$A103)="N/A",0,RTD("tos.rtd",,BD$83,"."&amp;$C$82&amp;$AU$82&amp;"P"&amp;$A103))</f>
        <v>-221</v>
      </c>
      <c r="BE103" s="54">
        <f>IF(RTD("tos.rtd",,BE$83,"."&amp;$D$82&amp;$AW$82&amp;"C"&amp;$A103)="N/A",0,RTD("tos.rtd",,BE$83,"."&amp;$D$82&amp;$AW$82&amp;"C"&amp;$A103))</f>
        <v>57</v>
      </c>
      <c r="BF103" s="3">
        <f>-IF(RTD("tos.rtd",,BF$83,"."&amp;$D$82&amp;$AW$82&amp;"P"&amp;$A103)="N/A",0,RTD("tos.rtd",,BF$83,"."&amp;$D$82&amp;$AW$82&amp;"P"&amp;$A103))</f>
        <v>-89</v>
      </c>
      <c r="BG103" s="3" t="e">
        <f ca="1">+Hoja2!Y104</f>
        <v>#N/A</v>
      </c>
      <c r="BH103" s="55" t="e">
        <f t="shared" ca="1" si="488"/>
        <v>#N/A</v>
      </c>
      <c r="BI103" s="32" t="e">
        <f t="shared" ca="1" si="504"/>
        <v>#N/A</v>
      </c>
      <c r="BJ103" s="3" t="e">
        <f ca="1">IF($BP$1=1,DX103,IF(RTD("tos.rtd",,BJ$83,"."&amp;$B$82&amp;$AS$82&amp;"C"&amp;$A103)="N/A",0,RTD("tos.rtd",,BJ$83,"."&amp;$B$82&amp;$AS$82&amp;"C"&amp;$A103)))</f>
        <v>#NUM!</v>
      </c>
      <c r="BK103" s="3" t="e">
        <f ca="1">IF($BP$1=1,DY103,-IF(RTD("tos.rtd",,BK$83,"."&amp;$B$82&amp;$AS$82&amp;"P"&amp;$A103)="N/A",0,RTD("tos.rtd",,BK$83,"."&amp;$B$82&amp;$AS$82&amp;"P"&amp;$A103)))</f>
        <v>#NUM!</v>
      </c>
      <c r="BL103" s="3">
        <f ca="1">IF($BP$1=1,DZ103,IF(RTD("tos.rtd",,BL$83,"."&amp;$C$82&amp;$AU$82&amp;"C"&amp;$A103)="N/A",0,RTD("tos.rtd",,BL$83,"."&amp;$C$82&amp;$AU$82&amp;"C"&amp;$A103)))</f>
        <v>2.7380230724509402E-2</v>
      </c>
      <c r="BM103" s="3">
        <f ca="1">IF($BP$1=1,EA103,-IF(RTD("tos.rtd",,BM$83,"."&amp;$C$82&amp;$AU$82&amp;"P"&amp;$A103)="N/A",0,RTD("tos.rtd",,BM$83,"."&amp;$C$82&amp;$AU$82&amp;"P"&amp;$A103)))</f>
        <v>-2.2873490536586983E-3</v>
      </c>
      <c r="BN103" s="3">
        <f ca="1">IF($BP$1=1,EB103,IF(RTD("tos.rtd",,BN$83,"."&amp;$D$82&amp;$AW$82&amp;"C"&amp;$A103)="N/A",0,RTD("tos.rtd",,BN$83,"."&amp;$D$82&amp;$AW$82&amp;"C"&amp;$A103)))</f>
        <v>2.3597715225183629E-3</v>
      </c>
      <c r="BO103" s="3">
        <f ca="1">IF($BP$1=1,EC103,-IF(RTD("tos.rtd",,BO$83,"."&amp;$D$82&amp;$AW$82&amp;"P"&amp;$A103)="N/A",0,RTD("tos.rtd",,BO$83,"."&amp;$D$82&amp;$AW$82&amp;"P"&amp;$A103)))</f>
        <v>-2.2192378674214543E-3</v>
      </c>
      <c r="BQ103" s="3" t="e">
        <f t="shared" ca="1" si="450"/>
        <v>#NUM!</v>
      </c>
      <c r="BR103" s="3" t="e">
        <f t="shared" ca="1" si="489"/>
        <v>#NUM!</v>
      </c>
      <c r="BS103" s="3">
        <f t="shared" ca="1" si="451"/>
        <v>3493969.6822035732</v>
      </c>
      <c r="BT103" s="3" t="str">
        <f t="shared" ca="1" si="489"/>
        <v/>
      </c>
      <c r="BU103" s="3">
        <f t="shared" ca="1" si="452"/>
        <v>175375.61719623648</v>
      </c>
      <c r="BV103" s="3" t="str">
        <f t="shared" ca="1" si="489"/>
        <v>Cruce +</v>
      </c>
      <c r="BX103" s="3" t="e">
        <f t="shared" ca="1" si="453"/>
        <v>#NUM!</v>
      </c>
      <c r="BY103" s="3" t="e">
        <f t="shared" ca="1" si="501"/>
        <v>#NUM!</v>
      </c>
      <c r="BZ103" s="3">
        <f t="shared" ca="1" si="454"/>
        <v>6183053.8671352398</v>
      </c>
      <c r="CA103" s="3" t="str">
        <f t="shared" ca="1" si="501"/>
        <v/>
      </c>
      <c r="CB103" s="3">
        <f t="shared" ca="1" si="455"/>
        <v>-15063.400192699388</v>
      </c>
      <c r="CC103" s="3" t="str">
        <f t="shared" ca="1" si="501"/>
        <v>Cruce -</v>
      </c>
      <c r="CD103" s="3">
        <f>IF(RTD("tos.rtd",,CD$83,"."&amp;$B$82&amp;$AS$82&amp;"C"&amp;$A103)="N/A",0,RTD("tos.rtd",,CD$83,"."&amp;$B$82&amp;$AS$82&amp;"C"&amp;$A103))</f>
        <v>0.04</v>
      </c>
      <c r="CE103" s="3">
        <f>-IF(RTD("tos.rtd",,CE$83,"."&amp;$B$82&amp;$AS$82&amp;"P"&amp;$A103)="N/A",0,RTD("tos.rtd",,CE$83,"."&amp;$B$82&amp;$AS$82&amp;"P"&amp;$A103))</f>
        <v>1</v>
      </c>
      <c r="CF103" s="3">
        <f>IF(RTD("tos.rtd",,CF$83,"."&amp;$C$82&amp;$AU$82&amp;"C"&amp;$A103)="N/A",0,RTD("tos.rtd",,CF$83,"."&amp;$C$82&amp;$AU$82&amp;"C"&amp;$A103))</f>
        <v>0.51</v>
      </c>
      <c r="CG103" s="3">
        <f>-IF(RTD("tos.rtd",,CG$83,"."&amp;$C$82&amp;$AU$82&amp;"P"&amp;$A103)="N/A",0,RTD("tos.rtd",,CG$83,"."&amp;$C$82&amp;$AU$82&amp;"P"&amp;$A103))</f>
        <v>0.49</v>
      </c>
      <c r="CH103" s="3">
        <f>IF(RTD("tos.rtd",,CH$83,"."&amp;$D$82&amp;$AW$82&amp;"C"&amp;$A103)="N/A",0,RTD("tos.rtd",,CH$83,"."&amp;$D$82&amp;$AW$82&amp;"C"&amp;$A103))</f>
        <v>0.52</v>
      </c>
      <c r="CI103" s="3">
        <f>-IF(RTD("tos.rtd",,CI$83,"."&amp;$D$82&amp;$AW$82&amp;"P"&amp;$A103)="N/A",0,RTD("tos.rtd",,CI$83,"."&amp;$D$82&amp;$AW$82&amp;"P"&amp;$A103))</f>
        <v>0.48</v>
      </c>
      <c r="CK103" s="3">
        <f t="shared" si="490"/>
        <v>-36328</v>
      </c>
      <c r="CL103" s="3"/>
      <c r="CM103" s="3">
        <f t="shared" si="491"/>
        <v>26550.000000000004</v>
      </c>
      <c r="CN103" s="3"/>
      <c r="CO103" s="3">
        <f t="shared" si="492"/>
        <v>16344.000000000004</v>
      </c>
      <c r="CP103" s="3">
        <f t="shared" si="456"/>
        <v>6566.0000000000073</v>
      </c>
      <c r="CQ103" s="3">
        <f t="shared" si="457"/>
        <v>29268</v>
      </c>
      <c r="CR103" s="3"/>
      <c r="CS103" s="3">
        <f t="shared" si="458"/>
        <v>742</v>
      </c>
      <c r="CT103" s="3"/>
      <c r="CU103" s="3">
        <f t="shared" si="459"/>
        <v>-32</v>
      </c>
      <c r="CV103" s="3"/>
      <c r="CW103" s="3" t="e">
        <f t="shared" ca="1" si="460"/>
        <v>#NUM!</v>
      </c>
      <c r="CY103" s="3" t="e">
        <f t="shared" ca="1" si="461"/>
        <v>#NUM!</v>
      </c>
      <c r="CZ103" s="70" t="e">
        <f t="shared" ca="1" si="502"/>
        <v>#NUM!</v>
      </c>
      <c r="DA103" s="3">
        <f>IF(RTD("tos.rtd",,DA$83,"."&amp;$B$82&amp;$AS$82&amp;"C"&amp;$A103)="N/A",0,RTD("tos.rtd",,DA$83,"."&amp;$B$82&amp;$AS$82&amp;"C"&amp;$A103))</f>
        <v>0.05</v>
      </c>
      <c r="DB103" s="3">
        <f>IF(RTD("tos.rtd",,DB$83,"."&amp;$B$82&amp;$AS$82&amp;"P"&amp;$A103)="N/A",0,RTD("tos.rtd",,DB$83,"."&amp;$B$82&amp;$AS$82&amp;"P"&amp;$A103))</f>
        <v>3</v>
      </c>
      <c r="DC103" s="3">
        <f>IF(RTD("tos.rtd",,DC$83,"."&amp;$B$82&amp;$AS$82&amp;"C"&amp;$A103)="N/A",0,RTD("tos.rtd",,DC$83,"."&amp;$B$82&amp;$AS$82&amp;"C"&amp;$A103))</f>
        <v>0.05</v>
      </c>
      <c r="DD103" s="3">
        <f>IF(RTD("tos.rtd",,DD$83,"."&amp;$B$82&amp;$AS$82&amp;"P"&amp;$A103)="N/A",0,RTD("tos.rtd",,DD$83,"."&amp;$B$82&amp;$AS$82&amp;"P"&amp;$A103))</f>
        <v>3</v>
      </c>
      <c r="DE103" s="3">
        <f>IF(RTD("tos.rtd",,DE$83,"."&amp;$B$82&amp;$AS$82&amp;"C"&amp;$A103)="N/A",0,RTD("tos.rtd",,DE$83,"."&amp;$B$82&amp;$AS$82&amp;"C"&amp;$A103))</f>
        <v>0</v>
      </c>
      <c r="DF103" s="3">
        <f>IF(RTD("tos.rtd",,DF$83,"."&amp;$B$82&amp;$AS$82&amp;"P"&amp;$A103)="N/A",0,RTD("tos.rtd",,DF$83,"."&amp;$B$82&amp;$AS$82&amp;"P"&amp;$A103))</f>
        <v>2.75</v>
      </c>
      <c r="DG103" s="86">
        <f t="shared" si="494"/>
        <v>4.25</v>
      </c>
      <c r="DH103" s="3">
        <f t="shared" si="462"/>
        <v>0</v>
      </c>
      <c r="DI103" s="3">
        <f t="shared" si="463"/>
        <v>0</v>
      </c>
      <c r="DJ103" s="3">
        <f t="shared" si="464"/>
        <v>0</v>
      </c>
      <c r="DK103" s="3">
        <f t="shared" si="465"/>
        <v>0</v>
      </c>
      <c r="DL103" s="3">
        <f t="shared" si="466"/>
        <v>0</v>
      </c>
      <c r="DM103" s="3">
        <f t="shared" si="467"/>
        <v>0</v>
      </c>
      <c r="DN103" s="64" t="str">
        <f t="shared" si="468"/>
        <v>UNKNOWN</v>
      </c>
      <c r="DO103" s="64" t="str">
        <f t="shared" si="469"/>
        <v>UNKNOWN</v>
      </c>
      <c r="DP103" s="3">
        <f t="shared" si="470"/>
        <v>0</v>
      </c>
      <c r="DQ103" s="3">
        <f t="shared" si="471"/>
        <v>0</v>
      </c>
      <c r="DR103" s="3" t="e">
        <f t="shared" ca="1" si="472"/>
        <v>#NUM!</v>
      </c>
      <c r="DS103" s="3">
        <f t="shared" si="473"/>
        <v>0</v>
      </c>
      <c r="DT103" s="3">
        <f t="shared" si="495"/>
        <v>0</v>
      </c>
      <c r="DU103" s="3">
        <f t="shared" si="496"/>
        <v>0</v>
      </c>
      <c r="DV103" s="3">
        <f t="shared" si="497"/>
        <v>1674</v>
      </c>
      <c r="DW103" s="3">
        <f t="shared" si="498"/>
        <v>1680</v>
      </c>
      <c r="DX103" s="3" t="e">
        <f t="shared" ca="1" si="503"/>
        <v>#NUM!</v>
      </c>
      <c r="DY103" s="3" t="e">
        <f t="shared" ca="1" si="474"/>
        <v>#NUM!</v>
      </c>
      <c r="DZ103" s="3">
        <f t="shared" ca="1" si="475"/>
        <v>2.7380230724509402E-2</v>
      </c>
      <c r="EA103" s="3">
        <f t="shared" ca="1" si="476"/>
        <v>-2.2873490536586983E-3</v>
      </c>
      <c r="EB103" s="3">
        <f t="shared" ca="1" si="477"/>
        <v>2.3597715225183629E-3</v>
      </c>
      <c r="EC103" s="3">
        <f t="shared" ca="1" si="478"/>
        <v>-2.2192378674214543E-3</v>
      </c>
      <c r="EE103" s="59">
        <f t="shared" si="479"/>
        <v>4.2500000000000003E-2</v>
      </c>
      <c r="EF103" s="59">
        <f t="shared" si="480"/>
        <v>0.25</v>
      </c>
      <c r="EG103" s="59">
        <f t="shared" si="481"/>
        <v>0.18360000000000001</v>
      </c>
      <c r="EH103" s="59">
        <f t="shared" si="482"/>
        <v>0.189</v>
      </c>
      <c r="EI103" s="59">
        <f t="shared" si="483"/>
        <v>0.1832</v>
      </c>
      <c r="EJ103" s="59">
        <f t="shared" si="484"/>
        <v>0.1948</v>
      </c>
      <c r="EL103" s="3" t="str">
        <f>RTD("tos.rtd",,EL$83,"."&amp;$B$82&amp;$AS$82&amp;"C"&amp;$A103)</f>
        <v>4.25%</v>
      </c>
      <c r="EM103" s="3" t="str">
        <f>RTD("tos.rtd",,EM$83,"."&amp;$B$82&amp;$AS$82&amp;"P"&amp;$A103)</f>
        <v>--</v>
      </c>
      <c r="EN103" s="3" t="str">
        <f>RTD("tos.rtd",,EN$83,"."&amp;$C$82&amp;$AU$82&amp;"C"&amp;$A103)</f>
        <v>18.36%</v>
      </c>
      <c r="EO103" s="3" t="str">
        <f>RTD("tos.rtd",,EO$83,"."&amp;$C$82&amp;$AU$82&amp;"P"&amp;$A103)</f>
        <v>18.90%</v>
      </c>
      <c r="EP103" s="3" t="str">
        <f>RTD("tos.rtd",,EP$83,"."&amp;$D$82&amp;$AW$82&amp;"C"&amp;$A103)</f>
        <v>18.32%</v>
      </c>
      <c r="EQ103" s="3" t="str">
        <f>RTD("tos.rtd",,EQ$83,"."&amp;$D$82&amp;$AW$82&amp;"P"&amp;$A103)</f>
        <v>19.48%</v>
      </c>
      <c r="ET103" s="64" t="str">
        <f t="shared" ca="1" si="485"/>
        <v>5690,00.00</v>
      </c>
      <c r="EU103" s="67">
        <v>564.11</v>
      </c>
      <c r="EV103" s="67" t="s">
        <v>843</v>
      </c>
      <c r="EW103" s="67">
        <v>486.03</v>
      </c>
      <c r="EX103" s="67" t="s">
        <v>844</v>
      </c>
      <c r="EY103" s="67">
        <v>5656.75</v>
      </c>
      <c r="EZ103" s="67" t="s">
        <v>845</v>
      </c>
      <c r="FA103" s="67">
        <v>19971.5</v>
      </c>
      <c r="FB103" s="67" t="s">
        <v>846</v>
      </c>
      <c r="FC103" s="67" t="s">
        <v>847</v>
      </c>
      <c r="FD103" s="67" t="s">
        <v>848</v>
      </c>
      <c r="FE103" s="68" t="s">
        <v>849</v>
      </c>
      <c r="FF103" s="68" t="s">
        <v>850</v>
      </c>
    </row>
    <row r="104" spans="1:162" s="63" customFormat="1" ht="12" customHeight="1" thickBot="1" x14ac:dyDescent="0.25">
      <c r="A104" s="2">
        <f t="shared" si="499"/>
        <v>5680</v>
      </c>
      <c r="B104" s="3">
        <f t="shared" si="445"/>
        <v>1273</v>
      </c>
      <c r="C104" s="3">
        <f t="shared" si="446"/>
        <v>2479</v>
      </c>
      <c r="D104" s="3">
        <f t="shared" si="447"/>
        <v>484</v>
      </c>
      <c r="E104" s="3">
        <f t="shared" si="510"/>
        <v>4236</v>
      </c>
      <c r="F104" s="4">
        <f t="shared" si="513"/>
        <v>5703.9757287956736</v>
      </c>
      <c r="G104" s="4">
        <f t="shared" si="511"/>
        <v>566.39662313678934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518</v>
      </c>
      <c r="AN104" s="20">
        <v>1838</v>
      </c>
      <c r="AO104" s="20">
        <v>5680</v>
      </c>
      <c r="AP104" s="20">
        <v>39490</v>
      </c>
      <c r="AQ104" s="20">
        <v>-71399</v>
      </c>
      <c r="AR104" s="20"/>
      <c r="AS104" s="54">
        <f>IF(RTD("tos.rtd",,AS$83,"."&amp;$B$82&amp;$AS$82&amp;"C"&amp;$A104)="N/A",0,RTD("tos.rtd",,AS$83,"."&amp;$B$82&amp;$AS$82&amp;"C"&amp;$A104))</f>
        <v>1177</v>
      </c>
      <c r="AT104" s="3">
        <f>-IF(RTD("tos.rtd",,AT$83,"."&amp;$B$82&amp;$AS$82&amp;"P"&amp;$A104)="N/A",0,RTD("tos.rtd",,AT$83,"."&amp;$B$82&amp;$AS$82&amp;"P"&amp;$A104))</f>
        <v>-96</v>
      </c>
      <c r="AU104" s="54">
        <f>IF(RTD("tos.rtd",,AU$83,"."&amp;$C$82&amp;$AU$82&amp;"C"&amp;$A104)="N/A",0,RTD("tos.rtd",,AU$83,"."&amp;$C$82&amp;$AU$82&amp;"C"&amp;$A104))</f>
        <v>2448</v>
      </c>
      <c r="AV104" s="3">
        <f>-IF(RTD("tos.rtd",,AV$83,"."&amp;$C$82&amp;$AU$82&amp;"P"&amp;$A104)="N/A",0,RTD("tos.rtd",,AV$83,"."&amp;$C$82&amp;$AU$82&amp;"P"&amp;$A104))</f>
        <v>-31</v>
      </c>
      <c r="AW104" s="54">
        <f>IF(RTD("tos.rtd",,AW$83,"."&amp;$D$82&amp;$AW$82&amp;"C"&amp;$A104)="N/A",0,RTD("tos.rtd",,AW$83,"."&amp;$D$82&amp;$AW$82&amp;"C"&amp;$A104))</f>
        <v>313</v>
      </c>
      <c r="AX104" s="3">
        <f>-IF(RTD("tos.rtd",,AX$83,"."&amp;$D$82&amp;$AW$82&amp;"P"&amp;$A104)="N/A",0,RTD("tos.rtd",,AX$83,"."&amp;$D$82&amp;$AW$82&amp;"P"&amp;$A104))</f>
        <v>-171</v>
      </c>
      <c r="AY104" s="79">
        <f t="shared" si="512"/>
        <v>3640</v>
      </c>
      <c r="AZ104" s="8">
        <f t="shared" si="449"/>
        <v>5680</v>
      </c>
      <c r="BA104" s="54">
        <f>IF(RTD("tos.rtd",,BA$83,"."&amp;$B$82&amp;$AS$82&amp;"C"&amp;$A104)="N/A",0,RTD("tos.rtd",,BA$83,"."&amp;$B$82&amp;$AS$82&amp;"C"&amp;$A104))</f>
        <v>39490</v>
      </c>
      <c r="BB104" s="3">
        <f>-IF(RTD("tos.rtd",,BB$83,"."&amp;$B$82&amp;$AS$82&amp;"P"&amp;$A104)="N/A",0,RTD("tos.rtd",,BB$83,"."&amp;$B$82&amp;$AS$82&amp;"P"&amp;$A104))</f>
        <v>-71399</v>
      </c>
      <c r="BC104" s="54">
        <f>IF(RTD("tos.rtd",,BC$83,"."&amp;$C$82&amp;$AU$82&amp;"C"&amp;$A104)="N/A",0,RTD("tos.rtd",,BC$83,"."&amp;$C$82&amp;$AU$82&amp;"C"&amp;$A104))</f>
        <v>281</v>
      </c>
      <c r="BD104" s="3">
        <f>-IF(RTD("tos.rtd",,BD$83,"."&amp;$C$82&amp;$AU$82&amp;"P"&amp;$A104)="N/A",0,RTD("tos.rtd",,BD$83,"."&amp;$C$82&amp;$AU$82&amp;"P"&amp;$A104))</f>
        <v>-208</v>
      </c>
      <c r="BE104" s="54">
        <f>IF(RTD("tos.rtd",,BE$83,"."&amp;$D$82&amp;$AW$82&amp;"C"&amp;$A104)="N/A",0,RTD("tos.rtd",,BE$83,"."&amp;$D$82&amp;$AW$82&amp;"C"&amp;$A104))</f>
        <v>328</v>
      </c>
      <c r="BF104" s="3">
        <f>-IF(RTD("tos.rtd",,BF$83,"."&amp;$D$82&amp;$AW$82&amp;"P"&amp;$A104)="N/A",0,RTD("tos.rtd",,BF$83,"."&amp;$D$82&amp;$AW$82&amp;"P"&amp;$A104))</f>
        <v>-1250</v>
      </c>
      <c r="BG104" s="3" t="e">
        <f ca="1">+Hoja2!Y105</f>
        <v>#N/A</v>
      </c>
      <c r="BH104" s="55" t="e">
        <f t="shared" ca="1" si="488"/>
        <v>#N/A</v>
      </c>
      <c r="BI104" s="32" t="e">
        <f t="shared" ca="1" si="504"/>
        <v>#N/A</v>
      </c>
      <c r="BJ104" s="3" t="e">
        <f ca="1">IF($BP$1=1,DX104,IF(RTD("tos.rtd",,BJ$83,"."&amp;$B$82&amp;$AS$82&amp;"C"&amp;$A104)="N/A",0,RTD("tos.rtd",,BJ$83,"."&amp;$B$82&amp;$AS$82&amp;"C"&amp;$A104)))</f>
        <v>#NUM!</v>
      </c>
      <c r="BK104" s="3" t="e">
        <f ca="1">IF($BP$1=1,DY104,-IF(RTD("tos.rtd",,BK$83,"."&amp;$B$82&amp;$AS$82&amp;"P"&amp;$A104)="N/A",0,RTD("tos.rtd",,BK$83,"."&amp;$B$82&amp;$AS$82&amp;"P"&amp;$A104)))</f>
        <v>#NUM!</v>
      </c>
      <c r="BL104" s="3">
        <f ca="1">IF($BP$1=1,DZ104,IF(RTD("tos.rtd",,BL$83,"."&amp;$C$82&amp;$AU$82&amp;"C"&amp;$A104)="N/A",0,RTD("tos.rtd",,BL$83,"."&amp;$C$82&amp;$AU$82&amp;"C"&amp;$A104)))</f>
        <v>2.6924253383918847E-2</v>
      </c>
      <c r="BM104" s="3">
        <f ca="1">IF($BP$1=1,EA104,-IF(RTD("tos.rtd",,BM$83,"."&amp;$C$82&amp;$AU$82&amp;"P"&amp;$A104)="N/A",0,RTD("tos.rtd",,BM$83,"."&amp;$C$82&amp;$AU$82&amp;"P"&amp;$A104)))</f>
        <v>-2.2504185480771992E-3</v>
      </c>
      <c r="BN104" s="3">
        <f ca="1">IF($BP$1=1,EB104,IF(RTD("tos.rtd",,BN$83,"."&amp;$D$82&amp;$AW$82&amp;"C"&amp;$A104)="N/A",0,RTD("tos.rtd",,BN$83,"."&amp;$D$82&amp;$AW$82&amp;"C"&amp;$A104)))</f>
        <v>2.3278669626374477E-3</v>
      </c>
      <c r="BO104" s="3">
        <f ca="1">IF($BP$1=1,EC104,-IF(RTD("tos.rtd",,BO$83,"."&amp;$D$82&amp;$AW$82&amp;"P"&amp;$A104)="N/A",0,RTD("tos.rtd",,BO$83,"."&amp;$D$82&amp;$AW$82&amp;"P"&amp;$A104)))</f>
        <v>-2.1911769447131306E-3</v>
      </c>
      <c r="BQ104" s="3" t="e">
        <f t="shared" ca="1" si="450"/>
        <v>#NUM!</v>
      </c>
      <c r="BR104" s="3" t="e">
        <f t="shared" ca="1" si="489"/>
        <v>#NUM!</v>
      </c>
      <c r="BS104" s="3">
        <f t="shared" ca="1" si="451"/>
        <v>15741344.575624967</v>
      </c>
      <c r="BT104" s="3" t="str">
        <f t="shared" ca="1" si="489"/>
        <v/>
      </c>
      <c r="BU104" s="3">
        <f t="shared" ca="1" si="452"/>
        <v>84618.513765440424</v>
      </c>
      <c r="BV104" s="3" t="str">
        <f t="shared" ca="1" si="489"/>
        <v/>
      </c>
      <c r="BX104" s="3" t="e">
        <f t="shared" ca="1" si="453"/>
        <v>#NUM!</v>
      </c>
      <c r="BY104" s="3" t="e">
        <f t="shared" ca="1" si="501"/>
        <v>#NUM!</v>
      </c>
      <c r="BZ104" s="3">
        <f t="shared" ca="1" si="454"/>
        <v>1696914.2912971363</v>
      </c>
      <c r="CA104" s="3" t="str">
        <f t="shared" ca="1" si="501"/>
        <v/>
      </c>
      <c r="CB104" s="3">
        <f t="shared" ca="1" si="455"/>
        <v>-472289.71673397021</v>
      </c>
      <c r="CC104" s="3" t="str">
        <f t="shared" ca="1" si="501"/>
        <v/>
      </c>
      <c r="CD104" s="3">
        <f>IF(RTD("tos.rtd",,CD$83,"."&amp;$B$82&amp;$AS$82&amp;"C"&amp;$A104)="N/A",0,RTD("tos.rtd",,CD$83,"."&amp;$B$82&amp;$AS$82&amp;"C"&amp;$A104))</f>
        <v>1</v>
      </c>
      <c r="CE104" s="3">
        <f>-IF(RTD("tos.rtd",,CE$83,"."&amp;$B$82&amp;$AS$82&amp;"P"&amp;$A104)="N/A",0,RTD("tos.rtd",,CE$83,"."&amp;$B$82&amp;$AS$82&amp;"P"&amp;$A104))</f>
        <v>0.02</v>
      </c>
      <c r="CF104" s="3">
        <f>IF(RTD("tos.rtd",,CF$83,"."&amp;$C$82&amp;$AU$82&amp;"C"&amp;$A104)="N/A",0,RTD("tos.rtd",,CF$83,"."&amp;$C$82&amp;$AU$82&amp;"C"&amp;$A104))</f>
        <v>0.54</v>
      </c>
      <c r="CG104" s="3">
        <f>-IF(RTD("tos.rtd",,CG$83,"."&amp;$C$82&amp;$AU$82&amp;"P"&amp;$A104)="N/A",0,RTD("tos.rtd",,CG$83,"."&amp;$C$82&amp;$AU$82&amp;"P"&amp;$A104))</f>
        <v>0.46</v>
      </c>
      <c r="CH104" s="3">
        <f>IF(RTD("tos.rtd",,CH$83,"."&amp;$D$82&amp;$AW$82&amp;"C"&amp;$A104)="N/A",0,RTD("tos.rtd",,CH$83,"."&amp;$D$82&amp;$AW$82&amp;"C"&amp;$A104))</f>
        <v>0.54</v>
      </c>
      <c r="CI104" s="3">
        <f>-IF(RTD("tos.rtd",,CI$83,"."&amp;$D$82&amp;$AW$82&amp;"P"&amp;$A104)="N/A",0,RTD("tos.rtd",,CI$83,"."&amp;$D$82&amp;$AW$82&amp;"P"&amp;$A104))</f>
        <v>0.46</v>
      </c>
      <c r="CK104" s="3">
        <f t="shared" si="490"/>
        <v>117508</v>
      </c>
      <c r="CL104" s="3"/>
      <c r="CM104" s="3">
        <f t="shared" si="491"/>
        <v>130766</v>
      </c>
      <c r="CN104" s="3"/>
      <c r="CO104" s="3">
        <f t="shared" si="492"/>
        <v>9036</v>
      </c>
      <c r="CP104" s="3">
        <f t="shared" si="456"/>
        <v>257310</v>
      </c>
      <c r="CQ104" s="3">
        <f t="shared" si="457"/>
        <v>-31909</v>
      </c>
      <c r="CR104" s="3"/>
      <c r="CS104" s="3">
        <f t="shared" si="458"/>
        <v>73</v>
      </c>
      <c r="CT104" s="3"/>
      <c r="CU104" s="3">
        <f t="shared" si="459"/>
        <v>-922</v>
      </c>
      <c r="CV104" s="3"/>
      <c r="CW104" s="3" t="e">
        <f t="shared" ca="1" si="460"/>
        <v>#NUM!</v>
      </c>
      <c r="CY104" s="3" t="e">
        <f t="shared" ca="1" si="461"/>
        <v>#NUM!</v>
      </c>
      <c r="CZ104" s="70" t="e">
        <f t="shared" ca="1" si="502"/>
        <v>#NUM!</v>
      </c>
      <c r="DA104" s="3">
        <f>IF(RTD("tos.rtd",,DA$83,"."&amp;$B$82&amp;$AS$82&amp;"C"&amp;$A104)="N/A",0,RTD("tos.rtd",,DA$83,"."&amp;$B$82&amp;$AS$82&amp;"C"&amp;$A104))</f>
        <v>7.1</v>
      </c>
      <c r="DB104" s="3">
        <f>IF(RTD("tos.rtd",,DB$83,"."&amp;$B$82&amp;$AS$82&amp;"P"&amp;$A104)="N/A",0,RTD("tos.rtd",,DB$83,"."&amp;$B$82&amp;$AS$82&amp;"P"&amp;$A104))</f>
        <v>0.05</v>
      </c>
      <c r="DC104" s="3">
        <f>IF(RTD("tos.rtd",,DC$83,"."&amp;$B$82&amp;$AS$82&amp;"C"&amp;$A104)="N/A",0,RTD("tos.rtd",,DC$83,"."&amp;$B$82&amp;$AS$82&amp;"C"&amp;$A104))</f>
        <v>7.7</v>
      </c>
      <c r="DD104" s="3">
        <f>IF(RTD("tos.rtd",,DD$83,"."&amp;$B$82&amp;$AS$82&amp;"P"&amp;$A104)="N/A",0,RTD("tos.rtd",,DD$83,"."&amp;$B$82&amp;$AS$82&amp;"P"&amp;$A104))</f>
        <v>0.05</v>
      </c>
      <c r="DE104" s="3">
        <f>IF(RTD("tos.rtd",,DE$83,"."&amp;$B$82&amp;$AS$82&amp;"C"&amp;$A104)="N/A",0,RTD("tos.rtd",,DE$83,"."&amp;$B$82&amp;$AS$82&amp;"C"&amp;$A104))</f>
        <v>5.3</v>
      </c>
      <c r="DF104" s="3">
        <f>IF(RTD("tos.rtd",,DF$83,"."&amp;$B$82&amp;$AS$82&amp;"P"&amp;$A104)="N/A",0,RTD("tos.rtd",,DF$83,"."&amp;$B$82&amp;$AS$82&amp;"P"&amp;$A104))</f>
        <v>0</v>
      </c>
      <c r="DG104" s="86">
        <f t="shared" si="494"/>
        <v>-5.75</v>
      </c>
      <c r="DH104" s="3">
        <f t="shared" si="462"/>
        <v>0</v>
      </c>
      <c r="DI104" s="3">
        <f t="shared" si="463"/>
        <v>0</v>
      </c>
      <c r="DJ104" s="3">
        <f t="shared" si="464"/>
        <v>0</v>
      </c>
      <c r="DK104" s="3">
        <f t="shared" si="465"/>
        <v>0</v>
      </c>
      <c r="DL104" s="3">
        <f t="shared" si="466"/>
        <v>0</v>
      </c>
      <c r="DM104" s="3">
        <f t="shared" si="467"/>
        <v>0</v>
      </c>
      <c r="DN104" s="64" t="str">
        <f t="shared" si="468"/>
        <v>UNKNOWN</v>
      </c>
      <c r="DO104" s="64" t="str">
        <f t="shared" si="469"/>
        <v>UNKNOWN</v>
      </c>
      <c r="DP104" s="3">
        <f t="shared" si="470"/>
        <v>0</v>
      </c>
      <c r="DQ104" s="3">
        <f t="shared" si="471"/>
        <v>0</v>
      </c>
      <c r="DR104" s="3" t="e">
        <f t="shared" ca="1" si="472"/>
        <v>#NUM!</v>
      </c>
      <c r="DS104" s="3">
        <f t="shared" si="473"/>
        <v>0</v>
      </c>
      <c r="DT104" s="3">
        <f t="shared" si="495"/>
        <v>0</v>
      </c>
      <c r="DU104" s="3">
        <f t="shared" si="496"/>
        <v>0</v>
      </c>
      <c r="DV104" s="3">
        <f t="shared" si="497"/>
        <v>518</v>
      </c>
      <c r="DW104" s="3">
        <f t="shared" si="498"/>
        <v>1838</v>
      </c>
      <c r="DX104" s="3" t="e">
        <f t="shared" ca="1" si="503"/>
        <v>#NUM!</v>
      </c>
      <c r="DY104" s="3" t="e">
        <f t="shared" ca="1" si="474"/>
        <v>#NUM!</v>
      </c>
      <c r="DZ104" s="3">
        <f t="shared" ca="1" si="475"/>
        <v>2.6924253383918847E-2</v>
      </c>
      <c r="EA104" s="3">
        <f t="shared" ca="1" si="476"/>
        <v>-2.2504185480771992E-3</v>
      </c>
      <c r="EB104" s="3">
        <f t="shared" ca="1" si="477"/>
        <v>2.3278669626374477E-3</v>
      </c>
      <c r="EC104" s="3">
        <f t="shared" ca="1" si="478"/>
        <v>-2.1911769447131306E-3</v>
      </c>
      <c r="EE104" s="59">
        <f t="shared" si="479"/>
        <v>0.25</v>
      </c>
      <c r="EF104" s="59">
        <f t="shared" si="480"/>
        <v>7.6600000000000001E-2</v>
      </c>
      <c r="EG104" s="59">
        <f t="shared" si="481"/>
        <v>0.18609999999999999</v>
      </c>
      <c r="EH104" s="59">
        <f t="shared" si="482"/>
        <v>0.1915</v>
      </c>
      <c r="EI104" s="59">
        <f t="shared" si="483"/>
        <v>0.18509999999999999</v>
      </c>
      <c r="EJ104" s="59">
        <f t="shared" si="484"/>
        <v>0.19670000000000001</v>
      </c>
      <c r="EL104" s="3" t="str">
        <f>RTD("tos.rtd",,EL$83,"."&amp;$B$82&amp;$AS$82&amp;"C"&amp;$A104)</f>
        <v>--</v>
      </c>
      <c r="EM104" s="3" t="str">
        <f>RTD("tos.rtd",,EM$83,"."&amp;$B$82&amp;$AS$82&amp;"P"&amp;$A104)</f>
        <v>7.66%</v>
      </c>
      <c r="EN104" s="3" t="str">
        <f>RTD("tos.rtd",,EN$83,"."&amp;$C$82&amp;$AU$82&amp;"C"&amp;$A104)</f>
        <v>18.61%</v>
      </c>
      <c r="EO104" s="3" t="str">
        <f>RTD("tos.rtd",,EO$83,"."&amp;$C$82&amp;$AU$82&amp;"P"&amp;$A104)</f>
        <v>19.15%</v>
      </c>
      <c r="EP104" s="3" t="str">
        <f>RTD("tos.rtd",,EP$83,"."&amp;$D$82&amp;$AW$82&amp;"C"&amp;$A104)</f>
        <v>18.51%</v>
      </c>
      <c r="EQ104" s="3" t="str">
        <f>RTD("tos.rtd",,EQ$83,"."&amp;$D$82&amp;$AW$82&amp;"P"&amp;$A104)</f>
        <v>19.67%</v>
      </c>
      <c r="ET104" s="64" t="str">
        <f t="shared" ca="1" si="485"/>
        <v>5680,00.00</v>
      </c>
      <c r="EU104" s="67">
        <v>563.94000000000005</v>
      </c>
      <c r="EV104" s="67" t="s">
        <v>851</v>
      </c>
      <c r="EW104" s="67">
        <v>486.02</v>
      </c>
      <c r="EX104" s="67" t="s">
        <v>852</v>
      </c>
      <c r="EY104" s="67">
        <v>5655</v>
      </c>
      <c r="EZ104" s="67" t="s">
        <v>853</v>
      </c>
      <c r="FA104" s="67">
        <v>19971.25</v>
      </c>
      <c r="FB104" s="67" t="s">
        <v>854</v>
      </c>
      <c r="FC104" s="67" t="s">
        <v>855</v>
      </c>
      <c r="FD104" s="67" t="s">
        <v>856</v>
      </c>
      <c r="FE104" s="68" t="s">
        <v>857</v>
      </c>
      <c r="FF104" s="68" t="s">
        <v>858</v>
      </c>
    </row>
    <row r="105" spans="1:162" s="63" customFormat="1" ht="12" customHeight="1" thickBot="1" x14ac:dyDescent="0.25">
      <c r="A105" s="2">
        <f t="shared" si="499"/>
        <v>5670</v>
      </c>
      <c r="B105" s="3">
        <f t="shared" si="445"/>
        <v>1737</v>
      </c>
      <c r="C105" s="3">
        <f t="shared" si="446"/>
        <v>292</v>
      </c>
      <c r="D105" s="3">
        <f t="shared" si="447"/>
        <v>271</v>
      </c>
      <c r="E105" s="3">
        <f t="shared" si="510"/>
        <v>2300</v>
      </c>
      <c r="F105" s="4">
        <f t="shared" si="513"/>
        <v>5693.9335180055405</v>
      </c>
      <c r="G105" s="4">
        <f t="shared" si="511"/>
        <v>565.39944598337956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-1288</v>
      </c>
      <c r="AN105" s="20">
        <v>1361</v>
      </c>
      <c r="AO105" s="20">
        <v>5670</v>
      </c>
      <c r="AP105" s="20">
        <v>25585</v>
      </c>
      <c r="AQ105" s="20">
        <v>-79198</v>
      </c>
      <c r="AR105" s="20"/>
      <c r="AS105" s="54">
        <f>IF(RTD("tos.rtd",,AS$83,"."&amp;$B$82&amp;$AS$82&amp;"C"&amp;$A105)="N/A",0,RTD("tos.rtd",,AS$83,"."&amp;$B$82&amp;$AS$82&amp;"C"&amp;$A105))</f>
        <v>1565</v>
      </c>
      <c r="AT105" s="3">
        <f>-IF(RTD("tos.rtd",,AT$83,"."&amp;$B$82&amp;$AS$82&amp;"P"&amp;$A105)="N/A",0,RTD("tos.rtd",,AT$83,"."&amp;$B$82&amp;$AS$82&amp;"P"&amp;$A105))</f>
        <v>-172</v>
      </c>
      <c r="AU105" s="54">
        <f>IF(RTD("tos.rtd",,AU$83,"."&amp;$C$82&amp;$AU$82&amp;"C"&amp;$A105)="N/A",0,RTD("tos.rtd",,AU$83,"."&amp;$C$82&amp;$AU$82&amp;"C"&amp;$A105))</f>
        <v>238</v>
      </c>
      <c r="AV105" s="3">
        <f>-IF(RTD("tos.rtd",,AV$83,"."&amp;$C$82&amp;$AU$82&amp;"P"&amp;$A105)="N/A",0,RTD("tos.rtd",,AV$83,"."&amp;$C$82&amp;$AU$82&amp;"P"&amp;$A105))</f>
        <v>-54</v>
      </c>
      <c r="AW105" s="54">
        <f>IF(RTD("tos.rtd",,AW$83,"."&amp;$D$82&amp;$AW$82&amp;"C"&amp;$A105)="N/A",0,RTD("tos.rtd",,AW$83,"."&amp;$D$82&amp;$AW$82&amp;"C"&amp;$A105))</f>
        <v>136</v>
      </c>
      <c r="AX105" s="3">
        <f>-IF(RTD("tos.rtd",,AX$83,"."&amp;$D$82&amp;$AW$82&amp;"P"&amp;$A105)="N/A",0,RTD("tos.rtd",,AX$83,"."&amp;$D$82&amp;$AW$82&amp;"P"&amp;$A105))</f>
        <v>-135</v>
      </c>
      <c r="AY105" s="79">
        <f t="shared" si="512"/>
        <v>1578</v>
      </c>
      <c r="AZ105" s="8">
        <f t="shared" si="449"/>
        <v>5670</v>
      </c>
      <c r="BA105" s="54">
        <f>IF(RTD("tos.rtd",,BA$83,"."&amp;$B$82&amp;$AS$82&amp;"C"&amp;$A105)="N/A",0,RTD("tos.rtd",,BA$83,"."&amp;$B$82&amp;$AS$82&amp;"C"&amp;$A105))</f>
        <v>25585</v>
      </c>
      <c r="BB105" s="3">
        <f>-IF(RTD("tos.rtd",,BB$83,"."&amp;$B$82&amp;$AS$82&amp;"P"&amp;$A105)="N/A",0,RTD("tos.rtd",,BB$83,"."&amp;$B$82&amp;$AS$82&amp;"P"&amp;$A105))</f>
        <v>-79198</v>
      </c>
      <c r="BC105" s="54">
        <f>IF(RTD("tos.rtd",,BC$83,"."&amp;$C$82&amp;$AU$82&amp;"C"&amp;$A105)="N/A",0,RTD("tos.rtd",,BC$83,"."&amp;$C$82&amp;$AU$82&amp;"C"&amp;$A105))</f>
        <v>422</v>
      </c>
      <c r="BD105" s="3">
        <f>-IF(RTD("tos.rtd",,BD$83,"."&amp;$C$82&amp;$AU$82&amp;"P"&amp;$A105)="N/A",0,RTD("tos.rtd",,BD$83,"."&amp;$C$82&amp;$AU$82&amp;"P"&amp;$A105))</f>
        <v>-427</v>
      </c>
      <c r="BE105" s="54">
        <f>IF(RTD("tos.rtd",,BE$83,"."&amp;$D$82&amp;$AW$82&amp;"C"&amp;$A105)="N/A",0,RTD("tos.rtd",,BE$83,"."&amp;$D$82&amp;$AW$82&amp;"C"&amp;$A105))</f>
        <v>162</v>
      </c>
      <c r="BF105" s="3">
        <f>-IF(RTD("tos.rtd",,BF$83,"."&amp;$D$82&amp;$AW$82&amp;"P"&amp;$A105)="N/A",0,RTD("tos.rtd",,BF$83,"."&amp;$D$82&amp;$AW$82&amp;"P"&amp;$A105))</f>
        <v>-155</v>
      </c>
      <c r="BG105" s="3" t="e">
        <f ca="1">+Hoja2!Y106</f>
        <v>#N/A</v>
      </c>
      <c r="BH105" s="55" t="e">
        <f t="shared" ca="1" si="488"/>
        <v>#N/A</v>
      </c>
      <c r="BI105" s="32" t="e">
        <f t="shared" ca="1" si="504"/>
        <v>#N/A</v>
      </c>
      <c r="BJ105" s="3" t="e">
        <f ca="1">IF($BP$1=1,DX105,IF(RTD("tos.rtd",,BJ$83,"."&amp;$B$82&amp;$AS$82&amp;"C"&amp;$A105)="N/A",0,RTD("tos.rtd",,BJ$83,"."&amp;$B$82&amp;$AS$82&amp;"C"&amp;$A105)))</f>
        <v>#NUM!</v>
      </c>
      <c r="BK105" s="3" t="e">
        <f ca="1">IF($BP$1=1,DY105,-IF(RTD("tos.rtd",,BK$83,"."&amp;$B$82&amp;$AS$82&amp;"P"&amp;$A105)="N/A",0,RTD("tos.rtd",,BK$83,"."&amp;$B$82&amp;$AS$82&amp;"P"&amp;$A105)))</f>
        <v>#NUM!</v>
      </c>
      <c r="BL105" s="3">
        <f ca="1">IF($BP$1=1,DZ105,IF(RTD("tos.rtd",,BL$83,"."&amp;$C$82&amp;$AU$82&amp;"C"&amp;$A105)="N/A",0,RTD("tos.rtd",,BL$83,"."&amp;$C$82&amp;$AU$82&amp;"C"&amp;$A105)))</f>
        <v>2.6410004295062111E-2</v>
      </c>
      <c r="BM105" s="3">
        <f ca="1">IF($BP$1=1,EA105,-IF(RTD("tos.rtd",,BM$83,"."&amp;$C$82&amp;$AU$82&amp;"P"&amp;$A105)="N/A",0,RTD("tos.rtd",,BM$83,"."&amp;$C$82&amp;$AU$82&amp;"P"&amp;$A105)))</f>
        <v>-2.2066604686366369E-3</v>
      </c>
      <c r="BN105" s="3">
        <f ca="1">IF($BP$1=1,EB105,IF(RTD("tos.rtd",,BN$83,"."&amp;$D$82&amp;$AW$82&amp;"C"&amp;$A105)="N/A",0,RTD("tos.rtd",,BN$83,"."&amp;$D$82&amp;$AW$82&amp;"C"&amp;$A105)))</f>
        <v>2.2879149491266213E-3</v>
      </c>
      <c r="BO105" s="3">
        <f ca="1">IF($BP$1=1,EC105,-IF(RTD("tos.rtd",,BO$83,"."&amp;$D$82&amp;$AW$82&amp;"P"&amp;$A105)="N/A",0,RTD("tos.rtd",,BO$83,"."&amp;$D$82&amp;$AW$82&amp;"P"&amp;$A105)))</f>
        <v>-2.1552418476355226E-3</v>
      </c>
      <c r="BQ105" s="3" t="e">
        <f t="shared" ca="1" si="450"/>
        <v>#NUM!</v>
      </c>
      <c r="BR105" s="3" t="e">
        <f t="shared" ca="1" si="489"/>
        <v>#NUM!</v>
      </c>
      <c r="BS105" s="3">
        <f t="shared" ca="1" si="451"/>
        <v>1474279.6207504771</v>
      </c>
      <c r="BT105" s="3" t="str">
        <f t="shared" ca="1" si="489"/>
        <v/>
      </c>
      <c r="BU105" s="3">
        <f t="shared" ca="1" si="452"/>
        <v>4829.163201174917</v>
      </c>
      <c r="BV105" s="3" t="str">
        <f t="shared" ca="1" si="489"/>
        <v/>
      </c>
      <c r="BX105" s="3" t="e">
        <f t="shared" ca="1" si="453"/>
        <v>#NUM!</v>
      </c>
      <c r="BY105" s="3" t="e">
        <f t="shared" ca="1" si="501"/>
        <v>#NUM!</v>
      </c>
      <c r="BZ105" s="3">
        <f t="shared" ca="1" si="454"/>
        <v>2439299.3121556863</v>
      </c>
      <c r="CA105" s="3" t="str">
        <f t="shared" ca="1" si="501"/>
        <v/>
      </c>
      <c r="CB105" s="3">
        <f t="shared" ca="1" si="455"/>
        <v>8745.5519618866674</v>
      </c>
      <c r="CC105" s="3" t="str">
        <f t="shared" ca="1" si="501"/>
        <v>Cruce +</v>
      </c>
      <c r="CD105" s="3">
        <f>IF(RTD("tos.rtd",,CD$83,"."&amp;$B$82&amp;$AS$82&amp;"C"&amp;$A105)="N/A",0,RTD("tos.rtd",,CD$83,"."&amp;$B$82&amp;$AS$82&amp;"C"&amp;$A105))</f>
        <v>0.94</v>
      </c>
      <c r="CE105" s="3">
        <f>-IF(RTD("tos.rtd",,CE$83,"."&amp;$B$82&amp;$AS$82&amp;"P"&amp;$A105)="N/A",0,RTD("tos.rtd",,CE$83,"."&amp;$B$82&amp;$AS$82&amp;"P"&amp;$A105))</f>
        <v>0.01</v>
      </c>
      <c r="CF105" s="3">
        <f>IF(RTD("tos.rtd",,CF$83,"."&amp;$C$82&amp;$AU$82&amp;"C"&amp;$A105)="N/A",0,RTD("tos.rtd",,CF$83,"."&amp;$C$82&amp;$AU$82&amp;"C"&amp;$A105))</f>
        <v>0.56000000000000005</v>
      </c>
      <c r="CG105" s="3">
        <f>-IF(RTD("tos.rtd",,CG$83,"."&amp;$C$82&amp;$AU$82&amp;"P"&amp;$A105)="N/A",0,RTD("tos.rtd",,CG$83,"."&amp;$C$82&amp;$AU$82&amp;"P"&amp;$A105))</f>
        <v>0.44</v>
      </c>
      <c r="CH105" s="3">
        <f>IF(RTD("tos.rtd",,CH$83,"."&amp;$D$82&amp;$AW$82&amp;"C"&amp;$A105)="N/A",0,RTD("tos.rtd",,CH$83,"."&amp;$D$82&amp;$AW$82&amp;"C"&amp;$A105))</f>
        <v>0.56000000000000005</v>
      </c>
      <c r="CI105" s="3">
        <f>-IF(RTD("tos.rtd",,CI$83,"."&amp;$D$82&amp;$AW$82&amp;"P"&amp;$A105)="N/A",0,RTD("tos.rtd",,CI$83,"."&amp;$D$82&amp;$AW$82&amp;"P"&amp;$A105))</f>
        <v>0.44</v>
      </c>
      <c r="CK105" s="3">
        <f t="shared" si="490"/>
        <v>146938</v>
      </c>
      <c r="CL105" s="3"/>
      <c r="CM105" s="3">
        <f t="shared" si="491"/>
        <v>10952</v>
      </c>
      <c r="CN105" s="3"/>
      <c r="CO105" s="3">
        <f t="shared" si="492"/>
        <v>1676.0000000000009</v>
      </c>
      <c r="CP105" s="3">
        <f t="shared" si="456"/>
        <v>159566</v>
      </c>
      <c r="CQ105" s="3">
        <f t="shared" si="457"/>
        <v>-53613</v>
      </c>
      <c r="CR105" s="3"/>
      <c r="CS105" s="3">
        <f t="shared" si="458"/>
        <v>-5</v>
      </c>
      <c r="CT105" s="3"/>
      <c r="CU105" s="3">
        <f t="shared" si="459"/>
        <v>7</v>
      </c>
      <c r="CV105" s="3"/>
      <c r="CW105" s="3" t="e">
        <f t="shared" ca="1" si="460"/>
        <v>#NUM!</v>
      </c>
      <c r="CY105" s="3" t="e">
        <f t="shared" ca="1" si="461"/>
        <v>#NUM!</v>
      </c>
      <c r="CZ105" s="70" t="e">
        <f t="shared" ca="1" si="502"/>
        <v>#NUM!</v>
      </c>
      <c r="DA105" s="3">
        <f>IF(RTD("tos.rtd",,DA$83,"."&amp;$B$82&amp;$AS$82&amp;"C"&amp;$A105)="N/A",0,RTD("tos.rtd",,DA$83,"."&amp;$B$82&amp;$AS$82&amp;"C"&amp;$A105))</f>
        <v>17.5</v>
      </c>
      <c r="DB105" s="3">
        <f>IF(RTD("tos.rtd",,DB$83,"."&amp;$B$82&amp;$AS$82&amp;"P"&amp;$A105)="N/A",0,RTD("tos.rtd",,DB$83,"."&amp;$B$82&amp;$AS$82&amp;"P"&amp;$A105))</f>
        <v>0.05</v>
      </c>
      <c r="DC105" s="3">
        <f>IF(RTD("tos.rtd",,DC$83,"."&amp;$B$82&amp;$AS$82&amp;"C"&amp;$A105)="N/A",0,RTD("tos.rtd",,DC$83,"."&amp;$B$82&amp;$AS$82&amp;"C"&amp;$A105))</f>
        <v>17.899999999999999</v>
      </c>
      <c r="DD105" s="3">
        <f>IF(RTD("tos.rtd",,DD$83,"."&amp;$B$82&amp;$AS$82&amp;"P"&amp;$A105)="N/A",0,RTD("tos.rtd",,DD$83,"."&amp;$B$82&amp;$AS$82&amp;"P"&amp;$A105))</f>
        <v>0.05</v>
      </c>
      <c r="DE105" s="3">
        <f>IF(RTD("tos.rtd",,DE$83,"."&amp;$B$82&amp;$AS$82&amp;"C"&amp;$A105)="N/A",0,RTD("tos.rtd",,DE$83,"."&amp;$B$82&amp;$AS$82&amp;"C"&amp;$A105))</f>
        <v>16.100000000000001</v>
      </c>
      <c r="DF105" s="3">
        <f>IF(RTD("tos.rtd",,DF$83,"."&amp;$B$82&amp;$AS$82&amp;"P"&amp;$A105)="N/A",0,RTD("tos.rtd",,DF$83,"."&amp;$B$82&amp;$AS$82&amp;"P"&amp;$A105))</f>
        <v>0</v>
      </c>
      <c r="DG105" s="86">
        <f t="shared" si="494"/>
        <v>-15.75</v>
      </c>
      <c r="DH105" s="3">
        <f t="shared" si="462"/>
        <v>0</v>
      </c>
      <c r="DI105" s="3">
        <f t="shared" si="463"/>
        <v>0</v>
      </c>
      <c r="DJ105" s="3">
        <f t="shared" si="464"/>
        <v>0</v>
      </c>
      <c r="DK105" s="3">
        <f t="shared" si="465"/>
        <v>0</v>
      </c>
      <c r="DL105" s="3">
        <f t="shared" si="466"/>
        <v>0</v>
      </c>
      <c r="DM105" s="3">
        <f t="shared" si="467"/>
        <v>0</v>
      </c>
      <c r="DN105" s="64" t="str">
        <f t="shared" si="468"/>
        <v>UNKNOWN</v>
      </c>
      <c r="DO105" s="64" t="str">
        <f t="shared" si="469"/>
        <v>UNKNOWN</v>
      </c>
      <c r="DP105" s="3">
        <f t="shared" si="470"/>
        <v>0</v>
      </c>
      <c r="DQ105" s="3">
        <f t="shared" si="471"/>
        <v>0</v>
      </c>
      <c r="DR105" s="3" t="e">
        <f t="shared" ca="1" si="472"/>
        <v>#NUM!</v>
      </c>
      <c r="DS105" s="3">
        <f t="shared" si="473"/>
        <v>0</v>
      </c>
      <c r="DT105" s="3">
        <f t="shared" si="495"/>
        <v>0</v>
      </c>
      <c r="DU105" s="3">
        <f t="shared" si="496"/>
        <v>0</v>
      </c>
      <c r="DV105" s="3">
        <f t="shared" si="497"/>
        <v>-1288</v>
      </c>
      <c r="DW105" s="3">
        <f t="shared" si="498"/>
        <v>1361</v>
      </c>
      <c r="DX105" s="3" t="e">
        <f t="shared" ca="1" si="503"/>
        <v>#NUM!</v>
      </c>
      <c r="DY105" s="3" t="e">
        <f t="shared" ca="1" si="474"/>
        <v>#NUM!</v>
      </c>
      <c r="DZ105" s="3">
        <f t="shared" ca="1" si="475"/>
        <v>2.6410004295062111E-2</v>
      </c>
      <c r="EA105" s="3">
        <f t="shared" ca="1" si="476"/>
        <v>-2.2066604686366369E-3</v>
      </c>
      <c r="EB105" s="3">
        <f t="shared" ca="1" si="477"/>
        <v>2.2879149491266213E-3</v>
      </c>
      <c r="EC105" s="3">
        <f t="shared" ca="1" si="478"/>
        <v>-2.1552418476355226E-3</v>
      </c>
      <c r="EE105" s="59">
        <f t="shared" si="479"/>
        <v>0.25569999999999998</v>
      </c>
      <c r="EF105" s="59">
        <f t="shared" si="480"/>
        <v>0.16800000000000001</v>
      </c>
      <c r="EG105" s="59">
        <f t="shared" si="481"/>
        <v>0.1885</v>
      </c>
      <c r="EH105" s="59">
        <f t="shared" si="482"/>
        <v>0.19409999999999999</v>
      </c>
      <c r="EI105" s="59">
        <f t="shared" si="483"/>
        <v>0.18709999999999999</v>
      </c>
      <c r="EJ105" s="59">
        <f t="shared" si="484"/>
        <v>0.1988</v>
      </c>
      <c r="EL105" s="3" t="str">
        <f>RTD("tos.rtd",,EL$83,"."&amp;$B$82&amp;$AS$82&amp;"C"&amp;$A105)</f>
        <v>25.57%</v>
      </c>
      <c r="EM105" s="3" t="str">
        <f>RTD("tos.rtd",,EM$83,"."&amp;$B$82&amp;$AS$82&amp;"P"&amp;$A105)</f>
        <v>16.80%</v>
      </c>
      <c r="EN105" s="3" t="str">
        <f>RTD("tos.rtd",,EN$83,"."&amp;$C$82&amp;$AU$82&amp;"C"&amp;$A105)</f>
        <v>18.85%</v>
      </c>
      <c r="EO105" s="3" t="str">
        <f>RTD("tos.rtd",,EO$83,"."&amp;$C$82&amp;$AU$82&amp;"P"&amp;$A105)</f>
        <v>19.41%</v>
      </c>
      <c r="EP105" s="3" t="str">
        <f>RTD("tos.rtd",,EP$83,"."&amp;$D$82&amp;$AW$82&amp;"C"&amp;$A105)</f>
        <v>18.71%</v>
      </c>
      <c r="EQ105" s="3" t="str">
        <f>RTD("tos.rtd",,EQ$83,"."&amp;$D$82&amp;$AW$82&amp;"P"&amp;$A105)</f>
        <v>19.88%</v>
      </c>
      <c r="ET105" s="64" t="str">
        <f t="shared" ca="1" si="485"/>
        <v>5670,00.00</v>
      </c>
      <c r="EU105" s="67">
        <v>564.14</v>
      </c>
      <c r="EV105" s="67" t="s">
        <v>859</v>
      </c>
      <c r="EW105" s="67">
        <v>486.12</v>
      </c>
      <c r="EX105" s="67" t="s">
        <v>860</v>
      </c>
      <c r="EY105" s="67">
        <v>5657.25</v>
      </c>
      <c r="EZ105" s="67" t="s">
        <v>861</v>
      </c>
      <c r="FA105" s="67">
        <v>19975.25</v>
      </c>
      <c r="FB105" s="67" t="s">
        <v>862</v>
      </c>
      <c r="FC105" s="67" t="s">
        <v>863</v>
      </c>
      <c r="FD105" s="67" t="s">
        <v>864</v>
      </c>
      <c r="FE105" s="68" t="s">
        <v>865</v>
      </c>
      <c r="FF105" s="68" t="s">
        <v>866</v>
      </c>
    </row>
    <row r="106" spans="1:162" s="63" customFormat="1" ht="12" customHeight="1" thickBot="1" x14ac:dyDescent="0.25">
      <c r="A106" s="2">
        <f t="shared" si="499"/>
        <v>5660</v>
      </c>
      <c r="B106" s="3">
        <f t="shared" si="445"/>
        <v>4232</v>
      </c>
      <c r="C106" s="3">
        <f t="shared" si="446"/>
        <v>630</v>
      </c>
      <c r="D106" s="3">
        <f t="shared" si="447"/>
        <v>732</v>
      </c>
      <c r="E106" s="3">
        <f t="shared" si="510"/>
        <v>5594</v>
      </c>
      <c r="F106" s="4">
        <f t="shared" si="513"/>
        <v>5683.8913072154073</v>
      </c>
      <c r="G106" s="4">
        <f t="shared" si="511"/>
        <v>564.40226882996967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-1076</v>
      </c>
      <c r="AN106" s="20">
        <v>3383</v>
      </c>
      <c r="AO106" s="20">
        <v>5660</v>
      </c>
      <c r="AP106" s="20">
        <v>17588</v>
      </c>
      <c r="AQ106" s="20">
        <v>-47949</v>
      </c>
      <c r="AR106" s="20"/>
      <c r="AS106" s="54">
        <f>IF(RTD("tos.rtd",,AS$83,"."&amp;$B$82&amp;$AS$82&amp;"C"&amp;$A106)="N/A",0,RTD("tos.rtd",,AS$83,"."&amp;$B$82&amp;$AS$82&amp;"C"&amp;$A106))</f>
        <v>4034</v>
      </c>
      <c r="AT106" s="3">
        <f>-IF(RTD("tos.rtd",,AT$83,"."&amp;$B$82&amp;$AS$82&amp;"P"&amp;$A106)="N/A",0,RTD("tos.rtd",,AT$83,"."&amp;$B$82&amp;$AS$82&amp;"P"&amp;$A106))</f>
        <v>-198</v>
      </c>
      <c r="AU106" s="54">
        <f>IF(RTD("tos.rtd",,AU$83,"."&amp;$C$82&amp;$AU$82&amp;"C"&amp;$A106)="N/A",0,RTD("tos.rtd",,AU$83,"."&amp;$C$82&amp;$AU$82&amp;"C"&amp;$A106))</f>
        <v>587</v>
      </c>
      <c r="AV106" s="3">
        <f>-IF(RTD("tos.rtd",,AV$83,"."&amp;$C$82&amp;$AU$82&amp;"P"&amp;$A106)="N/A",0,RTD("tos.rtd",,AV$83,"."&amp;$C$82&amp;$AU$82&amp;"P"&amp;$A106))</f>
        <v>-43</v>
      </c>
      <c r="AW106" s="54">
        <f>IF(RTD("tos.rtd",,AW$83,"."&amp;$D$82&amp;$AW$82&amp;"C"&amp;$A106)="N/A",0,RTD("tos.rtd",,AW$83,"."&amp;$D$82&amp;$AW$82&amp;"C"&amp;$A106))</f>
        <v>445</v>
      </c>
      <c r="AX106" s="3">
        <f>-IF(RTD("tos.rtd",,AX$83,"."&amp;$D$82&amp;$AW$82&amp;"P"&amp;$A106)="N/A",0,RTD("tos.rtd",,AX$83,"."&amp;$D$82&amp;$AW$82&amp;"P"&amp;$A106))</f>
        <v>-287</v>
      </c>
      <c r="AY106" s="79">
        <f t="shared" si="512"/>
        <v>4538</v>
      </c>
      <c r="AZ106" s="8">
        <f t="shared" si="449"/>
        <v>5660</v>
      </c>
      <c r="BA106" s="54">
        <f>IF(RTD("tos.rtd",,BA$83,"."&amp;$B$82&amp;$AS$82&amp;"C"&amp;$A106)="N/A",0,RTD("tos.rtd",,BA$83,"."&amp;$B$82&amp;$AS$82&amp;"C"&amp;$A106))</f>
        <v>17588</v>
      </c>
      <c r="BB106" s="3">
        <f>-IF(RTD("tos.rtd",,BB$83,"."&amp;$B$82&amp;$AS$82&amp;"P"&amp;$A106)="N/A",0,RTD("tos.rtd",,BB$83,"."&amp;$B$82&amp;$AS$82&amp;"P"&amp;$A106))</f>
        <v>-47949</v>
      </c>
      <c r="BC106" s="54">
        <f>IF(RTD("tos.rtd",,BC$83,"."&amp;$C$82&amp;$AU$82&amp;"C"&amp;$A106)="N/A",0,RTD("tos.rtd",,BC$83,"."&amp;$C$82&amp;$AU$82&amp;"C"&amp;$A106))</f>
        <v>334</v>
      </c>
      <c r="BD106" s="3">
        <f>-IF(RTD("tos.rtd",,BD$83,"."&amp;$C$82&amp;$AU$82&amp;"P"&amp;$A106)="N/A",0,RTD("tos.rtd",,BD$83,"."&amp;$C$82&amp;$AU$82&amp;"P"&amp;$A106))</f>
        <v>-456</v>
      </c>
      <c r="BE106" s="54">
        <f>IF(RTD("tos.rtd",,BE$83,"."&amp;$D$82&amp;$AW$82&amp;"C"&amp;$A106)="N/A",0,RTD("tos.rtd",,BE$83,"."&amp;$D$82&amp;$AW$82&amp;"C"&amp;$A106))</f>
        <v>28</v>
      </c>
      <c r="BF106" s="3">
        <f>-IF(RTD("tos.rtd",,BF$83,"."&amp;$D$82&amp;$AW$82&amp;"P"&amp;$A106)="N/A",0,RTD("tos.rtd",,BF$83,"."&amp;$D$82&amp;$AW$82&amp;"P"&amp;$A106))</f>
        <v>-61</v>
      </c>
      <c r="BG106" s="3" t="e">
        <f ca="1">+Hoja2!Y107</f>
        <v>#N/A</v>
      </c>
      <c r="BH106" s="55" t="e">
        <f t="shared" ca="1" si="488"/>
        <v>#N/A</v>
      </c>
      <c r="BI106" s="32" t="e">
        <f t="shared" ca="1" si="504"/>
        <v>#N/A</v>
      </c>
      <c r="BJ106" s="3" t="e">
        <f ca="1">IF($BP$1=1,DX106,IF(RTD("tos.rtd",,BJ$83,"."&amp;$B$82&amp;$AS$82&amp;"C"&amp;$A106)="N/A",0,RTD("tos.rtd",,BJ$83,"."&amp;$B$82&amp;$AS$82&amp;"C"&amp;$A106)))</f>
        <v>#NUM!</v>
      </c>
      <c r="BK106" s="3" t="e">
        <f ca="1">IF($BP$1=1,DY106,-IF(RTD("tos.rtd",,BK$83,"."&amp;$B$82&amp;$AS$82&amp;"P"&amp;$A106)="N/A",0,RTD("tos.rtd",,BK$83,"."&amp;$B$82&amp;$AS$82&amp;"P"&amp;$A106)))</f>
        <v>#NUM!</v>
      </c>
      <c r="BL106" s="3">
        <f ca="1">IF($BP$1=1,DZ106,IF(RTD("tos.rtd",,BL$83,"."&amp;$C$82&amp;$AU$82&amp;"C"&amp;$A106)="N/A",0,RTD("tos.rtd",,BL$83,"."&amp;$C$82&amp;$AU$82&amp;"C"&amp;$A106)))</f>
        <v>2.5845857654086292E-2</v>
      </c>
      <c r="BM106" s="3">
        <f ca="1">IF($BP$1=1,EA106,-IF(RTD("tos.rtd",,BM$83,"."&amp;$C$82&amp;$AU$82&amp;"P"&amp;$A106)="N/A",0,RTD("tos.rtd",,BM$83,"."&amp;$C$82&amp;$AU$82&amp;"P"&amp;$A106)))</f>
        <v>-2.1602399013937066E-3</v>
      </c>
      <c r="BN106" s="3">
        <f ca="1">IF($BP$1=1,EB106,IF(RTD("tos.rtd",,BN$83,"."&amp;$D$82&amp;$AW$82&amp;"C"&amp;$A106)="N/A",0,RTD("tos.rtd",,BN$83,"."&amp;$D$82&amp;$AW$82&amp;"C"&amp;$A106)))</f>
        <v>2.2408459181109232E-3</v>
      </c>
      <c r="BO106" s="3">
        <f ca="1">IF($BP$1=1,EC106,-IF(RTD("tos.rtd",,BO$83,"."&amp;$D$82&amp;$AW$82&amp;"P"&amp;$A106)="N/A",0,RTD("tos.rtd",,BO$83,"."&amp;$D$82&amp;$AW$82&amp;"P"&amp;$A106)))</f>
        <v>-2.1153723111538543E-3</v>
      </c>
      <c r="BQ106" s="3" t="e">
        <f t="shared" ca="1" si="450"/>
        <v>#NUM!</v>
      </c>
      <c r="BR106" s="3" t="e">
        <f t="shared" ca="1" si="489"/>
        <v>#NUM!</v>
      </c>
      <c r="BS106" s="3">
        <f t="shared" ca="1" si="451"/>
        <v>3605026.7845949642</v>
      </c>
      <c r="BT106" s="3" t="str">
        <f t="shared" ca="1" si="489"/>
        <v/>
      </c>
      <c r="BU106" s="3">
        <f t="shared" ca="1" si="452"/>
        <v>93257.373793645762</v>
      </c>
      <c r="BV106" s="3" t="str">
        <f t="shared" ca="1" si="489"/>
        <v/>
      </c>
      <c r="BX106" s="3" t="e">
        <f t="shared" ca="1" si="453"/>
        <v>#NUM!</v>
      </c>
      <c r="BY106" s="3" t="e">
        <f t="shared" ca="1" si="501"/>
        <v>#NUM!</v>
      </c>
      <c r="BZ106" s="3">
        <f t="shared" ca="1" si="454"/>
        <v>1828366.0328829058</v>
      </c>
      <c r="CA106" s="3" t="str">
        <f t="shared" ca="1" si="501"/>
        <v/>
      </c>
      <c r="CB106" s="3">
        <f t="shared" ca="1" si="455"/>
        <v>-15849.700301173561</v>
      </c>
      <c r="CC106" s="3" t="str">
        <f t="shared" ca="1" si="501"/>
        <v>Cruce -</v>
      </c>
      <c r="CD106" s="3">
        <f>IF(RTD("tos.rtd",,CD$83,"."&amp;$B$82&amp;$AS$82&amp;"C"&amp;$A106)="N/A",0,RTD("tos.rtd",,CD$83,"."&amp;$B$82&amp;$AS$82&amp;"C"&amp;$A106))</f>
        <v>0.98</v>
      </c>
      <c r="CE106" s="3">
        <f>-IF(RTD("tos.rtd",,CE$83,"."&amp;$B$82&amp;$AS$82&amp;"P"&amp;$A106)="N/A",0,RTD("tos.rtd",,CE$83,"."&amp;$B$82&amp;$AS$82&amp;"P"&amp;$A106))</f>
        <v>0.01</v>
      </c>
      <c r="CF106" s="3">
        <f>IF(RTD("tos.rtd",,CF$83,"."&amp;$C$82&amp;$AU$82&amp;"C"&amp;$A106)="N/A",0,RTD("tos.rtd",,CF$83,"."&amp;$C$82&amp;$AU$82&amp;"C"&amp;$A106))</f>
        <v>0.59</v>
      </c>
      <c r="CG106" s="3">
        <f>-IF(RTD("tos.rtd",,CG$83,"."&amp;$C$82&amp;$AU$82&amp;"P"&amp;$A106)="N/A",0,RTD("tos.rtd",,CG$83,"."&amp;$C$82&amp;$AU$82&amp;"P"&amp;$A106))</f>
        <v>0.41</v>
      </c>
      <c r="CH106" s="3">
        <f>IF(RTD("tos.rtd",,CH$83,"."&amp;$D$82&amp;$AW$82&amp;"C"&amp;$A106)="N/A",0,RTD("tos.rtd",,CH$83,"."&amp;$D$82&amp;$AW$82&amp;"C"&amp;$A106))</f>
        <v>0.57999999999999996</v>
      </c>
      <c r="CI106" s="3">
        <f>-IF(RTD("tos.rtd",,CI$83,"."&amp;$D$82&amp;$AW$82&amp;"P"&amp;$A106)="N/A",0,RTD("tos.rtd",,CI$83,"."&amp;$D$82&amp;$AW$82&amp;"P"&amp;$A106))</f>
        <v>0.43</v>
      </c>
      <c r="CK106" s="3">
        <f t="shared" si="490"/>
        <v>395134</v>
      </c>
      <c r="CL106" s="3"/>
      <c r="CM106" s="3">
        <f t="shared" si="491"/>
        <v>32870</v>
      </c>
      <c r="CN106" s="3"/>
      <c r="CO106" s="3">
        <f t="shared" si="492"/>
        <v>13468.999999999996</v>
      </c>
      <c r="CP106" s="3">
        <f t="shared" si="456"/>
        <v>441473</v>
      </c>
      <c r="CQ106" s="3">
        <f t="shared" si="457"/>
        <v>-30361</v>
      </c>
      <c r="CR106" s="3"/>
      <c r="CS106" s="3">
        <f t="shared" si="458"/>
        <v>-122</v>
      </c>
      <c r="CT106" s="3"/>
      <c r="CU106" s="3">
        <f t="shared" si="459"/>
        <v>-33</v>
      </c>
      <c r="CV106" s="3"/>
      <c r="CW106" s="3" t="e">
        <f t="shared" ca="1" si="460"/>
        <v>#NUM!</v>
      </c>
      <c r="CY106" s="3" t="e">
        <f t="shared" ca="1" si="461"/>
        <v>#NUM!</v>
      </c>
      <c r="CZ106" s="70" t="e">
        <f t="shared" ca="1" si="502"/>
        <v>#NUM!</v>
      </c>
      <c r="DA106" s="3">
        <f>IF(RTD("tos.rtd",,DA$83,"."&amp;$B$82&amp;$AS$82&amp;"C"&amp;$A106)="N/A",0,RTD("tos.rtd",,DA$83,"."&amp;$B$82&amp;$AS$82&amp;"C"&amp;$A106))</f>
        <v>25.7</v>
      </c>
      <c r="DB106" s="3">
        <f>IF(RTD("tos.rtd",,DB$83,"."&amp;$B$82&amp;$AS$82&amp;"P"&amp;$A106)="N/A",0,RTD("tos.rtd",,DB$83,"."&amp;$B$82&amp;$AS$82&amp;"P"&amp;$A106))</f>
        <v>0.03</v>
      </c>
      <c r="DC106" s="3">
        <f>IF(RTD("tos.rtd",,DC$83,"."&amp;$B$82&amp;$AS$82&amp;"C"&amp;$A106)="N/A",0,RTD("tos.rtd",,DC$83,"."&amp;$B$82&amp;$AS$82&amp;"C"&amp;$A106))</f>
        <v>28.1</v>
      </c>
      <c r="DD106" s="3">
        <f>IF(RTD("tos.rtd",,DD$83,"."&amp;$B$82&amp;$AS$82&amp;"P"&amp;$A106)="N/A",0,RTD("tos.rtd",,DD$83,"."&amp;$B$82&amp;$AS$82&amp;"P"&amp;$A106))</f>
        <v>0.05</v>
      </c>
      <c r="DE106" s="3">
        <f>IF(RTD("tos.rtd",,DE$83,"."&amp;$B$82&amp;$AS$82&amp;"C"&amp;$A106)="N/A",0,RTD("tos.rtd",,DE$83,"."&amp;$B$82&amp;$AS$82&amp;"C"&amp;$A106))</f>
        <v>25.5</v>
      </c>
      <c r="DF106" s="3">
        <f>IF(RTD("tos.rtd",,DF$83,"."&amp;$B$82&amp;$AS$82&amp;"P"&amp;$A106)="N/A",0,RTD("tos.rtd",,DF$83,"."&amp;$B$82&amp;$AS$82&amp;"P"&amp;$A106))</f>
        <v>0</v>
      </c>
      <c r="DG106" s="86">
        <f t="shared" si="494"/>
        <v>-25.75</v>
      </c>
      <c r="DH106" s="3">
        <f t="shared" si="462"/>
        <v>0</v>
      </c>
      <c r="DI106" s="3">
        <f t="shared" si="463"/>
        <v>0</v>
      </c>
      <c r="DJ106" s="3">
        <f t="shared" si="464"/>
        <v>0</v>
      </c>
      <c r="DK106" s="3">
        <f t="shared" si="465"/>
        <v>0</v>
      </c>
      <c r="DL106" s="3">
        <f t="shared" si="466"/>
        <v>0</v>
      </c>
      <c r="DM106" s="3">
        <f t="shared" si="467"/>
        <v>0</v>
      </c>
      <c r="DN106" s="64" t="str">
        <f t="shared" si="468"/>
        <v>UNKNOWN</v>
      </c>
      <c r="DO106" s="64" t="str">
        <f t="shared" si="469"/>
        <v>UNKNOWN</v>
      </c>
      <c r="DP106" s="3">
        <f t="shared" si="470"/>
        <v>0</v>
      </c>
      <c r="DQ106" s="3">
        <f t="shared" si="471"/>
        <v>0</v>
      </c>
      <c r="DR106" s="3" t="e">
        <f t="shared" ca="1" si="472"/>
        <v>#NUM!</v>
      </c>
      <c r="DS106" s="3">
        <f t="shared" si="473"/>
        <v>0</v>
      </c>
      <c r="DT106" s="3">
        <f>BA106-VLOOKUP(AZ106,$AO$85:$AQ$130,2,FALSE)</f>
        <v>0</v>
      </c>
      <c r="DU106" s="3">
        <f t="shared" si="496"/>
        <v>0</v>
      </c>
      <c r="DV106" s="3">
        <f t="shared" si="497"/>
        <v>-1076</v>
      </c>
      <c r="DW106" s="3">
        <f t="shared" si="498"/>
        <v>3383</v>
      </c>
      <c r="DX106" s="3" t="e">
        <f t="shared" ca="1" si="503"/>
        <v>#NUM!</v>
      </c>
      <c r="DY106" s="3" t="e">
        <f t="shared" ca="1" si="474"/>
        <v>#NUM!</v>
      </c>
      <c r="DZ106" s="3">
        <f t="shared" ca="1" si="475"/>
        <v>2.5845857654086292E-2</v>
      </c>
      <c r="EA106" s="3">
        <f t="shared" ca="1" si="476"/>
        <v>-2.1602399013937066E-3</v>
      </c>
      <c r="EB106" s="3">
        <f t="shared" ca="1" si="477"/>
        <v>2.2408459181109232E-3</v>
      </c>
      <c r="EC106" s="3">
        <f t="shared" ca="1" si="478"/>
        <v>-2.1153723111538543E-3</v>
      </c>
      <c r="EE106" s="59">
        <f t="shared" si="479"/>
        <v>0.30780000000000002</v>
      </c>
      <c r="EF106" s="59">
        <f t="shared" si="480"/>
        <v>0.25340000000000001</v>
      </c>
      <c r="EG106" s="59">
        <f t="shared" si="481"/>
        <v>0.1908</v>
      </c>
      <c r="EH106" s="59">
        <f t="shared" si="482"/>
        <v>0.19650000000000001</v>
      </c>
      <c r="EI106" s="59">
        <f t="shared" si="483"/>
        <v>0.18920000000000001</v>
      </c>
      <c r="EJ106" s="59">
        <f t="shared" si="484"/>
        <v>0.20080000000000001</v>
      </c>
      <c r="EL106" s="3" t="str">
        <f>RTD("tos.rtd",,EL$83,"."&amp;$B$82&amp;$AS$82&amp;"C"&amp;$A106)</f>
        <v>30.78%</v>
      </c>
      <c r="EM106" s="3" t="str">
        <f>RTD("tos.rtd",,EM$83,"."&amp;$B$82&amp;$AS$82&amp;"P"&amp;$A106)</f>
        <v>25.34%</v>
      </c>
      <c r="EN106" s="3" t="str">
        <f>RTD("tos.rtd",,EN$83,"."&amp;$C$82&amp;$AU$82&amp;"C"&amp;$A106)</f>
        <v>19.08%</v>
      </c>
      <c r="EO106" s="3" t="str">
        <f>RTD("tos.rtd",,EO$83,"."&amp;$C$82&amp;$AU$82&amp;"P"&amp;$A106)</f>
        <v>19.65%</v>
      </c>
      <c r="EP106" s="3" t="str">
        <f>RTD("tos.rtd",,EP$83,"."&amp;$D$82&amp;$AW$82&amp;"C"&amp;$A106)</f>
        <v>18.92%</v>
      </c>
      <c r="EQ106" s="3" t="str">
        <f>RTD("tos.rtd",,EQ$83,"."&amp;$D$82&amp;$AW$82&amp;"P"&amp;$A106)</f>
        <v>20.08%</v>
      </c>
      <c r="ET106" s="64" t="str">
        <f t="shared" ca="1" si="485"/>
        <v>5660,00.00</v>
      </c>
      <c r="EU106" s="67">
        <v>563.9</v>
      </c>
      <c r="EV106" s="67" t="s">
        <v>867</v>
      </c>
      <c r="EW106" s="67">
        <v>485.82</v>
      </c>
      <c r="EX106" s="67" t="s">
        <v>868</v>
      </c>
      <c r="EY106" s="67">
        <v>5654.5</v>
      </c>
      <c r="EZ106" s="67" t="s">
        <v>869</v>
      </c>
      <c r="FA106" s="67">
        <v>19963.25</v>
      </c>
      <c r="FB106" s="67" t="s">
        <v>870</v>
      </c>
      <c r="FC106" s="67" t="s">
        <v>871</v>
      </c>
      <c r="FD106" s="67" t="s">
        <v>872</v>
      </c>
      <c r="FE106" s="68" t="s">
        <v>873</v>
      </c>
      <c r="FF106" s="68" t="s">
        <v>874</v>
      </c>
    </row>
    <row r="107" spans="1:162" s="63" customFormat="1" ht="12" customHeight="1" thickBot="1" x14ac:dyDescent="0.25">
      <c r="A107" s="2">
        <f t="shared" si="499"/>
        <v>5650</v>
      </c>
      <c r="B107" s="3">
        <f t="shared" si="445"/>
        <v>13744</v>
      </c>
      <c r="C107" s="3">
        <f t="shared" si="446"/>
        <v>2097</v>
      </c>
      <c r="D107" s="3">
        <f t="shared" si="447"/>
        <v>1075</v>
      </c>
      <c r="E107" s="3">
        <f t="shared" si="510"/>
        <v>16916</v>
      </c>
      <c r="F107" s="4">
        <f t="shared" si="513"/>
        <v>5673.8490964252742</v>
      </c>
      <c r="G107" s="4">
        <f t="shared" si="511"/>
        <v>563.40509167655989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-5620</v>
      </c>
      <c r="AN107" s="20">
        <v>5879</v>
      </c>
      <c r="AO107" s="20">
        <v>5650</v>
      </c>
      <c r="AP107" s="20">
        <v>22110</v>
      </c>
      <c r="AQ107" s="20">
        <v>-58841</v>
      </c>
      <c r="AR107" s="20"/>
      <c r="AS107" s="54">
        <f>IF(RTD("tos.rtd",,AS$83,"."&amp;$B$82&amp;$AS$82&amp;"C"&amp;$A107)="N/A",0,RTD("tos.rtd",,AS$83,"."&amp;$B$82&amp;$AS$82&amp;"C"&amp;$A107))</f>
        <v>11175</v>
      </c>
      <c r="AT107" s="3">
        <f>-IF(RTD("tos.rtd",,AT$83,"."&amp;$B$82&amp;$AS$82&amp;"P"&amp;$A107)="N/A",0,RTD("tos.rtd",,AT$83,"."&amp;$B$82&amp;$AS$82&amp;"P"&amp;$A107))</f>
        <v>-2569</v>
      </c>
      <c r="AU107" s="54">
        <f>IF(RTD("tos.rtd",,AU$83,"."&amp;$C$82&amp;$AU$82&amp;"C"&amp;$A107)="N/A",0,RTD("tos.rtd",,AU$83,"."&amp;$C$82&amp;$AU$82&amp;"C"&amp;$A107))</f>
        <v>1638</v>
      </c>
      <c r="AV107" s="3">
        <f>-IF(RTD("tos.rtd",,AV$83,"."&amp;$C$82&amp;$AU$82&amp;"P"&amp;$A107)="N/A",0,RTD("tos.rtd",,AV$83,"."&amp;$C$82&amp;$AU$82&amp;"P"&amp;$A107))</f>
        <v>-459</v>
      </c>
      <c r="AW107" s="54">
        <f>IF(RTD("tos.rtd",,AW$83,"."&amp;$D$82&amp;$AW$82&amp;"C"&amp;$A107)="N/A",0,RTD("tos.rtd",,AW$83,"."&amp;$D$82&amp;$AW$82&amp;"C"&amp;$A107))</f>
        <v>666</v>
      </c>
      <c r="AX107" s="3">
        <f>-IF(RTD("tos.rtd",,AX$83,"."&amp;$D$82&amp;$AW$82&amp;"P"&amp;$A107)="N/A",0,RTD("tos.rtd",,AX$83,"."&amp;$D$82&amp;$AW$82&amp;"P"&amp;$A107))</f>
        <v>-409</v>
      </c>
      <c r="AY107" s="79">
        <f t="shared" si="512"/>
        <v>10042</v>
      </c>
      <c r="AZ107" s="8">
        <f t="shared" si="449"/>
        <v>5650</v>
      </c>
      <c r="BA107" s="54">
        <f>IF(RTD("tos.rtd",,BA$83,"."&amp;$B$82&amp;$AS$82&amp;"C"&amp;$A107)="N/A",0,RTD("tos.rtd",,BA$83,"."&amp;$B$82&amp;$AS$82&amp;"C"&amp;$A107))</f>
        <v>22110</v>
      </c>
      <c r="BB107" s="3">
        <f>-IF(RTD("tos.rtd",,BB$83,"."&amp;$B$82&amp;$AS$82&amp;"P"&amp;$A107)="N/A",0,RTD("tos.rtd",,BB$83,"."&amp;$B$82&amp;$AS$82&amp;"P"&amp;$A107))</f>
        <v>-58841</v>
      </c>
      <c r="BC107" s="54">
        <f>IF(RTD("tos.rtd",,BC$83,"."&amp;$C$82&amp;$AU$82&amp;"C"&amp;$A107)="N/A",0,RTD("tos.rtd",,BC$83,"."&amp;$C$82&amp;$AU$82&amp;"C"&amp;$A107))</f>
        <v>1782</v>
      </c>
      <c r="BD107" s="3">
        <f>-IF(RTD("tos.rtd",,BD$83,"."&amp;$C$82&amp;$AU$82&amp;"P"&amp;$A107)="N/A",0,RTD("tos.rtd",,BD$83,"."&amp;$C$82&amp;$AU$82&amp;"P"&amp;$A107))</f>
        <v>-1671</v>
      </c>
      <c r="BE107" s="54">
        <f>IF(RTD("tos.rtd",,BE$83,"."&amp;$D$82&amp;$AW$82&amp;"C"&amp;$A107)="N/A",0,RTD("tos.rtd",,BE$83,"."&amp;$D$82&amp;$AW$82&amp;"C"&amp;$A107))</f>
        <v>185</v>
      </c>
      <c r="BF107" s="3">
        <f>-IF(RTD("tos.rtd",,BF$83,"."&amp;$D$82&amp;$AW$82&amp;"P"&amp;$A107)="N/A",0,RTD("tos.rtd",,BF$83,"."&amp;$D$82&amp;$AW$82&amp;"P"&amp;$A107))</f>
        <v>-555</v>
      </c>
      <c r="BG107" s="3" t="e">
        <f ca="1">+Hoja2!Y108</f>
        <v>#N/A</v>
      </c>
      <c r="BH107" s="55" t="e">
        <f t="shared" ca="1" si="488"/>
        <v>#N/A</v>
      </c>
      <c r="BI107" s="32" t="e">
        <f t="shared" ca="1" si="504"/>
        <v>#N/A</v>
      </c>
      <c r="BJ107" s="3" t="e">
        <f ca="1">IF($BP$1=1,DX107,IF(RTD("tos.rtd",,BJ$83,"."&amp;$B$82&amp;$AS$82&amp;"C"&amp;$A107)="N/A",0,RTD("tos.rtd",,BJ$83,"."&amp;$B$82&amp;$AS$82&amp;"C"&amp;$A107)))</f>
        <v>#NUM!</v>
      </c>
      <c r="BK107" s="3" t="e">
        <f ca="1">IF($BP$1=1,DY107,-IF(RTD("tos.rtd",,BK$83,"."&amp;$B$82&amp;$AS$82&amp;"P"&amp;$A107)="N/A",0,RTD("tos.rtd",,BK$83,"."&amp;$B$82&amp;$AS$82&amp;"P"&amp;$A107)))</f>
        <v>#NUM!</v>
      </c>
      <c r="BL107" s="3">
        <f ca="1">IF($BP$1=1,DZ107,IF(RTD("tos.rtd",,BL$83,"."&amp;$C$82&amp;$AU$82&amp;"C"&amp;$A107)="N/A",0,RTD("tos.rtd",,BL$83,"."&amp;$C$82&amp;$AU$82&amp;"C"&amp;$A107)))</f>
        <v>2.5202276836855535E-2</v>
      </c>
      <c r="BM107" s="3">
        <f ca="1">IF($BP$1=1,EA107,-IF(RTD("tos.rtd",,BM$83,"."&amp;$C$82&amp;$AU$82&amp;"P"&amp;$A107)="N/A",0,RTD("tos.rtd",,BM$83,"."&amp;$C$82&amp;$AU$82&amp;"P"&amp;$A107)))</f>
        <v>-2.1095646515984275E-3</v>
      </c>
      <c r="BN107" s="3">
        <f ca="1">IF($BP$1=1,EB107,IF(RTD("tos.rtd",,BN$83,"."&amp;$D$82&amp;$AW$82&amp;"C"&amp;$A107)="N/A",0,RTD("tos.rtd",,BN$83,"."&amp;$D$82&amp;$AW$82&amp;"C"&amp;$A107)))</f>
        <v>2.1908708308659244E-3</v>
      </c>
      <c r="BO107" s="3">
        <f ca="1">IF($BP$1=1,EC107,-IF(RTD("tos.rtd",,BO$83,"."&amp;$D$82&amp;$AW$82&amp;"P"&amp;$A107)="N/A",0,RTD("tos.rtd",,BO$83,"."&amp;$D$82&amp;$AW$82&amp;"P"&amp;$A107)))</f>
        <v>-2.0710659192501417E-3</v>
      </c>
      <c r="BQ107" s="3" t="e">
        <f t="shared" ca="1" si="450"/>
        <v>#NUM!</v>
      </c>
      <c r="BR107" s="3" t="e">
        <f t="shared" ca="1" si="489"/>
        <v>#NUM!</v>
      </c>
      <c r="BS107" s="3">
        <f t="shared" ca="1" si="451"/>
        <v>9638117.2849582918</v>
      </c>
      <c r="BT107" s="3" t="str">
        <f t="shared" ca="1" si="489"/>
        <v/>
      </c>
      <c r="BU107" s="3">
        <f t="shared" ca="1" si="452"/>
        <v>146331.02492145239</v>
      </c>
      <c r="BV107" s="3" t="str">
        <f t="shared" ca="1" si="489"/>
        <v/>
      </c>
      <c r="BX107" s="3" t="e">
        <f t="shared" ca="1" si="453"/>
        <v>#NUM!</v>
      </c>
      <c r="BY107" s="3" t="e">
        <f t="shared" ca="1" si="501"/>
        <v>#NUM!</v>
      </c>
      <c r="BZ107" s="3">
        <f t="shared" ca="1" si="454"/>
        <v>9894493.275623329</v>
      </c>
      <c r="CA107" s="3" t="str">
        <f t="shared" ca="1" si="501"/>
        <v/>
      </c>
      <c r="CB107" s="3">
        <f t="shared" ca="1" si="455"/>
        <v>-177908.11566663004</v>
      </c>
      <c r="CC107" s="3" t="str">
        <f t="shared" ca="1" si="501"/>
        <v/>
      </c>
      <c r="CD107" s="3">
        <f>IF(RTD("tos.rtd",,CD$83,"."&amp;$B$82&amp;$AS$82&amp;"C"&amp;$A107)="N/A",0,RTD("tos.rtd",,CD$83,"."&amp;$B$82&amp;$AS$82&amp;"C"&amp;$A107))</f>
        <v>0.95</v>
      </c>
      <c r="CE107" s="3">
        <f>-IF(RTD("tos.rtd",,CE$83,"."&amp;$B$82&amp;$AS$82&amp;"P"&amp;$A107)="N/A",0,RTD("tos.rtd",,CE$83,"."&amp;$B$82&amp;$AS$82&amp;"P"&amp;$A107))</f>
        <v>0.01</v>
      </c>
      <c r="CF107" s="3">
        <f>IF(RTD("tos.rtd",,CF$83,"."&amp;$C$82&amp;$AU$82&amp;"C"&amp;$A107)="N/A",0,RTD("tos.rtd",,CF$83,"."&amp;$C$82&amp;$AU$82&amp;"C"&amp;$A107))</f>
        <v>0.61</v>
      </c>
      <c r="CG107" s="3">
        <f>-IF(RTD("tos.rtd",,CG$83,"."&amp;$C$82&amp;$AU$82&amp;"P"&amp;$A107)="N/A",0,RTD("tos.rtd",,CG$83,"."&amp;$C$82&amp;$AU$82&amp;"P"&amp;$A107))</f>
        <v>0.39</v>
      </c>
      <c r="CH107" s="3">
        <f>IF(RTD("tos.rtd",,CH$83,"."&amp;$D$82&amp;$AW$82&amp;"C"&amp;$A107)="N/A",0,RTD("tos.rtd",,CH$83,"."&amp;$D$82&amp;$AW$82&amp;"C"&amp;$A107))</f>
        <v>0.59</v>
      </c>
      <c r="CI107" s="3">
        <f>-IF(RTD("tos.rtd",,CI$83,"."&amp;$D$82&amp;$AW$82&amp;"P"&amp;$A107)="N/A",0,RTD("tos.rtd",,CI$83,"."&amp;$D$82&amp;$AW$82&amp;"P"&amp;$A107))</f>
        <v>0.41</v>
      </c>
      <c r="CK107" s="3">
        <f t="shared" si="490"/>
        <v>1059056</v>
      </c>
      <c r="CL107" s="3"/>
      <c r="CM107" s="3">
        <f t="shared" si="491"/>
        <v>82017</v>
      </c>
      <c r="CN107" s="3"/>
      <c r="CO107" s="3">
        <f t="shared" si="492"/>
        <v>22525</v>
      </c>
      <c r="CP107" s="3">
        <f t="shared" si="456"/>
        <v>1163598</v>
      </c>
      <c r="CQ107" s="3">
        <f t="shared" si="457"/>
        <v>-36731</v>
      </c>
      <c r="CR107" s="3"/>
      <c r="CS107" s="3">
        <f t="shared" si="458"/>
        <v>111</v>
      </c>
      <c r="CT107" s="3"/>
      <c r="CU107" s="3">
        <f t="shared" si="459"/>
        <v>-370</v>
      </c>
      <c r="CV107" s="3"/>
      <c r="CW107" s="3" t="e">
        <f t="shared" ca="1" si="460"/>
        <v>#NUM!</v>
      </c>
      <c r="CY107" s="3" t="e">
        <f t="shared" ca="1" si="461"/>
        <v>#NUM!</v>
      </c>
      <c r="CZ107" s="70" t="e">
        <f t="shared" ca="1" si="502"/>
        <v>#NUM!</v>
      </c>
      <c r="DA107" s="3">
        <f>IF(RTD("tos.rtd",,DA$83,"."&amp;$B$82&amp;$AS$82&amp;"C"&amp;$A107)="N/A",0,RTD("tos.rtd",,DA$83,"."&amp;$B$82&amp;$AS$82&amp;"C"&amp;$A107))</f>
        <v>37.700000000000003</v>
      </c>
      <c r="DB107" s="3">
        <f>IF(RTD("tos.rtd",,DB$83,"."&amp;$B$82&amp;$AS$82&amp;"P"&amp;$A107)="N/A",0,RTD("tos.rtd",,DB$83,"."&amp;$B$82&amp;$AS$82&amp;"P"&amp;$A107))</f>
        <v>0.05</v>
      </c>
      <c r="DC107" s="3">
        <f>IF(RTD("tos.rtd",,DC$83,"."&amp;$B$82&amp;$AS$82&amp;"C"&amp;$A107)="N/A",0,RTD("tos.rtd",,DC$83,"."&amp;$B$82&amp;$AS$82&amp;"C"&amp;$A107))</f>
        <v>38.299999999999997</v>
      </c>
      <c r="DD107" s="3">
        <f>IF(RTD("tos.rtd",,DD$83,"."&amp;$B$82&amp;$AS$82&amp;"P"&amp;$A107)="N/A",0,RTD("tos.rtd",,DD$83,"."&amp;$B$82&amp;$AS$82&amp;"P"&amp;$A107))</f>
        <v>0.05</v>
      </c>
      <c r="DE107" s="3">
        <f>IF(RTD("tos.rtd",,DE$83,"."&amp;$B$82&amp;$AS$82&amp;"C"&amp;$A107)="N/A",0,RTD("tos.rtd",,DE$83,"."&amp;$B$82&amp;$AS$82&amp;"C"&amp;$A107))</f>
        <v>36.1</v>
      </c>
      <c r="DF107" s="3">
        <f>IF(RTD("tos.rtd",,DF$83,"."&amp;$B$82&amp;$AS$82&amp;"P"&amp;$A107)="N/A",0,RTD("tos.rtd",,DF$83,"."&amp;$B$82&amp;$AS$82&amp;"P"&amp;$A107))</f>
        <v>0</v>
      </c>
      <c r="DG107" s="86">
        <f t="shared" si="494"/>
        <v>-35.75</v>
      </c>
      <c r="DH107" s="3">
        <f t="shared" si="462"/>
        <v>0</v>
      </c>
      <c r="DI107" s="3">
        <f t="shared" si="463"/>
        <v>0</v>
      </c>
      <c r="DJ107" s="3">
        <f t="shared" si="464"/>
        <v>0</v>
      </c>
      <c r="DK107" s="3">
        <f t="shared" si="465"/>
        <v>0</v>
      </c>
      <c r="DL107" s="3">
        <f t="shared" si="466"/>
        <v>0</v>
      </c>
      <c r="DM107" s="3">
        <f t="shared" si="467"/>
        <v>0</v>
      </c>
      <c r="DN107" s="64" t="str">
        <f t="shared" si="468"/>
        <v>UNKNOWN</v>
      </c>
      <c r="DO107" s="64" t="str">
        <f t="shared" si="469"/>
        <v>UNKNOWN</v>
      </c>
      <c r="DP107" s="3">
        <f t="shared" si="470"/>
        <v>0</v>
      </c>
      <c r="DQ107" s="3">
        <f t="shared" si="471"/>
        <v>0</v>
      </c>
      <c r="DR107" s="3" t="e">
        <f t="shared" ca="1" si="472"/>
        <v>#NUM!</v>
      </c>
      <c r="DS107" s="3">
        <f t="shared" si="473"/>
        <v>0</v>
      </c>
      <c r="DT107" s="3">
        <f t="shared" si="495"/>
        <v>0</v>
      </c>
      <c r="DU107" s="3">
        <f t="shared" si="496"/>
        <v>0</v>
      </c>
      <c r="DV107" s="3">
        <f t="shared" si="497"/>
        <v>-5620</v>
      </c>
      <c r="DW107" s="3">
        <f t="shared" si="498"/>
        <v>5879</v>
      </c>
      <c r="DX107" s="3" t="e">
        <f t="shared" ca="1" si="503"/>
        <v>#NUM!</v>
      </c>
      <c r="DY107" s="3" t="e">
        <f t="shared" ca="1" si="474"/>
        <v>#NUM!</v>
      </c>
      <c r="DZ107" s="3">
        <f t="shared" ca="1" si="475"/>
        <v>2.5202276836855535E-2</v>
      </c>
      <c r="EA107" s="3">
        <f t="shared" ca="1" si="476"/>
        <v>-2.1095646515984275E-3</v>
      </c>
      <c r="EB107" s="3">
        <f t="shared" ca="1" si="477"/>
        <v>2.1908708308659244E-3</v>
      </c>
      <c r="EC107" s="3">
        <f t="shared" ca="1" si="478"/>
        <v>-2.0710659192501417E-3</v>
      </c>
      <c r="EE107" s="59">
        <f t="shared" si="479"/>
        <v>0.52980000000000005</v>
      </c>
      <c r="EF107" s="59">
        <f t="shared" si="480"/>
        <v>0.33660000000000001</v>
      </c>
      <c r="EG107" s="59">
        <f t="shared" si="481"/>
        <v>0.1933</v>
      </c>
      <c r="EH107" s="59">
        <f t="shared" si="482"/>
        <v>0.19889999999999999</v>
      </c>
      <c r="EI107" s="59">
        <f t="shared" si="483"/>
        <v>0.19109999999999999</v>
      </c>
      <c r="EJ107" s="59">
        <f t="shared" si="484"/>
        <v>0.20280000000000001</v>
      </c>
      <c r="EL107" s="3" t="str">
        <f>RTD("tos.rtd",,EL$83,"."&amp;$B$82&amp;$AS$82&amp;"C"&amp;$A107)</f>
        <v>52.98%</v>
      </c>
      <c r="EM107" s="3" t="str">
        <f>RTD("tos.rtd",,EM$83,"."&amp;$B$82&amp;$AS$82&amp;"P"&amp;$A107)</f>
        <v>33.66%</v>
      </c>
      <c r="EN107" s="3" t="str">
        <f>RTD("tos.rtd",,EN$83,"."&amp;$C$82&amp;$AU$82&amp;"C"&amp;$A107)</f>
        <v>19.33%</v>
      </c>
      <c r="EO107" s="3" t="str">
        <f>RTD("tos.rtd",,EO$83,"."&amp;$C$82&amp;$AU$82&amp;"P"&amp;$A107)</f>
        <v>19.89%</v>
      </c>
      <c r="EP107" s="3" t="str">
        <f>RTD("tos.rtd",,EP$83,"."&amp;$D$82&amp;$AW$82&amp;"C"&amp;$A107)</f>
        <v>19.11%</v>
      </c>
      <c r="EQ107" s="3" t="str">
        <f>RTD("tos.rtd",,EQ$83,"."&amp;$D$82&amp;$AW$82&amp;"P"&amp;$A107)</f>
        <v>20.28%</v>
      </c>
      <c r="ET107" s="64" t="str">
        <f t="shared" ca="1" si="485"/>
        <v>5650,00.00</v>
      </c>
      <c r="EU107" s="67">
        <v>564.05999999999995</v>
      </c>
      <c r="EV107" s="67" t="s">
        <v>875</v>
      </c>
      <c r="EW107" s="67">
        <v>485.97</v>
      </c>
      <c r="EX107" s="67" t="s">
        <v>876</v>
      </c>
      <c r="EY107" s="67">
        <v>5656.25</v>
      </c>
      <c r="EZ107" s="67" t="s">
        <v>877</v>
      </c>
      <c r="FA107" s="67">
        <v>19969.25</v>
      </c>
      <c r="FB107" s="67" t="s">
        <v>878</v>
      </c>
      <c r="FC107" s="67" t="s">
        <v>879</v>
      </c>
      <c r="FD107" s="67" t="s">
        <v>880</v>
      </c>
      <c r="FE107" s="68" t="s">
        <v>881</v>
      </c>
      <c r="FF107" s="68" t="s">
        <v>882</v>
      </c>
    </row>
    <row r="108" spans="1:162" s="63" customFormat="1" ht="12" customHeight="1" thickBot="1" x14ac:dyDescent="0.25">
      <c r="A108" s="2">
        <f t="shared" si="499"/>
        <v>5640</v>
      </c>
      <c r="B108" s="10">
        <f t="shared" si="445"/>
        <v>2775</v>
      </c>
      <c r="C108" s="10">
        <f t="shared" si="446"/>
        <v>1885</v>
      </c>
      <c r="D108" s="10">
        <f t="shared" si="447"/>
        <v>617</v>
      </c>
      <c r="E108" s="10">
        <f t="shared" si="510"/>
        <v>5277</v>
      </c>
      <c r="F108" s="11">
        <f t="shared" si="513"/>
        <v>5663.806885635141</v>
      </c>
      <c r="G108" s="11">
        <f t="shared" si="511"/>
        <v>562.40791452315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139</v>
      </c>
      <c r="AN108" s="10">
        <v>1357</v>
      </c>
      <c r="AO108" s="10">
        <v>5640</v>
      </c>
      <c r="AP108" s="10">
        <v>4428</v>
      </c>
      <c r="AQ108" s="10">
        <v>-32509</v>
      </c>
      <c r="AR108" s="10"/>
      <c r="AS108" s="54">
        <f>IF(RTD("tos.rtd",,AS$83,"."&amp;$B$82&amp;$AS$82&amp;"C"&amp;$A108)="N/A",0,RTD("tos.rtd",,AS$83,"."&amp;$B$82&amp;$AS$82&amp;"C"&amp;$A108))</f>
        <v>2005</v>
      </c>
      <c r="AT108" s="3">
        <f>-IF(RTD("tos.rtd",,AT$83,"."&amp;$B$82&amp;$AS$82&amp;"P"&amp;$A108)="N/A",0,RTD("tos.rtd",,AT$83,"."&amp;$B$82&amp;$AS$82&amp;"P"&amp;$A108))</f>
        <v>-770</v>
      </c>
      <c r="AU108" s="54">
        <f>IF(RTD("tos.rtd",,AU$83,"."&amp;$C$82&amp;$AU$82&amp;"C"&amp;$A108)="N/A",0,RTD("tos.rtd",,AU$83,"."&amp;$C$82&amp;$AU$82&amp;"C"&amp;$A108))</f>
        <v>1831</v>
      </c>
      <c r="AV108" s="3">
        <f>-IF(RTD("tos.rtd",,AV$83,"."&amp;$C$82&amp;$AU$82&amp;"P"&amp;$A108)="N/A",0,RTD("tos.rtd",,AV$83,"."&amp;$C$82&amp;$AU$82&amp;"P"&amp;$A108))</f>
        <v>-54</v>
      </c>
      <c r="AW108" s="54">
        <f>IF(RTD("tos.rtd",,AW$83,"."&amp;$D$82&amp;$AW$82&amp;"C"&amp;$A108)="N/A",0,RTD("tos.rtd",,AW$83,"."&amp;$D$82&amp;$AW$82&amp;"C"&amp;$A108))</f>
        <v>256</v>
      </c>
      <c r="AX108" s="3">
        <f>-IF(RTD("tos.rtd",,AX$83,"."&amp;$D$82&amp;$AW$82&amp;"P"&amp;$A108)="N/A",0,RTD("tos.rtd",,AX$83,"."&amp;$D$82&amp;$AW$82&amp;"P"&amp;$A108))</f>
        <v>-361</v>
      </c>
      <c r="AY108" s="80">
        <f t="shared" si="512"/>
        <v>2907</v>
      </c>
      <c r="AZ108" s="8">
        <f t="shared" si="449"/>
        <v>5640</v>
      </c>
      <c r="BA108" s="54">
        <f>IF(RTD("tos.rtd",,BA$83,"."&amp;$B$82&amp;$AS$82&amp;"C"&amp;$A108)="N/A",0,RTD("tos.rtd",,BA$83,"."&amp;$B$82&amp;$AS$82&amp;"C"&amp;$A108))</f>
        <v>4428</v>
      </c>
      <c r="BB108" s="3">
        <f>-IF(RTD("tos.rtd",,BB$83,"."&amp;$B$82&amp;$AS$82&amp;"P"&amp;$A108)="N/A",0,RTD("tos.rtd",,BB$83,"."&amp;$B$82&amp;$AS$82&amp;"P"&amp;$A108))</f>
        <v>-32509</v>
      </c>
      <c r="BC108" s="54">
        <f>IF(RTD("tos.rtd",,BC$83,"."&amp;$C$82&amp;$AU$82&amp;"C"&amp;$A108)="N/A",0,RTD("tos.rtd",,BC$83,"."&amp;$C$82&amp;$AU$82&amp;"C"&amp;$A108))</f>
        <v>1449</v>
      </c>
      <c r="BD108" s="3">
        <f>-IF(RTD("tos.rtd",,BD$83,"."&amp;$C$82&amp;$AU$82&amp;"P"&amp;$A108)="N/A",0,RTD("tos.rtd",,BD$83,"."&amp;$C$82&amp;$AU$82&amp;"P"&amp;$A108))</f>
        <v>-339</v>
      </c>
      <c r="BE108" s="54">
        <f>IF(RTD("tos.rtd",,BE$83,"."&amp;$D$82&amp;$AW$82&amp;"C"&amp;$A108)="N/A",0,RTD("tos.rtd",,BE$83,"."&amp;$D$82&amp;$AW$82&amp;"C"&amp;$A108))</f>
        <v>32</v>
      </c>
      <c r="BF108" s="3">
        <f>-IF(RTD("tos.rtd",,BF$83,"."&amp;$D$82&amp;$AW$82&amp;"P"&amp;$A108)="N/A",0,RTD("tos.rtd",,BF$83,"."&amp;$D$82&amp;$AW$82&amp;"P"&amp;$A108))</f>
        <v>-256</v>
      </c>
      <c r="BG108" s="3" t="e">
        <f ca="1">+Hoja2!Y109</f>
        <v>#N/A</v>
      </c>
      <c r="BH108" s="53" t="e">
        <f t="shared" ca="1" si="488"/>
        <v>#N/A</v>
      </c>
      <c r="BI108" s="32" t="e">
        <f t="shared" ca="1" si="504"/>
        <v>#N/A</v>
      </c>
      <c r="BJ108" s="3" t="e">
        <f ca="1">IF($BP$1=1,DX108,IF(RTD("tos.rtd",,BJ$83,"."&amp;$B$82&amp;$AS$82&amp;"C"&amp;$A108)="N/A",0,RTD("tos.rtd",,BJ$83,"."&amp;$B$82&amp;$AS$82&amp;"C"&amp;$A108)))</f>
        <v>#NUM!</v>
      </c>
      <c r="BK108" s="3" t="e">
        <f ca="1">IF($BP$1=1,DY108,-IF(RTD("tos.rtd",,BK$83,"."&amp;$B$82&amp;$AS$82&amp;"P"&amp;$A108)="N/A",0,RTD("tos.rtd",,BK$83,"."&amp;$B$82&amp;$AS$82&amp;"P"&amp;$A108)))</f>
        <v>#NUM!</v>
      </c>
      <c r="BL108" s="3">
        <f ca="1">IF($BP$1=1,DZ108,IF(RTD("tos.rtd",,BL$83,"."&amp;$C$82&amp;$AU$82&amp;"C"&amp;$A108)="N/A",0,RTD("tos.rtd",,BL$83,"."&amp;$C$82&amp;$AU$82&amp;"C"&amp;$A108)))</f>
        <v>2.4516253121391857E-2</v>
      </c>
      <c r="BM108" s="3">
        <f ca="1">IF($BP$1=1,EA108,-IF(RTD("tos.rtd",,BM$83,"."&amp;$C$82&amp;$AU$82&amp;"P"&amp;$A108)="N/A",0,RTD("tos.rtd",,BM$83,"."&amp;$C$82&amp;$AU$82&amp;"P"&amp;$A108)))</f>
        <v>-2.0534610217195887E-3</v>
      </c>
      <c r="BN108" s="3">
        <f ca="1">IF($BP$1=1,EB108,IF(RTD("tos.rtd",,BN$83,"."&amp;$D$82&amp;$AW$82&amp;"C"&amp;$A108)="N/A",0,RTD("tos.rtd",,BN$83,"."&amp;$D$82&amp;$AW$82&amp;"C"&amp;$A108)))</f>
        <v>2.1353075685055702E-3</v>
      </c>
      <c r="BO108" s="3">
        <f ca="1">IF($BP$1=1,EC108,-IF(RTD("tos.rtd",,BO$83,"."&amp;$D$82&amp;$AW$82&amp;"P"&amp;$A108)="N/A",0,RTD("tos.rtd",,BO$83,"."&amp;$D$82&amp;$AW$82&amp;"P"&amp;$A108)))</f>
        <v>-2.0229144734479044E-3</v>
      </c>
      <c r="BQ108" s="3" t="e">
        <f t="shared" ca="1" si="450"/>
        <v>#NUM!</v>
      </c>
      <c r="BR108" s="3" t="e">
        <f t="shared" ca="1" si="489"/>
        <v>#NUM!</v>
      </c>
      <c r="BS108" s="3">
        <f t="shared" ca="1" si="451"/>
        <v>10705697.569044292</v>
      </c>
      <c r="BT108" s="3" t="str">
        <f t="shared" ca="1" si="489"/>
        <v/>
      </c>
      <c r="BU108" s="3">
        <f t="shared" ca="1" si="452"/>
        <v>-43903.415778738796</v>
      </c>
      <c r="BV108" s="3" t="str">
        <f t="shared" ca="1" si="489"/>
        <v>Cruce -</v>
      </c>
      <c r="BX108" s="3" t="e">
        <f t="shared" ca="1" si="453"/>
        <v>#NUM!</v>
      </c>
      <c r="BY108" s="3" t="e">
        <f t="shared" ca="1" si="501"/>
        <v>#NUM!</v>
      </c>
      <c r="BZ108" s="3">
        <f t="shared" ca="1" si="454"/>
        <v>8326726.4357088739</v>
      </c>
      <c r="CA108" s="3" t="str">
        <f t="shared" ca="1" si="501"/>
        <v/>
      </c>
      <c r="CB108" s="3">
        <f t="shared" ca="1" si="455"/>
        <v>-107475.9756079793</v>
      </c>
      <c r="CC108" s="3" t="str">
        <f t="shared" ca="1" si="501"/>
        <v/>
      </c>
      <c r="CD108" s="3">
        <f>IF(RTD("tos.rtd",,CD$83,"."&amp;$B$82&amp;$AS$82&amp;"C"&amp;$A108)="N/A",0,RTD("tos.rtd",,CD$83,"."&amp;$B$82&amp;$AS$82&amp;"C"&amp;$A108))</f>
        <v>0.96</v>
      </c>
      <c r="CE108" s="3">
        <f>-IF(RTD("tos.rtd",,CE$83,"."&amp;$B$82&amp;$AS$82&amp;"P"&amp;$A108)="N/A",0,RTD("tos.rtd",,CE$83,"."&amp;$B$82&amp;$AS$82&amp;"P"&amp;$A108))</f>
        <v>0</v>
      </c>
      <c r="CF108" s="3">
        <f>IF(RTD("tos.rtd",,CF$83,"."&amp;$C$82&amp;$AU$82&amp;"C"&amp;$A108)="N/A",0,RTD("tos.rtd",,CF$83,"."&amp;$C$82&amp;$AU$82&amp;"C"&amp;$A108))</f>
        <v>0.64</v>
      </c>
      <c r="CG108" s="3">
        <f>-IF(RTD("tos.rtd",,CG$83,"."&amp;$C$82&amp;$AU$82&amp;"P"&amp;$A108)="N/A",0,RTD("tos.rtd",,CG$83,"."&amp;$C$82&amp;$AU$82&amp;"P"&amp;$A108))</f>
        <v>0.37</v>
      </c>
      <c r="CH108" s="3">
        <f>IF(RTD("tos.rtd",,CH$83,"."&amp;$D$82&amp;$AW$82&amp;"C"&amp;$A108)="N/A",0,RTD("tos.rtd",,CH$83,"."&amp;$D$82&amp;$AW$82&amp;"C"&amp;$A108))</f>
        <v>0.61</v>
      </c>
      <c r="CI108" s="3">
        <f>-IF(RTD("tos.rtd",,CI$83,"."&amp;$D$82&amp;$AW$82&amp;"P"&amp;$A108)="N/A",0,RTD("tos.rtd",,CI$83,"."&amp;$D$82&amp;$AW$82&amp;"P"&amp;$A108))</f>
        <v>0.39</v>
      </c>
      <c r="CK108" s="3">
        <f t="shared" si="490"/>
        <v>192480</v>
      </c>
      <c r="CL108" s="3"/>
      <c r="CM108" s="3">
        <f t="shared" si="491"/>
        <v>115185.99999999999</v>
      </c>
      <c r="CN108" s="3"/>
      <c r="CO108" s="3">
        <f t="shared" si="492"/>
        <v>1537</v>
      </c>
      <c r="CP108" s="3">
        <f t="shared" si="456"/>
        <v>309203</v>
      </c>
      <c r="CQ108" s="3">
        <f t="shared" si="457"/>
        <v>-28081</v>
      </c>
      <c r="CR108" s="3"/>
      <c r="CS108" s="3">
        <f t="shared" si="458"/>
        <v>1110</v>
      </c>
      <c r="CT108" s="3"/>
      <c r="CU108" s="3">
        <f t="shared" si="459"/>
        <v>-224</v>
      </c>
      <c r="CV108" s="3"/>
      <c r="CW108" s="3" t="e">
        <f t="shared" ca="1" si="460"/>
        <v>#NUM!</v>
      </c>
      <c r="CY108" s="3" t="e">
        <f t="shared" ca="1" si="461"/>
        <v>#NUM!</v>
      </c>
      <c r="CZ108" s="70" t="e">
        <f t="shared" ca="1" si="502"/>
        <v>#NUM!</v>
      </c>
      <c r="DA108" s="3">
        <f>IF(RTD("tos.rtd",,DA$83,"."&amp;$B$82&amp;$AS$82&amp;"C"&amp;$A108)="N/A",0,RTD("tos.rtd",,DA$83,"."&amp;$B$82&amp;$AS$82&amp;"C"&amp;$A108))</f>
        <v>47.4</v>
      </c>
      <c r="DB108" s="3">
        <f>IF(RTD("tos.rtd",,DB$83,"."&amp;$B$82&amp;$AS$82&amp;"P"&amp;$A108)="N/A",0,RTD("tos.rtd",,DB$83,"."&amp;$B$82&amp;$AS$82&amp;"P"&amp;$A108))</f>
        <v>0.05</v>
      </c>
      <c r="DC108" s="3">
        <f>IF(RTD("tos.rtd",,DC$83,"."&amp;$B$82&amp;$AS$82&amp;"C"&amp;$A108)="N/A",0,RTD("tos.rtd",,DC$83,"."&amp;$B$82&amp;$AS$82&amp;"C"&amp;$A108))</f>
        <v>48.3</v>
      </c>
      <c r="DD108" s="3">
        <f>IF(RTD("tos.rtd",,DD$83,"."&amp;$B$82&amp;$AS$82&amp;"P"&amp;$A108)="N/A",0,RTD("tos.rtd",,DD$83,"."&amp;$B$82&amp;$AS$82&amp;"P"&amp;$A108))</f>
        <v>0.05</v>
      </c>
      <c r="DE108" s="3">
        <f>IF(RTD("tos.rtd",,DE$83,"."&amp;$B$82&amp;$AS$82&amp;"C"&amp;$A108)="N/A",0,RTD("tos.rtd",,DE$83,"."&amp;$B$82&amp;$AS$82&amp;"C"&amp;$A108))</f>
        <v>46.1</v>
      </c>
      <c r="DF108" s="3">
        <f>IF(RTD("tos.rtd",,DF$83,"."&amp;$B$82&amp;$AS$82&amp;"P"&amp;$A108)="N/A",0,RTD("tos.rtd",,DF$83,"."&amp;$B$82&amp;$AS$82&amp;"P"&amp;$A108))</f>
        <v>0</v>
      </c>
      <c r="DG108" s="86">
        <f t="shared" si="494"/>
        <v>-45.75</v>
      </c>
      <c r="DH108" s="3">
        <f t="shared" si="462"/>
        <v>0</v>
      </c>
      <c r="DI108" s="3">
        <f t="shared" si="463"/>
        <v>0</v>
      </c>
      <c r="DJ108" s="3">
        <f t="shared" si="464"/>
        <v>0</v>
      </c>
      <c r="DK108" s="3">
        <f t="shared" si="465"/>
        <v>0</v>
      </c>
      <c r="DL108" s="3">
        <f t="shared" si="466"/>
        <v>0</v>
      </c>
      <c r="DM108" s="3">
        <f t="shared" si="467"/>
        <v>0</v>
      </c>
      <c r="DN108" s="64" t="str">
        <f t="shared" si="468"/>
        <v>UNKNOWN</v>
      </c>
      <c r="DO108" s="64" t="str">
        <f t="shared" si="469"/>
        <v>UNKNOWN</v>
      </c>
      <c r="DP108" s="3">
        <f t="shared" si="470"/>
        <v>0</v>
      </c>
      <c r="DQ108" s="3">
        <f t="shared" si="471"/>
        <v>0</v>
      </c>
      <c r="DR108" s="3" t="e">
        <f t="shared" ca="1" si="472"/>
        <v>#NUM!</v>
      </c>
      <c r="DS108" s="3">
        <f t="shared" si="473"/>
        <v>0</v>
      </c>
      <c r="DT108" s="3">
        <f t="shared" si="495"/>
        <v>0</v>
      </c>
      <c r="DU108" s="3">
        <f t="shared" si="496"/>
        <v>0</v>
      </c>
      <c r="DV108" s="3">
        <f t="shared" si="497"/>
        <v>139</v>
      </c>
      <c r="DW108" s="3">
        <f t="shared" si="498"/>
        <v>1357</v>
      </c>
      <c r="DX108" s="3" t="e">
        <f t="shared" ca="1" si="503"/>
        <v>#NUM!</v>
      </c>
      <c r="DY108" s="3" t="e">
        <f t="shared" ca="1" si="474"/>
        <v>#NUM!</v>
      </c>
      <c r="DZ108" s="3">
        <f t="shared" ca="1" si="475"/>
        <v>2.4516253121391857E-2</v>
      </c>
      <c r="EA108" s="3">
        <f t="shared" ca="1" si="476"/>
        <v>-2.0534610217195887E-3</v>
      </c>
      <c r="EB108" s="3">
        <f t="shared" ca="1" si="477"/>
        <v>2.1353075685055702E-3</v>
      </c>
      <c r="EC108" s="3">
        <f t="shared" ca="1" si="478"/>
        <v>-2.0229144734479044E-3</v>
      </c>
      <c r="EE108" s="59">
        <f t="shared" si="479"/>
        <v>0.64300000000000002</v>
      </c>
      <c r="EF108" s="59">
        <f t="shared" si="480"/>
        <v>0.41760000000000003</v>
      </c>
      <c r="EG108" s="59">
        <f t="shared" si="481"/>
        <v>0.1958</v>
      </c>
      <c r="EH108" s="59">
        <f t="shared" si="482"/>
        <v>0.20150000000000001</v>
      </c>
      <c r="EI108" s="59">
        <f t="shared" si="483"/>
        <v>0.19309999999999999</v>
      </c>
      <c r="EJ108" s="59">
        <f t="shared" si="484"/>
        <v>0.20480000000000001</v>
      </c>
      <c r="EL108" s="3" t="str">
        <f>RTD("tos.rtd",,EL$83,"."&amp;$B$82&amp;$AS$82&amp;"C"&amp;$A108)</f>
        <v>64.30%</v>
      </c>
      <c r="EM108" s="3" t="str">
        <f>RTD("tos.rtd",,EM$83,"."&amp;$B$82&amp;$AS$82&amp;"P"&amp;$A108)</f>
        <v>41.76%</v>
      </c>
      <c r="EN108" s="3" t="str">
        <f>RTD("tos.rtd",,EN$83,"."&amp;$C$82&amp;$AU$82&amp;"C"&amp;$A108)</f>
        <v>19.58%</v>
      </c>
      <c r="EO108" s="3" t="str">
        <f>RTD("tos.rtd",,EO$83,"."&amp;$C$82&amp;$AU$82&amp;"P"&amp;$A108)</f>
        <v>20.15%</v>
      </c>
      <c r="EP108" s="3" t="str">
        <f>RTD("tos.rtd",,EP$83,"."&amp;$D$82&amp;$AW$82&amp;"C"&amp;$A108)</f>
        <v>19.31%</v>
      </c>
      <c r="EQ108" s="3" t="str">
        <f>RTD("tos.rtd",,EQ$83,"."&amp;$D$82&amp;$AW$82&amp;"P"&amp;$A108)</f>
        <v>20.48%</v>
      </c>
      <c r="ET108" s="64" t="str">
        <f t="shared" ca="1" si="485"/>
        <v>5640,00.00</v>
      </c>
      <c r="EU108" s="67">
        <v>564.29</v>
      </c>
      <c r="EV108" s="67" t="s">
        <v>883</v>
      </c>
      <c r="EW108" s="67">
        <v>486.09</v>
      </c>
      <c r="EX108" s="67" t="s">
        <v>884</v>
      </c>
      <c r="EY108" s="67">
        <v>5658</v>
      </c>
      <c r="EZ108" s="67" t="s">
        <v>885</v>
      </c>
      <c r="FA108" s="67">
        <v>19974.25</v>
      </c>
      <c r="FB108" s="67" t="s">
        <v>886</v>
      </c>
      <c r="FC108" s="67" t="s">
        <v>887</v>
      </c>
      <c r="FD108" s="67" t="s">
        <v>888</v>
      </c>
      <c r="FE108" s="68" t="s">
        <v>889</v>
      </c>
      <c r="FF108" s="68" t="s">
        <v>890</v>
      </c>
    </row>
    <row r="109" spans="1:162" s="63" customFormat="1" ht="12" customHeight="1" thickBot="1" x14ac:dyDescent="0.25">
      <c r="A109" s="2">
        <f t="shared" si="499"/>
        <v>5630</v>
      </c>
      <c r="B109" s="3">
        <f t="shared" si="445"/>
        <v>2843</v>
      </c>
      <c r="C109" s="3">
        <f t="shared" si="446"/>
        <v>1587</v>
      </c>
      <c r="D109" s="3">
        <f t="shared" si="447"/>
        <v>453</v>
      </c>
      <c r="E109" s="3">
        <f t="shared" si="510"/>
        <v>4883</v>
      </c>
      <c r="F109" s="14">
        <f t="shared" si="513"/>
        <v>5653.764674845007</v>
      </c>
      <c r="G109" s="14">
        <f t="shared" si="511"/>
        <v>561.41073736974022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-323</v>
      </c>
      <c r="AN109" s="20">
        <v>2276</v>
      </c>
      <c r="AO109" s="20">
        <v>5630</v>
      </c>
      <c r="AP109" s="20">
        <v>2036</v>
      </c>
      <c r="AQ109" s="20">
        <v>-26789</v>
      </c>
      <c r="AR109" s="20"/>
      <c r="AS109" s="54">
        <f>IF(RTD("tos.rtd",,AS$83,"."&amp;$B$82&amp;$AS$82&amp;"C"&amp;$A109)="N/A",0,RTD("tos.rtd",,AS$83,"."&amp;$B$82&amp;$AS$82&amp;"C"&amp;$A109))</f>
        <v>1985</v>
      </c>
      <c r="AT109" s="3">
        <f>-IF(RTD("tos.rtd",,AT$83,"."&amp;$B$82&amp;$AS$82&amp;"P"&amp;$A109)="N/A",0,RTD("tos.rtd",,AT$83,"."&amp;$B$82&amp;$AS$82&amp;"P"&amp;$A109))</f>
        <v>-858</v>
      </c>
      <c r="AU109" s="54">
        <f>IF(RTD("tos.rtd",,AU$83,"."&amp;$C$82&amp;$AU$82&amp;"C"&amp;$A109)="N/A",0,RTD("tos.rtd",,AU$83,"."&amp;$C$82&amp;$AU$82&amp;"C"&amp;$A109))</f>
        <v>1515</v>
      </c>
      <c r="AV109" s="3">
        <f>-IF(RTD("tos.rtd",,AV$83,"."&amp;$C$82&amp;$AU$82&amp;"P"&amp;$A109)="N/A",0,RTD("tos.rtd",,AV$83,"."&amp;$C$82&amp;$AU$82&amp;"P"&amp;$A109))</f>
        <v>-72</v>
      </c>
      <c r="AW109" s="54">
        <f>IF(RTD("tos.rtd",,AW$83,"."&amp;$D$82&amp;$AW$82&amp;"C"&amp;$A109)="N/A",0,RTD("tos.rtd",,AW$83,"."&amp;$D$82&amp;$AW$82&amp;"C"&amp;$A109))</f>
        <v>263</v>
      </c>
      <c r="AX109" s="3">
        <f>-IF(RTD("tos.rtd",,AX$83,"."&amp;$D$82&amp;$AW$82&amp;"P"&amp;$A109)="N/A",0,RTD("tos.rtd",,AX$83,"."&amp;$D$82&amp;$AW$82&amp;"P"&amp;$A109))</f>
        <v>-190</v>
      </c>
      <c r="AY109" s="79">
        <f t="shared" si="512"/>
        <v>2643</v>
      </c>
      <c r="AZ109" s="8">
        <f t="shared" si="449"/>
        <v>5630</v>
      </c>
      <c r="BA109" s="54">
        <f>IF(RTD("tos.rtd",,BA$83,"."&amp;$B$82&amp;$AS$82&amp;"C"&amp;$A109)="N/A",0,RTD("tos.rtd",,BA$83,"."&amp;$B$82&amp;$AS$82&amp;"C"&amp;$A109))</f>
        <v>2036</v>
      </c>
      <c r="BB109" s="3">
        <f>-IF(RTD("tos.rtd",,BB$83,"."&amp;$B$82&amp;$AS$82&amp;"P"&amp;$A109)="N/A",0,RTD("tos.rtd",,BB$83,"."&amp;$B$82&amp;$AS$82&amp;"P"&amp;$A109))</f>
        <v>-26789</v>
      </c>
      <c r="BC109" s="54">
        <f>IF(RTD("tos.rtd",,BC$83,"."&amp;$C$82&amp;$AU$82&amp;"C"&amp;$A109)="N/A",0,RTD("tos.rtd",,BC$83,"."&amp;$C$82&amp;$AU$82&amp;"C"&amp;$A109))</f>
        <v>152</v>
      </c>
      <c r="BD109" s="3">
        <f>-IF(RTD("tos.rtd",,BD$83,"."&amp;$C$82&amp;$AU$82&amp;"P"&amp;$A109)="N/A",0,RTD("tos.rtd",,BD$83,"."&amp;$C$82&amp;$AU$82&amp;"P"&amp;$A109))</f>
        <v>-413</v>
      </c>
      <c r="BE109" s="54">
        <f>IF(RTD("tos.rtd",,BE$83,"."&amp;$D$82&amp;$AW$82&amp;"C"&amp;$A109)="N/A",0,RTD("tos.rtd",,BE$83,"."&amp;$D$82&amp;$AW$82&amp;"C"&amp;$A109))</f>
        <v>22</v>
      </c>
      <c r="BF109" s="3">
        <f>-IF(RTD("tos.rtd",,BF$83,"."&amp;$D$82&amp;$AW$82&amp;"P"&amp;$A109)="N/A",0,RTD("tos.rtd",,BF$83,"."&amp;$D$82&amp;$AW$82&amp;"P"&amp;$A109))</f>
        <v>-1835</v>
      </c>
      <c r="BG109" s="3" t="e">
        <f ca="1">+Hoja2!Y110</f>
        <v>#N/A</v>
      </c>
      <c r="BH109" s="55" t="e">
        <f t="shared" ca="1" si="488"/>
        <v>#N/A</v>
      </c>
      <c r="BI109" s="32" t="e">
        <f t="shared" ca="1" si="504"/>
        <v>#N/A</v>
      </c>
      <c r="BJ109" s="3" t="e">
        <f ca="1">IF($BP$1=1,DX109,IF(RTD("tos.rtd",,BJ$83,"."&amp;$B$82&amp;$AS$82&amp;"C"&amp;$A109)="N/A",0,RTD("tos.rtd",,BJ$83,"."&amp;$B$82&amp;$AS$82&amp;"C"&amp;$A109)))</f>
        <v>#NUM!</v>
      </c>
      <c r="BK109" s="3" t="e">
        <f ca="1">IF($BP$1=1,DY109,-IF(RTD("tos.rtd",,BK$83,"."&amp;$B$82&amp;$AS$82&amp;"P"&amp;$A109)="N/A",0,RTD("tos.rtd",,BK$83,"."&amp;$B$82&amp;$AS$82&amp;"P"&amp;$A109)))</f>
        <v>#NUM!</v>
      </c>
      <c r="BL109" s="3">
        <f ca="1">IF($BP$1=1,DZ109,IF(RTD("tos.rtd",,BL$83,"."&amp;$C$82&amp;$AU$82&amp;"C"&amp;$A109)="N/A",0,RTD("tos.rtd",,BL$83,"."&amp;$C$82&amp;$AU$82&amp;"C"&amp;$A109)))</f>
        <v>2.3817727789371967E-2</v>
      </c>
      <c r="BM109" s="3">
        <f ca="1">IF($BP$1=1,EA109,-IF(RTD("tos.rtd",,BM$83,"."&amp;$C$82&amp;$AU$82&amp;"P"&amp;$A109)="N/A",0,RTD("tos.rtd",,BM$83,"."&amp;$C$82&amp;$AU$82&amp;"P"&amp;$A109)))</f>
        <v>-1.9956116960066295E-3</v>
      </c>
      <c r="BN109" s="3">
        <f ca="1">IF($BP$1=1,EB109,IF(RTD("tos.rtd",,BN$83,"."&amp;$D$82&amp;$AW$82&amp;"C"&amp;$A109)="N/A",0,RTD("tos.rtd",,BN$83,"."&amp;$D$82&amp;$AW$82&amp;"C"&amp;$A109)))</f>
        <v>2.0769613449937115E-3</v>
      </c>
      <c r="BO109" s="3">
        <f ca="1">IF($BP$1=1,EC109,-IF(RTD("tos.rtd",,BO$83,"."&amp;$D$82&amp;$AW$82&amp;"P"&amp;$A109)="N/A",0,RTD("tos.rtd",,BO$83,"."&amp;$D$82&amp;$AW$82&amp;"P"&amp;$A109)))</f>
        <v>-1.9697865511080401E-3</v>
      </c>
      <c r="BQ109" s="3" t="e">
        <f t="shared" ca="1" si="450"/>
        <v>#NUM!</v>
      </c>
      <c r="BR109" s="3" t="e">
        <f t="shared" ca="1" si="489"/>
        <v>#NUM!</v>
      </c>
      <c r="BS109" s="3">
        <f t="shared" ca="1" si="451"/>
        <v>8592644.319465138</v>
      </c>
      <c r="BT109" s="3" t="str">
        <f t="shared" ca="1" si="489"/>
        <v/>
      </c>
      <c r="BU109" s="3">
        <f t="shared" ca="1" si="452"/>
        <v>41117.634087757033</v>
      </c>
      <c r="BV109" s="3" t="str">
        <f t="shared" ca="1" si="489"/>
        <v>Cruce +</v>
      </c>
      <c r="BX109" s="3" t="e">
        <f t="shared" ca="1" si="453"/>
        <v>#NUM!</v>
      </c>
      <c r="BY109" s="3" t="e">
        <f t="shared" ca="1" si="501"/>
        <v>#NUM!</v>
      </c>
      <c r="BZ109" s="3">
        <f t="shared" ca="1" si="454"/>
        <v>668498.52116898028</v>
      </c>
      <c r="CA109" s="3" t="str">
        <f t="shared" ca="1" si="501"/>
        <v/>
      </c>
      <c r="CB109" s="3">
        <f t="shared" ca="1" si="455"/>
        <v>-853251.00042516331</v>
      </c>
      <c r="CC109" s="3" t="str">
        <f t="shared" ca="1" si="501"/>
        <v/>
      </c>
      <c r="CD109" s="3">
        <f>IF(RTD("tos.rtd",,CD$83,"."&amp;$B$82&amp;$AS$82&amp;"C"&amp;$A109)="N/A",0,RTD("tos.rtd",,CD$83,"."&amp;$B$82&amp;$AS$82&amp;"C"&amp;$A109))</f>
        <v>1</v>
      </c>
      <c r="CE109" s="3">
        <f>-IF(RTD("tos.rtd",,CE$83,"."&amp;$B$82&amp;$AS$82&amp;"P"&amp;$A109)="N/A",0,RTD("tos.rtd",,CE$83,"."&amp;$B$82&amp;$AS$82&amp;"P"&amp;$A109))</f>
        <v>0</v>
      </c>
      <c r="CF109" s="3">
        <f>IF(RTD("tos.rtd",,CF$83,"."&amp;$C$82&amp;$AU$82&amp;"C"&amp;$A109)="N/A",0,RTD("tos.rtd",,CF$83,"."&amp;$C$82&amp;$AU$82&amp;"C"&amp;$A109))</f>
        <v>0.66</v>
      </c>
      <c r="CG109" s="3">
        <f>-IF(RTD("tos.rtd",,CG$83,"."&amp;$C$82&amp;$AU$82&amp;"P"&amp;$A109)="N/A",0,RTD("tos.rtd",,CG$83,"."&amp;$C$82&amp;$AU$82&amp;"P"&amp;$A109))</f>
        <v>0.34</v>
      </c>
      <c r="CH109" s="3">
        <f>IF(RTD("tos.rtd",,CH$83,"."&amp;$D$82&amp;$AW$82&amp;"C"&amp;$A109)="N/A",0,RTD("tos.rtd",,CH$83,"."&amp;$D$82&amp;$AW$82&amp;"C"&amp;$A109))</f>
        <v>0.63</v>
      </c>
      <c r="CI109" s="3">
        <f>-IF(RTD("tos.rtd",,CI$83,"."&amp;$D$82&amp;$AW$82&amp;"P"&amp;$A109)="N/A",0,RTD("tos.rtd",,CI$83,"."&amp;$D$82&amp;$AW$82&amp;"P"&amp;$A109))</f>
        <v>0.38</v>
      </c>
      <c r="CK109" s="3">
        <f t="shared" si="490"/>
        <v>198500</v>
      </c>
      <c r="CL109" s="3"/>
      <c r="CM109" s="3">
        <f t="shared" si="491"/>
        <v>97542.000000000015</v>
      </c>
      <c r="CN109" s="3"/>
      <c r="CO109" s="3">
        <f t="shared" si="492"/>
        <v>9349</v>
      </c>
      <c r="CP109" s="3">
        <f t="shared" si="456"/>
        <v>305391</v>
      </c>
      <c r="CQ109" s="3">
        <f t="shared" si="457"/>
        <v>-24753</v>
      </c>
      <c r="CR109" s="3"/>
      <c r="CS109" s="3">
        <f t="shared" si="458"/>
        <v>-261</v>
      </c>
      <c r="CT109" s="3"/>
      <c r="CU109" s="3">
        <f t="shared" si="459"/>
        <v>-1813</v>
      </c>
      <c r="CV109" s="3"/>
      <c r="CW109" s="3" t="e">
        <f t="shared" ca="1" si="460"/>
        <v>#NUM!</v>
      </c>
      <c r="CY109" s="3" t="e">
        <f t="shared" ca="1" si="461"/>
        <v>#NUM!</v>
      </c>
      <c r="CZ109" s="70" t="e">
        <f t="shared" ca="1" si="502"/>
        <v>#NUM!</v>
      </c>
      <c r="DA109" s="3">
        <f>IF(RTD("tos.rtd",,DA$83,"."&amp;$B$82&amp;$AS$82&amp;"C"&amp;$A109)="N/A",0,RTD("tos.rtd",,DA$83,"."&amp;$B$82&amp;$AS$82&amp;"C"&amp;$A109))</f>
        <v>56.88</v>
      </c>
      <c r="DB109" s="3">
        <f>IF(RTD("tos.rtd",,DB$83,"."&amp;$B$82&amp;$AS$82&amp;"P"&amp;$A109)="N/A",0,RTD("tos.rtd",,DB$83,"."&amp;$B$82&amp;$AS$82&amp;"P"&amp;$A109))</f>
        <v>0.03</v>
      </c>
      <c r="DC109" s="3">
        <f>IF(RTD("tos.rtd",,DC$83,"."&amp;$B$82&amp;$AS$82&amp;"C"&amp;$A109)="N/A",0,RTD("tos.rtd",,DC$83,"."&amp;$B$82&amp;$AS$82&amp;"C"&amp;$A109))</f>
        <v>58.3</v>
      </c>
      <c r="DD109" s="3">
        <f>IF(RTD("tos.rtd",,DD$83,"."&amp;$B$82&amp;$AS$82&amp;"P"&amp;$A109)="N/A",0,RTD("tos.rtd",,DD$83,"."&amp;$B$82&amp;$AS$82&amp;"P"&amp;$A109))</f>
        <v>0.05</v>
      </c>
      <c r="DE109" s="3">
        <f>IF(RTD("tos.rtd",,DE$83,"."&amp;$B$82&amp;$AS$82&amp;"C"&amp;$A109)="N/A",0,RTD("tos.rtd",,DE$83,"."&amp;$B$82&amp;$AS$82&amp;"C"&amp;$A109))</f>
        <v>53.8</v>
      </c>
      <c r="DF109" s="3">
        <f>IF(RTD("tos.rtd",,DF$83,"."&amp;$B$82&amp;$AS$82&amp;"P"&amp;$A109)="N/A",0,RTD("tos.rtd",,DF$83,"."&amp;$B$82&amp;$AS$82&amp;"P"&amp;$A109))</f>
        <v>0</v>
      </c>
      <c r="DG109" s="86">
        <f t="shared" si="494"/>
        <v>-55.75</v>
      </c>
      <c r="DH109" s="3">
        <f t="shared" si="462"/>
        <v>0</v>
      </c>
      <c r="DI109" s="3">
        <f t="shared" si="463"/>
        <v>0</v>
      </c>
      <c r="DJ109" s="3">
        <f t="shared" si="464"/>
        <v>0</v>
      </c>
      <c r="DK109" s="3">
        <f t="shared" si="465"/>
        <v>0</v>
      </c>
      <c r="DL109" s="3">
        <f t="shared" si="466"/>
        <v>0</v>
      </c>
      <c r="DM109" s="3">
        <f t="shared" si="467"/>
        <v>0</v>
      </c>
      <c r="DN109" s="64" t="str">
        <f t="shared" si="468"/>
        <v>UNKNOWN</v>
      </c>
      <c r="DO109" s="64" t="str">
        <f t="shared" si="469"/>
        <v>UNKNOWN</v>
      </c>
      <c r="DP109" s="3">
        <f t="shared" si="470"/>
        <v>0</v>
      </c>
      <c r="DQ109" s="3">
        <f t="shared" si="471"/>
        <v>0</v>
      </c>
      <c r="DR109" s="3" t="e">
        <f t="shared" ca="1" si="472"/>
        <v>#NUM!</v>
      </c>
      <c r="DS109" s="3">
        <f t="shared" si="473"/>
        <v>0</v>
      </c>
      <c r="DT109" s="3">
        <f t="shared" si="495"/>
        <v>0</v>
      </c>
      <c r="DU109" s="3">
        <f t="shared" si="496"/>
        <v>0</v>
      </c>
      <c r="DV109" s="3">
        <f t="shared" si="497"/>
        <v>-323</v>
      </c>
      <c r="DW109" s="3">
        <f t="shared" si="498"/>
        <v>2276</v>
      </c>
      <c r="DX109" s="3" t="e">
        <f t="shared" ca="1" si="503"/>
        <v>#NUM!</v>
      </c>
      <c r="DY109" s="3" t="e">
        <f t="shared" ca="1" si="474"/>
        <v>#NUM!</v>
      </c>
      <c r="DZ109" s="3">
        <f t="shared" ca="1" si="475"/>
        <v>2.3817727789371967E-2</v>
      </c>
      <c r="EA109" s="3">
        <f t="shared" ca="1" si="476"/>
        <v>-1.9956116960066295E-3</v>
      </c>
      <c r="EB109" s="3">
        <f t="shared" ca="1" si="477"/>
        <v>2.0769613449937115E-3</v>
      </c>
      <c r="EC109" s="3">
        <f t="shared" ca="1" si="478"/>
        <v>-1.9697865511080401E-3</v>
      </c>
      <c r="EE109" s="59">
        <f t="shared" si="479"/>
        <v>0.25</v>
      </c>
      <c r="EF109" s="59">
        <f t="shared" si="480"/>
        <v>0.49740000000000001</v>
      </c>
      <c r="EG109" s="59">
        <f t="shared" si="481"/>
        <v>0.1981</v>
      </c>
      <c r="EH109" s="59">
        <f t="shared" si="482"/>
        <v>0.20399999999999999</v>
      </c>
      <c r="EI109" s="59">
        <f t="shared" si="483"/>
        <v>0.19500000000000001</v>
      </c>
      <c r="EJ109" s="59">
        <f t="shared" si="484"/>
        <v>0.20699999999999999</v>
      </c>
      <c r="EL109" s="3" t="str">
        <f>RTD("tos.rtd",,EL$83,"."&amp;$B$82&amp;$AS$82&amp;"C"&amp;$A109)</f>
        <v>--</v>
      </c>
      <c r="EM109" s="3" t="str">
        <f>RTD("tos.rtd",,EM$83,"."&amp;$B$82&amp;$AS$82&amp;"P"&amp;$A109)</f>
        <v>49.74%</v>
      </c>
      <c r="EN109" s="3" t="str">
        <f>RTD("tos.rtd",,EN$83,"."&amp;$C$82&amp;$AU$82&amp;"C"&amp;$A109)</f>
        <v>19.81%</v>
      </c>
      <c r="EO109" s="3" t="str">
        <f>RTD("tos.rtd",,EO$83,"."&amp;$C$82&amp;$AU$82&amp;"P"&amp;$A109)</f>
        <v>20.40%</v>
      </c>
      <c r="EP109" s="3" t="str">
        <f>RTD("tos.rtd",,EP$83,"."&amp;$D$82&amp;$AW$82&amp;"C"&amp;$A109)</f>
        <v>19.50%</v>
      </c>
      <c r="EQ109" s="3" t="str">
        <f>RTD("tos.rtd",,EQ$83,"."&amp;$D$82&amp;$AW$82&amp;"P"&amp;$A109)</f>
        <v>20.70%</v>
      </c>
      <c r="ET109" s="64" t="str">
        <f t="shared" ca="1" si="485"/>
        <v>5630,00.00</v>
      </c>
      <c r="EU109" s="67">
        <v>564.89</v>
      </c>
      <c r="EV109" s="67" t="s">
        <v>891</v>
      </c>
      <c r="EW109" s="67">
        <v>486.59</v>
      </c>
      <c r="EX109" s="67" t="s">
        <v>892</v>
      </c>
      <c r="EY109" s="67">
        <v>5664.75</v>
      </c>
      <c r="EZ109" s="67" t="s">
        <v>893</v>
      </c>
      <c r="FA109" s="67">
        <v>19993.75</v>
      </c>
      <c r="FB109" s="67" t="s">
        <v>894</v>
      </c>
      <c r="FC109" s="67" t="s">
        <v>895</v>
      </c>
      <c r="FD109" s="67" t="s">
        <v>896</v>
      </c>
      <c r="FE109" s="68" t="s">
        <v>897</v>
      </c>
      <c r="FF109" s="68" t="s">
        <v>898</v>
      </c>
    </row>
    <row r="110" spans="1:162" s="63" customFormat="1" ht="12" customHeight="1" thickBot="1" x14ac:dyDescent="0.25">
      <c r="A110" s="2">
        <f t="shared" si="499"/>
        <v>5620</v>
      </c>
      <c r="B110" s="3">
        <f t="shared" si="445"/>
        <v>1827</v>
      </c>
      <c r="C110" s="3">
        <f t="shared" si="446"/>
        <v>1859</v>
      </c>
      <c r="D110" s="3">
        <f t="shared" si="447"/>
        <v>1033</v>
      </c>
      <c r="E110" s="3">
        <f t="shared" si="510"/>
        <v>4719</v>
      </c>
      <c r="F110" s="4">
        <f t="shared" si="513"/>
        <v>5643.7224640548739</v>
      </c>
      <c r="G110" s="4">
        <f t="shared" si="511"/>
        <v>560.41356021633032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-297</v>
      </c>
      <c r="AN110" s="20">
        <v>1937</v>
      </c>
      <c r="AO110" s="20">
        <v>5620</v>
      </c>
      <c r="AP110" s="20">
        <v>1892</v>
      </c>
      <c r="AQ110" s="20">
        <v>-21129</v>
      </c>
      <c r="AR110" s="20"/>
      <c r="AS110" s="54">
        <f>IF(RTD("tos.rtd",,AS$83,"."&amp;$B$82&amp;$AS$82&amp;"C"&amp;$A110)="N/A",0,RTD("tos.rtd",,AS$83,"."&amp;$B$82&amp;$AS$82&amp;"C"&amp;$A110))</f>
        <v>1129</v>
      </c>
      <c r="AT110" s="3">
        <f>-IF(RTD("tos.rtd",,AT$83,"."&amp;$B$82&amp;$AS$82&amp;"P"&amp;$A110)="N/A",0,RTD("tos.rtd",,AT$83,"."&amp;$B$82&amp;$AS$82&amp;"P"&amp;$A110))</f>
        <v>-698</v>
      </c>
      <c r="AU110" s="54">
        <f>IF(RTD("tos.rtd",,AU$83,"."&amp;$C$82&amp;$AU$82&amp;"C"&amp;$A110)="N/A",0,RTD("tos.rtd",,AU$83,"."&amp;$C$82&amp;$AU$82&amp;"C"&amp;$A110))</f>
        <v>1502</v>
      </c>
      <c r="AV110" s="3">
        <f>-IF(RTD("tos.rtd",,AV$83,"."&amp;$C$82&amp;$AU$82&amp;"P"&amp;$A110)="N/A",0,RTD("tos.rtd",,AV$83,"."&amp;$C$82&amp;$AU$82&amp;"P"&amp;$A110))</f>
        <v>-357</v>
      </c>
      <c r="AW110" s="54">
        <f>IF(RTD("tos.rtd",,AW$83,"."&amp;$D$82&amp;$AW$82&amp;"C"&amp;$A110)="N/A",0,RTD("tos.rtd",,AW$83,"."&amp;$D$82&amp;$AW$82&amp;"C"&amp;$A110))</f>
        <v>612</v>
      </c>
      <c r="AX110" s="3">
        <f>-IF(RTD("tos.rtd",,AX$83,"."&amp;$D$82&amp;$AW$82&amp;"P"&amp;$A110)="N/A",0,RTD("tos.rtd",,AX$83,"."&amp;$D$82&amp;$AW$82&amp;"P"&amp;$A110))</f>
        <v>-421</v>
      </c>
      <c r="AY110" s="79">
        <f t="shared" si="512"/>
        <v>1767</v>
      </c>
      <c r="AZ110" s="8">
        <f t="shared" si="449"/>
        <v>5620</v>
      </c>
      <c r="BA110" s="54">
        <f>IF(RTD("tos.rtd",,BA$83,"."&amp;$B$82&amp;$AS$82&amp;"C"&amp;$A110)="N/A",0,RTD("tos.rtd",,BA$83,"."&amp;$B$82&amp;$AS$82&amp;"C"&amp;$A110))</f>
        <v>1892</v>
      </c>
      <c r="BB110" s="3">
        <f>-IF(RTD("tos.rtd",,BB$83,"."&amp;$B$82&amp;$AS$82&amp;"P"&amp;$A110)="N/A",0,RTD("tos.rtd",,BB$83,"."&amp;$B$82&amp;$AS$82&amp;"P"&amp;$A110))</f>
        <v>-21129</v>
      </c>
      <c r="BC110" s="54">
        <f>IF(RTD("tos.rtd",,BC$83,"."&amp;$C$82&amp;$AU$82&amp;"C"&amp;$A110)="N/A",0,RTD("tos.rtd",,BC$83,"."&amp;$C$82&amp;$AU$82&amp;"C"&amp;$A110))</f>
        <v>52</v>
      </c>
      <c r="BD110" s="3">
        <f>-IF(RTD("tos.rtd",,BD$83,"."&amp;$C$82&amp;$AU$82&amp;"P"&amp;$A110)="N/A",0,RTD("tos.rtd",,BD$83,"."&amp;$C$82&amp;$AU$82&amp;"P"&amp;$A110))</f>
        <v>-277</v>
      </c>
      <c r="BE110" s="54">
        <f>IF(RTD("tos.rtd",,BE$83,"."&amp;$D$82&amp;$AW$82&amp;"C"&amp;$A110)="N/A",0,RTD("tos.rtd",,BE$83,"."&amp;$D$82&amp;$AW$82&amp;"C"&amp;$A110))</f>
        <v>30</v>
      </c>
      <c r="BF110" s="3">
        <f>-IF(RTD("tos.rtd",,BF$83,"."&amp;$D$82&amp;$AW$82&amp;"P"&amp;$A110)="N/A",0,RTD("tos.rtd",,BF$83,"."&amp;$D$82&amp;$AW$82&amp;"P"&amp;$A110))</f>
        <v>-111</v>
      </c>
      <c r="BG110" s="3" t="e">
        <f ca="1">+Hoja2!Y111</f>
        <v>#N/A</v>
      </c>
      <c r="BH110" s="55" t="e">
        <f t="shared" ca="1" si="488"/>
        <v>#N/A</v>
      </c>
      <c r="BI110" s="32" t="e">
        <f t="shared" ca="1" si="504"/>
        <v>#N/A</v>
      </c>
      <c r="BJ110" s="3" t="e">
        <f ca="1">IF($BP$1=1,DX110,IF(RTD("tos.rtd",,BJ$83,"."&amp;$B$82&amp;$AS$82&amp;"C"&amp;$A110)="N/A",0,RTD("tos.rtd",,BJ$83,"."&amp;$B$82&amp;$AS$82&amp;"C"&amp;$A110)))</f>
        <v>#NUM!</v>
      </c>
      <c r="BK110" s="3" t="e">
        <f ca="1">IF($BP$1=1,DY110,-IF(RTD("tos.rtd",,BK$83,"."&amp;$B$82&amp;$AS$82&amp;"P"&amp;$A110)="N/A",0,RTD("tos.rtd",,BK$83,"."&amp;$B$82&amp;$AS$82&amp;"P"&amp;$A110)))</f>
        <v>#NUM!</v>
      </c>
      <c r="BL110" s="3">
        <f ca="1">IF($BP$1=1,DZ110,IF(RTD("tos.rtd",,BL$83,"."&amp;$C$82&amp;$AU$82&amp;"C"&amp;$A110)="N/A",0,RTD("tos.rtd",,BL$83,"."&amp;$C$82&amp;$AU$82&amp;"C"&amp;$A110)))</f>
        <v>2.3070438434744284E-2</v>
      </c>
      <c r="BM110" s="3">
        <f ca="1">IF($BP$1=1,EA110,-IF(RTD("tos.rtd",,BM$83,"."&amp;$C$82&amp;$AU$82&amp;"P"&amp;$A110)="N/A",0,RTD("tos.rtd",,BM$83,"."&amp;$C$82&amp;$AU$82&amp;"P"&amp;$A110)))</f>
        <v>-1.9348271507470514E-3</v>
      </c>
      <c r="BN110" s="3">
        <f ca="1">IF($BP$1=1,EB110,IF(RTD("tos.rtd",,BN$83,"."&amp;$D$82&amp;$AW$82&amp;"C"&amp;$A110)="N/A",0,RTD("tos.rtd",,BN$83,"."&amp;$D$82&amp;$AW$82&amp;"C"&amp;$A110)))</f>
        <v>2.0145663415459454E-3</v>
      </c>
      <c r="BO110" s="3">
        <f ca="1">IF($BP$1=1,EC110,-IF(RTD("tos.rtd",,BO$83,"."&amp;$D$82&amp;$AW$82&amp;"P"&amp;$A110)="N/A",0,RTD("tos.rtd",,BO$83,"."&amp;$D$82&amp;$AW$82&amp;"P"&amp;$A110)))</f>
        <v>-1.9157583385805009E-3</v>
      </c>
      <c r="BQ110" s="3" t="e">
        <f t="shared" ca="1" si="450"/>
        <v>#NUM!</v>
      </c>
      <c r="BR110" s="3" t="e">
        <f t="shared" ca="1" si="489"/>
        <v>#NUM!</v>
      </c>
      <c r="BS110" s="3">
        <f t="shared" ca="1" si="451"/>
        <v>8119475.3778036842</v>
      </c>
      <c r="BT110" s="3" t="str">
        <f t="shared" ca="1" si="489"/>
        <v/>
      </c>
      <c r="BU110" s="3">
        <f t="shared" ca="1" si="452"/>
        <v>101939.81408009829</v>
      </c>
      <c r="BV110" s="3" t="str">
        <f t="shared" ca="1" si="489"/>
        <v/>
      </c>
      <c r="BX110" s="3" t="e">
        <f t="shared" ca="1" si="453"/>
        <v>#NUM!</v>
      </c>
      <c r="BY110" s="3" t="e">
        <f t="shared" ca="1" si="501"/>
        <v>#NUM!</v>
      </c>
      <c r="BZ110" s="3">
        <f t="shared" ca="1" si="454"/>
        <v>158682.39310774236</v>
      </c>
      <c r="CA110" s="3" t="str">
        <f t="shared" ca="1" si="501"/>
        <v/>
      </c>
      <c r="CB110" s="3">
        <f t="shared" ca="1" si="455"/>
        <v>-36391.175672592493</v>
      </c>
      <c r="CC110" s="3" t="str">
        <f t="shared" ca="1" si="501"/>
        <v/>
      </c>
      <c r="CD110" s="3">
        <f>IF(RTD("tos.rtd",,CD$83,"."&amp;$B$82&amp;$AS$82&amp;"C"&amp;$A110)="N/A",0,RTD("tos.rtd",,CD$83,"."&amp;$B$82&amp;$AS$82&amp;"C"&amp;$A110))</f>
        <v>1</v>
      </c>
      <c r="CE110" s="3">
        <f>-IF(RTD("tos.rtd",,CE$83,"."&amp;$B$82&amp;$AS$82&amp;"P"&amp;$A110)="N/A",0,RTD("tos.rtd",,CE$83,"."&amp;$B$82&amp;$AS$82&amp;"P"&amp;$A110))</f>
        <v>0</v>
      </c>
      <c r="CF110" s="3">
        <f>IF(RTD("tos.rtd",,CF$83,"."&amp;$C$82&amp;$AU$82&amp;"C"&amp;$A110)="N/A",0,RTD("tos.rtd",,CF$83,"."&amp;$C$82&amp;$AU$82&amp;"C"&amp;$A110))</f>
        <v>0.68</v>
      </c>
      <c r="CG110" s="3">
        <f>-IF(RTD("tos.rtd",,CG$83,"."&amp;$C$82&amp;$AU$82&amp;"P"&amp;$A110)="N/A",0,RTD("tos.rtd",,CG$83,"."&amp;$C$82&amp;$AU$82&amp;"P"&amp;$A110))</f>
        <v>0.32</v>
      </c>
      <c r="CH110" s="3">
        <f>IF(RTD("tos.rtd",,CH$83,"."&amp;$D$82&amp;$AW$82&amp;"C"&amp;$A110)="N/A",0,RTD("tos.rtd",,CH$83,"."&amp;$D$82&amp;$AW$82&amp;"C"&amp;$A110))</f>
        <v>0.64</v>
      </c>
      <c r="CI110" s="3">
        <f>-IF(RTD("tos.rtd",,CI$83,"."&amp;$D$82&amp;$AW$82&amp;"P"&amp;$A110)="N/A",0,RTD("tos.rtd",,CI$83,"."&amp;$D$82&amp;$AW$82&amp;"P"&amp;$A110))</f>
        <v>0.36</v>
      </c>
      <c r="CK110" s="3">
        <f t="shared" si="490"/>
        <v>112900</v>
      </c>
      <c r="CL110" s="3"/>
      <c r="CM110" s="3">
        <f t="shared" si="491"/>
        <v>90712.000000000015</v>
      </c>
      <c r="CN110" s="3"/>
      <c r="CO110" s="3">
        <f t="shared" si="492"/>
        <v>24012</v>
      </c>
      <c r="CP110" s="3">
        <f t="shared" si="456"/>
        <v>227624</v>
      </c>
      <c r="CQ110" s="3">
        <f t="shared" si="457"/>
        <v>-19237</v>
      </c>
      <c r="CR110" s="3"/>
      <c r="CS110" s="3">
        <f t="shared" si="458"/>
        <v>-225</v>
      </c>
      <c r="CT110" s="3"/>
      <c r="CU110" s="3">
        <f t="shared" si="459"/>
        <v>-81</v>
      </c>
      <c r="CV110" s="3"/>
      <c r="CW110" s="3" t="e">
        <f t="shared" ca="1" si="460"/>
        <v>#NUM!</v>
      </c>
      <c r="CY110" s="3" t="e">
        <f t="shared" ca="1" si="461"/>
        <v>#NUM!</v>
      </c>
      <c r="CZ110" s="70" t="e">
        <f t="shared" ca="1" si="502"/>
        <v>#NUM!</v>
      </c>
      <c r="DA110" s="3">
        <f>IF(RTD("tos.rtd",,DA$83,"."&amp;$B$82&amp;$AS$82&amp;"C"&amp;$A110)="N/A",0,RTD("tos.rtd",,DA$83,"."&amp;$B$82&amp;$AS$82&amp;"C"&amp;$A110))</f>
        <v>65.599999999999994</v>
      </c>
      <c r="DB110" s="3">
        <f>IF(RTD("tos.rtd",,DB$83,"."&amp;$B$82&amp;$AS$82&amp;"P"&amp;$A110)="N/A",0,RTD("tos.rtd",,DB$83,"."&amp;$B$82&amp;$AS$82&amp;"P"&amp;$A110))</f>
        <v>0.05</v>
      </c>
      <c r="DC110" s="3">
        <f>IF(RTD("tos.rtd",,DC$83,"."&amp;$B$82&amp;$AS$82&amp;"C"&amp;$A110)="N/A",0,RTD("tos.rtd",,DC$83,"."&amp;$B$82&amp;$AS$82&amp;"C"&amp;$A110))</f>
        <v>68.3</v>
      </c>
      <c r="DD110" s="3">
        <f>IF(RTD("tos.rtd",,DD$83,"."&amp;$B$82&amp;$AS$82&amp;"P"&amp;$A110)="N/A",0,RTD("tos.rtd",,DD$83,"."&amp;$B$82&amp;$AS$82&amp;"P"&amp;$A110))</f>
        <v>0.05</v>
      </c>
      <c r="DE110" s="3">
        <f>IF(RTD("tos.rtd",,DE$83,"."&amp;$B$82&amp;$AS$82&amp;"C"&amp;$A110)="N/A",0,RTD("tos.rtd",,DE$83,"."&amp;$B$82&amp;$AS$82&amp;"C"&amp;$A110))</f>
        <v>65</v>
      </c>
      <c r="DF110" s="3">
        <f>IF(RTD("tos.rtd",,DF$83,"."&amp;$B$82&amp;$AS$82&amp;"P"&amp;$A110)="N/A",0,RTD("tos.rtd",,DF$83,"."&amp;$B$82&amp;$AS$82&amp;"P"&amp;$A110))</f>
        <v>0</v>
      </c>
      <c r="DG110" s="86">
        <f t="shared" si="494"/>
        <v>-65.75</v>
      </c>
      <c r="DH110" s="3">
        <f t="shared" si="462"/>
        <v>0</v>
      </c>
      <c r="DI110" s="3">
        <f t="shared" si="463"/>
        <v>0</v>
      </c>
      <c r="DJ110" s="3">
        <f t="shared" si="464"/>
        <v>0</v>
      </c>
      <c r="DK110" s="3">
        <f t="shared" si="465"/>
        <v>0</v>
      </c>
      <c r="DL110" s="3">
        <f t="shared" si="466"/>
        <v>0</v>
      </c>
      <c r="DM110" s="3">
        <f t="shared" si="467"/>
        <v>0</v>
      </c>
      <c r="DN110" s="64" t="str">
        <f t="shared" si="468"/>
        <v>UNKNOWN</v>
      </c>
      <c r="DO110" s="64" t="str">
        <f t="shared" si="469"/>
        <v>UNKNOWN</v>
      </c>
      <c r="DP110" s="3">
        <f t="shared" si="470"/>
        <v>0</v>
      </c>
      <c r="DQ110" s="3">
        <f t="shared" si="471"/>
        <v>0</v>
      </c>
      <c r="DR110" s="3" t="e">
        <f t="shared" ca="1" si="472"/>
        <v>#NUM!</v>
      </c>
      <c r="DS110" s="3">
        <f t="shared" si="473"/>
        <v>0</v>
      </c>
      <c r="DT110" s="3">
        <f t="shared" si="495"/>
        <v>0</v>
      </c>
      <c r="DU110" s="3">
        <f t="shared" si="496"/>
        <v>0</v>
      </c>
      <c r="DV110" s="3">
        <f t="shared" si="497"/>
        <v>-297</v>
      </c>
      <c r="DW110" s="3">
        <f t="shared" si="498"/>
        <v>1937</v>
      </c>
      <c r="DX110" s="3" t="e">
        <f t="shared" ca="1" si="503"/>
        <v>#NUM!</v>
      </c>
      <c r="DY110" s="3" t="e">
        <f t="shared" ca="1" si="474"/>
        <v>#NUM!</v>
      </c>
      <c r="DZ110" s="3">
        <f t="shared" ca="1" si="475"/>
        <v>2.3070438434744284E-2</v>
      </c>
      <c r="EA110" s="3">
        <f t="shared" ca="1" si="476"/>
        <v>-1.9348271507470514E-3</v>
      </c>
      <c r="EB110" s="3">
        <f t="shared" ca="1" si="477"/>
        <v>2.0145663415459454E-3</v>
      </c>
      <c r="EC110" s="3">
        <f t="shared" ca="1" si="478"/>
        <v>-1.9157583385805009E-3</v>
      </c>
      <c r="EE110" s="59">
        <f t="shared" si="479"/>
        <v>0.25</v>
      </c>
      <c r="EF110" s="59">
        <f t="shared" si="480"/>
        <v>0.57620000000000005</v>
      </c>
      <c r="EG110" s="59">
        <f t="shared" si="481"/>
        <v>0.2006</v>
      </c>
      <c r="EH110" s="59">
        <f t="shared" si="482"/>
        <v>0.20660000000000001</v>
      </c>
      <c r="EI110" s="59">
        <f t="shared" si="483"/>
        <v>0.19700000000000001</v>
      </c>
      <c r="EJ110" s="59">
        <f t="shared" si="484"/>
        <v>0.20899999999999999</v>
      </c>
      <c r="EL110" s="3" t="str">
        <f>RTD("tos.rtd",,EL$83,"."&amp;$B$82&amp;$AS$82&amp;"C"&amp;$A110)</f>
        <v>--</v>
      </c>
      <c r="EM110" s="3" t="str">
        <f>RTD("tos.rtd",,EM$83,"."&amp;$B$82&amp;$AS$82&amp;"P"&amp;$A110)</f>
        <v>57.62%</v>
      </c>
      <c r="EN110" s="3" t="str">
        <f>RTD("tos.rtd",,EN$83,"."&amp;$C$82&amp;$AU$82&amp;"C"&amp;$A110)</f>
        <v>20.06%</v>
      </c>
      <c r="EO110" s="3" t="str">
        <f>RTD("tos.rtd",,EO$83,"."&amp;$C$82&amp;$AU$82&amp;"P"&amp;$A110)</f>
        <v>20.66%</v>
      </c>
      <c r="EP110" s="3" t="str">
        <f>RTD("tos.rtd",,EP$83,"."&amp;$D$82&amp;$AW$82&amp;"C"&amp;$A110)</f>
        <v>19.70%</v>
      </c>
      <c r="EQ110" s="3" t="str">
        <f>RTD("tos.rtd",,EQ$83,"."&amp;$D$82&amp;$AW$82&amp;"P"&amp;$A110)</f>
        <v>20.90%</v>
      </c>
      <c r="ET110" s="64" t="str">
        <f t="shared" ca="1" si="485"/>
        <v>5620,00.00</v>
      </c>
      <c r="EU110" s="67">
        <v>564.91999999999996</v>
      </c>
      <c r="EV110" s="67" t="s">
        <v>899</v>
      </c>
      <c r="EW110" s="67">
        <v>486.6</v>
      </c>
      <c r="EX110" s="67" t="s">
        <v>900</v>
      </c>
      <c r="EY110" s="67">
        <v>5665</v>
      </c>
      <c r="EZ110" s="67" t="s">
        <v>901</v>
      </c>
      <c r="FA110" s="67">
        <v>19995</v>
      </c>
      <c r="FB110" s="67" t="s">
        <v>902</v>
      </c>
      <c r="FC110" s="67" t="s">
        <v>903</v>
      </c>
      <c r="FD110" s="67" t="s">
        <v>904</v>
      </c>
      <c r="FE110" s="68" t="s">
        <v>905</v>
      </c>
      <c r="FF110" s="68" t="s">
        <v>906</v>
      </c>
    </row>
    <row r="111" spans="1:162" s="63" customFormat="1" ht="12" customHeight="1" thickBot="1" x14ac:dyDescent="0.25">
      <c r="A111" s="2">
        <f t="shared" si="499"/>
        <v>5610</v>
      </c>
      <c r="B111" s="3">
        <f t="shared" si="445"/>
        <v>4647</v>
      </c>
      <c r="C111" s="3">
        <f t="shared" si="446"/>
        <v>467</v>
      </c>
      <c r="D111" s="3">
        <f t="shared" si="447"/>
        <v>1414</v>
      </c>
      <c r="E111" s="3">
        <f t="shared" si="510"/>
        <v>6528</v>
      </c>
      <c r="F111" s="4">
        <f t="shared" si="513"/>
        <v>5633.6802532647407</v>
      </c>
      <c r="G111" s="4">
        <f t="shared" si="511"/>
        <v>559.41638306292054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656</v>
      </c>
      <c r="AN111" s="20">
        <v>-1262</v>
      </c>
      <c r="AO111" s="20">
        <v>5610</v>
      </c>
      <c r="AP111" s="20">
        <v>3941</v>
      </c>
      <c r="AQ111" s="20">
        <v>-18789</v>
      </c>
      <c r="AR111" s="20"/>
      <c r="AS111" s="54">
        <f>IF(RTD("tos.rtd",,AS$83,"."&amp;$B$82&amp;$AS$82&amp;"C"&amp;$A111)="N/A",0,RTD("tos.rtd",,AS$83,"."&amp;$B$82&amp;$AS$82&amp;"C"&amp;$A111))</f>
        <v>4002</v>
      </c>
      <c r="AT111" s="3">
        <f>-IF(RTD("tos.rtd",,AT$83,"."&amp;$B$82&amp;$AS$82&amp;"P"&amp;$A111)="N/A",0,RTD("tos.rtd",,AT$83,"."&amp;$B$82&amp;$AS$82&amp;"P"&amp;$A111))</f>
        <v>-645</v>
      </c>
      <c r="AU111" s="54">
        <f>IF(RTD("tos.rtd",,AU$83,"."&amp;$C$82&amp;$AU$82&amp;"C"&amp;$A111)="N/A",0,RTD("tos.rtd",,AU$83,"."&amp;$C$82&amp;$AU$82&amp;"C"&amp;$A111))</f>
        <v>300</v>
      </c>
      <c r="AV111" s="3">
        <f>-IF(RTD("tos.rtd",,AV$83,"."&amp;$C$82&amp;$AU$82&amp;"P"&amp;$A111)="N/A",0,RTD("tos.rtd",,AV$83,"."&amp;$C$82&amp;$AU$82&amp;"P"&amp;$A111))</f>
        <v>-167</v>
      </c>
      <c r="AW111" s="54">
        <f>IF(RTD("tos.rtd",,AW$83,"."&amp;$D$82&amp;$AW$82&amp;"C"&amp;$A111)="N/A",0,RTD("tos.rtd",,AW$83,"."&amp;$D$82&amp;$AW$82&amp;"C"&amp;$A111))</f>
        <v>1177</v>
      </c>
      <c r="AX111" s="3">
        <f>-IF(RTD("tos.rtd",,AX$83,"."&amp;$D$82&amp;$AW$82&amp;"P"&amp;$A111)="N/A",0,RTD("tos.rtd",,AX$83,"."&amp;$D$82&amp;$AW$82&amp;"P"&amp;$A111))</f>
        <v>-237</v>
      </c>
      <c r="AY111" s="79">
        <f t="shared" si="512"/>
        <v>4430</v>
      </c>
      <c r="AZ111" s="8">
        <f t="shared" si="449"/>
        <v>5610</v>
      </c>
      <c r="BA111" s="54">
        <f>IF(RTD("tos.rtd",,BA$83,"."&amp;$B$82&amp;$AS$82&amp;"C"&amp;$A111)="N/A",0,RTD("tos.rtd",,BA$83,"."&amp;$B$82&amp;$AS$82&amp;"C"&amp;$A111))</f>
        <v>3941</v>
      </c>
      <c r="BB111" s="3">
        <f>-IF(RTD("tos.rtd",,BB$83,"."&amp;$B$82&amp;$AS$82&amp;"P"&amp;$A111)="N/A",0,RTD("tos.rtd",,BB$83,"."&amp;$B$82&amp;$AS$82&amp;"P"&amp;$A111))</f>
        <v>-18789</v>
      </c>
      <c r="BC111" s="54">
        <f>IF(RTD("tos.rtd",,BC$83,"."&amp;$C$82&amp;$AU$82&amp;"C"&amp;$A111)="N/A",0,RTD("tos.rtd",,BC$83,"."&amp;$C$82&amp;$AU$82&amp;"C"&amp;$A111))</f>
        <v>62</v>
      </c>
      <c r="BD111" s="3">
        <f>-IF(RTD("tos.rtd",,BD$83,"."&amp;$C$82&amp;$AU$82&amp;"P"&amp;$A111)="N/A",0,RTD("tos.rtd",,BD$83,"."&amp;$C$82&amp;$AU$82&amp;"P"&amp;$A111))</f>
        <v>-208</v>
      </c>
      <c r="BE111" s="54">
        <f>IF(RTD("tos.rtd",,BE$83,"."&amp;$D$82&amp;$AW$82&amp;"C"&amp;$A111)="N/A",0,RTD("tos.rtd",,BE$83,"."&amp;$D$82&amp;$AW$82&amp;"C"&amp;$A111))</f>
        <v>31</v>
      </c>
      <c r="BF111" s="3">
        <f>-IF(RTD("tos.rtd",,BF$83,"."&amp;$D$82&amp;$AW$82&amp;"P"&amp;$A111)="N/A",0,RTD("tos.rtd",,BF$83,"."&amp;$D$82&amp;$AW$82&amp;"P"&amp;$A111))</f>
        <v>-27</v>
      </c>
      <c r="BG111" s="3" t="e">
        <f ca="1">+Hoja2!Y112</f>
        <v>#N/A</v>
      </c>
      <c r="BH111" s="55" t="e">
        <f t="shared" ca="1" si="488"/>
        <v>#N/A</v>
      </c>
      <c r="BI111" s="32" t="e">
        <f t="shared" ca="1" si="504"/>
        <v>#N/A</v>
      </c>
      <c r="BJ111" s="3" t="e">
        <f ca="1">IF($BP$1=1,DX111,IF(RTD("tos.rtd",,BJ$83,"."&amp;$B$82&amp;$AS$82&amp;"C"&amp;$A111)="N/A",0,RTD("tos.rtd",,BJ$83,"."&amp;$B$82&amp;$AS$82&amp;"C"&amp;$A111)))</f>
        <v>#NUM!</v>
      </c>
      <c r="BK111" s="3" t="e">
        <f ca="1">IF($BP$1=1,DY111,-IF(RTD("tos.rtd",,BK$83,"."&amp;$B$82&amp;$AS$82&amp;"P"&amp;$A111)="N/A",0,RTD("tos.rtd",,BK$83,"."&amp;$B$82&amp;$AS$82&amp;"P"&amp;$A111)))</f>
        <v>#NUM!</v>
      </c>
      <c r="BL111" s="3">
        <f ca="1">IF($BP$1=1,DZ111,IF(RTD("tos.rtd",,BL$83,"."&amp;$C$82&amp;$AU$82&amp;"C"&amp;$A111)="N/A",0,RTD("tos.rtd",,BL$83,"."&amp;$C$82&amp;$AU$82&amp;"C"&amp;$A111)))</f>
        <v>2.23312291457014E-2</v>
      </c>
      <c r="BM111" s="3">
        <f ca="1">IF($BP$1=1,EA111,-IF(RTD("tos.rtd",,BM$83,"."&amp;$C$82&amp;$AU$82&amp;"P"&amp;$A111)="N/A",0,RTD("tos.rtd",,BM$83,"."&amp;$C$82&amp;$AU$82&amp;"P"&amp;$A111)))</f>
        <v>-1.8726118725647634E-3</v>
      </c>
      <c r="BN111" s="3">
        <f ca="1">IF($BP$1=1,EB111,IF(RTD("tos.rtd",,BN$83,"."&amp;$D$82&amp;$AW$82&amp;"C"&amp;$A111)="N/A",0,RTD("tos.rtd",,BN$83,"."&amp;$D$82&amp;$AW$82&amp;"C"&amp;$A111)))</f>
        <v>1.9505608236406696E-3</v>
      </c>
      <c r="BO111" s="3">
        <f ca="1">IF($BP$1=1,EC111,-IF(RTD("tos.rtd",,BO$83,"."&amp;$D$82&amp;$AW$82&amp;"P"&amp;$A111)="N/A",0,RTD("tos.rtd",,BO$83,"."&amp;$D$82&amp;$AW$82&amp;"P"&amp;$A111)))</f>
        <v>-1.8580748451750802E-3</v>
      </c>
      <c r="BQ111" s="3" t="e">
        <f t="shared" ca="1" si="450"/>
        <v>#NUM!</v>
      </c>
      <c r="BR111" s="3" t="e">
        <f t="shared" ca="1" si="489"/>
        <v>#NUM!</v>
      </c>
      <c r="BS111" s="3">
        <f t="shared" ca="1" si="451"/>
        <v>1526930.5205886352</v>
      </c>
      <c r="BT111" s="3" t="str">
        <f t="shared" ca="1" si="489"/>
        <v/>
      </c>
      <c r="BU111" s="3">
        <f t="shared" ca="1" si="452"/>
        <v>443603.60483328288</v>
      </c>
      <c r="BV111" s="3" t="str">
        <f t="shared" ca="1" si="489"/>
        <v/>
      </c>
      <c r="BX111" s="3" t="e">
        <f t="shared" ca="1" si="453"/>
        <v>#NUM!</v>
      </c>
      <c r="BY111" s="3" t="e">
        <f t="shared" ca="1" si="501"/>
        <v>#NUM!</v>
      </c>
      <c r="BZ111" s="3">
        <f t="shared" ca="1" si="454"/>
        <v>237894.34696104226</v>
      </c>
      <c r="CA111" s="3" t="str">
        <f t="shared" ca="1" si="501"/>
        <v/>
      </c>
      <c r="CB111" s="3">
        <f t="shared" ca="1" si="455"/>
        <v>2462.391494900623</v>
      </c>
      <c r="CC111" s="3" t="str">
        <f t="shared" ca="1" si="501"/>
        <v>Cruce +</v>
      </c>
      <c r="CD111" s="3">
        <f>IF(RTD("tos.rtd",,CD$83,"."&amp;$B$82&amp;$AS$82&amp;"C"&amp;$A111)="N/A",0,RTD("tos.rtd",,CD$83,"."&amp;$B$82&amp;$AS$82&amp;"C"&amp;$A111))</f>
        <v>1</v>
      </c>
      <c r="CE111" s="3">
        <f>-IF(RTD("tos.rtd",,CE$83,"."&amp;$B$82&amp;$AS$82&amp;"P"&amp;$A111)="N/A",0,RTD("tos.rtd",,CE$83,"."&amp;$B$82&amp;$AS$82&amp;"P"&amp;$A111))</f>
        <v>0</v>
      </c>
      <c r="CF111" s="3">
        <f>IF(RTD("tos.rtd",,CF$83,"."&amp;$C$82&amp;$AU$82&amp;"C"&amp;$A111)="N/A",0,RTD("tos.rtd",,CF$83,"."&amp;$C$82&amp;$AU$82&amp;"C"&amp;$A111))</f>
        <v>0.7</v>
      </c>
      <c r="CG111" s="3">
        <f>-IF(RTD("tos.rtd",,CG$83,"."&amp;$C$82&amp;$AU$82&amp;"P"&amp;$A111)="N/A",0,RTD("tos.rtd",,CG$83,"."&amp;$C$82&amp;$AU$82&amp;"P"&amp;$A111))</f>
        <v>0.3</v>
      </c>
      <c r="CH111" s="3">
        <f>IF(RTD("tos.rtd",,CH$83,"."&amp;$D$82&amp;$AW$82&amp;"C"&amp;$A111)="N/A",0,RTD("tos.rtd",,CH$83,"."&amp;$D$82&amp;$AW$82&amp;"C"&amp;$A111))</f>
        <v>0.66</v>
      </c>
      <c r="CI111" s="3">
        <f>-IF(RTD("tos.rtd",,CI$83,"."&amp;$D$82&amp;$AW$82&amp;"P"&amp;$A111)="N/A",0,RTD("tos.rtd",,CI$83,"."&amp;$D$82&amp;$AW$82&amp;"P"&amp;$A111))</f>
        <v>0.35</v>
      </c>
      <c r="CK111" s="3">
        <f t="shared" si="490"/>
        <v>400200</v>
      </c>
      <c r="CL111" s="3"/>
      <c r="CM111" s="3">
        <f t="shared" si="491"/>
        <v>15990</v>
      </c>
      <c r="CN111" s="3"/>
      <c r="CO111" s="3">
        <f t="shared" si="492"/>
        <v>69387</v>
      </c>
      <c r="CP111" s="3">
        <f t="shared" si="456"/>
        <v>485577</v>
      </c>
      <c r="CQ111" s="3">
        <f t="shared" si="457"/>
        <v>-14848</v>
      </c>
      <c r="CR111" s="3"/>
      <c r="CS111" s="3">
        <f t="shared" si="458"/>
        <v>-146</v>
      </c>
      <c r="CT111" s="3"/>
      <c r="CU111" s="3">
        <f t="shared" si="459"/>
        <v>4</v>
      </c>
      <c r="CV111" s="3"/>
      <c r="CW111" s="3" t="e">
        <f t="shared" ca="1" si="460"/>
        <v>#NUM!</v>
      </c>
      <c r="CY111" s="3" t="e">
        <f t="shared" ca="1" si="461"/>
        <v>#NUM!</v>
      </c>
      <c r="CZ111" s="70" t="e">
        <f t="shared" ca="1" si="502"/>
        <v>#NUM!</v>
      </c>
      <c r="DA111" s="3">
        <f>IF(RTD("tos.rtd",,DA$83,"."&amp;$B$82&amp;$AS$82&amp;"C"&amp;$A111)="N/A",0,RTD("tos.rtd",,DA$83,"."&amp;$B$82&amp;$AS$82&amp;"C"&amp;$A111))</f>
        <v>77.62</v>
      </c>
      <c r="DB111" s="3">
        <f>IF(RTD("tos.rtd",,DB$83,"."&amp;$B$82&amp;$AS$82&amp;"P"&amp;$A111)="N/A",0,RTD("tos.rtd",,DB$83,"."&amp;$B$82&amp;$AS$82&amp;"P"&amp;$A111))</f>
        <v>0.05</v>
      </c>
      <c r="DC111" s="3">
        <f>IF(RTD("tos.rtd",,DC$83,"."&amp;$B$82&amp;$AS$82&amp;"C"&amp;$A111)="N/A",0,RTD("tos.rtd",,DC$83,"."&amp;$B$82&amp;$AS$82&amp;"C"&amp;$A111))</f>
        <v>78.3</v>
      </c>
      <c r="DD111" s="3">
        <f>IF(RTD("tos.rtd",,DD$83,"."&amp;$B$82&amp;$AS$82&amp;"P"&amp;$A111)="N/A",0,RTD("tos.rtd",,DD$83,"."&amp;$B$82&amp;$AS$82&amp;"P"&amp;$A111))</f>
        <v>0.05</v>
      </c>
      <c r="DE111" s="3">
        <f>IF(RTD("tos.rtd",,DE$83,"."&amp;$B$82&amp;$AS$82&amp;"C"&amp;$A111)="N/A",0,RTD("tos.rtd",,DE$83,"."&amp;$B$82&amp;$AS$82&amp;"C"&amp;$A111))</f>
        <v>73.8</v>
      </c>
      <c r="DF111" s="3">
        <f>IF(RTD("tos.rtd",,DF$83,"."&amp;$B$82&amp;$AS$82&amp;"P"&amp;$A111)="N/A",0,RTD("tos.rtd",,DF$83,"."&amp;$B$82&amp;$AS$82&amp;"P"&amp;$A111))</f>
        <v>0</v>
      </c>
      <c r="DG111" s="86">
        <f t="shared" si="494"/>
        <v>-75.75</v>
      </c>
      <c r="DH111" s="3">
        <f t="shared" si="462"/>
        <v>0</v>
      </c>
      <c r="DI111" s="3">
        <f t="shared" si="463"/>
        <v>0</v>
      </c>
      <c r="DJ111" s="3">
        <f t="shared" si="464"/>
        <v>0</v>
      </c>
      <c r="DK111" s="3">
        <f t="shared" si="465"/>
        <v>0</v>
      </c>
      <c r="DL111" s="3">
        <f t="shared" si="466"/>
        <v>0</v>
      </c>
      <c r="DM111" s="3">
        <f t="shared" si="467"/>
        <v>0</v>
      </c>
      <c r="DN111" s="64" t="str">
        <f t="shared" si="468"/>
        <v>UNKNOWN</v>
      </c>
      <c r="DO111" s="64" t="str">
        <f t="shared" si="469"/>
        <v>UNKNOWN</v>
      </c>
      <c r="DP111" s="3">
        <f t="shared" si="470"/>
        <v>0</v>
      </c>
      <c r="DQ111" s="3">
        <f t="shared" si="471"/>
        <v>0</v>
      </c>
      <c r="DR111" s="3" t="e">
        <f t="shared" ca="1" si="472"/>
        <v>#NUM!</v>
      </c>
      <c r="DS111" s="3">
        <f t="shared" si="473"/>
        <v>0</v>
      </c>
      <c r="DT111" s="3">
        <f t="shared" si="495"/>
        <v>0</v>
      </c>
      <c r="DU111" s="3">
        <f t="shared" si="496"/>
        <v>0</v>
      </c>
      <c r="DV111" s="3">
        <f t="shared" si="497"/>
        <v>656</v>
      </c>
      <c r="DW111" s="3">
        <f t="shared" si="498"/>
        <v>-1262</v>
      </c>
      <c r="DX111" s="3" t="e">
        <f t="shared" ca="1" si="503"/>
        <v>#NUM!</v>
      </c>
      <c r="DY111" s="3" t="e">
        <f t="shared" ca="1" si="474"/>
        <v>#NUM!</v>
      </c>
      <c r="DZ111" s="3">
        <f t="shared" ca="1" si="475"/>
        <v>2.23312291457014E-2</v>
      </c>
      <c r="EA111" s="3">
        <f t="shared" ca="1" si="476"/>
        <v>-1.8726118725647634E-3</v>
      </c>
      <c r="EB111" s="3">
        <f t="shared" ca="1" si="477"/>
        <v>1.9505608236406696E-3</v>
      </c>
      <c r="EC111" s="3">
        <f t="shared" ca="1" si="478"/>
        <v>-1.8580748451750802E-3</v>
      </c>
      <c r="EE111" s="59">
        <f t="shared" si="479"/>
        <v>0.25</v>
      </c>
      <c r="EF111" s="59">
        <f t="shared" si="480"/>
        <v>0.65439999999999998</v>
      </c>
      <c r="EG111" s="59">
        <f t="shared" si="481"/>
        <v>0.20280000000000001</v>
      </c>
      <c r="EH111" s="59">
        <f t="shared" si="482"/>
        <v>0.2092</v>
      </c>
      <c r="EI111" s="59">
        <f t="shared" si="483"/>
        <v>0.19889999999999999</v>
      </c>
      <c r="EJ111" s="59">
        <f t="shared" si="484"/>
        <v>0.2112</v>
      </c>
      <c r="EL111" s="3" t="str">
        <f>RTD("tos.rtd",,EL$83,"."&amp;$B$82&amp;$AS$82&amp;"C"&amp;$A111)</f>
        <v>--</v>
      </c>
      <c r="EM111" s="3" t="str">
        <f>RTD("tos.rtd",,EM$83,"."&amp;$B$82&amp;$AS$82&amp;"P"&amp;$A111)</f>
        <v>65.44%</v>
      </c>
      <c r="EN111" s="3" t="str">
        <f>RTD("tos.rtd",,EN$83,"."&amp;$C$82&amp;$AU$82&amp;"C"&amp;$A111)</f>
        <v>20.28%</v>
      </c>
      <c r="EO111" s="3" t="str">
        <f>RTD("tos.rtd",,EO$83,"."&amp;$C$82&amp;$AU$82&amp;"P"&amp;$A111)</f>
        <v>20.92%</v>
      </c>
      <c r="EP111" s="3" t="str">
        <f>RTD("tos.rtd",,EP$83,"."&amp;$D$82&amp;$AW$82&amp;"C"&amp;$A111)</f>
        <v>19.89%</v>
      </c>
      <c r="EQ111" s="3" t="str">
        <f>RTD("tos.rtd",,EQ$83,"."&amp;$D$82&amp;$AW$82&amp;"P"&amp;$A111)</f>
        <v>21.12%</v>
      </c>
      <c r="ET111" s="64" t="str">
        <f t="shared" ca="1" si="485"/>
        <v>5610,00.00</v>
      </c>
      <c r="EU111" s="67">
        <v>565.04999999999995</v>
      </c>
      <c r="EV111" s="67" t="s">
        <v>907</v>
      </c>
      <c r="EW111" s="67">
        <v>486.64</v>
      </c>
      <c r="EX111" s="67" t="s">
        <v>908</v>
      </c>
      <c r="EY111" s="67">
        <v>5665.5</v>
      </c>
      <c r="EZ111" s="67" t="s">
        <v>909</v>
      </c>
      <c r="FA111" s="67">
        <v>20000.25</v>
      </c>
      <c r="FB111" s="67" t="s">
        <v>910</v>
      </c>
      <c r="FC111" s="67" t="s">
        <v>911</v>
      </c>
      <c r="FD111" s="67" t="s">
        <v>912</v>
      </c>
      <c r="FE111" s="68" t="s">
        <v>913</v>
      </c>
      <c r="FF111" s="68" t="s">
        <v>914</v>
      </c>
    </row>
    <row r="112" spans="1:162" s="63" customFormat="1" ht="12" customHeight="1" thickBot="1" x14ac:dyDescent="0.25">
      <c r="A112" s="2">
        <f t="shared" si="499"/>
        <v>5600</v>
      </c>
      <c r="B112" s="3">
        <f t="shared" si="445"/>
        <v>11543</v>
      </c>
      <c r="C112" s="3">
        <f t="shared" si="446"/>
        <v>2524</v>
      </c>
      <c r="D112" s="3">
        <f t="shared" si="447"/>
        <v>5380</v>
      </c>
      <c r="E112" s="3">
        <f t="shared" ref="E112:E122" si="514">SUM(B112:D112)</f>
        <v>19447</v>
      </c>
      <c r="F112" s="4">
        <f t="shared" ref="F112:F122" si="515">+$F$84/$A$84*A112</f>
        <v>5623.6380424746076</v>
      </c>
      <c r="G112" s="4">
        <f t="shared" ref="G112:G122" si="516">+$G$84/$A$84*A112</f>
        <v>558.41920590951065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199</v>
      </c>
      <c r="AN112" s="20">
        <v>6692</v>
      </c>
      <c r="AO112" s="20">
        <v>5600</v>
      </c>
      <c r="AP112" s="20">
        <v>5293</v>
      </c>
      <c r="AQ112" s="20">
        <v>-36175</v>
      </c>
      <c r="AR112" s="20"/>
      <c r="AS112" s="54">
        <f>IF(RTD("tos.rtd",,AS$83,"."&amp;$B$82&amp;$AS$82&amp;"C"&amp;$A112)="N/A",0,RTD("tos.rtd",,AS$83,"."&amp;$B$82&amp;$AS$82&amp;"C"&amp;$A112))</f>
        <v>7810</v>
      </c>
      <c r="AT112" s="3">
        <f>-IF(RTD("tos.rtd",,AT$83,"."&amp;$B$82&amp;$AS$82&amp;"P"&amp;$A112)="N/A",0,RTD("tos.rtd",,AT$83,"."&amp;$B$82&amp;$AS$82&amp;"P"&amp;$A112))</f>
        <v>-3733</v>
      </c>
      <c r="AU112" s="54">
        <f>IF(RTD("tos.rtd",,AU$83,"."&amp;$C$82&amp;$AU$82&amp;"C"&amp;$A112)="N/A",0,RTD("tos.rtd",,AU$83,"."&amp;$C$82&amp;$AU$82&amp;"C"&amp;$A112))</f>
        <v>1959</v>
      </c>
      <c r="AV112" s="3">
        <f>-IF(RTD("tos.rtd",,AV$83,"."&amp;$C$82&amp;$AU$82&amp;"P"&amp;$A112)="N/A",0,RTD("tos.rtd",,AV$83,"."&amp;$C$82&amp;$AU$82&amp;"P"&amp;$A112))</f>
        <v>-565</v>
      </c>
      <c r="AW112" s="54">
        <f>IF(RTD("tos.rtd",,AW$83,"."&amp;$D$82&amp;$AW$82&amp;"C"&amp;$A112)="N/A",0,RTD("tos.rtd",,AW$83,"."&amp;$D$82&amp;$AW$82&amp;"C"&amp;$A112))</f>
        <v>2976</v>
      </c>
      <c r="AX112" s="3">
        <f>-IF(RTD("tos.rtd",,AX$83,"."&amp;$D$82&amp;$AW$82&amp;"P"&amp;$A112)="N/A",0,RTD("tos.rtd",,AX$83,"."&amp;$D$82&amp;$AW$82&amp;"P"&amp;$A112))</f>
        <v>-2404</v>
      </c>
      <c r="AY112" s="79">
        <f t="shared" ref="AY112:AY122" si="517">SUM(AS112:AX112)</f>
        <v>6043</v>
      </c>
      <c r="AZ112" s="8">
        <f t="shared" si="449"/>
        <v>5600</v>
      </c>
      <c r="BA112" s="54">
        <f>IF(RTD("tos.rtd",,BA$83,"."&amp;$B$82&amp;$AS$82&amp;"C"&amp;$A112)="N/A",0,RTD("tos.rtd",,BA$83,"."&amp;$B$82&amp;$AS$82&amp;"C"&amp;$A112))</f>
        <v>5293</v>
      </c>
      <c r="BB112" s="3">
        <f>-IF(RTD("tos.rtd",,BB$83,"."&amp;$B$82&amp;$AS$82&amp;"P"&amp;$A112)="N/A",0,RTD("tos.rtd",,BB$83,"."&amp;$B$82&amp;$AS$82&amp;"P"&amp;$A112))</f>
        <v>-36175</v>
      </c>
      <c r="BC112" s="54">
        <f>IF(RTD("tos.rtd",,BC$83,"."&amp;$C$82&amp;$AU$82&amp;"C"&amp;$A112)="N/A",0,RTD("tos.rtd",,BC$83,"."&amp;$C$82&amp;$AU$82&amp;"C"&amp;$A112))</f>
        <v>470</v>
      </c>
      <c r="BD112" s="3">
        <f>-IF(RTD("tos.rtd",,BD$83,"."&amp;$C$82&amp;$AU$82&amp;"P"&amp;$A112)="N/A",0,RTD("tos.rtd",,BD$83,"."&amp;$C$82&amp;$AU$82&amp;"P"&amp;$A112))</f>
        <v>-1757</v>
      </c>
      <c r="BE112" s="54">
        <f>IF(RTD("tos.rtd",,BE$83,"."&amp;$D$82&amp;$AW$82&amp;"C"&amp;$A112)="N/A",0,RTD("tos.rtd",,BE$83,"."&amp;$D$82&amp;$AW$82&amp;"C"&amp;$A112))</f>
        <v>782</v>
      </c>
      <c r="BF112" s="3">
        <f>-IF(RTD("tos.rtd",,BF$83,"."&amp;$D$82&amp;$AW$82&amp;"P"&amp;$A112)="N/A",0,RTD("tos.rtd",,BF$83,"."&amp;$D$82&amp;$AW$82&amp;"P"&amp;$A112))</f>
        <v>-826</v>
      </c>
      <c r="BG112" s="3" t="e">
        <f ca="1">+Hoja2!Y113</f>
        <v>#N/A</v>
      </c>
      <c r="BH112" s="55" t="e">
        <f t="shared" ca="1" si="488"/>
        <v>#N/A</v>
      </c>
      <c r="BI112" s="32" t="e">
        <f t="shared" ca="1" si="504"/>
        <v>#N/A</v>
      </c>
      <c r="BJ112" s="3" t="e">
        <f ca="1">IF($BP$1=1,DX112,IF(RTD("tos.rtd",,BJ$83,"."&amp;$B$82&amp;$AS$82&amp;"C"&amp;$A112)="N/A",0,RTD("tos.rtd",,BJ$83,"."&amp;$B$82&amp;$AS$82&amp;"C"&amp;$A112)))</f>
        <v>#NUM!</v>
      </c>
      <c r="BK112" s="3" t="e">
        <f ca="1">IF($BP$1=1,DY112,-IF(RTD("tos.rtd",,BK$83,"."&amp;$B$82&amp;$AS$82&amp;"P"&amp;$A112)="N/A",0,RTD("tos.rtd",,BK$83,"."&amp;$B$82&amp;$AS$82&amp;"P"&amp;$A112)))</f>
        <v>#NUM!</v>
      </c>
      <c r="BL112" s="3">
        <f ca="1">IF($BP$1=1,DZ112,IF(RTD("tos.rtd",,BL$83,"."&amp;$C$82&amp;$AU$82&amp;"C"&amp;$A112)="N/A",0,RTD("tos.rtd",,BL$83,"."&amp;$C$82&amp;$AU$82&amp;"C"&amp;$A112)))</f>
        <v>2.1735668805189789E-2</v>
      </c>
      <c r="BM112" s="3">
        <f ca="1">IF($BP$1=1,EA112,-IF(RTD("tos.rtd",,BM$83,"."&amp;$C$82&amp;$AU$82&amp;"P"&amp;$A112)="N/A",0,RTD("tos.rtd",,BM$83,"."&amp;$C$82&amp;$AU$82&amp;"P"&amp;$A112)))</f>
        <v>-1.8107992854218507E-3</v>
      </c>
      <c r="BN112" s="3">
        <f ca="1">IF($BP$1=1,EB112,IF(RTD("tos.rtd",,BN$83,"."&amp;$D$82&amp;$AW$82&amp;"C"&amp;$A112)="N/A",0,RTD("tos.rtd",,BN$83,"."&amp;$D$82&amp;$AW$82&amp;"C"&amp;$A112)))</f>
        <v>1.8853078212823851E-3</v>
      </c>
      <c r="BO112" s="3">
        <f ca="1">IF($BP$1=1,EC112,-IF(RTD("tos.rtd",,BO$83,"."&amp;$D$82&amp;$AW$82&amp;"P"&amp;$A112)="N/A",0,RTD("tos.rtd",,BO$83,"."&amp;$D$82&amp;$AW$82&amp;"P"&amp;$A112)))</f>
        <v>-1.7995812008549988E-3</v>
      </c>
      <c r="BQ112" s="3" t="e">
        <f t="shared" ca="1" si="450"/>
        <v>#NUM!</v>
      </c>
      <c r="BR112" s="3" t="e">
        <f t="shared" ca="1" si="489"/>
        <v>#NUM!</v>
      </c>
      <c r="BS112" s="3">
        <f t="shared" ca="1" si="451"/>
        <v>9935543.3484288454</v>
      </c>
      <c r="BT112" s="3" t="str">
        <f t="shared" ca="1" si="489"/>
        <v/>
      </c>
      <c r="BU112" s="3">
        <f t="shared" ca="1" si="452"/>
        <v>307096.58127065899</v>
      </c>
      <c r="BV112" s="3" t="str">
        <f t="shared" ca="1" si="489"/>
        <v/>
      </c>
      <c r="BX112" s="3" t="e">
        <f t="shared" ca="1" si="453"/>
        <v>#NUM!</v>
      </c>
      <c r="BY112" s="3" t="e">
        <f t="shared" ca="1" si="501"/>
        <v>#NUM!</v>
      </c>
      <c r="BZ112" s="3">
        <f t="shared" ca="1" si="454"/>
        <v>1681747.3792861779</v>
      </c>
      <c r="CA112" s="3" t="str">
        <f t="shared" ca="1" si="501"/>
        <v/>
      </c>
      <c r="CB112" s="3">
        <f t="shared" ca="1" si="455"/>
        <v>-2903.256320944638</v>
      </c>
      <c r="CC112" s="3" t="str">
        <f t="shared" ca="1" si="501"/>
        <v>Cruce -</v>
      </c>
      <c r="CD112" s="3">
        <f>IF(RTD("tos.rtd",,CD$83,"."&amp;$B$82&amp;$AS$82&amp;"C"&amp;$A112)="N/A",0,RTD("tos.rtd",,CD$83,"."&amp;$B$82&amp;$AS$82&amp;"C"&amp;$A112))</f>
        <v>1</v>
      </c>
      <c r="CE112" s="3">
        <f>-IF(RTD("tos.rtd",,CE$83,"."&amp;$B$82&amp;$AS$82&amp;"P"&amp;$A112)="N/A",0,RTD("tos.rtd",,CE$83,"."&amp;$B$82&amp;$AS$82&amp;"P"&amp;$A112))</f>
        <v>0</v>
      </c>
      <c r="CF112" s="3">
        <f>IF(RTD("tos.rtd",,CF$83,"."&amp;$C$82&amp;$AU$82&amp;"C"&amp;$A112)="N/A",0,RTD("tos.rtd",,CF$83,"."&amp;$C$82&amp;$AU$82&amp;"C"&amp;$A112))</f>
        <v>0.72</v>
      </c>
      <c r="CG112" s="3">
        <f>-IF(RTD("tos.rtd",,CG$83,"."&amp;$C$82&amp;$AU$82&amp;"P"&amp;$A112)="N/A",0,RTD("tos.rtd",,CG$83,"."&amp;$C$82&amp;$AU$82&amp;"P"&amp;$A112))</f>
        <v>0.28000000000000003</v>
      </c>
      <c r="CH112" s="3">
        <f>IF(RTD("tos.rtd",,CH$83,"."&amp;$D$82&amp;$AW$82&amp;"C"&amp;$A112)="N/A",0,RTD("tos.rtd",,CH$83,"."&amp;$D$82&amp;$AW$82&amp;"C"&amp;$A112))</f>
        <v>0.68</v>
      </c>
      <c r="CI112" s="3">
        <f>-IF(RTD("tos.rtd",,CI$83,"."&amp;$D$82&amp;$AW$82&amp;"P"&amp;$A112)="N/A",0,RTD("tos.rtd",,CI$83,"."&amp;$D$82&amp;$AW$82&amp;"P"&amp;$A112))</f>
        <v>0.33</v>
      </c>
      <c r="CK112" s="3">
        <f t="shared" si="490"/>
        <v>781000</v>
      </c>
      <c r="CL112" s="3"/>
      <c r="CM112" s="3">
        <f t="shared" si="491"/>
        <v>125228</v>
      </c>
      <c r="CN112" s="3"/>
      <c r="CO112" s="3">
        <f t="shared" si="492"/>
        <v>123036</v>
      </c>
      <c r="CP112" s="3">
        <f t="shared" si="456"/>
        <v>1029264</v>
      </c>
      <c r="CQ112" s="3">
        <f t="shared" si="457"/>
        <v>-30882</v>
      </c>
      <c r="CR112" s="3"/>
      <c r="CS112" s="3">
        <f t="shared" si="458"/>
        <v>-1287</v>
      </c>
      <c r="CT112" s="3"/>
      <c r="CU112" s="3">
        <f t="shared" si="459"/>
        <v>-44</v>
      </c>
      <c r="CV112" s="3"/>
      <c r="CW112" s="3" t="e">
        <f t="shared" ref="CW112:CW122" ca="1" si="518">+BQ112+BS112+BU112</f>
        <v>#NUM!</v>
      </c>
      <c r="CY112" s="3" t="e">
        <f t="shared" ca="1" si="461"/>
        <v>#NUM!</v>
      </c>
      <c r="CZ112" s="70" t="e">
        <f t="shared" ca="1" si="502"/>
        <v>#NUM!</v>
      </c>
      <c r="DA112" s="3">
        <f>IF(RTD("tos.rtd",,DA$83,"."&amp;$B$82&amp;$AS$82&amp;"C"&amp;$A112)="N/A",0,RTD("tos.rtd",,DA$83,"."&amp;$B$82&amp;$AS$82&amp;"C"&amp;$A112))</f>
        <v>83.26</v>
      </c>
      <c r="DB112" s="3">
        <f>IF(RTD("tos.rtd",,DB$83,"."&amp;$B$82&amp;$AS$82&amp;"P"&amp;$A112)="N/A",0,RTD("tos.rtd",,DB$83,"."&amp;$B$82&amp;$AS$82&amp;"P"&amp;$A112))</f>
        <v>0.03</v>
      </c>
      <c r="DC112" s="3">
        <f>IF(RTD("tos.rtd",,DC$83,"."&amp;$B$82&amp;$AS$82&amp;"C"&amp;$A112)="N/A",0,RTD("tos.rtd",,DC$83,"."&amp;$B$82&amp;$AS$82&amp;"C"&amp;$A112))</f>
        <v>88.3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83.8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494"/>
        <v>-85.75</v>
      </c>
      <c r="DH112" s="3">
        <f t="shared" si="462"/>
        <v>0</v>
      </c>
      <c r="DI112" s="3">
        <f t="shared" si="463"/>
        <v>0</v>
      </c>
      <c r="DJ112" s="3">
        <f t="shared" si="464"/>
        <v>0</v>
      </c>
      <c r="DK112" s="3">
        <f t="shared" si="465"/>
        <v>0</v>
      </c>
      <c r="DL112" s="3">
        <f t="shared" si="466"/>
        <v>0</v>
      </c>
      <c r="DM112" s="3">
        <f t="shared" si="467"/>
        <v>0</v>
      </c>
      <c r="DN112" s="64" t="str">
        <f t="shared" si="468"/>
        <v>UNKNOWN</v>
      </c>
      <c r="DO112" s="64" t="str">
        <f t="shared" si="469"/>
        <v>UNKNOWN</v>
      </c>
      <c r="DP112" s="3">
        <f t="shared" si="470"/>
        <v>0</v>
      </c>
      <c r="DQ112" s="3">
        <f t="shared" si="471"/>
        <v>0</v>
      </c>
      <c r="DR112" s="3" t="e">
        <f t="shared" ca="1" si="472"/>
        <v>#NUM!</v>
      </c>
      <c r="DS112" s="3">
        <f t="shared" si="473"/>
        <v>0</v>
      </c>
      <c r="DT112" s="3">
        <f t="shared" si="495"/>
        <v>0</v>
      </c>
      <c r="DU112" s="3">
        <f t="shared" si="496"/>
        <v>0</v>
      </c>
      <c r="DV112" s="3">
        <f t="shared" si="497"/>
        <v>199</v>
      </c>
      <c r="DW112" s="3">
        <f t="shared" si="498"/>
        <v>6692</v>
      </c>
      <c r="DX112" s="3" t="e">
        <f t="shared" ca="1" si="503"/>
        <v>#NUM!</v>
      </c>
      <c r="DY112" s="3" t="e">
        <f t="shared" ca="1" si="474"/>
        <v>#NUM!</v>
      </c>
      <c r="DZ112" s="3">
        <f t="shared" ca="1" si="475"/>
        <v>2.1735668805189789E-2</v>
      </c>
      <c r="EA112" s="3">
        <f t="shared" ca="1" si="476"/>
        <v>-1.8107992854218507E-3</v>
      </c>
      <c r="EB112" s="3">
        <f t="shared" ca="1" si="477"/>
        <v>1.8853078212823851E-3</v>
      </c>
      <c r="EC112" s="3">
        <f t="shared" ca="1" si="478"/>
        <v>-1.7995812008549988E-3</v>
      </c>
      <c r="EE112" s="59">
        <f t="shared" si="479"/>
        <v>0.25</v>
      </c>
      <c r="EF112" s="59">
        <f t="shared" si="480"/>
        <v>0.73060000000000003</v>
      </c>
      <c r="EG112" s="59">
        <f t="shared" si="481"/>
        <v>0.20300000000000001</v>
      </c>
      <c r="EH112" s="59">
        <f t="shared" si="482"/>
        <v>0.21160000000000001</v>
      </c>
      <c r="EI112" s="59">
        <f t="shared" si="483"/>
        <v>0.20069999999999999</v>
      </c>
      <c r="EJ112" s="59">
        <f t="shared" si="484"/>
        <v>0.21329999999999999</v>
      </c>
      <c r="EL112" s="3" t="str">
        <f>RTD("tos.rtd",,EL$83,"."&amp;$B$82&amp;$AS$82&amp;"C"&amp;$A112)</f>
        <v>--</v>
      </c>
      <c r="EM112" s="3" t="str">
        <f>RTD("tos.rtd",,EM$83,"."&amp;$B$82&amp;$AS$82&amp;"P"&amp;$A112)</f>
        <v>73.06%</v>
      </c>
      <c r="EN112" s="3" t="str">
        <f>RTD("tos.rtd",,EN$83,"."&amp;$C$82&amp;$AU$82&amp;"C"&amp;$A112)</f>
        <v>20.30%</v>
      </c>
      <c r="EO112" s="3" t="str">
        <f>RTD("tos.rtd",,EO$83,"."&amp;$C$82&amp;$AU$82&amp;"P"&amp;$A112)</f>
        <v>21.16%</v>
      </c>
      <c r="EP112" s="3" t="str">
        <f>RTD("tos.rtd",,EP$83,"."&amp;$D$82&amp;$AW$82&amp;"C"&amp;$A112)</f>
        <v>20.07%</v>
      </c>
      <c r="EQ112" s="3" t="str">
        <f>RTD("tos.rtd",,EQ$83,"."&amp;$D$82&amp;$AW$82&amp;"P"&amp;$A112)</f>
        <v>21.33%</v>
      </c>
      <c r="ET112" s="64" t="str">
        <f t="shared" ca="1" si="485"/>
        <v>5600,00.00</v>
      </c>
      <c r="EU112" s="67">
        <v>565.08000000000004</v>
      </c>
      <c r="EV112" s="67" t="s">
        <v>915</v>
      </c>
      <c r="EW112" s="67">
        <v>486.55</v>
      </c>
      <c r="EX112" s="67" t="s">
        <v>916</v>
      </c>
      <c r="EY112" s="67">
        <v>5666.5</v>
      </c>
      <c r="EZ112" s="67" t="s">
        <v>917</v>
      </c>
      <c r="FA112" s="67">
        <v>19993.25</v>
      </c>
      <c r="FB112" s="67" t="s">
        <v>918</v>
      </c>
      <c r="FC112" s="67" t="s">
        <v>919</v>
      </c>
      <c r="FD112" s="67" t="s">
        <v>920</v>
      </c>
      <c r="FE112" s="68" t="s">
        <v>921</v>
      </c>
      <c r="FF112" s="68" t="s">
        <v>922</v>
      </c>
    </row>
    <row r="113" spans="1:162" s="63" customFormat="1" ht="12" customHeight="1" thickBot="1" x14ac:dyDescent="0.25">
      <c r="A113" s="2">
        <f t="shared" si="499"/>
        <v>5590</v>
      </c>
      <c r="B113" s="3">
        <f t="shared" si="445"/>
        <v>1580</v>
      </c>
      <c r="C113" s="3">
        <f t="shared" si="446"/>
        <v>784</v>
      </c>
      <c r="D113" s="3">
        <f t="shared" si="447"/>
        <v>604</v>
      </c>
      <c r="E113" s="3">
        <f t="shared" si="514"/>
        <v>2968</v>
      </c>
      <c r="F113" s="4">
        <f t="shared" si="515"/>
        <v>5613.5958316844744</v>
      </c>
      <c r="G113" s="4">
        <f t="shared" si="516"/>
        <v>557.42202875610076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-129</v>
      </c>
      <c r="AN113" s="20">
        <v>65</v>
      </c>
      <c r="AO113" s="20">
        <v>5590</v>
      </c>
      <c r="AP113" s="20">
        <v>464</v>
      </c>
      <c r="AQ113" s="20">
        <v>-14615</v>
      </c>
      <c r="AR113" s="20"/>
      <c r="AS113" s="54">
        <f>IF(RTD("tos.rtd",,AS$83,"."&amp;$B$82&amp;$AS$82&amp;"C"&amp;$A113)="N/A",0,RTD("tos.rtd",,AS$83,"."&amp;$B$82&amp;$AS$82&amp;"C"&amp;$A113))</f>
        <v>670</v>
      </c>
      <c r="AT113" s="3">
        <f>-IF(RTD("tos.rtd",,AT$83,"."&amp;$B$82&amp;$AS$82&amp;"P"&amp;$A113)="N/A",0,RTD("tos.rtd",,AT$83,"."&amp;$B$82&amp;$AS$82&amp;"P"&amp;$A113))</f>
        <v>-910</v>
      </c>
      <c r="AU113" s="54">
        <f>IF(RTD("tos.rtd",,AU$83,"."&amp;$C$82&amp;$AU$82&amp;"C"&amp;$A113)="N/A",0,RTD("tos.rtd",,AU$83,"."&amp;$C$82&amp;$AU$82&amp;"C"&amp;$A113))</f>
        <v>651</v>
      </c>
      <c r="AV113" s="3">
        <f>-IF(RTD("tos.rtd",,AV$83,"."&amp;$C$82&amp;$AU$82&amp;"P"&amp;$A113)="N/A",0,RTD("tos.rtd",,AV$83,"."&amp;$C$82&amp;$AU$82&amp;"P"&amp;$A113))</f>
        <v>-133</v>
      </c>
      <c r="AW113" s="54">
        <f>IF(RTD("tos.rtd",,AW$83,"."&amp;$D$82&amp;$AW$82&amp;"C"&amp;$A113)="N/A",0,RTD("tos.rtd",,AW$83,"."&amp;$D$82&amp;$AW$82&amp;"C"&amp;$A113))</f>
        <v>318</v>
      </c>
      <c r="AX113" s="3">
        <f>-IF(RTD("tos.rtd",,AX$83,"."&amp;$D$82&amp;$AW$82&amp;"P"&amp;$A113)="N/A",0,RTD("tos.rtd",,AX$83,"."&amp;$D$82&amp;$AW$82&amp;"P"&amp;$A113))</f>
        <v>-286</v>
      </c>
      <c r="AY113" s="79">
        <f t="shared" si="517"/>
        <v>310</v>
      </c>
      <c r="AZ113" s="8">
        <f t="shared" si="449"/>
        <v>5590</v>
      </c>
      <c r="BA113" s="54">
        <f>IF(RTD("tos.rtd",,BA$83,"."&amp;$B$82&amp;$AS$82&amp;"C"&amp;$A113)="N/A",0,RTD("tos.rtd",,BA$83,"."&amp;$B$82&amp;$AS$82&amp;"C"&amp;$A113))</f>
        <v>464</v>
      </c>
      <c r="BB113" s="3">
        <f>-IF(RTD("tos.rtd",,BB$83,"."&amp;$B$82&amp;$AS$82&amp;"P"&amp;$A113)="N/A",0,RTD("tos.rtd",,BB$83,"."&amp;$B$82&amp;$AS$82&amp;"P"&amp;$A113))</f>
        <v>-14615</v>
      </c>
      <c r="BC113" s="54">
        <f>IF(RTD("tos.rtd",,BC$83,"."&amp;$C$82&amp;$AU$82&amp;"C"&amp;$A113)="N/A",0,RTD("tos.rtd",,BC$83,"."&amp;$C$82&amp;$AU$82&amp;"C"&amp;$A113))</f>
        <v>26</v>
      </c>
      <c r="BD113" s="3">
        <f>-IF(RTD("tos.rtd",,BD$83,"."&amp;$C$82&amp;$AU$82&amp;"P"&amp;$A113)="N/A",0,RTD("tos.rtd",,BD$83,"."&amp;$C$82&amp;$AU$82&amp;"P"&amp;$A113))</f>
        <v>-466</v>
      </c>
      <c r="BE113" s="54">
        <f>IF(RTD("tos.rtd",,BE$83,"."&amp;$D$82&amp;$AW$82&amp;"C"&amp;$A113)="N/A",0,RTD("tos.rtd",,BE$83,"."&amp;$D$82&amp;$AW$82&amp;"C"&amp;$A113))</f>
        <v>12</v>
      </c>
      <c r="BF113" s="3">
        <f>-IF(RTD("tos.rtd",,BF$83,"."&amp;$D$82&amp;$AW$82&amp;"P"&amp;$A113)="N/A",0,RTD("tos.rtd",,BF$83,"."&amp;$D$82&amp;$AW$82&amp;"P"&amp;$A113))</f>
        <v>-224</v>
      </c>
      <c r="BG113" s="3" t="e">
        <f ca="1">+Hoja2!Y114</f>
        <v>#N/A</v>
      </c>
      <c r="BH113" s="55" t="e">
        <f t="shared" ca="1" si="488"/>
        <v>#N/A</v>
      </c>
      <c r="BI113" s="32" t="e">
        <f t="shared" ca="1" si="504"/>
        <v>#N/A</v>
      </c>
      <c r="BJ113" s="3" t="e">
        <f ca="1">IF($BP$1=1,DX113,IF(RTD("tos.rtd",,BJ$83,"."&amp;$B$82&amp;$AS$82&amp;"C"&amp;$A113)="N/A",0,RTD("tos.rtd",,BJ$83,"."&amp;$B$82&amp;$AS$82&amp;"C"&amp;$A113)))</f>
        <v>#NUM!</v>
      </c>
      <c r="BK113" s="3" t="e">
        <f ca="1">IF($BP$1=1,DY113,-IF(RTD("tos.rtd",,BK$83,"."&amp;$B$82&amp;$AS$82&amp;"P"&amp;$A113)="N/A",0,RTD("tos.rtd",,BK$83,"."&amp;$B$82&amp;$AS$82&amp;"P"&amp;$A113)))</f>
        <v>#NUM!</v>
      </c>
      <c r="BL113" s="3">
        <f ca="1">IF($BP$1=1,DZ113,IF(RTD("tos.rtd",,BL$83,"."&amp;$C$82&amp;$AU$82&amp;"C"&amp;$A113)="N/A",0,RTD("tos.rtd",,BL$83,"."&amp;$C$82&amp;$AU$82&amp;"C"&amp;$A113)))</f>
        <v>2.0943312927234763E-2</v>
      </c>
      <c r="BM113" s="3">
        <f ca="1">IF($BP$1=1,EA113,-IF(RTD("tos.rtd",,BM$83,"."&amp;$C$82&amp;$AU$82&amp;"P"&amp;$A113)="N/A",0,RTD("tos.rtd",,BM$83,"."&amp;$C$82&amp;$AU$82&amp;"P"&amp;$A113)))</f>
        <v>-1.7476502523323472E-3</v>
      </c>
      <c r="BN113" s="3">
        <f ca="1">IF($BP$1=1,EB113,IF(RTD("tos.rtd",,BN$83,"."&amp;$D$82&amp;$AW$82&amp;"C"&amp;$A113)="N/A",0,RTD("tos.rtd",,BN$83,"."&amp;$D$82&amp;$AW$82&amp;"C"&amp;$A113)))</f>
        <v>1.8172478123064826E-3</v>
      </c>
      <c r="BO113" s="3">
        <f ca="1">IF($BP$1=1,EC113,-IF(RTD("tos.rtd",,BO$83,"."&amp;$D$82&amp;$AW$82&amp;"P"&amp;$A113)="N/A",0,RTD("tos.rtd",,BO$83,"."&amp;$D$82&amp;$AW$82&amp;"P"&amp;$A113)))</f>
        <v>-1.739344893417415E-3</v>
      </c>
      <c r="BQ113" s="3" t="e">
        <f t="shared" ca="1" si="450"/>
        <v>#NUM!</v>
      </c>
      <c r="BR113" s="3" t="e">
        <f t="shared" ca="1" si="489"/>
        <v>#NUM!</v>
      </c>
      <c r="BS113" s="3">
        <f t="shared" ca="1" si="451"/>
        <v>3204093.9057652177</v>
      </c>
      <c r="BT113" s="3" t="str">
        <f t="shared" ca="1" si="489"/>
        <v/>
      </c>
      <c r="BU113" s="3">
        <f t="shared" ca="1" si="452"/>
        <v>19229.873300608277</v>
      </c>
      <c r="BV113" s="3" t="str">
        <f t="shared" ca="1" si="489"/>
        <v/>
      </c>
      <c r="BX113" s="3" t="e">
        <f t="shared" ca="1" si="453"/>
        <v>#NUM!</v>
      </c>
      <c r="BY113" s="3" t="e">
        <f t="shared" ca="1" si="501"/>
        <v>#NUM!</v>
      </c>
      <c r="BZ113" s="3">
        <f t="shared" ca="1" si="454"/>
        <v>-64523.1507880477</v>
      </c>
      <c r="CA113" s="3" t="str">
        <f t="shared" ca="1" si="501"/>
        <v>Cruce -</v>
      </c>
      <c r="CB113" s="3">
        <f t="shared" ca="1" si="455"/>
        <v>-87935.818055190888</v>
      </c>
      <c r="CC113" s="3" t="str">
        <f t="shared" ca="1" si="501"/>
        <v/>
      </c>
      <c r="CD113" s="3">
        <f>IF(RTD("tos.rtd",,CD$83,"."&amp;$B$82&amp;$AS$82&amp;"C"&amp;$A113)="N/A",0,RTD("tos.rtd",,CD$83,"."&amp;$B$82&amp;$AS$82&amp;"C"&amp;$A113))</f>
        <v>1</v>
      </c>
      <c r="CE113" s="3">
        <f>-IF(RTD("tos.rtd",,CE$83,"."&amp;$B$82&amp;$AS$82&amp;"P"&amp;$A113)="N/A",0,RTD("tos.rtd",,CE$83,"."&amp;$B$82&amp;$AS$82&amp;"P"&amp;$A113))</f>
        <v>0</v>
      </c>
      <c r="CF113" s="3">
        <f>IF(RTD("tos.rtd",,CF$83,"."&amp;$C$82&amp;$AU$82&amp;"C"&amp;$A113)="N/A",0,RTD("tos.rtd",,CF$83,"."&amp;$C$82&amp;$AU$82&amp;"C"&amp;$A113))</f>
        <v>0.74</v>
      </c>
      <c r="CG113" s="3">
        <f>-IF(RTD("tos.rtd",,CG$83,"."&amp;$C$82&amp;$AU$82&amp;"P"&amp;$A113)="N/A",0,RTD("tos.rtd",,CG$83,"."&amp;$C$82&amp;$AU$82&amp;"P"&amp;$A113))</f>
        <v>0.27</v>
      </c>
      <c r="CH113" s="3">
        <f>IF(RTD("tos.rtd",,CH$83,"."&amp;$D$82&amp;$AW$82&amp;"C"&amp;$A113)="N/A",0,RTD("tos.rtd",,CH$83,"."&amp;$D$82&amp;$AW$82&amp;"C"&amp;$A113))</f>
        <v>0.69</v>
      </c>
      <c r="CI113" s="3">
        <f>-IF(RTD("tos.rtd",,CI$83,"."&amp;$D$82&amp;$AW$82&amp;"P"&amp;$A113)="N/A",0,RTD("tos.rtd",,CI$83,"."&amp;$D$82&amp;$AW$82&amp;"P"&amp;$A113))</f>
        <v>0.32</v>
      </c>
      <c r="CK113" s="3">
        <f t="shared" si="490"/>
        <v>67000</v>
      </c>
      <c r="CL113" s="3"/>
      <c r="CM113" s="3">
        <f t="shared" si="491"/>
        <v>44583</v>
      </c>
      <c r="CN113" s="3"/>
      <c r="CO113" s="3">
        <f t="shared" si="492"/>
        <v>12790</v>
      </c>
      <c r="CP113" s="3">
        <f t="shared" si="456"/>
        <v>124373</v>
      </c>
      <c r="CQ113" s="3">
        <f t="shared" si="457"/>
        <v>-14151</v>
      </c>
      <c r="CR113" s="3"/>
      <c r="CS113" s="3">
        <f t="shared" si="458"/>
        <v>-440</v>
      </c>
      <c r="CT113" s="3"/>
      <c r="CU113" s="3">
        <f t="shared" si="459"/>
        <v>-212</v>
      </c>
      <c r="CV113" s="3"/>
      <c r="CW113" s="3" t="e">
        <f t="shared" ca="1" si="518"/>
        <v>#NUM!</v>
      </c>
      <c r="CY113" s="3" t="e">
        <f t="shared" ca="1" si="461"/>
        <v>#NUM!</v>
      </c>
      <c r="CZ113" s="70" t="e">
        <f t="shared" ca="1" si="502"/>
        <v>#NUM!</v>
      </c>
      <c r="DA113" s="3">
        <f>IF(RTD("tos.rtd",,DA$83,"."&amp;$B$82&amp;$AS$82&amp;"C"&amp;$A113)="N/A",0,RTD("tos.rtd",,DA$83,"."&amp;$B$82&amp;$AS$82&amp;"C"&amp;$A113))</f>
        <v>100.84</v>
      </c>
      <c r="DB113" s="3">
        <f>IF(RTD("tos.rtd",,DB$83,"."&amp;$B$82&amp;$AS$82&amp;"P"&amp;$A113)="N/A",0,RTD("tos.rtd",,DB$83,"."&amp;$B$82&amp;$AS$82&amp;"P"&amp;$A113))</f>
        <v>0.03</v>
      </c>
      <c r="DC113" s="3">
        <f>IF(RTD("tos.rtd",,DC$83,"."&amp;$B$82&amp;$AS$82&amp;"C"&amp;$A113)="N/A",0,RTD("tos.rtd",,DC$83,"."&amp;$B$82&amp;$AS$82&amp;"C"&amp;$A113))</f>
        <v>98.3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93.8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494"/>
        <v>-95.75</v>
      </c>
      <c r="DH113" s="3">
        <f t="shared" si="462"/>
        <v>0</v>
      </c>
      <c r="DI113" s="3">
        <f t="shared" si="463"/>
        <v>0</v>
      </c>
      <c r="DJ113" s="3">
        <f t="shared" si="464"/>
        <v>0</v>
      </c>
      <c r="DK113" s="3">
        <f t="shared" si="465"/>
        <v>0</v>
      </c>
      <c r="DL113" s="3">
        <f t="shared" si="466"/>
        <v>0</v>
      </c>
      <c r="DM113" s="3">
        <f t="shared" si="467"/>
        <v>0</v>
      </c>
      <c r="DN113" s="64" t="str">
        <f t="shared" si="468"/>
        <v>UNKNOWN</v>
      </c>
      <c r="DO113" s="64" t="str">
        <f t="shared" si="469"/>
        <v>UNKNOWN</v>
      </c>
      <c r="DP113" s="3">
        <f t="shared" si="470"/>
        <v>0</v>
      </c>
      <c r="DQ113" s="3">
        <f t="shared" si="471"/>
        <v>0</v>
      </c>
      <c r="DR113" s="3" t="e">
        <f t="shared" ca="1" si="472"/>
        <v>#NUM!</v>
      </c>
      <c r="DS113" s="3">
        <f t="shared" si="473"/>
        <v>0</v>
      </c>
      <c r="DT113" s="3">
        <f t="shared" si="495"/>
        <v>0</v>
      </c>
      <c r="DU113" s="3">
        <f t="shared" si="496"/>
        <v>0</v>
      </c>
      <c r="DV113" s="3">
        <f t="shared" si="497"/>
        <v>-129</v>
      </c>
      <c r="DW113" s="3">
        <f t="shared" si="498"/>
        <v>65</v>
      </c>
      <c r="DX113" s="3" t="e">
        <f t="shared" ca="1" si="503"/>
        <v>#NUM!</v>
      </c>
      <c r="DY113" s="3" t="e">
        <f t="shared" ca="1" si="474"/>
        <v>#NUM!</v>
      </c>
      <c r="DZ113" s="3">
        <f t="shared" ca="1" si="475"/>
        <v>2.0943312927234763E-2</v>
      </c>
      <c r="EA113" s="3">
        <f t="shared" ca="1" si="476"/>
        <v>-1.7476502523323472E-3</v>
      </c>
      <c r="EB113" s="3">
        <f t="shared" ca="1" si="477"/>
        <v>1.8172478123064826E-3</v>
      </c>
      <c r="EC113" s="3">
        <f t="shared" ca="1" si="478"/>
        <v>-1.739344893417415E-3</v>
      </c>
      <c r="EE113" s="59">
        <f t="shared" si="479"/>
        <v>0.25</v>
      </c>
      <c r="EF113" s="59">
        <f t="shared" si="480"/>
        <v>0.8085</v>
      </c>
      <c r="EG113" s="59">
        <f t="shared" si="481"/>
        <v>0.20530000000000001</v>
      </c>
      <c r="EH113" s="59">
        <f t="shared" si="482"/>
        <v>0.21410000000000001</v>
      </c>
      <c r="EI113" s="59">
        <f t="shared" si="483"/>
        <v>0.20269999999999999</v>
      </c>
      <c r="EJ113" s="59">
        <f t="shared" si="484"/>
        <v>0.2155</v>
      </c>
      <c r="EL113" s="3" t="str">
        <f>RTD("tos.rtd",,EL$83,"."&amp;$B$82&amp;$AS$82&amp;"C"&amp;$A113)</f>
        <v>--</v>
      </c>
      <c r="EM113" s="3" t="str">
        <f>RTD("tos.rtd",,EM$83,"."&amp;$B$82&amp;$AS$82&amp;"P"&amp;$A113)</f>
        <v>80.85%</v>
      </c>
      <c r="EN113" s="3" t="str">
        <f>RTD("tos.rtd",,EN$83,"."&amp;$C$82&amp;$AU$82&amp;"C"&amp;$A113)</f>
        <v>20.53%</v>
      </c>
      <c r="EO113" s="3" t="str">
        <f>RTD("tos.rtd",,EO$83,"."&amp;$C$82&amp;$AU$82&amp;"P"&amp;$A113)</f>
        <v>21.41%</v>
      </c>
      <c r="EP113" s="3" t="str">
        <f>RTD("tos.rtd",,EP$83,"."&amp;$D$82&amp;$AW$82&amp;"C"&amp;$A113)</f>
        <v>20.27%</v>
      </c>
      <c r="EQ113" s="3" t="str">
        <f>RTD("tos.rtd",,EQ$83,"."&amp;$D$82&amp;$AW$82&amp;"P"&amp;$A113)</f>
        <v>21.55%</v>
      </c>
      <c r="ET113" s="64" t="str">
        <f t="shared" ca="1" si="485"/>
        <v>5590,00.00</v>
      </c>
      <c r="EU113" s="67">
        <v>564.89</v>
      </c>
      <c r="EV113" s="67" t="s">
        <v>923</v>
      </c>
      <c r="EW113" s="67">
        <v>486.39</v>
      </c>
      <c r="EX113" s="67" t="s">
        <v>924</v>
      </c>
      <c r="EY113" s="67">
        <v>5664.5</v>
      </c>
      <c r="EZ113" s="67" t="s">
        <v>925</v>
      </c>
      <c r="FA113" s="67">
        <v>19985.75</v>
      </c>
      <c r="FB113" s="67" t="s">
        <v>926</v>
      </c>
      <c r="FC113" s="67" t="s">
        <v>927</v>
      </c>
      <c r="FD113" s="67" t="s">
        <v>928</v>
      </c>
      <c r="FE113" s="68" t="s">
        <v>929</v>
      </c>
      <c r="FF113" s="68" t="s">
        <v>930</v>
      </c>
    </row>
    <row r="114" spans="1:162" s="63" customFormat="1" ht="12" customHeight="1" thickBot="1" x14ac:dyDescent="0.25">
      <c r="A114" s="2">
        <f t="shared" si="499"/>
        <v>5580</v>
      </c>
      <c r="B114" s="3">
        <f t="shared" si="445"/>
        <v>4091</v>
      </c>
      <c r="C114" s="3">
        <f t="shared" si="446"/>
        <v>782</v>
      </c>
      <c r="D114" s="3">
        <f t="shared" si="447"/>
        <v>646</v>
      </c>
      <c r="E114" s="3">
        <f t="shared" si="514"/>
        <v>5519</v>
      </c>
      <c r="F114" s="4">
        <f t="shared" si="515"/>
        <v>5603.5536208943413</v>
      </c>
      <c r="G114" s="4">
        <f t="shared" si="516"/>
        <v>556.42485160269098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62</v>
      </c>
      <c r="AN114" s="20">
        <v>-344</v>
      </c>
      <c r="AO114" s="20">
        <v>5580</v>
      </c>
      <c r="AP114" s="20">
        <v>465</v>
      </c>
      <c r="AQ114" s="20">
        <v>-11621</v>
      </c>
      <c r="AR114" s="20"/>
      <c r="AS114" s="54">
        <f>IF(RTD("tos.rtd",,AS$83,"."&amp;$B$82&amp;$AS$82&amp;"C"&amp;$A114)="N/A",0,RTD("tos.rtd",,AS$83,"."&amp;$B$82&amp;$AS$82&amp;"C"&amp;$A114))</f>
        <v>3208</v>
      </c>
      <c r="AT114" s="3">
        <f>-IF(RTD("tos.rtd",,AT$83,"."&amp;$B$82&amp;$AS$82&amp;"P"&amp;$A114)="N/A",0,RTD("tos.rtd",,AT$83,"."&amp;$B$82&amp;$AS$82&amp;"P"&amp;$A114))</f>
        <v>-883</v>
      </c>
      <c r="AU114" s="54">
        <f>IF(RTD("tos.rtd",,AU$83,"."&amp;$C$82&amp;$AU$82&amp;"C"&amp;$A114)="N/A",0,RTD("tos.rtd",,AU$83,"."&amp;$C$82&amp;$AU$82&amp;"C"&amp;$A114))</f>
        <v>623</v>
      </c>
      <c r="AV114" s="3">
        <f>-IF(RTD("tos.rtd",,AV$83,"."&amp;$C$82&amp;$AU$82&amp;"P"&amp;$A114)="N/A",0,RTD("tos.rtd",,AV$83,"."&amp;$C$82&amp;$AU$82&amp;"P"&amp;$A114))</f>
        <v>-159</v>
      </c>
      <c r="AW114" s="54">
        <f>IF(RTD("tos.rtd",,AW$83,"."&amp;$D$82&amp;$AW$82&amp;"C"&amp;$A114)="N/A",0,RTD("tos.rtd",,AW$83,"."&amp;$D$82&amp;$AW$82&amp;"C"&amp;$A114))</f>
        <v>319</v>
      </c>
      <c r="AX114" s="3">
        <f>-IF(RTD("tos.rtd",,AX$83,"."&amp;$D$82&amp;$AW$82&amp;"P"&amp;$A114)="N/A",0,RTD("tos.rtd",,AX$83,"."&amp;$D$82&amp;$AW$82&amp;"P"&amp;$A114))</f>
        <v>-327</v>
      </c>
      <c r="AY114" s="79">
        <f t="shared" si="517"/>
        <v>2781</v>
      </c>
      <c r="AZ114" s="8">
        <f t="shared" si="449"/>
        <v>5580</v>
      </c>
      <c r="BA114" s="54">
        <f>IF(RTD("tos.rtd",,BA$83,"."&amp;$B$82&amp;$AS$82&amp;"C"&amp;$A114)="N/A",0,RTD("tos.rtd",,BA$83,"."&amp;$B$82&amp;$AS$82&amp;"C"&amp;$A114))</f>
        <v>465</v>
      </c>
      <c r="BB114" s="3">
        <f>-IF(RTD("tos.rtd",,BB$83,"."&amp;$B$82&amp;$AS$82&amp;"P"&amp;$A114)="N/A",0,RTD("tos.rtd",,BB$83,"."&amp;$B$82&amp;$AS$82&amp;"P"&amp;$A114))</f>
        <v>-11621</v>
      </c>
      <c r="BC114" s="54">
        <f>IF(RTD("tos.rtd",,BC$83,"."&amp;$C$82&amp;$AU$82&amp;"C"&amp;$A114)="N/A",0,RTD("tos.rtd",,BC$83,"."&amp;$C$82&amp;$AU$82&amp;"C"&amp;$A114))</f>
        <v>91</v>
      </c>
      <c r="BD114" s="3">
        <f>-IF(RTD("tos.rtd",,BD$83,"."&amp;$C$82&amp;$AU$82&amp;"P"&amp;$A114)="N/A",0,RTD("tos.rtd",,BD$83,"."&amp;$C$82&amp;$AU$82&amp;"P"&amp;$A114))</f>
        <v>-633</v>
      </c>
      <c r="BE114" s="54">
        <f>IF(RTD("tos.rtd",,BE$83,"."&amp;$D$82&amp;$AW$82&amp;"C"&amp;$A114)="N/A",0,RTD("tos.rtd",,BE$83,"."&amp;$D$82&amp;$AW$82&amp;"C"&amp;$A114))</f>
        <v>27</v>
      </c>
      <c r="BF114" s="3">
        <f>-IF(RTD("tos.rtd",,BF$83,"."&amp;$D$82&amp;$AW$82&amp;"P"&amp;$A114)="N/A",0,RTD("tos.rtd",,BF$83,"."&amp;$D$82&amp;$AW$82&amp;"P"&amp;$A114))</f>
        <v>-108</v>
      </c>
      <c r="BG114" s="3" t="e">
        <f ca="1">+Hoja2!Y115</f>
        <v>#N/A</v>
      </c>
      <c r="BH114" s="55" t="e">
        <f t="shared" ca="1" si="488"/>
        <v>#N/A</v>
      </c>
      <c r="BI114" s="32" t="e">
        <f t="shared" ca="1" si="504"/>
        <v>#N/A</v>
      </c>
      <c r="BJ114" s="3" t="e">
        <f ca="1">IF($BP$1=1,DX114,IF(RTD("tos.rtd",,BJ$83,"."&amp;$B$82&amp;$AS$82&amp;"C"&amp;$A114)="N/A",0,RTD("tos.rtd",,BJ$83,"."&amp;$B$82&amp;$AS$82&amp;"C"&amp;$A114)))</f>
        <v>#NUM!</v>
      </c>
      <c r="BK114" s="3" t="e">
        <f ca="1">IF($BP$1=1,DY114,-IF(RTD("tos.rtd",,BK$83,"."&amp;$B$82&amp;$AS$82&amp;"P"&amp;$A114)="N/A",0,RTD("tos.rtd",,BK$83,"."&amp;$B$82&amp;$AS$82&amp;"P"&amp;$A114)))</f>
        <v>#NUM!</v>
      </c>
      <c r="BL114" s="3">
        <f ca="1">IF($BP$1=1,DZ114,IF(RTD("tos.rtd",,BL$83,"."&amp;$C$82&amp;$AU$82&amp;"C"&amp;$A114)="N/A",0,RTD("tos.rtd",,BL$83,"."&amp;$C$82&amp;$AU$82&amp;"C"&amp;$A114)))</f>
        <v>2.0153556616424432E-2</v>
      </c>
      <c r="BM114" s="3">
        <f ca="1">IF($BP$1=1,EA114,-IF(RTD("tos.rtd",,BM$83,"."&amp;$C$82&amp;$AU$82&amp;"P"&amp;$A114)="N/A",0,RTD("tos.rtd",,BM$83,"."&amp;$C$82&amp;$AU$82&amp;"P"&amp;$A114)))</f>
        <v>-1.6837736543638335E-3</v>
      </c>
      <c r="BN114" s="3">
        <f ca="1">IF($BP$1=1,EB114,IF(RTD("tos.rtd",,BN$83,"."&amp;$D$82&amp;$AW$82&amp;"C"&amp;$A114)="N/A",0,RTD("tos.rtd",,BN$83,"."&amp;$D$82&amp;$AW$82&amp;"C"&amp;$A114)))</f>
        <v>1.7495483422475641E-3</v>
      </c>
      <c r="BO114" s="3">
        <f ca="1">IF($BP$1=1,EC114,-IF(RTD("tos.rtd",,BO$83,"."&amp;$D$82&amp;$AW$82&amp;"P"&amp;$A114)="N/A",0,RTD("tos.rtd",,BO$83,"."&amp;$D$82&amp;$AW$82&amp;"P"&amp;$A114)))</f>
        <v>-1.6790215936194951E-3</v>
      </c>
      <c r="BQ114" s="3" t="e">
        <f t="shared" ca="1" si="450"/>
        <v>#NUM!</v>
      </c>
      <c r="BR114" s="3" t="e">
        <f t="shared" ca="1" si="489"/>
        <v>#NUM!</v>
      </c>
      <c r="BS114" s="3">
        <f t="shared" ca="1" si="451"/>
        <v>2937825.1935358914</v>
      </c>
      <c r="BT114" s="3" t="str">
        <f t="shared" ca="1" si="489"/>
        <v/>
      </c>
      <c r="BU114" s="3">
        <f t="shared" ca="1" si="452"/>
        <v>2167.4828822794952</v>
      </c>
      <c r="BV114" s="3" t="str">
        <f t="shared" ca="1" si="489"/>
        <v/>
      </c>
      <c r="BX114" s="3" t="e">
        <f t="shared" ca="1" si="453"/>
        <v>#NUM!</v>
      </c>
      <c r="BY114" s="3" t="e">
        <f t="shared" ca="1" si="501"/>
        <v>#NUM!</v>
      </c>
      <c r="BZ114" s="3">
        <f t="shared" ca="1" si="454"/>
        <v>183649.53493868245</v>
      </c>
      <c r="CA114" s="3" t="str">
        <f t="shared" ca="1" si="501"/>
        <v>Cruce +</v>
      </c>
      <c r="CB114" s="3">
        <f t="shared" ca="1" si="455"/>
        <v>-32060.049960157452</v>
      </c>
      <c r="CC114" s="3" t="str">
        <f t="shared" ca="1" si="501"/>
        <v/>
      </c>
      <c r="CD114" s="3">
        <f>IF(RTD("tos.rtd",,CD$83,"."&amp;$B$82&amp;$AS$82&amp;"C"&amp;$A114)="N/A",0,RTD("tos.rtd",,CD$83,"."&amp;$B$82&amp;$AS$82&amp;"C"&amp;$A114))</f>
        <v>1</v>
      </c>
      <c r="CE114" s="3">
        <f>-IF(RTD("tos.rtd",,CE$83,"."&amp;$B$82&amp;$AS$82&amp;"P"&amp;$A114)="N/A",0,RTD("tos.rtd",,CE$83,"."&amp;$B$82&amp;$AS$82&amp;"P"&amp;$A114))</f>
        <v>0</v>
      </c>
      <c r="CF114" s="3">
        <f>IF(RTD("tos.rtd",,CF$83,"."&amp;$C$82&amp;$AU$82&amp;"C"&amp;$A114)="N/A",0,RTD("tos.rtd",,CF$83,"."&amp;$C$82&amp;$AU$82&amp;"C"&amp;$A114))</f>
        <v>0.76</v>
      </c>
      <c r="CG114" s="3">
        <f>-IF(RTD("tos.rtd",,CG$83,"."&amp;$C$82&amp;$AU$82&amp;"P"&amp;$A114)="N/A",0,RTD("tos.rtd",,CG$83,"."&amp;$C$82&amp;$AU$82&amp;"P"&amp;$A114))</f>
        <v>0.25</v>
      </c>
      <c r="CH114" s="3">
        <f>IF(RTD("tos.rtd",,CH$83,"."&amp;$D$82&amp;$AW$82&amp;"C"&amp;$A114)="N/A",0,RTD("tos.rtd",,CH$83,"."&amp;$D$82&amp;$AW$82&amp;"C"&amp;$A114))</f>
        <v>0.7</v>
      </c>
      <c r="CI114" s="3">
        <f>-IF(RTD("tos.rtd",,CI$83,"."&amp;$D$82&amp;$AW$82&amp;"P"&amp;$A114)="N/A",0,RTD("tos.rtd",,CI$83,"."&amp;$D$82&amp;$AW$82&amp;"P"&amp;$A114))</f>
        <v>0.31</v>
      </c>
      <c r="CK114" s="3">
        <f t="shared" si="490"/>
        <v>320800</v>
      </c>
      <c r="CL114" s="3"/>
      <c r="CM114" s="3">
        <f t="shared" si="491"/>
        <v>43373</v>
      </c>
      <c r="CN114" s="3"/>
      <c r="CO114" s="3">
        <f t="shared" si="492"/>
        <v>12193</v>
      </c>
      <c r="CP114" s="3">
        <f t="shared" si="456"/>
        <v>376366</v>
      </c>
      <c r="CQ114" s="3">
        <f t="shared" si="457"/>
        <v>-11156</v>
      </c>
      <c r="CR114" s="3"/>
      <c r="CS114" s="3">
        <f t="shared" si="458"/>
        <v>-542</v>
      </c>
      <c r="CT114" s="3"/>
      <c r="CU114" s="3">
        <f t="shared" si="459"/>
        <v>-81</v>
      </c>
      <c r="CV114" s="3"/>
      <c r="CW114" s="3" t="e">
        <f t="shared" ca="1" si="518"/>
        <v>#NUM!</v>
      </c>
      <c r="CY114" s="3" t="e">
        <f t="shared" ca="1" si="461"/>
        <v>#NUM!</v>
      </c>
      <c r="CZ114" s="70" t="e">
        <f t="shared" ca="1" si="502"/>
        <v>#NUM!</v>
      </c>
      <c r="DA114" s="3">
        <f>IF(RTD("tos.rtd",,DA$83,"."&amp;$B$82&amp;$AS$82&amp;"C"&amp;$A114)="N/A",0,RTD("tos.rtd",,DA$83,"."&amp;$B$82&amp;$AS$82&amp;"C"&amp;$A114))</f>
        <v>98.51</v>
      </c>
      <c r="DB114" s="3">
        <f>IF(RTD("tos.rtd",,DB$83,"."&amp;$B$82&amp;$AS$82&amp;"P"&amp;$A114)="N/A",0,RTD("tos.rtd",,DB$83,"."&amp;$B$82&amp;$AS$82&amp;"P"&amp;$A114))</f>
        <v>0.03</v>
      </c>
      <c r="DC114" s="3">
        <f>IF(RTD("tos.rtd",,DC$83,"."&amp;$B$82&amp;$AS$82&amp;"C"&amp;$A114)="N/A",0,RTD("tos.rtd",,DC$83,"."&amp;$B$82&amp;$AS$82&amp;"C"&amp;$A114))</f>
        <v>108.3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103.8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494"/>
        <v>-105.75</v>
      </c>
      <c r="DH114" s="3">
        <f t="shared" si="462"/>
        <v>0</v>
      </c>
      <c r="DI114" s="3">
        <f t="shared" si="463"/>
        <v>0</v>
      </c>
      <c r="DJ114" s="3">
        <f t="shared" si="464"/>
        <v>0</v>
      </c>
      <c r="DK114" s="3">
        <f t="shared" si="465"/>
        <v>0</v>
      </c>
      <c r="DL114" s="3">
        <f t="shared" si="466"/>
        <v>0</v>
      </c>
      <c r="DM114" s="3">
        <f t="shared" si="467"/>
        <v>0</v>
      </c>
      <c r="DN114" s="64" t="str">
        <f t="shared" si="468"/>
        <v>UNKNOWN</v>
      </c>
      <c r="DO114" s="64" t="str">
        <f t="shared" si="469"/>
        <v>UNKNOWN</v>
      </c>
      <c r="DP114" s="3">
        <f t="shared" si="470"/>
        <v>0</v>
      </c>
      <c r="DQ114" s="3">
        <f t="shared" si="471"/>
        <v>0</v>
      </c>
      <c r="DR114" s="3" t="e">
        <f t="shared" ca="1" si="472"/>
        <v>#NUM!</v>
      </c>
      <c r="DS114" s="3">
        <f t="shared" si="473"/>
        <v>0</v>
      </c>
      <c r="DT114" s="3">
        <f t="shared" si="495"/>
        <v>0</v>
      </c>
      <c r="DU114" s="3">
        <f t="shared" si="496"/>
        <v>0</v>
      </c>
      <c r="DV114" s="3">
        <f t="shared" si="497"/>
        <v>62</v>
      </c>
      <c r="DW114" s="3">
        <f t="shared" si="498"/>
        <v>-344</v>
      </c>
      <c r="DX114" s="3" t="e">
        <f t="shared" ca="1" si="503"/>
        <v>#NUM!</v>
      </c>
      <c r="DY114" s="3" t="e">
        <f t="shared" ca="1" si="474"/>
        <v>#NUM!</v>
      </c>
      <c r="DZ114" s="3">
        <f t="shared" ca="1" si="475"/>
        <v>2.0153556616424432E-2</v>
      </c>
      <c r="EA114" s="3">
        <f t="shared" ca="1" si="476"/>
        <v>-1.6837736543638335E-3</v>
      </c>
      <c r="EB114" s="3">
        <f t="shared" ca="1" si="477"/>
        <v>1.7495483422475641E-3</v>
      </c>
      <c r="EC114" s="3">
        <f t="shared" ca="1" si="478"/>
        <v>-1.6790215936194951E-3</v>
      </c>
      <c r="EE114" s="59">
        <f t="shared" si="479"/>
        <v>0.25</v>
      </c>
      <c r="EF114" s="59">
        <f t="shared" si="480"/>
        <v>0.8821</v>
      </c>
      <c r="EG114" s="59">
        <f t="shared" si="481"/>
        <v>0.20749999999999999</v>
      </c>
      <c r="EH114" s="59">
        <f t="shared" si="482"/>
        <v>0.2167</v>
      </c>
      <c r="EI114" s="59">
        <f t="shared" si="483"/>
        <v>0.20449999999999999</v>
      </c>
      <c r="EJ114" s="59">
        <f t="shared" si="484"/>
        <v>0.21759999999999999</v>
      </c>
      <c r="EL114" s="3" t="str">
        <f>RTD("tos.rtd",,EL$83,"."&amp;$B$82&amp;$AS$82&amp;"C"&amp;$A114)</f>
        <v>--</v>
      </c>
      <c r="EM114" s="3" t="str">
        <f>RTD("tos.rtd",,EM$83,"."&amp;$B$82&amp;$AS$82&amp;"P"&amp;$A114)</f>
        <v>88.21%</v>
      </c>
      <c r="EN114" s="3" t="str">
        <f>RTD("tos.rtd",,EN$83,"."&amp;$C$82&amp;$AU$82&amp;"C"&amp;$A114)</f>
        <v>20.75%</v>
      </c>
      <c r="EO114" s="3" t="str">
        <f>RTD("tos.rtd",,EO$83,"."&amp;$C$82&amp;$AU$82&amp;"P"&amp;$A114)</f>
        <v>21.67%</v>
      </c>
      <c r="EP114" s="3" t="str">
        <f>RTD("tos.rtd",,EP$83,"."&amp;$D$82&amp;$AW$82&amp;"C"&amp;$A114)</f>
        <v>20.45%</v>
      </c>
      <c r="EQ114" s="3" t="str">
        <f>RTD("tos.rtd",,EQ$83,"."&amp;$D$82&amp;$AW$82&amp;"P"&amp;$A114)</f>
        <v>21.76%</v>
      </c>
      <c r="ET114" s="64" t="str">
        <f t="shared" ca="1" si="485"/>
        <v>5580,00.00</v>
      </c>
      <c r="EU114" s="67">
        <v>565.09</v>
      </c>
      <c r="EV114" s="67" t="s">
        <v>931</v>
      </c>
      <c r="EW114" s="67">
        <v>486.71</v>
      </c>
      <c r="EX114" s="67" t="s">
        <v>932</v>
      </c>
      <c r="EY114" s="67">
        <v>5666.75</v>
      </c>
      <c r="EZ114" s="67" t="s">
        <v>933</v>
      </c>
      <c r="FA114" s="67">
        <v>19999</v>
      </c>
      <c r="FB114" s="67" t="s">
        <v>934</v>
      </c>
      <c r="FC114" s="67" t="s">
        <v>935</v>
      </c>
      <c r="FD114" s="67" t="s">
        <v>936</v>
      </c>
      <c r="FE114" s="68" t="s">
        <v>937</v>
      </c>
      <c r="FF114" s="68" t="s">
        <v>938</v>
      </c>
    </row>
    <row r="115" spans="1:162" s="63" customFormat="1" ht="12" customHeight="1" thickBot="1" x14ac:dyDescent="0.25">
      <c r="A115" s="2">
        <f t="shared" si="499"/>
        <v>5570</v>
      </c>
      <c r="B115" s="3">
        <f t="shared" si="445"/>
        <v>1833</v>
      </c>
      <c r="C115" s="3">
        <f t="shared" si="446"/>
        <v>261</v>
      </c>
      <c r="D115" s="3">
        <f t="shared" si="447"/>
        <v>1235</v>
      </c>
      <c r="E115" s="3">
        <f t="shared" si="514"/>
        <v>3329</v>
      </c>
      <c r="F115" s="4">
        <f t="shared" si="515"/>
        <v>5593.5114101042082</v>
      </c>
      <c r="G115" s="4">
        <f t="shared" si="516"/>
        <v>555.42767444928108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-19</v>
      </c>
      <c r="AN115" s="20">
        <v>-337</v>
      </c>
      <c r="AO115" s="20">
        <v>5570</v>
      </c>
      <c r="AP115" s="20">
        <v>454</v>
      </c>
      <c r="AQ115" s="20">
        <v>-10361</v>
      </c>
      <c r="AR115" s="20"/>
      <c r="AS115" s="54">
        <f>IF(RTD("tos.rtd",,AS$83,"."&amp;$B$82&amp;$AS$82&amp;"C"&amp;$A115)="N/A",0,RTD("tos.rtd",,AS$83,"."&amp;$B$82&amp;$AS$82&amp;"C"&amp;$A115))</f>
        <v>965</v>
      </c>
      <c r="AT115" s="3">
        <f>-IF(RTD("tos.rtd",,AT$83,"."&amp;$B$82&amp;$AS$82&amp;"P"&amp;$A115)="N/A",0,RTD("tos.rtd",,AT$83,"."&amp;$B$82&amp;$AS$82&amp;"P"&amp;$A115))</f>
        <v>-868</v>
      </c>
      <c r="AU115" s="54">
        <f>IF(RTD("tos.rtd",,AU$83,"."&amp;$C$82&amp;$AU$82&amp;"C"&amp;$A115)="N/A",0,RTD("tos.rtd",,AU$83,"."&amp;$C$82&amp;$AU$82&amp;"C"&amp;$A115))</f>
        <v>147</v>
      </c>
      <c r="AV115" s="3">
        <f>-IF(RTD("tos.rtd",,AV$83,"."&amp;$C$82&amp;$AU$82&amp;"P"&amp;$A115)="N/A",0,RTD("tos.rtd",,AV$83,"."&amp;$C$82&amp;$AU$82&amp;"P"&amp;$A115))</f>
        <v>-114</v>
      </c>
      <c r="AW115" s="54">
        <f>IF(RTD("tos.rtd",,AW$83,"."&amp;$D$82&amp;$AW$82&amp;"C"&amp;$A115)="N/A",0,RTD("tos.rtd",,AW$83,"."&amp;$D$82&amp;$AW$82&amp;"C"&amp;$A115))</f>
        <v>269</v>
      </c>
      <c r="AX115" s="3">
        <f>-IF(RTD("tos.rtd",,AX$83,"."&amp;$D$82&amp;$AW$82&amp;"P"&amp;$A115)="N/A",0,RTD("tos.rtd",,AX$83,"."&amp;$D$82&amp;$AW$82&amp;"P"&amp;$A115))</f>
        <v>-966</v>
      </c>
      <c r="AY115" s="79">
        <f t="shared" si="517"/>
        <v>-567</v>
      </c>
      <c r="AZ115" s="8">
        <f t="shared" si="449"/>
        <v>5570</v>
      </c>
      <c r="BA115" s="54">
        <f>IF(RTD("tos.rtd",,BA$83,"."&amp;$B$82&amp;$AS$82&amp;"C"&amp;$A115)="N/A",0,RTD("tos.rtd",,BA$83,"."&amp;$B$82&amp;$AS$82&amp;"C"&amp;$A115))</f>
        <v>454</v>
      </c>
      <c r="BB115" s="3">
        <f>-IF(RTD("tos.rtd",,BB$83,"."&amp;$B$82&amp;$AS$82&amp;"P"&amp;$A115)="N/A",0,RTD("tos.rtd",,BB$83,"."&amp;$B$82&amp;$AS$82&amp;"P"&amp;$A115))</f>
        <v>-10361</v>
      </c>
      <c r="BC115" s="54">
        <f>IF(RTD("tos.rtd",,BC$83,"."&amp;$C$82&amp;$AU$82&amp;"C"&amp;$A115)="N/A",0,RTD("tos.rtd",,BC$83,"."&amp;$C$82&amp;$AU$82&amp;"C"&amp;$A115))</f>
        <v>21</v>
      </c>
      <c r="BD115" s="3">
        <f>-IF(RTD("tos.rtd",,BD$83,"."&amp;$C$82&amp;$AU$82&amp;"P"&amp;$A115)="N/A",0,RTD("tos.rtd",,BD$83,"."&amp;$C$82&amp;$AU$82&amp;"P"&amp;$A115))</f>
        <v>-418</v>
      </c>
      <c r="BE115" s="54">
        <f>IF(RTD("tos.rtd",,BE$83,"."&amp;$D$82&amp;$AW$82&amp;"C"&amp;$A115)="N/A",0,RTD("tos.rtd",,BE$83,"."&amp;$D$82&amp;$AW$82&amp;"C"&amp;$A115))</f>
        <v>15</v>
      </c>
      <c r="BF115" s="3">
        <f>-IF(RTD("tos.rtd",,BF$83,"."&amp;$D$82&amp;$AW$82&amp;"P"&amp;$A115)="N/A",0,RTD("tos.rtd",,BF$83,"."&amp;$D$82&amp;$AW$82&amp;"P"&amp;$A115))</f>
        <v>-954</v>
      </c>
      <c r="BG115" s="3" t="e">
        <f ca="1">+Hoja2!Y116</f>
        <v>#N/A</v>
      </c>
      <c r="BH115" s="55" t="e">
        <f t="shared" ca="1" si="488"/>
        <v>#N/A</v>
      </c>
      <c r="BI115" s="32" t="e">
        <f t="shared" ca="1" si="504"/>
        <v>#N/A</v>
      </c>
      <c r="BJ115" s="3" t="e">
        <f ca="1">IF($BP$1=1,DX115,IF(RTD("tos.rtd",,BJ$83,"."&amp;$B$82&amp;$AS$82&amp;"C"&amp;$A115)="N/A",0,RTD("tos.rtd",,BJ$83,"."&amp;$B$82&amp;$AS$82&amp;"C"&amp;$A115)))</f>
        <v>#NUM!</v>
      </c>
      <c r="BK115" s="3" t="e">
        <f ca="1">IF($BP$1=1,DY115,-IF(RTD("tos.rtd",,BK$83,"."&amp;$B$82&amp;$AS$82&amp;"P"&amp;$A115)="N/A",0,RTD("tos.rtd",,BK$83,"."&amp;$B$82&amp;$AS$82&amp;"P"&amp;$A115)))</f>
        <v>#NUM!</v>
      </c>
      <c r="BL115" s="3">
        <f ca="1">IF($BP$1=1,DZ115,IF(RTD("tos.rtd",,BL$83,"."&amp;$C$82&amp;$AU$82&amp;"C"&amp;$A115)="N/A",0,RTD("tos.rtd",,BL$83,"."&amp;$C$82&amp;$AU$82&amp;"C"&amp;$A115)))</f>
        <v>1.9253609118007282E-2</v>
      </c>
      <c r="BM115" s="3">
        <f ca="1">IF($BP$1=1,EA115,-IF(RTD("tos.rtd",,BM$83,"."&amp;$C$82&amp;$AU$82&amp;"P"&amp;$A115)="N/A",0,RTD("tos.rtd",,BM$83,"."&amp;$C$82&amp;$AU$82&amp;"P"&amp;$A115)))</f>
        <v>-1.6225097055358889E-3</v>
      </c>
      <c r="BN115" s="3">
        <f ca="1">IF($BP$1=1,EB115,IF(RTD("tos.rtd",,BN$83,"."&amp;$D$82&amp;$AW$82&amp;"C"&amp;$A115)="N/A",0,RTD("tos.rtd",,BN$83,"."&amp;$D$82&amp;$AW$82&amp;"C"&amp;$A115)))</f>
        <v>1.6916906952517234E-3</v>
      </c>
      <c r="BO115" s="3">
        <f ca="1">IF($BP$1=1,EC115,-IF(RTD("tos.rtd",,BO$83,"."&amp;$D$82&amp;$AW$82&amp;"P"&amp;$A115)="N/A",0,RTD("tos.rtd",,BO$83,"."&amp;$D$82&amp;$AW$82&amp;"P"&amp;$A115)))</f>
        <v>-1.6183252495916387E-3</v>
      </c>
      <c r="BQ115" s="3" t="e">
        <f t="shared" ca="1" si="450"/>
        <v>#NUM!</v>
      </c>
      <c r="BR115" s="3" t="e">
        <f t="shared" ca="1" si="489"/>
        <v>#NUM!</v>
      </c>
      <c r="BS115" s="3">
        <f t="shared" ca="1" si="451"/>
        <v>632446.75228427118</v>
      </c>
      <c r="BT115" s="3" t="str">
        <f t="shared" ca="1" si="489"/>
        <v/>
      </c>
      <c r="BU115" s="3">
        <f t="shared" ca="1" si="452"/>
        <v>-264959.4814367987</v>
      </c>
      <c r="BV115" s="3" t="str">
        <f t="shared" ca="1" si="489"/>
        <v>Cruce -</v>
      </c>
      <c r="BX115" s="3" t="e">
        <f t="shared" ca="1" si="453"/>
        <v>#NUM!</v>
      </c>
      <c r="BY115" s="3" t="e">
        <f t="shared" ca="1" si="501"/>
        <v>#NUM!</v>
      </c>
      <c r="BZ115" s="3">
        <f t="shared" ca="1" si="454"/>
        <v>-65480.526439154943</v>
      </c>
      <c r="CA115" s="3" t="str">
        <f t="shared" ca="1" si="501"/>
        <v>Cruce -</v>
      </c>
      <c r="CB115" s="3">
        <f t="shared" ca="1" si="455"/>
        <v>-363047.49349276337</v>
      </c>
      <c r="CC115" s="3" t="str">
        <f t="shared" ca="1" si="501"/>
        <v/>
      </c>
      <c r="CD115" s="3">
        <f>IF(RTD("tos.rtd",,CD$83,"."&amp;$B$82&amp;$AS$82&amp;"C"&amp;$A115)="N/A",0,RTD("tos.rtd",,CD$83,"."&amp;$B$82&amp;$AS$82&amp;"C"&amp;$A115))</f>
        <v>1</v>
      </c>
      <c r="CE115" s="3">
        <f>-IF(RTD("tos.rtd",,CE$83,"."&amp;$B$82&amp;$AS$82&amp;"P"&amp;$A115)="N/A",0,RTD("tos.rtd",,CE$83,"."&amp;$B$82&amp;$AS$82&amp;"P"&amp;$A115))</f>
        <v>0</v>
      </c>
      <c r="CF115" s="3">
        <f>IF(RTD("tos.rtd",,CF$83,"."&amp;$C$82&amp;$AU$82&amp;"C"&amp;$A115)="N/A",0,RTD("tos.rtd",,CF$83,"."&amp;$C$82&amp;$AU$82&amp;"C"&amp;$A115))</f>
        <v>0.77</v>
      </c>
      <c r="CG115" s="3">
        <f>-IF(RTD("tos.rtd",,CG$83,"."&amp;$C$82&amp;$AU$82&amp;"P"&amp;$A115)="N/A",0,RTD("tos.rtd",,CG$83,"."&amp;$C$82&amp;$AU$82&amp;"P"&amp;$A115))</f>
        <v>0.23</v>
      </c>
      <c r="CH115" s="3">
        <f>IF(RTD("tos.rtd",,CH$83,"."&amp;$D$82&amp;$AW$82&amp;"C"&amp;$A115)="N/A",0,RTD("tos.rtd",,CH$83,"."&amp;$D$82&amp;$AW$82&amp;"C"&amp;$A115))</f>
        <v>0.72</v>
      </c>
      <c r="CI115" s="3">
        <f>-IF(RTD("tos.rtd",,CI$83,"."&amp;$D$82&amp;$AW$82&amp;"P"&amp;$A115)="N/A",0,RTD("tos.rtd",,CI$83,"."&amp;$D$82&amp;$AW$82&amp;"P"&amp;$A115))</f>
        <v>0.28999999999999998</v>
      </c>
      <c r="CK115" s="3">
        <f t="shared" si="490"/>
        <v>96500</v>
      </c>
      <c r="CL115" s="3"/>
      <c r="CM115" s="3">
        <f t="shared" si="491"/>
        <v>8697</v>
      </c>
      <c r="CN115" s="3"/>
      <c r="CO115" s="3">
        <f t="shared" si="492"/>
        <v>-8646</v>
      </c>
      <c r="CP115" s="3">
        <f t="shared" si="456"/>
        <v>96551</v>
      </c>
      <c r="CQ115" s="3">
        <f t="shared" si="457"/>
        <v>-9907</v>
      </c>
      <c r="CR115" s="3"/>
      <c r="CS115" s="3">
        <f t="shared" si="458"/>
        <v>-397</v>
      </c>
      <c r="CT115" s="3"/>
      <c r="CU115" s="3">
        <f t="shared" si="459"/>
        <v>-939</v>
      </c>
      <c r="CV115" s="3"/>
      <c r="CW115" s="3" t="e">
        <f t="shared" ca="1" si="518"/>
        <v>#NUM!</v>
      </c>
      <c r="CY115" s="3" t="e">
        <f t="shared" ca="1" si="461"/>
        <v>#NUM!</v>
      </c>
      <c r="CZ115" s="70" t="e">
        <f t="shared" ca="1" si="502"/>
        <v>#NUM!</v>
      </c>
      <c r="DA115" s="3">
        <f>IF(RTD("tos.rtd",,DA$83,"."&amp;$B$82&amp;$AS$82&amp;"C"&amp;$A115)="N/A",0,RTD("tos.rtd",,DA$83,"."&amp;$B$82&amp;$AS$82&amp;"C"&amp;$A115))</f>
        <v>115.78</v>
      </c>
      <c r="DB115" s="3">
        <f>IF(RTD("tos.rtd",,DB$83,"."&amp;$B$82&amp;$AS$82&amp;"P"&amp;$A115)="N/A",0,RTD("tos.rtd",,DB$83,"."&amp;$B$82&amp;$AS$82&amp;"P"&amp;$A115))</f>
        <v>0.05</v>
      </c>
      <c r="DC115" s="3">
        <f>IF(RTD("tos.rtd",,DC$83,"."&amp;$B$82&amp;$AS$82&amp;"C"&amp;$A115)="N/A",0,RTD("tos.rtd",,DC$83,"."&amp;$B$82&amp;$AS$82&amp;"C"&amp;$A115))</f>
        <v>118.3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113.8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494"/>
        <v>-115.75</v>
      </c>
      <c r="DH115" s="3">
        <f t="shared" si="462"/>
        <v>0</v>
      </c>
      <c r="DI115" s="3">
        <f t="shared" si="463"/>
        <v>0</v>
      </c>
      <c r="DJ115" s="3">
        <f t="shared" si="464"/>
        <v>0</v>
      </c>
      <c r="DK115" s="3">
        <f t="shared" si="465"/>
        <v>0</v>
      </c>
      <c r="DL115" s="3">
        <f t="shared" si="466"/>
        <v>0</v>
      </c>
      <c r="DM115" s="3">
        <f t="shared" si="467"/>
        <v>0</v>
      </c>
      <c r="DN115" s="64" t="str">
        <f t="shared" si="468"/>
        <v>UNKNOWN</v>
      </c>
      <c r="DO115" s="64" t="str">
        <f t="shared" si="469"/>
        <v>UNKNOWN</v>
      </c>
      <c r="DP115" s="3">
        <f t="shared" si="470"/>
        <v>0</v>
      </c>
      <c r="DQ115" s="3">
        <f t="shared" si="471"/>
        <v>0</v>
      </c>
      <c r="DR115" s="3" t="e">
        <f t="shared" ca="1" si="472"/>
        <v>#NUM!</v>
      </c>
      <c r="DS115" s="3">
        <f t="shared" si="473"/>
        <v>0</v>
      </c>
      <c r="DT115" s="3">
        <f t="shared" si="495"/>
        <v>0</v>
      </c>
      <c r="DU115" s="3">
        <f t="shared" si="496"/>
        <v>0</v>
      </c>
      <c r="DV115" s="3">
        <f t="shared" si="497"/>
        <v>-19</v>
      </c>
      <c r="DW115" s="3">
        <f t="shared" si="498"/>
        <v>-337</v>
      </c>
      <c r="DX115" s="3" t="e">
        <f t="shared" ca="1" si="503"/>
        <v>#NUM!</v>
      </c>
      <c r="DY115" s="3" t="e">
        <f t="shared" ca="1" si="474"/>
        <v>#NUM!</v>
      </c>
      <c r="DZ115" s="3">
        <f t="shared" ca="1" si="475"/>
        <v>1.9253609118007282E-2</v>
      </c>
      <c r="EA115" s="3">
        <f t="shared" ca="1" si="476"/>
        <v>-1.6225097055358889E-3</v>
      </c>
      <c r="EB115" s="3">
        <f t="shared" ca="1" si="477"/>
        <v>1.6916906952517234E-3</v>
      </c>
      <c r="EC115" s="3">
        <f t="shared" ca="1" si="478"/>
        <v>-1.6183252495916387E-3</v>
      </c>
      <c r="EE115" s="59">
        <f t="shared" si="479"/>
        <v>0.25</v>
      </c>
      <c r="EF115" s="59">
        <f t="shared" si="480"/>
        <v>0.95750000000000002</v>
      </c>
      <c r="EG115" s="59">
        <f t="shared" si="481"/>
        <v>0.2117</v>
      </c>
      <c r="EH115" s="59">
        <f t="shared" si="482"/>
        <v>0.21879999999999999</v>
      </c>
      <c r="EI115" s="59">
        <f t="shared" si="483"/>
        <v>0.2041</v>
      </c>
      <c r="EJ115" s="59">
        <f t="shared" si="484"/>
        <v>0.21970000000000001</v>
      </c>
      <c r="EL115" s="3" t="str">
        <f>RTD("tos.rtd",,EL$83,"."&amp;$B$82&amp;$AS$82&amp;"C"&amp;$A115)</f>
        <v>--</v>
      </c>
      <c r="EM115" s="3" t="str">
        <f>RTD("tos.rtd",,EM$83,"."&amp;$B$82&amp;$AS$82&amp;"P"&amp;$A115)</f>
        <v>95.75%</v>
      </c>
      <c r="EN115" s="3" t="str">
        <f>RTD("tos.rtd",,EN$83,"."&amp;$C$82&amp;$AU$82&amp;"C"&amp;$A115)</f>
        <v>21.17%</v>
      </c>
      <c r="EO115" s="3" t="str">
        <f>RTD("tos.rtd",,EO$83,"."&amp;$C$82&amp;$AU$82&amp;"P"&amp;$A115)</f>
        <v>21.88%</v>
      </c>
      <c r="EP115" s="3" t="str">
        <f>RTD("tos.rtd",,EP$83,"."&amp;$D$82&amp;$AW$82&amp;"C"&amp;$A115)</f>
        <v>20.41%</v>
      </c>
      <c r="EQ115" s="3" t="str">
        <f>RTD("tos.rtd",,EQ$83,"."&amp;$D$82&amp;$AW$82&amp;"P"&amp;$A115)</f>
        <v>21.97%</v>
      </c>
      <c r="ET115" s="64" t="str">
        <f t="shared" ca="1" si="485"/>
        <v>5570,00.00</v>
      </c>
      <c r="EU115" s="67">
        <v>565.34</v>
      </c>
      <c r="EV115" s="67" t="s">
        <v>939</v>
      </c>
      <c r="EW115" s="67">
        <v>486.96</v>
      </c>
      <c r="EX115" s="67" t="s">
        <v>940</v>
      </c>
      <c r="EY115" s="67">
        <v>5669.25</v>
      </c>
      <c r="EZ115" s="67" t="s">
        <v>941</v>
      </c>
      <c r="FA115" s="67">
        <v>20010.25</v>
      </c>
      <c r="FB115" s="67" t="s">
        <v>942</v>
      </c>
      <c r="FC115" s="67" t="s">
        <v>943</v>
      </c>
      <c r="FD115" s="67" t="s">
        <v>944</v>
      </c>
      <c r="FE115" s="68" t="s">
        <v>945</v>
      </c>
      <c r="FF115" s="68" t="s">
        <v>946</v>
      </c>
    </row>
    <row r="116" spans="1:162" s="63" customFormat="1" ht="12" customHeight="1" thickBot="1" x14ac:dyDescent="0.25">
      <c r="A116" s="2">
        <f t="shared" si="499"/>
        <v>5560</v>
      </c>
      <c r="B116" s="3">
        <f t="shared" si="445"/>
        <v>2120</v>
      </c>
      <c r="C116" s="3">
        <f t="shared" si="446"/>
        <v>357</v>
      </c>
      <c r="D116" s="3">
        <f t="shared" si="447"/>
        <v>422</v>
      </c>
      <c r="E116" s="3">
        <f t="shared" si="514"/>
        <v>2899</v>
      </c>
      <c r="F116" s="4">
        <f t="shared" si="515"/>
        <v>5583.469199314075</v>
      </c>
      <c r="G116" s="4">
        <f t="shared" si="516"/>
        <v>554.43049729587131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765</v>
      </c>
      <c r="AN116" s="20">
        <v>1360</v>
      </c>
      <c r="AO116" s="20">
        <v>5560</v>
      </c>
      <c r="AP116" s="20">
        <v>1950</v>
      </c>
      <c r="AQ116" s="20">
        <v>-11845</v>
      </c>
      <c r="AR116" s="20"/>
      <c r="AS116" s="54">
        <f>IF(RTD("tos.rtd",,AS$83,"."&amp;$B$82&amp;$AS$82&amp;"C"&amp;$A116)="N/A",0,RTD("tos.rtd",,AS$83,"."&amp;$B$82&amp;$AS$82&amp;"C"&amp;$A116))</f>
        <v>1147</v>
      </c>
      <c r="AT116" s="3">
        <f>-IF(RTD("tos.rtd",,AT$83,"."&amp;$B$82&amp;$AS$82&amp;"P"&amp;$A116)="N/A",0,RTD("tos.rtd",,AT$83,"."&amp;$B$82&amp;$AS$82&amp;"P"&amp;$A116))</f>
        <v>-973</v>
      </c>
      <c r="AU116" s="54">
        <f>IF(RTD("tos.rtd",,AU$83,"."&amp;$C$82&amp;$AU$82&amp;"C"&amp;$A116)="N/A",0,RTD("tos.rtd",,AU$83,"."&amp;$C$82&amp;$AU$82&amp;"C"&amp;$A116))</f>
        <v>251</v>
      </c>
      <c r="AV116" s="3">
        <f>-IF(RTD("tos.rtd",,AV$83,"."&amp;$C$82&amp;$AU$82&amp;"P"&amp;$A116)="N/A",0,RTD("tos.rtd",,AV$83,"."&amp;$C$82&amp;$AU$82&amp;"P"&amp;$A116))</f>
        <v>-106</v>
      </c>
      <c r="AW116" s="54">
        <f>IF(RTD("tos.rtd",,AW$83,"."&amp;$D$82&amp;$AW$82&amp;"C"&amp;$A116)="N/A",0,RTD("tos.rtd",,AW$83,"."&amp;$D$82&amp;$AW$82&amp;"C"&amp;$A116))</f>
        <v>226</v>
      </c>
      <c r="AX116" s="3">
        <f>-IF(RTD("tos.rtd",,AX$83,"."&amp;$D$82&amp;$AW$82&amp;"P"&amp;$A116)="N/A",0,RTD("tos.rtd",,AX$83,"."&amp;$D$82&amp;$AW$82&amp;"P"&amp;$A116))</f>
        <v>-196</v>
      </c>
      <c r="AY116" s="79">
        <f t="shared" si="517"/>
        <v>349</v>
      </c>
      <c r="AZ116" s="8">
        <f t="shared" si="449"/>
        <v>5560</v>
      </c>
      <c r="BA116" s="54">
        <f>IF(RTD("tos.rtd",,BA$83,"."&amp;$B$82&amp;$AS$82&amp;"C"&amp;$A116)="N/A",0,RTD("tos.rtd",,BA$83,"."&amp;$B$82&amp;$AS$82&amp;"C"&amp;$A116))</f>
        <v>1950</v>
      </c>
      <c r="BB116" s="3">
        <f>-IF(RTD("tos.rtd",,BB$83,"."&amp;$B$82&amp;$AS$82&amp;"P"&amp;$A116)="N/A",0,RTD("tos.rtd",,BB$83,"."&amp;$B$82&amp;$AS$82&amp;"P"&amp;$A116))</f>
        <v>-11845</v>
      </c>
      <c r="BC116" s="54">
        <f>IF(RTD("tos.rtd",,BC$83,"."&amp;$C$82&amp;$AU$82&amp;"C"&amp;$A116)="N/A",0,RTD("tos.rtd",,BC$83,"."&amp;$C$82&amp;$AU$82&amp;"C"&amp;$A116))</f>
        <v>23</v>
      </c>
      <c r="BD116" s="3">
        <f>-IF(RTD("tos.rtd",,BD$83,"."&amp;$C$82&amp;$AU$82&amp;"P"&amp;$A116)="N/A",0,RTD("tos.rtd",,BD$83,"."&amp;$C$82&amp;$AU$82&amp;"P"&amp;$A116))</f>
        <v>-219</v>
      </c>
      <c r="BE116" s="54">
        <f>IF(RTD("tos.rtd",,BE$83,"."&amp;$D$82&amp;$AW$82&amp;"C"&amp;$A116)="N/A",0,RTD("tos.rtd",,BE$83,"."&amp;$D$82&amp;$AW$82&amp;"C"&amp;$A116))</f>
        <v>14</v>
      </c>
      <c r="BF116" s="3">
        <f>-IF(RTD("tos.rtd",,BF$83,"."&amp;$D$82&amp;$AW$82&amp;"P"&amp;$A116)="N/A",0,RTD("tos.rtd",,BF$83,"."&amp;$D$82&amp;$AW$82&amp;"P"&amp;$A116))</f>
        <v>-90</v>
      </c>
      <c r="BG116" s="3" t="e">
        <f ca="1">+Hoja2!Y117</f>
        <v>#N/A</v>
      </c>
      <c r="BH116" s="55" t="e">
        <f t="shared" ca="1" si="488"/>
        <v>#N/A</v>
      </c>
      <c r="BI116" s="32" t="e">
        <f t="shared" ca="1" si="504"/>
        <v>#N/A</v>
      </c>
      <c r="BJ116" s="3" t="e">
        <f ca="1">IF($BP$1=1,DX116,IF(RTD("tos.rtd",,BJ$83,"."&amp;$B$82&amp;$AS$82&amp;"C"&amp;$A116)="N/A",0,RTD("tos.rtd",,BJ$83,"."&amp;$B$82&amp;$AS$82&amp;"C"&amp;$A116)))</f>
        <v>#NUM!</v>
      </c>
      <c r="BK116" s="3" t="e">
        <f ca="1">IF($BP$1=1,DY116,-IF(RTD("tos.rtd",,BK$83,"."&amp;$B$82&amp;$AS$82&amp;"P"&amp;$A116)="N/A",0,RTD("tos.rtd",,BK$83,"."&amp;$B$82&amp;$AS$82&amp;"P"&amp;$A116)))</f>
        <v>#NUM!</v>
      </c>
      <c r="BL116" s="3">
        <f ca="1">IF($BP$1=1,DZ116,IF(RTD("tos.rtd",,BL$83,"."&amp;$C$82&amp;$AU$82&amp;"C"&amp;$A116)="N/A",0,RTD("tos.rtd",,BL$83,"."&amp;$C$82&amp;$AU$82&amp;"C"&amp;$A116)))</f>
        <v>1.8497137845694546E-2</v>
      </c>
      <c r="BM116" s="3">
        <f ca="1">IF($BP$1=1,EA116,-IF(RTD("tos.rtd",,BM$83,"."&amp;$C$82&amp;$AU$82&amp;"P"&amp;$A116)="N/A",0,RTD("tos.rtd",,BM$83,"."&amp;$C$82&amp;$AU$82&amp;"P"&amp;$A116)))</f>
        <v>-1.5588008755708497E-3</v>
      </c>
      <c r="BN116" s="3">
        <f ca="1">IF($BP$1=1,EB116,IF(RTD("tos.rtd",,BN$83,"."&amp;$D$82&amp;$AW$82&amp;"C"&amp;$A116)="N/A",0,RTD("tos.rtd",,BN$83,"."&amp;$D$82&amp;$AW$82&amp;"C"&amp;$A116)))</f>
        <v>1.6208285678465009E-3</v>
      </c>
      <c r="BO116" s="3">
        <f ca="1">IF($BP$1=1,EC116,-IF(RTD("tos.rtd",,BO$83,"."&amp;$D$82&amp;$AW$82&amp;"P"&amp;$A116)="N/A",0,RTD("tos.rtd",,BO$83,"."&amp;$D$82&amp;$AW$82&amp;"P"&amp;$A116)))</f>
        <v>-1.5571858095936736E-3</v>
      </c>
      <c r="BQ116" s="3" t="e">
        <f t="shared" ca="1" si="450"/>
        <v>#NUM!</v>
      </c>
      <c r="BR116" s="3" t="e">
        <f t="shared" ca="1" si="489"/>
        <v>#NUM!</v>
      </c>
      <c r="BS116" s="3">
        <f t="shared" ca="1" si="451"/>
        <v>1070500.769695821</v>
      </c>
      <c r="BT116" s="3" t="str">
        <f t="shared" ca="1" si="489"/>
        <v/>
      </c>
      <c r="BU116" s="3">
        <f t="shared" ca="1" si="452"/>
        <v>14607.625069640009</v>
      </c>
      <c r="BV116" s="3" t="str">
        <f t="shared" ca="1" si="489"/>
        <v>Cruce +</v>
      </c>
      <c r="BX116" s="3" t="e">
        <f t="shared" ca="1" si="453"/>
        <v>#NUM!</v>
      </c>
      <c r="BY116" s="3" t="e">
        <f t="shared" ca="1" si="501"/>
        <v>#NUM!</v>
      </c>
      <c r="BZ116" s="3">
        <f t="shared" ca="1" si="454"/>
        <v>20096.452813059965</v>
      </c>
      <c r="CA116" s="3" t="str">
        <f t="shared" ca="1" si="501"/>
        <v>Cruce +</v>
      </c>
      <c r="CB116" s="3">
        <f t="shared" ca="1" si="455"/>
        <v>-28081.391789737885</v>
      </c>
      <c r="CC116" s="3" t="str">
        <f t="shared" ca="1" si="501"/>
        <v/>
      </c>
      <c r="CD116" s="3">
        <f>IF(RTD("tos.rtd",,CD$83,"."&amp;$B$82&amp;$AS$82&amp;"C"&amp;$A116)="N/A",0,RTD("tos.rtd",,CD$83,"."&amp;$B$82&amp;$AS$82&amp;"C"&amp;$A116))</f>
        <v>1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0.79</v>
      </c>
      <c r="CG116" s="3">
        <f>-IF(RTD("tos.rtd",,CG$83,"."&amp;$C$82&amp;$AU$82&amp;"P"&amp;$A116)="N/A",0,RTD("tos.rtd",,CG$83,"."&amp;$C$82&amp;$AU$82&amp;"P"&amp;$A116))</f>
        <v>0.22</v>
      </c>
      <c r="CH116" s="3">
        <f>IF(RTD("tos.rtd",,CH$83,"."&amp;$D$82&amp;$AW$82&amp;"C"&amp;$A116)="N/A",0,RTD("tos.rtd",,CH$83,"."&amp;$D$82&amp;$AW$82&amp;"C"&amp;$A116))</f>
        <v>0.73</v>
      </c>
      <c r="CI116" s="3">
        <f>-IF(RTD("tos.rtd",,CI$83,"."&amp;$D$82&amp;$AW$82&amp;"P"&amp;$A116)="N/A",0,RTD("tos.rtd",,CI$83,"."&amp;$D$82&amp;$AW$82&amp;"P"&amp;$A116))</f>
        <v>0.28000000000000003</v>
      </c>
      <c r="CK116" s="3">
        <f t="shared" si="490"/>
        <v>114700</v>
      </c>
      <c r="CL116" s="3"/>
      <c r="CM116" s="3">
        <f t="shared" si="491"/>
        <v>17497.000000000004</v>
      </c>
      <c r="CN116" s="3"/>
      <c r="CO116" s="3">
        <f t="shared" si="492"/>
        <v>11010</v>
      </c>
      <c r="CP116" s="3">
        <f t="shared" si="456"/>
        <v>143207</v>
      </c>
      <c r="CQ116" s="3">
        <f t="shared" si="457"/>
        <v>-9895</v>
      </c>
      <c r="CR116" s="3"/>
      <c r="CS116" s="3">
        <f t="shared" si="458"/>
        <v>-196</v>
      </c>
      <c r="CT116" s="3"/>
      <c r="CU116" s="3">
        <f t="shared" si="459"/>
        <v>-76</v>
      </c>
      <c r="CV116" s="3"/>
      <c r="CW116" s="3" t="e">
        <f t="shared" ca="1" si="518"/>
        <v>#NUM!</v>
      </c>
      <c r="CY116" s="3" t="e">
        <f t="shared" ca="1" si="461"/>
        <v>#NUM!</v>
      </c>
      <c r="CZ116" s="70" t="e">
        <f t="shared" ca="1" si="502"/>
        <v>#NUM!</v>
      </c>
      <c r="DA116" s="3">
        <f>IF(RTD("tos.rtd",,DA$83,"."&amp;$B$82&amp;$AS$82&amp;"C"&amp;$A116)="N/A",0,RTD("tos.rtd",,DA$83,"."&amp;$B$82&amp;$AS$82&amp;"C"&amp;$A116))</f>
        <v>127.15</v>
      </c>
      <c r="DB116" s="3">
        <f>IF(RTD("tos.rtd",,DB$83,"."&amp;$B$82&amp;$AS$82&amp;"P"&amp;$A116)="N/A",0,RTD("tos.rtd",,DB$83,"."&amp;$B$82&amp;$AS$82&amp;"P"&amp;$A116))</f>
        <v>0.05</v>
      </c>
      <c r="DC116" s="3">
        <f>IF(RTD("tos.rtd",,DC$83,"."&amp;$B$82&amp;$AS$82&amp;"C"&amp;$A116)="N/A",0,RTD("tos.rtd",,DC$83,"."&amp;$B$82&amp;$AS$82&amp;"C"&amp;$A116))</f>
        <v>128.30000000000001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123.8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494"/>
        <v>-125.75</v>
      </c>
      <c r="DH116" s="3">
        <f t="shared" si="462"/>
        <v>0</v>
      </c>
      <c r="DI116" s="3">
        <f t="shared" si="463"/>
        <v>0</v>
      </c>
      <c r="DJ116" s="3">
        <f t="shared" si="464"/>
        <v>0</v>
      </c>
      <c r="DK116" s="3">
        <f t="shared" si="465"/>
        <v>0</v>
      </c>
      <c r="DL116" s="3">
        <f t="shared" si="466"/>
        <v>0</v>
      </c>
      <c r="DM116" s="3">
        <f t="shared" si="467"/>
        <v>0</v>
      </c>
      <c r="DN116" s="64" t="str">
        <f t="shared" si="468"/>
        <v>UNKNOWN</v>
      </c>
      <c r="DO116" s="64" t="str">
        <f t="shared" si="469"/>
        <v>UNKNOWN</v>
      </c>
      <c r="DP116" s="3">
        <f t="shared" si="470"/>
        <v>0</v>
      </c>
      <c r="DQ116" s="3">
        <f t="shared" si="471"/>
        <v>0</v>
      </c>
      <c r="DR116" s="3" t="e">
        <f t="shared" ca="1" si="472"/>
        <v>#NUM!</v>
      </c>
      <c r="DS116" s="3">
        <f t="shared" si="473"/>
        <v>0</v>
      </c>
      <c r="DT116" s="3">
        <f t="shared" si="495"/>
        <v>0</v>
      </c>
      <c r="DU116" s="3">
        <f t="shared" si="496"/>
        <v>0</v>
      </c>
      <c r="DV116" s="3">
        <f t="shared" si="497"/>
        <v>765</v>
      </c>
      <c r="DW116" s="3">
        <f t="shared" si="498"/>
        <v>1360</v>
      </c>
      <c r="DX116" s="3" t="e">
        <f t="shared" ca="1" si="503"/>
        <v>#NUM!</v>
      </c>
      <c r="DY116" s="3" t="e">
        <f t="shared" ca="1" si="474"/>
        <v>#NUM!</v>
      </c>
      <c r="DZ116" s="3">
        <f t="shared" ca="1" si="475"/>
        <v>1.8497137845694546E-2</v>
      </c>
      <c r="EA116" s="3">
        <f t="shared" ca="1" si="476"/>
        <v>-1.5588008755708497E-3</v>
      </c>
      <c r="EB116" s="3">
        <f t="shared" ca="1" si="477"/>
        <v>1.6208285678465009E-3</v>
      </c>
      <c r="EC116" s="3">
        <f t="shared" ca="1" si="478"/>
        <v>-1.5571858095936736E-3</v>
      </c>
      <c r="EE116" s="59">
        <f t="shared" si="479"/>
        <v>0.25</v>
      </c>
      <c r="EF116" s="59">
        <f t="shared" si="480"/>
        <v>1.0324</v>
      </c>
      <c r="EG116" s="59">
        <f t="shared" si="481"/>
        <v>0.21360000000000001</v>
      </c>
      <c r="EH116" s="59">
        <f t="shared" si="482"/>
        <v>0.2215</v>
      </c>
      <c r="EI116" s="59">
        <f t="shared" si="483"/>
        <v>0.20610000000000001</v>
      </c>
      <c r="EJ116" s="59">
        <f t="shared" si="484"/>
        <v>0.22189999999999999</v>
      </c>
      <c r="EL116" s="3" t="str">
        <f>RTD("tos.rtd",,EL$83,"."&amp;$B$82&amp;$AS$82&amp;"C"&amp;$A116)</f>
        <v>--</v>
      </c>
      <c r="EM116" s="3" t="str">
        <f>RTD("tos.rtd",,EM$83,"."&amp;$B$82&amp;$AS$82&amp;"P"&amp;$A116)</f>
        <v>103.24%</v>
      </c>
      <c r="EN116" s="3" t="str">
        <f>RTD("tos.rtd",,EN$83,"."&amp;$C$82&amp;$AU$82&amp;"C"&amp;$A116)</f>
        <v>21.36%</v>
      </c>
      <c r="EO116" s="3" t="str">
        <f>RTD("tos.rtd",,EO$83,"."&amp;$C$82&amp;$AU$82&amp;"P"&amp;$A116)</f>
        <v>22.15%</v>
      </c>
      <c r="EP116" s="3" t="str">
        <f>RTD("tos.rtd",,EP$83,"."&amp;$D$82&amp;$AW$82&amp;"C"&amp;$A116)</f>
        <v>20.61%</v>
      </c>
      <c r="EQ116" s="3" t="str">
        <f>RTD("tos.rtd",,EQ$83,"."&amp;$D$82&amp;$AW$82&amp;"P"&amp;$A116)</f>
        <v>22.19%</v>
      </c>
      <c r="ET116" s="64" t="str">
        <f t="shared" ca="1" si="485"/>
        <v>5560,00.00</v>
      </c>
      <c r="EU116" s="67">
        <v>564.85</v>
      </c>
      <c r="EV116" s="67" t="s">
        <v>947</v>
      </c>
      <c r="EW116" s="67">
        <v>486.5</v>
      </c>
      <c r="EX116" s="67" t="s">
        <v>948</v>
      </c>
      <c r="EY116" s="67">
        <v>5664.25</v>
      </c>
      <c r="EZ116" s="67" t="s">
        <v>949</v>
      </c>
      <c r="FA116" s="67">
        <v>19990.75</v>
      </c>
      <c r="FB116" s="67" t="s">
        <v>950</v>
      </c>
      <c r="FC116" s="67" t="s">
        <v>951</v>
      </c>
      <c r="FD116" s="67" t="s">
        <v>952</v>
      </c>
      <c r="FE116" s="68" t="s">
        <v>953</v>
      </c>
      <c r="FF116" s="68" t="s">
        <v>954</v>
      </c>
    </row>
    <row r="117" spans="1:162" s="63" customFormat="1" ht="12" customHeight="1" thickBot="1" x14ac:dyDescent="0.25">
      <c r="A117" s="2">
        <f t="shared" si="499"/>
        <v>5550</v>
      </c>
      <c r="B117" s="3">
        <f t="shared" si="445"/>
        <v>7840</v>
      </c>
      <c r="C117" s="3">
        <f t="shared" si="446"/>
        <v>1397</v>
      </c>
      <c r="D117" s="3">
        <f t="shared" si="447"/>
        <v>1128</v>
      </c>
      <c r="E117" s="3">
        <f t="shared" ref="E117:E121" si="519">SUM(B117:D117)</f>
        <v>10365</v>
      </c>
      <c r="F117" s="4">
        <f t="shared" ref="F117:F121" si="520">+$F$84/$A$84*A117</f>
        <v>5573.4269885239419</v>
      </c>
      <c r="G117" s="4">
        <f t="shared" ref="G117:G121" si="521">+$G$84/$A$84*A117</f>
        <v>553.43332014246141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-1156</v>
      </c>
      <c r="AN117" s="20">
        <v>2716</v>
      </c>
      <c r="AO117" s="20">
        <v>5550</v>
      </c>
      <c r="AP117" s="20">
        <v>1574</v>
      </c>
      <c r="AQ117" s="20">
        <v>-18975</v>
      </c>
      <c r="AR117" s="20"/>
      <c r="AS117" s="54">
        <f>IF(RTD("tos.rtd",,AS$83,"."&amp;$B$82&amp;$AS$82&amp;"C"&amp;$A117)="N/A",0,RTD("tos.rtd",,AS$83,"."&amp;$B$82&amp;$AS$82&amp;"C"&amp;$A117))</f>
        <v>2983</v>
      </c>
      <c r="AT117" s="3">
        <f>-IF(RTD("tos.rtd",,AT$83,"."&amp;$B$82&amp;$AS$82&amp;"P"&amp;$A117)="N/A",0,RTD("tos.rtd",,AT$83,"."&amp;$B$82&amp;$AS$82&amp;"P"&amp;$A117))</f>
        <v>-4857</v>
      </c>
      <c r="AU117" s="54">
        <f>IF(RTD("tos.rtd",,AU$83,"."&amp;$C$82&amp;$AU$82&amp;"C"&amp;$A117)="N/A",0,RTD("tos.rtd",,AU$83,"."&amp;$C$82&amp;$AU$82&amp;"C"&amp;$A117))</f>
        <v>901</v>
      </c>
      <c r="AV117" s="3">
        <f>-IF(RTD("tos.rtd",,AV$83,"."&amp;$C$82&amp;$AU$82&amp;"P"&amp;$A117)="N/A",0,RTD("tos.rtd",,AV$83,"."&amp;$C$82&amp;$AU$82&amp;"P"&amp;$A117))</f>
        <v>-496</v>
      </c>
      <c r="AW117" s="54">
        <f>IF(RTD("tos.rtd",,AW$83,"."&amp;$D$82&amp;$AW$82&amp;"C"&amp;$A117)="N/A",0,RTD("tos.rtd",,AW$83,"."&amp;$D$82&amp;$AW$82&amp;"C"&amp;$A117))</f>
        <v>751</v>
      </c>
      <c r="AX117" s="3">
        <f>-IF(RTD("tos.rtd",,AX$83,"."&amp;$D$82&amp;$AW$82&amp;"P"&amp;$A117)="N/A",0,RTD("tos.rtd",,AX$83,"."&amp;$D$82&amp;$AW$82&amp;"P"&amp;$A117))</f>
        <v>-377</v>
      </c>
      <c r="AY117" s="79">
        <f t="shared" ref="AY117:AY121" si="522">SUM(AS117:AX117)</f>
        <v>-1095</v>
      </c>
      <c r="AZ117" s="8">
        <f t="shared" si="449"/>
        <v>5550</v>
      </c>
      <c r="BA117" s="54">
        <f>IF(RTD("tos.rtd",,BA$83,"."&amp;$B$82&amp;$AS$82&amp;"C"&amp;$A117)="N/A",0,RTD("tos.rtd",,BA$83,"."&amp;$B$82&amp;$AS$82&amp;"C"&amp;$A117))</f>
        <v>1574</v>
      </c>
      <c r="BB117" s="3">
        <f>-IF(RTD("tos.rtd",,BB$83,"."&amp;$B$82&amp;$AS$82&amp;"P"&amp;$A117)="N/A",0,RTD("tos.rtd",,BB$83,"."&amp;$B$82&amp;$AS$82&amp;"P"&amp;$A117))</f>
        <v>-18975</v>
      </c>
      <c r="BC117" s="54">
        <f>IF(RTD("tos.rtd",,BC$83,"."&amp;$C$82&amp;$AU$82&amp;"C"&amp;$A117)="N/A",0,RTD("tos.rtd",,BC$83,"."&amp;$C$82&amp;$AU$82&amp;"C"&amp;$A117))</f>
        <v>171</v>
      </c>
      <c r="BD117" s="3">
        <f>-IF(RTD("tos.rtd",,BD$83,"."&amp;$C$82&amp;$AU$82&amp;"P"&amp;$A117)="N/A",0,RTD("tos.rtd",,BD$83,"."&amp;$C$82&amp;$AU$82&amp;"P"&amp;$A117))</f>
        <v>-1958</v>
      </c>
      <c r="BE117" s="54">
        <f>IF(RTD("tos.rtd",,BE$83,"."&amp;$D$82&amp;$AW$82&amp;"C"&amp;$A117)="N/A",0,RTD("tos.rtd",,BE$83,"."&amp;$D$82&amp;$AW$82&amp;"C"&amp;$A117))</f>
        <v>43</v>
      </c>
      <c r="BF117" s="3">
        <f>-IF(RTD("tos.rtd",,BF$83,"."&amp;$D$82&amp;$AW$82&amp;"P"&amp;$A117)="N/A",0,RTD("tos.rtd",,BF$83,"."&amp;$D$82&amp;$AW$82&amp;"P"&amp;$A117))</f>
        <v>-226</v>
      </c>
      <c r="BG117" s="3" t="e">
        <f ca="1">+Hoja2!Y118</f>
        <v>#N/A</v>
      </c>
      <c r="BH117" s="55" t="e">
        <f t="shared" ca="1" si="488"/>
        <v>#N/A</v>
      </c>
      <c r="BI117" s="32" t="e">
        <f t="shared" ca="1" si="504"/>
        <v>#N/A</v>
      </c>
      <c r="BJ117" s="3" t="e">
        <f ca="1">IF($BP$1=1,DX117,IF(RTD("tos.rtd",,BJ$83,"."&amp;$B$82&amp;$AS$82&amp;"C"&amp;$A117)="N/A",0,RTD("tos.rtd",,BJ$83,"."&amp;$B$82&amp;$AS$82&amp;"C"&amp;$A117)))</f>
        <v>#NUM!</v>
      </c>
      <c r="BK117" s="3" t="e">
        <f ca="1">IF($BP$1=1,DY117,-IF(RTD("tos.rtd",,BK$83,"."&amp;$B$82&amp;$AS$82&amp;"P"&amp;$A117)="N/A",0,RTD("tos.rtd",,BK$83,"."&amp;$B$82&amp;$AS$82&amp;"P"&amp;$A117)))</f>
        <v>#NUM!</v>
      </c>
      <c r="BL117" s="3">
        <f ca="1">IF($BP$1=1,DZ117,IF(RTD("tos.rtd",,BL$83,"."&amp;$C$82&amp;$AU$82&amp;"C"&amp;$A117)="N/A",0,RTD("tos.rtd",,BL$83,"."&amp;$C$82&amp;$AU$82&amp;"C"&amp;$A117)))</f>
        <v>1.7825413117392174E-2</v>
      </c>
      <c r="BM117" s="3">
        <f ca="1">IF($BP$1=1,EA117,-IF(RTD("tos.rtd",,BM$83,"."&amp;$C$82&amp;$AU$82&amp;"P"&amp;$A117)="N/A",0,RTD("tos.rtd",,BM$83,"."&amp;$C$82&amp;$AU$82&amp;"P"&amp;$A117)))</f>
        <v>-1.4978029507166386E-3</v>
      </c>
      <c r="BN117" s="3">
        <f ca="1">IF($BP$1=1,EB117,IF(RTD("tos.rtd",,BN$83,"."&amp;$D$82&amp;$AW$82&amp;"C"&amp;$A117)="N/A",0,RTD("tos.rtd",,BN$83,"."&amp;$D$82&amp;$AW$82&amp;"C"&amp;$A117)))</f>
        <v>1.5498847958110742E-3</v>
      </c>
      <c r="BO117" s="3">
        <f ca="1">IF($BP$1=1,EC117,-IF(RTD("tos.rtd",,BO$83,"."&amp;$D$82&amp;$AW$82&amp;"P"&amp;$A117)="N/A",0,RTD("tos.rtd",,BO$83,"."&amp;$D$82&amp;$AW$82&amp;"P"&amp;$A117)))</f>
        <v>-1.4971124849842241E-3</v>
      </c>
      <c r="BQ117" s="3" t="e">
        <f t="shared" ca="1" si="450"/>
        <v>#NUM!</v>
      </c>
      <c r="BR117" s="3" t="e">
        <f t="shared" ca="1" si="489"/>
        <v>#NUM!</v>
      </c>
      <c r="BS117" s="3">
        <f t="shared" ca="1" si="451"/>
        <v>3662205.3272007122</v>
      </c>
      <c r="BT117" s="3" t="str">
        <f t="shared" ca="1" si="489"/>
        <v/>
      </c>
      <c r="BU117" s="3">
        <f t="shared" ca="1" si="452"/>
        <v>143342.03816396953</v>
      </c>
      <c r="BV117" s="3" t="str">
        <f t="shared" ca="1" si="489"/>
        <v/>
      </c>
      <c r="BX117" s="3" t="e">
        <f t="shared" ca="1" si="453"/>
        <v>#NUM!</v>
      </c>
      <c r="BY117" s="3" t="e">
        <f t="shared" ca="1" si="501"/>
        <v>#NUM!</v>
      </c>
      <c r="BZ117" s="3">
        <f t="shared" ca="1" si="454"/>
        <v>27601.397294638096</v>
      </c>
      <c r="CA117" s="3" t="str">
        <f t="shared" ca="1" si="501"/>
        <v/>
      </c>
      <c r="CB117" s="3">
        <f t="shared" ca="1" si="455"/>
        <v>-64959.115142607923</v>
      </c>
      <c r="CC117" s="3" t="str">
        <f t="shared" ca="1" si="501"/>
        <v/>
      </c>
      <c r="CD117" s="3">
        <f>IF(RTD("tos.rtd",,CD$83,"."&amp;$B$82&amp;$AS$82&amp;"C"&amp;$A117)="N/A",0,RTD("tos.rtd",,CD$83,"."&amp;$B$82&amp;$AS$82&amp;"C"&amp;$A117))</f>
        <v>1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0.81</v>
      </c>
      <c r="CG117" s="3">
        <f>-IF(RTD("tos.rtd",,CG$83,"."&amp;$C$82&amp;$AU$82&amp;"P"&amp;$A117)="N/A",0,RTD("tos.rtd",,CG$83,"."&amp;$C$82&amp;$AU$82&amp;"P"&amp;$A117))</f>
        <v>0.2</v>
      </c>
      <c r="CH117" s="3">
        <f>IF(RTD("tos.rtd",,CH$83,"."&amp;$D$82&amp;$AW$82&amp;"C"&amp;$A117)="N/A",0,RTD("tos.rtd",,CH$83,"."&amp;$D$82&amp;$AW$82&amp;"C"&amp;$A117))</f>
        <v>0.75</v>
      </c>
      <c r="CI117" s="3">
        <f>-IF(RTD("tos.rtd",,CI$83,"."&amp;$D$82&amp;$AW$82&amp;"P"&amp;$A117)="N/A",0,RTD("tos.rtd",,CI$83,"."&amp;$D$82&amp;$AW$82&amp;"P"&amp;$A117))</f>
        <v>0.27</v>
      </c>
      <c r="CK117" s="3">
        <f t="shared" ref="CK117:CK121" si="523">+AS117*CD117*100+AT117*CE117*100</f>
        <v>298300</v>
      </c>
      <c r="CL117" s="3"/>
      <c r="CM117" s="3">
        <f t="shared" ref="CM117:CM121" si="524">+AU117*CF117*100+AV117*CG117*100</f>
        <v>63061</v>
      </c>
      <c r="CN117" s="3"/>
      <c r="CO117" s="3">
        <f t="shared" ref="CO117:CO121" si="525">+AW117*CH117*100+AX117*CI117*100</f>
        <v>46146</v>
      </c>
      <c r="CP117" s="3">
        <f t="shared" si="456"/>
        <v>407507</v>
      </c>
      <c r="CQ117" s="3">
        <f t="shared" si="457"/>
        <v>-17401</v>
      </c>
      <c r="CR117" s="3"/>
      <c r="CS117" s="3">
        <f t="shared" si="458"/>
        <v>-1787</v>
      </c>
      <c r="CT117" s="3"/>
      <c r="CU117" s="3">
        <f t="shared" si="459"/>
        <v>-183</v>
      </c>
      <c r="CV117" s="3"/>
      <c r="CW117" s="3" t="e">
        <f t="shared" ref="CW117:CW121" ca="1" si="526">+BQ117+BS117+BU117</f>
        <v>#NUM!</v>
      </c>
      <c r="CY117" s="3" t="e">
        <f t="shared" ca="1" si="461"/>
        <v>#NUM!</v>
      </c>
      <c r="CZ117" s="70" t="e">
        <f t="shared" ca="1" si="502"/>
        <v>#NUM!</v>
      </c>
      <c r="DA117" s="3">
        <f>IF(RTD("tos.rtd",,DA$83,"."&amp;$B$82&amp;$AS$82&amp;"C"&amp;$A117)="N/A",0,RTD("tos.rtd",,DA$83,"."&amp;$B$82&amp;$AS$82&amp;"C"&amp;$A117))</f>
        <v>137.04</v>
      </c>
      <c r="DB117" s="3">
        <f>IF(RTD("tos.rtd",,DB$83,"."&amp;$B$82&amp;$AS$82&amp;"P"&amp;$A117)="N/A",0,RTD("tos.rtd",,DB$83,"."&amp;$B$82&amp;$AS$82&amp;"P"&amp;$A117))</f>
        <v>0.03</v>
      </c>
      <c r="DC117" s="3">
        <f>IF(RTD("tos.rtd",,DC$83,"."&amp;$B$82&amp;$AS$82&amp;"C"&amp;$A117)="N/A",0,RTD("tos.rtd",,DC$83,"."&amp;$B$82&amp;$AS$82&amp;"C"&amp;$A117))</f>
        <v>138.30000000000001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133.80000000000001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494"/>
        <v>-135.75</v>
      </c>
      <c r="DH117" s="3">
        <f t="shared" si="462"/>
        <v>0</v>
      </c>
      <c r="DI117" s="3">
        <f t="shared" si="463"/>
        <v>0</v>
      </c>
      <c r="DJ117" s="3">
        <f t="shared" si="464"/>
        <v>0</v>
      </c>
      <c r="DK117" s="3">
        <f t="shared" si="465"/>
        <v>0</v>
      </c>
      <c r="DL117" s="3">
        <f t="shared" si="466"/>
        <v>0</v>
      </c>
      <c r="DM117" s="3">
        <f t="shared" si="467"/>
        <v>0</v>
      </c>
      <c r="DN117" s="64" t="str">
        <f t="shared" si="468"/>
        <v>UNKNOWN</v>
      </c>
      <c r="DO117" s="64" t="str">
        <f t="shared" si="469"/>
        <v>UNKNOWN</v>
      </c>
      <c r="DP117" s="3">
        <f t="shared" si="470"/>
        <v>0</v>
      </c>
      <c r="DQ117" s="3">
        <f t="shared" si="471"/>
        <v>0</v>
      </c>
      <c r="DR117" s="3" t="e">
        <f t="shared" ca="1" si="472"/>
        <v>#NUM!</v>
      </c>
      <c r="DS117" s="3">
        <f t="shared" si="473"/>
        <v>0</v>
      </c>
      <c r="DT117" s="3">
        <f t="shared" si="495"/>
        <v>0</v>
      </c>
      <c r="DU117" s="3">
        <f t="shared" si="496"/>
        <v>0</v>
      </c>
      <c r="DV117" s="3">
        <f t="shared" si="497"/>
        <v>-1156</v>
      </c>
      <c r="DW117" s="3">
        <f t="shared" si="498"/>
        <v>2716</v>
      </c>
      <c r="DX117" s="3" t="e">
        <f t="shared" ca="1" si="503"/>
        <v>#NUM!</v>
      </c>
      <c r="DY117" s="3" t="e">
        <f t="shared" ca="1" si="474"/>
        <v>#NUM!</v>
      </c>
      <c r="DZ117" s="3">
        <f t="shared" ca="1" si="475"/>
        <v>1.7825413117392174E-2</v>
      </c>
      <c r="EA117" s="3">
        <f t="shared" ca="1" si="476"/>
        <v>-1.4978029507166386E-3</v>
      </c>
      <c r="EB117" s="3">
        <f t="shared" ca="1" si="477"/>
        <v>1.5498847958110742E-3</v>
      </c>
      <c r="EC117" s="3">
        <f t="shared" ca="1" si="478"/>
        <v>-1.4971124849842241E-3</v>
      </c>
      <c r="EE117" s="59">
        <f t="shared" si="479"/>
        <v>0.25</v>
      </c>
      <c r="EF117" s="59">
        <f t="shared" si="480"/>
        <v>1.1071</v>
      </c>
      <c r="EG117" s="59">
        <f t="shared" si="481"/>
        <v>0.21340000000000001</v>
      </c>
      <c r="EH117" s="59">
        <f t="shared" si="482"/>
        <v>0.22370000000000001</v>
      </c>
      <c r="EI117" s="59">
        <f t="shared" si="483"/>
        <v>0.20830000000000001</v>
      </c>
      <c r="EJ117" s="59">
        <f t="shared" si="484"/>
        <v>0.22389999999999999</v>
      </c>
      <c r="EL117" s="3" t="str">
        <f>RTD("tos.rtd",,EL$83,"."&amp;$B$82&amp;$AS$82&amp;"C"&amp;$A117)</f>
        <v>--</v>
      </c>
      <c r="EM117" s="3" t="str">
        <f>RTD("tos.rtd",,EM$83,"."&amp;$B$82&amp;$AS$82&amp;"P"&amp;$A117)</f>
        <v>110.71%</v>
      </c>
      <c r="EN117" s="3" t="str">
        <f>RTD("tos.rtd",,EN$83,"."&amp;$C$82&amp;$AU$82&amp;"C"&amp;$A117)</f>
        <v>21.34%</v>
      </c>
      <c r="EO117" s="3" t="str">
        <f>RTD("tos.rtd",,EO$83,"."&amp;$C$82&amp;$AU$82&amp;"P"&amp;$A117)</f>
        <v>22.37%</v>
      </c>
      <c r="EP117" s="3" t="str">
        <f>RTD("tos.rtd",,EP$83,"."&amp;$D$82&amp;$AW$82&amp;"C"&amp;$A117)</f>
        <v>20.83%</v>
      </c>
      <c r="EQ117" s="3" t="str">
        <f>RTD("tos.rtd",,EQ$83,"."&amp;$D$82&amp;$AW$82&amp;"P"&amp;$A117)</f>
        <v>22.39%</v>
      </c>
      <c r="ET117" s="64" t="str">
        <f t="shared" ca="1" si="485"/>
        <v>5550,00.00</v>
      </c>
      <c r="EU117" s="67">
        <v>565.1</v>
      </c>
      <c r="EV117" s="67" t="s">
        <v>955</v>
      </c>
      <c r="EW117" s="67">
        <v>486.81</v>
      </c>
      <c r="EX117" s="67" t="s">
        <v>956</v>
      </c>
      <c r="EY117" s="67">
        <v>5666.75</v>
      </c>
      <c r="EZ117" s="67" t="s">
        <v>957</v>
      </c>
      <c r="FA117" s="67">
        <v>20003.75</v>
      </c>
      <c r="FB117" s="67" t="s">
        <v>958</v>
      </c>
      <c r="FC117" s="67" t="s">
        <v>959</v>
      </c>
      <c r="FD117" s="67" t="s">
        <v>960</v>
      </c>
      <c r="FE117" s="68" t="s">
        <v>961</v>
      </c>
      <c r="FF117" s="68" t="s">
        <v>962</v>
      </c>
    </row>
    <row r="118" spans="1:162" s="63" customFormat="1" ht="12" customHeight="1" thickBot="1" x14ac:dyDescent="0.25">
      <c r="A118" s="2">
        <f t="shared" si="499"/>
        <v>5540</v>
      </c>
      <c r="B118" s="3">
        <f t="shared" si="445"/>
        <v>1929</v>
      </c>
      <c r="C118" s="3">
        <f t="shared" si="446"/>
        <v>668</v>
      </c>
      <c r="D118" s="3">
        <f t="shared" si="447"/>
        <v>720</v>
      </c>
      <c r="E118" s="3">
        <f t="shared" si="519"/>
        <v>3317</v>
      </c>
      <c r="F118" s="4">
        <f t="shared" si="520"/>
        <v>5563.3847777338087</v>
      </c>
      <c r="G118" s="4">
        <f t="shared" si="521"/>
        <v>552.43614298905163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-271</v>
      </c>
      <c r="AN118" s="20">
        <v>540</v>
      </c>
      <c r="AO118" s="20">
        <v>5540</v>
      </c>
      <c r="AP118" s="20">
        <v>525</v>
      </c>
      <c r="AQ118" s="20">
        <v>-8423</v>
      </c>
      <c r="AR118" s="20"/>
      <c r="AS118" s="54">
        <f>IF(RTD("tos.rtd",,AS$83,"."&amp;$B$82&amp;$AS$82&amp;"C"&amp;$A118)="N/A",0,RTD("tos.rtd",,AS$83,"."&amp;$B$82&amp;$AS$82&amp;"C"&amp;$A118))</f>
        <v>1134</v>
      </c>
      <c r="AT118" s="3">
        <f>-IF(RTD("tos.rtd",,AT$83,"."&amp;$B$82&amp;$AS$82&amp;"P"&amp;$A118)="N/A",0,RTD("tos.rtd",,AT$83,"."&amp;$B$82&amp;$AS$82&amp;"P"&amp;$A118))</f>
        <v>-795</v>
      </c>
      <c r="AU118" s="54">
        <f>IF(RTD("tos.rtd",,AU$83,"."&amp;$C$82&amp;$AU$82&amp;"C"&amp;$A118)="N/A",0,RTD("tos.rtd",,AU$83,"."&amp;$C$82&amp;$AU$82&amp;"C"&amp;$A118))</f>
        <v>423</v>
      </c>
      <c r="AV118" s="3">
        <f>-IF(RTD("tos.rtd",,AV$83,"."&amp;$C$82&amp;$AU$82&amp;"P"&amp;$A118)="N/A",0,RTD("tos.rtd",,AV$83,"."&amp;$C$82&amp;$AU$82&amp;"P"&amp;$A118))</f>
        <v>-245</v>
      </c>
      <c r="AW118" s="54">
        <f>IF(RTD("tos.rtd",,AW$83,"."&amp;$D$82&amp;$AW$82&amp;"C"&amp;$A118)="N/A",0,RTD("tos.rtd",,AW$83,"."&amp;$D$82&amp;$AW$82&amp;"C"&amp;$A118))</f>
        <v>511</v>
      </c>
      <c r="AX118" s="3">
        <f>-IF(RTD("tos.rtd",,AX$83,"."&amp;$D$82&amp;$AW$82&amp;"P"&amp;$A118)="N/A",0,RTD("tos.rtd",,AX$83,"."&amp;$D$82&amp;$AW$82&amp;"P"&amp;$A118))</f>
        <v>-209</v>
      </c>
      <c r="AY118" s="79">
        <f t="shared" si="522"/>
        <v>819</v>
      </c>
      <c r="AZ118" s="8">
        <f t="shared" si="449"/>
        <v>5540</v>
      </c>
      <c r="BA118" s="54">
        <f>IF(RTD("tos.rtd",,BA$83,"."&amp;$B$82&amp;$AS$82&amp;"C"&amp;$A118)="N/A",0,RTD("tos.rtd",,BA$83,"."&amp;$B$82&amp;$AS$82&amp;"C"&amp;$A118))</f>
        <v>525</v>
      </c>
      <c r="BB118" s="3">
        <f>-IF(RTD("tos.rtd",,BB$83,"."&amp;$B$82&amp;$AS$82&amp;"P"&amp;$A118)="N/A",0,RTD("tos.rtd",,BB$83,"."&amp;$B$82&amp;$AS$82&amp;"P"&amp;$A118))</f>
        <v>-8423</v>
      </c>
      <c r="BC118" s="54">
        <f>IF(RTD("tos.rtd",,BC$83,"."&amp;$C$82&amp;$AU$82&amp;"C"&amp;$A118)="N/A",0,RTD("tos.rtd",,BC$83,"."&amp;$C$82&amp;$AU$82&amp;"C"&amp;$A118))</f>
        <v>34</v>
      </c>
      <c r="BD118" s="3">
        <f>-IF(RTD("tos.rtd",,BD$83,"."&amp;$C$82&amp;$AU$82&amp;"P"&amp;$A118)="N/A",0,RTD("tos.rtd",,BD$83,"."&amp;$C$82&amp;$AU$82&amp;"P"&amp;$A118))</f>
        <v>-840</v>
      </c>
      <c r="BE118" s="54">
        <f>IF(RTD("tos.rtd",,BE$83,"."&amp;$D$82&amp;$AW$82&amp;"C"&amp;$A118)="N/A",0,RTD("tos.rtd",,BE$83,"."&amp;$D$82&amp;$AW$82&amp;"C"&amp;$A118))</f>
        <v>11</v>
      </c>
      <c r="BF118" s="3">
        <f>-IF(RTD("tos.rtd",,BF$83,"."&amp;$D$82&amp;$AW$82&amp;"P"&amp;$A118)="N/A",0,RTD("tos.rtd",,BF$83,"."&amp;$D$82&amp;$AW$82&amp;"P"&amp;$A118))</f>
        <v>-57</v>
      </c>
      <c r="BG118" s="3" t="e">
        <f ca="1">+Hoja2!Y119</f>
        <v>#N/A</v>
      </c>
      <c r="BH118" s="55" t="e">
        <f t="shared" ca="1" si="488"/>
        <v>#N/A</v>
      </c>
      <c r="BI118" s="32" t="e">
        <f t="shared" ca="1" si="504"/>
        <v>#N/A</v>
      </c>
      <c r="BJ118" s="3" t="e">
        <f ca="1">IF($BP$1=1,DX118,IF(RTD("tos.rtd",,BJ$83,"."&amp;$B$82&amp;$AS$82&amp;"C"&amp;$A118)="N/A",0,RTD("tos.rtd",,BJ$83,"."&amp;$B$82&amp;$AS$82&amp;"C"&amp;$A118)))</f>
        <v>#NUM!</v>
      </c>
      <c r="BK118" s="3" t="e">
        <f ca="1">IF($BP$1=1,DY118,-IF(RTD("tos.rtd",,BK$83,"."&amp;$B$82&amp;$AS$82&amp;"P"&amp;$A118)="N/A",0,RTD("tos.rtd",,BK$83,"."&amp;$B$82&amp;$AS$82&amp;"P"&amp;$A118)))</f>
        <v>#NUM!</v>
      </c>
      <c r="BL118" s="3">
        <f ca="1">IF($BP$1=1,DZ118,IF(RTD("tos.rtd",,BL$83,"."&amp;$C$82&amp;$AU$82&amp;"C"&amp;$A118)="N/A",0,RTD("tos.rtd",,BL$83,"."&amp;$C$82&amp;$AU$82&amp;"C"&amp;$A118)))</f>
        <v>1.6978916264082017E-2</v>
      </c>
      <c r="BM118" s="3">
        <f ca="1">IF($BP$1=1,EA118,-IF(RTD("tos.rtd",,BM$83,"."&amp;$C$82&amp;$AU$82&amp;"P"&amp;$A118)="N/A",0,RTD("tos.rtd",,BM$83,"."&amp;$C$82&amp;$AU$82&amp;"P"&amp;$A118)))</f>
        <v>-1.4362889512108971E-3</v>
      </c>
      <c r="BN118" s="3">
        <f ca="1">IF($BP$1=1,EB118,IF(RTD("tos.rtd",,BN$83,"."&amp;$D$82&amp;$AW$82&amp;"C"&amp;$A118)="N/A",0,RTD("tos.rtd",,BN$83,"."&amp;$D$82&amp;$AW$82&amp;"C"&amp;$A118)))</f>
        <v>1.4821928648055004E-3</v>
      </c>
      <c r="BO118" s="3">
        <f ca="1">IF($BP$1=1,EC118,-IF(RTD("tos.rtd",,BO$83,"."&amp;$D$82&amp;$AW$82&amp;"P"&amp;$A118)="N/A",0,RTD("tos.rtd",,BO$83,"."&amp;$D$82&amp;$AW$82&amp;"P"&amp;$A118)))</f>
        <v>-1.4371577761580342E-3</v>
      </c>
      <c r="BQ118" s="3" t="e">
        <f t="shared" ca="1" si="450"/>
        <v>#NUM!</v>
      </c>
      <c r="BR118" s="3" t="e">
        <f t="shared" ca="1" si="489"/>
        <v>#NUM!</v>
      </c>
      <c r="BS118" s="3">
        <f t="shared" ca="1" si="451"/>
        <v>1632974.8649616626</v>
      </c>
      <c r="BT118" s="3" t="str">
        <f t="shared" ca="1" si="489"/>
        <v/>
      </c>
      <c r="BU118" s="3">
        <f t="shared" ca="1" si="452"/>
        <v>109268.68703152015</v>
      </c>
      <c r="BV118" s="3" t="str">
        <f t="shared" ca="1" si="489"/>
        <v/>
      </c>
      <c r="BX118" s="3" t="e">
        <f t="shared" ca="1" si="453"/>
        <v>#NUM!</v>
      </c>
      <c r="BY118" s="3" t="e">
        <f t="shared" ca="1" si="501"/>
        <v>#NUM!</v>
      </c>
      <c r="BZ118" s="3">
        <f t="shared" ca="1" si="454"/>
        <v>-150430.21615035576</v>
      </c>
      <c r="CA118" s="3" t="str">
        <f t="shared" ca="1" si="501"/>
        <v>Cruce -</v>
      </c>
      <c r="CB118" s="3">
        <f t="shared" ca="1" si="455"/>
        <v>-15687.087911826533</v>
      </c>
      <c r="CC118" s="3" t="str">
        <f t="shared" ca="1" si="501"/>
        <v/>
      </c>
      <c r="CD118" s="3">
        <f>IF(RTD("tos.rtd",,CD$83,"."&amp;$B$82&amp;$AS$82&amp;"C"&amp;$A118)="N/A",0,RTD("tos.rtd",,CD$83,"."&amp;$B$82&amp;$AS$82&amp;"C"&amp;$A118))</f>
        <v>1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0.82</v>
      </c>
      <c r="CG118" s="3">
        <f>-IF(RTD("tos.rtd",,CG$83,"."&amp;$C$82&amp;$AU$82&amp;"P"&amp;$A118)="N/A",0,RTD("tos.rtd",,CG$83,"."&amp;$C$82&amp;$AU$82&amp;"P"&amp;$A118))</f>
        <v>0.19</v>
      </c>
      <c r="CH118" s="3">
        <f>IF(RTD("tos.rtd",,CH$83,"."&amp;$D$82&amp;$AW$82&amp;"C"&amp;$A118)="N/A",0,RTD("tos.rtd",,CH$83,"."&amp;$D$82&amp;$AW$82&amp;"C"&amp;$A118))</f>
        <v>0.76</v>
      </c>
      <c r="CI118" s="3">
        <f>-IF(RTD("tos.rtd",,CI$83,"."&amp;$D$82&amp;$AW$82&amp;"P"&amp;$A118)="N/A",0,RTD("tos.rtd",,CI$83,"."&amp;$D$82&amp;$AW$82&amp;"P"&amp;$A118))</f>
        <v>0.26</v>
      </c>
      <c r="CK118" s="3">
        <f t="shared" si="523"/>
        <v>113400</v>
      </c>
      <c r="CL118" s="3"/>
      <c r="CM118" s="3">
        <f t="shared" si="524"/>
        <v>30030.999999999993</v>
      </c>
      <c r="CN118" s="3"/>
      <c r="CO118" s="3">
        <f t="shared" si="525"/>
        <v>33402</v>
      </c>
      <c r="CP118" s="3">
        <f t="shared" si="456"/>
        <v>176833</v>
      </c>
      <c r="CQ118" s="3">
        <f t="shared" si="457"/>
        <v>-7898</v>
      </c>
      <c r="CR118" s="3"/>
      <c r="CS118" s="3">
        <f t="shared" si="458"/>
        <v>-806</v>
      </c>
      <c r="CT118" s="3"/>
      <c r="CU118" s="3">
        <f t="shared" si="459"/>
        <v>-46</v>
      </c>
      <c r="CV118" s="3"/>
      <c r="CW118" s="3" t="e">
        <f t="shared" ca="1" si="526"/>
        <v>#NUM!</v>
      </c>
      <c r="CY118" s="3" t="e">
        <f t="shared" ca="1" si="461"/>
        <v>#NUM!</v>
      </c>
      <c r="CZ118" s="70" t="e">
        <f t="shared" ca="1" si="502"/>
        <v>#NUM!</v>
      </c>
      <c r="DA118" s="3">
        <f>IF(RTD("tos.rtd",,DA$83,"."&amp;$B$82&amp;$AS$82&amp;"C"&amp;$A118)="N/A",0,RTD("tos.rtd",,DA$83,"."&amp;$B$82&amp;$AS$82&amp;"C"&amp;$A118))</f>
        <v>145.83000000000001</v>
      </c>
      <c r="DB118" s="3">
        <f>IF(RTD("tos.rtd",,DB$83,"."&amp;$B$82&amp;$AS$82&amp;"P"&amp;$A118)="N/A",0,RTD("tos.rtd",,DB$83,"."&amp;$B$82&amp;$AS$82&amp;"P"&amp;$A118))</f>
        <v>0.03</v>
      </c>
      <c r="DC118" s="3">
        <f>IF(RTD("tos.rtd",,DC$83,"."&amp;$B$82&amp;$AS$82&amp;"C"&amp;$A118)="N/A",0,RTD("tos.rtd",,DC$83,"."&amp;$B$82&amp;$AS$82&amp;"C"&amp;$A118))</f>
        <v>148.30000000000001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143.80000000000001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494"/>
        <v>-145.75</v>
      </c>
      <c r="DH118" s="3">
        <f t="shared" si="462"/>
        <v>0</v>
      </c>
      <c r="DI118" s="3">
        <f t="shared" si="463"/>
        <v>0</v>
      </c>
      <c r="DJ118" s="3">
        <f t="shared" si="464"/>
        <v>0</v>
      </c>
      <c r="DK118" s="3">
        <f t="shared" si="465"/>
        <v>0</v>
      </c>
      <c r="DL118" s="3">
        <f t="shared" si="466"/>
        <v>0</v>
      </c>
      <c r="DM118" s="3">
        <f t="shared" si="467"/>
        <v>0</v>
      </c>
      <c r="DN118" s="64" t="str">
        <f t="shared" si="468"/>
        <v>UNKNOWN</v>
      </c>
      <c r="DO118" s="64" t="str">
        <f t="shared" si="469"/>
        <v>UNKNOWN</v>
      </c>
      <c r="DP118" s="3">
        <f t="shared" si="470"/>
        <v>0</v>
      </c>
      <c r="DQ118" s="3">
        <f t="shared" si="471"/>
        <v>0</v>
      </c>
      <c r="DR118" s="3" t="e">
        <f t="shared" ca="1" si="472"/>
        <v>#NUM!</v>
      </c>
      <c r="DS118" s="3">
        <f t="shared" si="473"/>
        <v>0</v>
      </c>
      <c r="DT118" s="3">
        <f t="shared" si="495"/>
        <v>0</v>
      </c>
      <c r="DU118" s="3">
        <f t="shared" si="496"/>
        <v>0</v>
      </c>
      <c r="DV118" s="3">
        <f t="shared" si="497"/>
        <v>-271</v>
      </c>
      <c r="DW118" s="3">
        <f t="shared" si="498"/>
        <v>540</v>
      </c>
      <c r="DX118" s="3" t="e">
        <f t="shared" ca="1" si="503"/>
        <v>#NUM!</v>
      </c>
      <c r="DY118" s="3" t="e">
        <f t="shared" ca="1" si="474"/>
        <v>#NUM!</v>
      </c>
      <c r="DZ118" s="3">
        <f t="shared" ca="1" si="475"/>
        <v>1.6978916264082017E-2</v>
      </c>
      <c r="EA118" s="3">
        <f t="shared" ca="1" si="476"/>
        <v>-1.4362889512108971E-3</v>
      </c>
      <c r="EB118" s="3">
        <f t="shared" ca="1" si="477"/>
        <v>1.4821928648055004E-3</v>
      </c>
      <c r="EC118" s="3">
        <f t="shared" ca="1" si="478"/>
        <v>-1.4371577761580342E-3</v>
      </c>
      <c r="EE118" s="59">
        <f t="shared" si="479"/>
        <v>0.25</v>
      </c>
      <c r="EF118" s="59">
        <f t="shared" si="480"/>
        <v>1.1814</v>
      </c>
      <c r="EG118" s="59">
        <f t="shared" si="481"/>
        <v>0.21790000000000001</v>
      </c>
      <c r="EH118" s="59">
        <f t="shared" si="482"/>
        <v>0.2263</v>
      </c>
      <c r="EI118" s="59">
        <f t="shared" si="483"/>
        <v>0.2097</v>
      </c>
      <c r="EJ118" s="59">
        <f t="shared" si="484"/>
        <v>0.22600000000000001</v>
      </c>
      <c r="EL118" s="3" t="str">
        <f>RTD("tos.rtd",,EL$83,"."&amp;$B$82&amp;$AS$82&amp;"C"&amp;$A118)</f>
        <v>--</v>
      </c>
      <c r="EM118" s="3" t="str">
        <f>RTD("tos.rtd",,EM$83,"."&amp;$B$82&amp;$AS$82&amp;"P"&amp;$A118)</f>
        <v>118.14%</v>
      </c>
      <c r="EN118" s="3" t="str">
        <f>RTD("tos.rtd",,EN$83,"."&amp;$C$82&amp;$AU$82&amp;"C"&amp;$A118)</f>
        <v>21.79%</v>
      </c>
      <c r="EO118" s="3" t="str">
        <f>RTD("tos.rtd",,EO$83,"."&amp;$C$82&amp;$AU$82&amp;"P"&amp;$A118)</f>
        <v>22.63%</v>
      </c>
      <c r="EP118" s="3" t="str">
        <f>RTD("tos.rtd",,EP$83,"."&amp;$D$82&amp;$AW$82&amp;"C"&amp;$A118)</f>
        <v>20.97%</v>
      </c>
      <c r="EQ118" s="3" t="str">
        <f>RTD("tos.rtd",,EQ$83,"."&amp;$D$82&amp;$AW$82&amp;"P"&amp;$A118)</f>
        <v>22.60%</v>
      </c>
      <c r="ET118" s="64" t="str">
        <f t="shared" ca="1" si="485"/>
        <v>5540,00.00</v>
      </c>
      <c r="EU118" s="67">
        <v>565</v>
      </c>
      <c r="EV118" s="67" t="s">
        <v>963</v>
      </c>
      <c r="EW118" s="67">
        <v>486.6</v>
      </c>
      <c r="EX118" s="67" t="s">
        <v>964</v>
      </c>
      <c r="EY118" s="67">
        <v>5665.75</v>
      </c>
      <c r="EZ118" s="67" t="s">
        <v>965</v>
      </c>
      <c r="FA118" s="67">
        <v>19995.25</v>
      </c>
      <c r="FB118" s="67" t="s">
        <v>966</v>
      </c>
      <c r="FC118" s="67" t="s">
        <v>967</v>
      </c>
      <c r="FD118" s="67" t="s">
        <v>968</v>
      </c>
      <c r="FE118" s="68" t="s">
        <v>969</v>
      </c>
      <c r="FF118" s="68" t="s">
        <v>970</v>
      </c>
    </row>
    <row r="119" spans="1:162" s="63" customFormat="1" ht="12" customHeight="1" thickBot="1" x14ac:dyDescent="0.25">
      <c r="A119" s="2">
        <f t="shared" si="499"/>
        <v>5530</v>
      </c>
      <c r="B119" s="3">
        <f t="shared" si="445"/>
        <v>3027</v>
      </c>
      <c r="C119" s="3">
        <f t="shared" si="446"/>
        <v>278</v>
      </c>
      <c r="D119" s="3">
        <f t="shared" si="447"/>
        <v>1071</v>
      </c>
      <c r="E119" s="3">
        <f t="shared" si="519"/>
        <v>4376</v>
      </c>
      <c r="F119" s="4">
        <f t="shared" si="520"/>
        <v>5553.3425669436747</v>
      </c>
      <c r="G119" s="4">
        <f t="shared" si="521"/>
        <v>551.43896583564174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87</v>
      </c>
      <c r="AN119" s="20">
        <v>-269</v>
      </c>
      <c r="AO119" s="20">
        <v>5530</v>
      </c>
      <c r="AP119" s="20">
        <v>634</v>
      </c>
      <c r="AQ119" s="20">
        <v>-5833</v>
      </c>
      <c r="AR119" s="20"/>
      <c r="AS119" s="54">
        <f>IF(RTD("tos.rtd",,AS$83,"."&amp;$B$82&amp;$AS$82&amp;"C"&amp;$A119)="N/A",0,RTD("tos.rtd",,AS$83,"."&amp;$B$82&amp;$AS$82&amp;"C"&amp;$A119))</f>
        <v>2033</v>
      </c>
      <c r="AT119" s="3">
        <f>-IF(RTD("tos.rtd",,AT$83,"."&amp;$B$82&amp;$AS$82&amp;"P"&amp;$A119)="N/A",0,RTD("tos.rtd",,AT$83,"."&amp;$B$82&amp;$AS$82&amp;"P"&amp;$A119))</f>
        <v>-994</v>
      </c>
      <c r="AU119" s="54">
        <f>IF(RTD("tos.rtd",,AU$83,"."&amp;$C$82&amp;$AU$82&amp;"C"&amp;$A119)="N/A",0,RTD("tos.rtd",,AU$83,"."&amp;$C$82&amp;$AU$82&amp;"C"&amp;$A119))</f>
        <v>157</v>
      </c>
      <c r="AV119" s="3">
        <f>-IF(RTD("tos.rtd",,AV$83,"."&amp;$C$82&amp;$AU$82&amp;"P"&amp;$A119)="N/A",0,RTD("tos.rtd",,AV$83,"."&amp;$C$82&amp;$AU$82&amp;"P"&amp;$A119))</f>
        <v>-121</v>
      </c>
      <c r="AW119" s="54">
        <f>IF(RTD("tos.rtd",,AW$83,"."&amp;$D$82&amp;$AW$82&amp;"C"&amp;$A119)="N/A",0,RTD("tos.rtd",,AW$83,"."&amp;$D$82&amp;$AW$82&amp;"C"&amp;$A119))</f>
        <v>151</v>
      </c>
      <c r="AX119" s="3">
        <f>-IF(RTD("tos.rtd",,AX$83,"."&amp;$D$82&amp;$AW$82&amp;"P"&amp;$A119)="N/A",0,RTD("tos.rtd",,AX$83,"."&amp;$D$82&amp;$AW$82&amp;"P"&amp;$A119))</f>
        <v>-920</v>
      </c>
      <c r="AY119" s="79">
        <f t="shared" si="522"/>
        <v>306</v>
      </c>
      <c r="AZ119" s="8">
        <f t="shared" si="449"/>
        <v>5530</v>
      </c>
      <c r="BA119" s="54">
        <f>IF(RTD("tos.rtd",,BA$83,"."&amp;$B$82&amp;$AS$82&amp;"C"&amp;$A119)="N/A",0,RTD("tos.rtd",,BA$83,"."&amp;$B$82&amp;$AS$82&amp;"C"&amp;$A119))</f>
        <v>634</v>
      </c>
      <c r="BB119" s="3">
        <f>-IF(RTD("tos.rtd",,BB$83,"."&amp;$B$82&amp;$AS$82&amp;"P"&amp;$A119)="N/A",0,RTD("tos.rtd",,BB$83,"."&amp;$B$82&amp;$AS$82&amp;"P"&amp;$A119))</f>
        <v>-5833</v>
      </c>
      <c r="BC119" s="54">
        <f>IF(RTD("tos.rtd",,BC$83,"."&amp;$C$82&amp;$AU$82&amp;"C"&amp;$A119)="N/A",0,RTD("tos.rtd",,BC$83,"."&amp;$C$82&amp;$AU$82&amp;"C"&amp;$A119))</f>
        <v>12</v>
      </c>
      <c r="BD119" s="3">
        <f>-IF(RTD("tos.rtd",,BD$83,"."&amp;$C$82&amp;$AU$82&amp;"P"&amp;$A119)="N/A",0,RTD("tos.rtd",,BD$83,"."&amp;$C$82&amp;$AU$82&amp;"P"&amp;$A119))</f>
        <v>-177</v>
      </c>
      <c r="BE119" s="54">
        <f>IF(RTD("tos.rtd",,BE$83,"."&amp;$D$82&amp;$AW$82&amp;"C"&amp;$A119)="N/A",0,RTD("tos.rtd",,BE$83,"."&amp;$D$82&amp;$AW$82&amp;"C"&amp;$A119))</f>
        <v>3</v>
      </c>
      <c r="BF119" s="3">
        <f>-IF(RTD("tos.rtd",,BF$83,"."&amp;$D$82&amp;$AW$82&amp;"P"&amp;$A119)="N/A",0,RTD("tos.rtd",,BF$83,"."&amp;$D$82&amp;$AW$82&amp;"P"&amp;$A119))</f>
        <v>-260</v>
      </c>
      <c r="BG119" s="3" t="e">
        <f ca="1">+Hoja2!Y120</f>
        <v>#N/A</v>
      </c>
      <c r="BH119" s="55" t="e">
        <f t="shared" ca="1" si="488"/>
        <v>#N/A</v>
      </c>
      <c r="BI119" s="32" t="e">
        <f t="shared" ca="1" si="504"/>
        <v>#N/A</v>
      </c>
      <c r="BJ119" s="3" t="e">
        <f ca="1">IF($BP$1=1,DX119,IF(RTD("tos.rtd",,BJ$83,"."&amp;$B$82&amp;$AS$82&amp;"C"&amp;$A119)="N/A",0,RTD("tos.rtd",,BJ$83,"."&amp;$B$82&amp;$AS$82&amp;"C"&amp;$A119)))</f>
        <v>#NUM!</v>
      </c>
      <c r="BK119" s="3" t="e">
        <f ca="1">IF($BP$1=1,DY119,-IF(RTD("tos.rtd",,BK$83,"."&amp;$B$82&amp;$AS$82&amp;"P"&amp;$A119)="N/A",0,RTD("tos.rtd",,BK$83,"."&amp;$B$82&amp;$AS$82&amp;"P"&amp;$A119)))</f>
        <v>#NUM!</v>
      </c>
      <c r="BL119" s="3">
        <f ca="1">IF($BP$1=1,DZ119,IF(RTD("tos.rtd",,BL$83,"."&amp;$C$82&amp;$AU$82&amp;"C"&amp;$A119)="N/A",0,RTD("tos.rtd",,BL$83,"."&amp;$C$82&amp;$AU$82&amp;"C"&amp;$A119)))</f>
        <v>1.6293712060364226E-2</v>
      </c>
      <c r="BM119" s="3">
        <f ca="1">IF($BP$1=1,EA119,-IF(RTD("tos.rtd",,BM$83,"."&amp;$C$82&amp;$AU$82&amp;"P"&amp;$A119)="N/A",0,RTD("tos.rtd",,BM$83,"."&amp;$C$82&amp;$AU$82&amp;"P"&amp;$A119)))</f>
        <v>-1.3762974452168654E-3</v>
      </c>
      <c r="BN119" s="3">
        <f ca="1">IF($BP$1=1,EB119,IF(RTD("tos.rtd",,BN$83,"."&amp;$D$82&amp;$AW$82&amp;"C"&amp;$A119)="N/A",0,RTD("tos.rtd",,BN$83,"."&amp;$D$82&amp;$AW$82&amp;"C"&amp;$A119)))</f>
        <v>1.4160576177902927E-3</v>
      </c>
      <c r="BO119" s="3">
        <f ca="1">IF($BP$1=1,EC119,-IF(RTD("tos.rtd",,BO$83,"."&amp;$D$82&amp;$AW$82&amp;"P"&amp;$A119)="N/A",0,RTD("tos.rtd",,BO$83,"."&amp;$D$82&amp;$AW$82&amp;"P"&amp;$A119)))</f>
        <v>-1.3779565850430618E-3</v>
      </c>
      <c r="BQ119" s="3" t="e">
        <f t="shared" ca="1" si="450"/>
        <v>#NUM!</v>
      </c>
      <c r="BR119" s="3" t="e">
        <f t="shared" ca="1" si="489"/>
        <v>#NUM!</v>
      </c>
      <c r="BS119" s="3">
        <f t="shared" ca="1" si="451"/>
        <v>571783.63828546705</v>
      </c>
      <c r="BT119" s="3" t="str">
        <f t="shared" ca="1" si="489"/>
        <v/>
      </c>
      <c r="BU119" s="3">
        <f t="shared" ca="1" si="452"/>
        <v>-251967.28518897636</v>
      </c>
      <c r="BV119" s="3" t="str">
        <f t="shared" ca="1" si="489"/>
        <v>Cruce -</v>
      </c>
      <c r="BX119" s="3" t="e">
        <f t="shared" ca="1" si="453"/>
        <v>#NUM!</v>
      </c>
      <c r="BY119" s="3" t="e">
        <f t="shared" ca="1" si="501"/>
        <v>#NUM!</v>
      </c>
      <c r="BZ119" s="3">
        <f t="shared" ca="1" si="454"/>
        <v>-11495.08151165273</v>
      </c>
      <c r="CA119" s="3" t="str">
        <f t="shared" ca="1" si="501"/>
        <v/>
      </c>
      <c r="CB119" s="3">
        <f t="shared" ca="1" si="455"/>
        <v>-84639.89665080751</v>
      </c>
      <c r="CC119" s="3" t="str">
        <f t="shared" ca="1" si="501"/>
        <v/>
      </c>
      <c r="CD119" s="3">
        <f>IF(RTD("tos.rtd",,CD$83,"."&amp;$B$82&amp;$AS$82&amp;"C"&amp;$A119)="N/A",0,RTD("tos.rtd",,CD$83,"."&amp;$B$82&amp;$AS$82&amp;"C"&amp;$A119))</f>
        <v>0.99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0.83</v>
      </c>
      <c r="CG119" s="3">
        <f>-IF(RTD("tos.rtd",,CG$83,"."&amp;$C$82&amp;$AU$82&amp;"P"&amp;$A119)="N/A",0,RTD("tos.rtd",,CG$83,"."&amp;$C$82&amp;$AU$82&amp;"P"&amp;$A119))</f>
        <v>0.18</v>
      </c>
      <c r="CH119" s="3">
        <f>IF(RTD("tos.rtd",,CH$83,"."&amp;$D$82&amp;$AW$82&amp;"C"&amp;$A119)="N/A",0,RTD("tos.rtd",,CH$83,"."&amp;$D$82&amp;$AW$82&amp;"C"&amp;$A119))</f>
        <v>0.77</v>
      </c>
      <c r="CI119" s="3">
        <f>-IF(RTD("tos.rtd",,CI$83,"."&amp;$D$82&amp;$AW$82&amp;"P"&amp;$A119)="N/A",0,RTD("tos.rtd",,CI$83,"."&amp;$D$82&amp;$AW$82&amp;"P"&amp;$A119))</f>
        <v>0.25</v>
      </c>
      <c r="CK119" s="3">
        <f t="shared" si="523"/>
        <v>201267</v>
      </c>
      <c r="CL119" s="3"/>
      <c r="CM119" s="3">
        <f t="shared" si="524"/>
        <v>10853</v>
      </c>
      <c r="CN119" s="3"/>
      <c r="CO119" s="3">
        <f t="shared" si="525"/>
        <v>-11373</v>
      </c>
      <c r="CP119" s="3">
        <f t="shared" si="456"/>
        <v>200747</v>
      </c>
      <c r="CQ119" s="3">
        <f t="shared" si="457"/>
        <v>-5199</v>
      </c>
      <c r="CR119" s="3"/>
      <c r="CS119" s="3">
        <f t="shared" si="458"/>
        <v>-165</v>
      </c>
      <c r="CT119" s="3"/>
      <c r="CU119" s="3">
        <f t="shared" si="459"/>
        <v>-257</v>
      </c>
      <c r="CV119" s="3"/>
      <c r="CW119" s="3" t="e">
        <f t="shared" ca="1" si="526"/>
        <v>#NUM!</v>
      </c>
      <c r="CY119" s="3" t="e">
        <f t="shared" ca="1" si="461"/>
        <v>#NUM!</v>
      </c>
      <c r="CZ119" s="70" t="e">
        <f t="shared" ca="1" si="502"/>
        <v>#NUM!</v>
      </c>
      <c r="DA119" s="3">
        <f>IF(RTD("tos.rtd",,DA$83,"."&amp;$B$82&amp;$AS$82&amp;"C"&amp;$A119)="N/A",0,RTD("tos.rtd",,DA$83,"."&amp;$B$82&amp;$AS$82&amp;"C"&amp;$A119))</f>
        <v>154.09</v>
      </c>
      <c r="DB119" s="3">
        <f>IF(RTD("tos.rtd",,DB$83,"."&amp;$B$82&amp;$AS$82&amp;"P"&amp;$A119)="N/A",0,RTD("tos.rtd",,DB$83,"."&amp;$B$82&amp;$AS$82&amp;"P"&amp;$A119))</f>
        <v>0.03</v>
      </c>
      <c r="DC119" s="3">
        <f>IF(RTD("tos.rtd",,DC$83,"."&amp;$B$82&amp;$AS$82&amp;"C"&amp;$A119)="N/A",0,RTD("tos.rtd",,DC$83,"."&amp;$B$82&amp;$AS$82&amp;"C"&amp;$A119))</f>
        <v>159.80000000000001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153.80000000000001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494"/>
        <v>-155.75</v>
      </c>
      <c r="DH119" s="3">
        <f t="shared" si="462"/>
        <v>0</v>
      </c>
      <c r="DI119" s="3">
        <f t="shared" si="463"/>
        <v>0</v>
      </c>
      <c r="DJ119" s="3">
        <f t="shared" si="464"/>
        <v>0</v>
      </c>
      <c r="DK119" s="3">
        <f t="shared" si="465"/>
        <v>0</v>
      </c>
      <c r="DL119" s="3">
        <f t="shared" si="466"/>
        <v>0</v>
      </c>
      <c r="DM119" s="3">
        <f t="shared" si="467"/>
        <v>0</v>
      </c>
      <c r="DN119" s="64" t="str">
        <f t="shared" si="468"/>
        <v>UNKNOWN</v>
      </c>
      <c r="DO119" s="64" t="str">
        <f t="shared" si="469"/>
        <v>UNKNOWN</v>
      </c>
      <c r="DP119" s="3">
        <f t="shared" si="470"/>
        <v>0</v>
      </c>
      <c r="DQ119" s="3">
        <f t="shared" si="471"/>
        <v>0</v>
      </c>
      <c r="DR119" s="3" t="e">
        <f t="shared" ca="1" si="472"/>
        <v>#NUM!</v>
      </c>
      <c r="DS119" s="3">
        <f t="shared" si="473"/>
        <v>0</v>
      </c>
      <c r="DT119" s="3">
        <f t="shared" si="495"/>
        <v>0</v>
      </c>
      <c r="DU119" s="3">
        <f t="shared" si="496"/>
        <v>0</v>
      </c>
      <c r="DV119" s="3">
        <f t="shared" si="497"/>
        <v>87</v>
      </c>
      <c r="DW119" s="3">
        <f t="shared" si="498"/>
        <v>-269</v>
      </c>
      <c r="DX119" s="3" t="e">
        <f t="shared" ca="1" si="503"/>
        <v>#NUM!</v>
      </c>
      <c r="DY119" s="3" t="e">
        <f t="shared" ca="1" si="474"/>
        <v>#NUM!</v>
      </c>
      <c r="DZ119" s="3">
        <f t="shared" ca="1" si="475"/>
        <v>1.6293712060364226E-2</v>
      </c>
      <c r="EA119" s="3">
        <f t="shared" ca="1" si="476"/>
        <v>-1.3762974452168654E-3</v>
      </c>
      <c r="EB119" s="3">
        <f t="shared" ca="1" si="477"/>
        <v>1.4160576177902927E-3</v>
      </c>
      <c r="EC119" s="3">
        <f t="shared" ca="1" si="478"/>
        <v>-1.3779565850430618E-3</v>
      </c>
      <c r="EE119" s="59">
        <f t="shared" si="479"/>
        <v>1.4515</v>
      </c>
      <c r="EF119" s="59">
        <f t="shared" si="480"/>
        <v>1.2556</v>
      </c>
      <c r="EG119" s="59">
        <f t="shared" si="481"/>
        <v>0.21779999999999999</v>
      </c>
      <c r="EH119" s="59">
        <f t="shared" si="482"/>
        <v>0.2288</v>
      </c>
      <c r="EI119" s="59">
        <f t="shared" si="483"/>
        <v>0.21049999999999999</v>
      </c>
      <c r="EJ119" s="59">
        <f t="shared" si="484"/>
        <v>0.2281</v>
      </c>
      <c r="EL119" s="3" t="str">
        <f>RTD("tos.rtd",,EL$83,"."&amp;$B$82&amp;$AS$82&amp;"C"&amp;$A119)</f>
        <v>145.15%</v>
      </c>
      <c r="EM119" s="3" t="str">
        <f>RTD("tos.rtd",,EM$83,"."&amp;$B$82&amp;$AS$82&amp;"P"&amp;$A119)</f>
        <v>125.56%</v>
      </c>
      <c r="EN119" s="3" t="str">
        <f>RTD("tos.rtd",,EN$83,"."&amp;$C$82&amp;$AU$82&amp;"C"&amp;$A119)</f>
        <v>21.78%</v>
      </c>
      <c r="EO119" s="3" t="str">
        <f>RTD("tos.rtd",,EO$83,"."&amp;$C$82&amp;$AU$82&amp;"P"&amp;$A119)</f>
        <v>22.88%</v>
      </c>
      <c r="EP119" s="3" t="str">
        <f>RTD("tos.rtd",,EP$83,"."&amp;$D$82&amp;$AW$82&amp;"C"&amp;$A119)</f>
        <v>21.05%</v>
      </c>
      <c r="EQ119" s="3" t="str">
        <f>RTD("tos.rtd",,EQ$83,"."&amp;$D$82&amp;$AW$82&amp;"P"&amp;$A119)</f>
        <v>22.81%</v>
      </c>
      <c r="ET119" s="64" t="str">
        <f t="shared" ca="1" si="485"/>
        <v>5530,00.00</v>
      </c>
      <c r="EU119" s="67">
        <v>564.96</v>
      </c>
      <c r="EV119" s="67" t="s">
        <v>971</v>
      </c>
      <c r="EW119" s="67">
        <v>486.61</v>
      </c>
      <c r="EX119" s="67" t="s">
        <v>972</v>
      </c>
      <c r="EY119" s="67">
        <v>5665.25</v>
      </c>
      <c r="EZ119" s="67" t="s">
        <v>973</v>
      </c>
      <c r="FA119" s="67">
        <v>19995.5</v>
      </c>
      <c r="FB119" s="67" t="s">
        <v>974</v>
      </c>
      <c r="FC119" s="67" t="s">
        <v>975</v>
      </c>
      <c r="FD119" s="67" t="s">
        <v>976</v>
      </c>
      <c r="FE119" s="68" t="s">
        <v>977</v>
      </c>
      <c r="FF119" s="68" t="s">
        <v>978</v>
      </c>
    </row>
    <row r="120" spans="1:162" s="63" customFormat="1" ht="12" customHeight="1" thickBot="1" x14ac:dyDescent="0.25">
      <c r="A120" s="2">
        <f t="shared" si="499"/>
        <v>5520</v>
      </c>
      <c r="B120" s="3">
        <f t="shared" si="445"/>
        <v>2039</v>
      </c>
      <c r="C120" s="3">
        <f t="shared" si="446"/>
        <v>646</v>
      </c>
      <c r="D120" s="3">
        <f t="shared" si="447"/>
        <v>439</v>
      </c>
      <c r="E120" s="3">
        <f t="shared" si="519"/>
        <v>3124</v>
      </c>
      <c r="F120" s="4">
        <f t="shared" si="520"/>
        <v>5543.3003561535415</v>
      </c>
      <c r="G120" s="4">
        <f t="shared" si="521"/>
        <v>550.44178868223196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-159</v>
      </c>
      <c r="AN120" s="20">
        <v>-19</v>
      </c>
      <c r="AO120" s="20">
        <v>5520</v>
      </c>
      <c r="AP120" s="20">
        <v>285</v>
      </c>
      <c r="AQ120" s="20">
        <v>-3682</v>
      </c>
      <c r="AR120" s="20"/>
      <c r="AS120" s="54">
        <f>IF(RTD("tos.rtd",,AS$83,"."&amp;$B$82&amp;$AS$82&amp;"C"&amp;$A120)="N/A",0,RTD("tos.rtd",,AS$83,"."&amp;$B$82&amp;$AS$82&amp;"C"&amp;$A120))</f>
        <v>813</v>
      </c>
      <c r="AT120" s="3">
        <f>-IF(RTD("tos.rtd",,AT$83,"."&amp;$B$82&amp;$AS$82&amp;"P"&amp;$A120)="N/A",0,RTD("tos.rtd",,AT$83,"."&amp;$B$82&amp;$AS$82&amp;"P"&amp;$A120))</f>
        <v>-1226</v>
      </c>
      <c r="AU120" s="54">
        <f>IF(RTD("tos.rtd",,AU$83,"."&amp;$C$82&amp;$AU$82&amp;"C"&amp;$A120)="N/A",0,RTD("tos.rtd",,AU$83,"."&amp;$C$82&amp;$AU$82&amp;"C"&amp;$A120))</f>
        <v>349</v>
      </c>
      <c r="AV120" s="3">
        <f>-IF(RTD("tos.rtd",,AV$83,"."&amp;$C$82&amp;$AU$82&amp;"P"&amp;$A120)="N/A",0,RTD("tos.rtd",,AV$83,"."&amp;$C$82&amp;$AU$82&amp;"P"&amp;$A120))</f>
        <v>-297</v>
      </c>
      <c r="AW120" s="54">
        <f>IF(RTD("tos.rtd",,AW$83,"."&amp;$D$82&amp;$AW$82&amp;"C"&amp;$A120)="N/A",0,RTD("tos.rtd",,AW$83,"."&amp;$D$82&amp;$AW$82&amp;"C"&amp;$A120))</f>
        <v>138</v>
      </c>
      <c r="AX120" s="3">
        <f>-IF(RTD("tos.rtd",,AX$83,"."&amp;$D$82&amp;$AW$82&amp;"P"&amp;$A120)="N/A",0,RTD("tos.rtd",,AX$83,"."&amp;$D$82&amp;$AW$82&amp;"P"&amp;$A120))</f>
        <v>-301</v>
      </c>
      <c r="AY120" s="79">
        <f t="shared" si="522"/>
        <v>-524</v>
      </c>
      <c r="AZ120" s="8">
        <f t="shared" si="449"/>
        <v>5520</v>
      </c>
      <c r="BA120" s="54">
        <f>IF(RTD("tos.rtd",,BA$83,"."&amp;$B$82&amp;$AS$82&amp;"C"&amp;$A120)="N/A",0,RTD("tos.rtd",,BA$83,"."&amp;$B$82&amp;$AS$82&amp;"C"&amp;$A120))</f>
        <v>285</v>
      </c>
      <c r="BB120" s="3">
        <f>-IF(RTD("tos.rtd",,BB$83,"."&amp;$B$82&amp;$AS$82&amp;"P"&amp;$A120)="N/A",0,RTD("tos.rtd",,BB$83,"."&amp;$B$82&amp;$AS$82&amp;"P"&amp;$A120))</f>
        <v>-3682</v>
      </c>
      <c r="BC120" s="54">
        <f>IF(RTD("tos.rtd",,BC$83,"."&amp;$C$82&amp;$AU$82&amp;"C"&amp;$A120)="N/A",0,RTD("tos.rtd",,BC$83,"."&amp;$C$82&amp;$AU$82&amp;"C"&amp;$A120))</f>
        <v>13</v>
      </c>
      <c r="BD120" s="3">
        <f>-IF(RTD("tos.rtd",,BD$83,"."&amp;$C$82&amp;$AU$82&amp;"P"&amp;$A120)="N/A",0,RTD("tos.rtd",,BD$83,"."&amp;$C$82&amp;$AU$82&amp;"P"&amp;$A120))</f>
        <v>-257</v>
      </c>
      <c r="BE120" s="54">
        <f>IF(RTD("tos.rtd",,BE$83,"."&amp;$D$82&amp;$AW$82&amp;"C"&amp;$A120)="N/A",0,RTD("tos.rtd",,BE$83,"."&amp;$D$82&amp;$AW$82&amp;"C"&amp;$A120))</f>
        <v>5</v>
      </c>
      <c r="BF120" s="3">
        <f>-IF(RTD("tos.rtd",,BF$83,"."&amp;$D$82&amp;$AW$82&amp;"P"&amp;$A120)="N/A",0,RTD("tos.rtd",,BF$83,"."&amp;$D$82&amp;$AW$82&amp;"P"&amp;$A120))</f>
        <v>-72</v>
      </c>
      <c r="BG120" s="3" t="e">
        <f ca="1">+Hoja2!Y121</f>
        <v>#N/A</v>
      </c>
      <c r="BH120" s="55" t="e">
        <f t="shared" ca="1" si="488"/>
        <v>#N/A</v>
      </c>
      <c r="BI120" s="32" t="e">
        <f t="shared" ca="1" si="504"/>
        <v>#N/A</v>
      </c>
      <c r="BJ120" s="3" t="e">
        <f ca="1">IF($BP$1=1,DX120,IF(RTD("tos.rtd",,BJ$83,"."&amp;$B$82&amp;$AS$82&amp;"C"&amp;$A120)="N/A",0,RTD("tos.rtd",,BJ$83,"."&amp;$B$82&amp;$AS$82&amp;"C"&amp;$A120)))</f>
        <v>#NUM!</v>
      </c>
      <c r="BK120" s="3" t="e">
        <f ca="1">IF($BP$1=1,DY120,-IF(RTD("tos.rtd",,BK$83,"."&amp;$B$82&amp;$AS$82&amp;"P"&amp;$A120)="N/A",0,RTD("tos.rtd",,BK$83,"."&amp;$B$82&amp;$AS$82&amp;"P"&amp;$A120)))</f>
        <v>#NUM!</v>
      </c>
      <c r="BL120" s="3">
        <f ca="1">IF($BP$1=1,DZ120,IF(RTD("tos.rtd",,BL$83,"."&amp;$C$82&amp;$AU$82&amp;"C"&amp;$A120)="N/A",0,RTD("tos.rtd",,BL$83,"."&amp;$C$82&amp;$AU$82&amp;"C"&amp;$A120)))</f>
        <v>1.5515718005879899E-2</v>
      </c>
      <c r="BM120" s="3">
        <f ca="1">IF($BP$1=1,EA120,-IF(RTD("tos.rtd",,BM$83,"."&amp;$C$82&amp;$AU$82&amp;"P"&amp;$A120)="N/A",0,RTD("tos.rtd",,BM$83,"."&amp;$C$82&amp;$AU$82&amp;"P"&amp;$A120)))</f>
        <v>-1.3178343159425446E-3</v>
      </c>
      <c r="BN120" s="3">
        <f ca="1">IF($BP$1=1,EB120,IF(RTD("tos.rtd",,BN$83,"."&amp;$D$82&amp;$AW$82&amp;"C"&amp;$A120)="N/A",0,RTD("tos.rtd",,BN$83,"."&amp;$D$82&amp;$AW$82&amp;"C"&amp;$A120)))</f>
        <v>1.3496155661584192E-3</v>
      </c>
      <c r="BO120" s="3">
        <f ca="1">IF($BP$1=1,EC120,-IF(RTD("tos.rtd",,BO$83,"."&amp;$D$82&amp;$AW$82&amp;"P"&amp;$A120)="N/A",0,RTD("tos.rtd",,BO$83,"."&amp;$D$82&amp;$AW$82&amp;"P"&amp;$A120)))</f>
        <v>-1.3198956537482335E-3</v>
      </c>
      <c r="BQ120" s="3" t="e">
        <f t="shared" ca="1" si="450"/>
        <v>#NUM!</v>
      </c>
      <c r="BR120" s="3" t="e">
        <f t="shared" ca="1" si="489"/>
        <v>#NUM!</v>
      </c>
      <c r="BS120" s="3">
        <f t="shared" ca="1" si="451"/>
        <v>1201049.0608279472</v>
      </c>
      <c r="BT120" s="3" t="str">
        <f t="shared" ca="1" si="489"/>
        <v/>
      </c>
      <c r="BU120" s="3">
        <f t="shared" ca="1" si="452"/>
        <v>-50456.233259405737</v>
      </c>
      <c r="BV120" s="3" t="str">
        <f t="shared" ca="1" si="489"/>
        <v/>
      </c>
      <c r="BX120" s="3" t="e">
        <f t="shared" ca="1" si="453"/>
        <v>#NUM!</v>
      </c>
      <c r="BY120" s="3" t="e">
        <f t="shared" ca="1" si="501"/>
        <v>#NUM!</v>
      </c>
      <c r="BZ120" s="3">
        <f t="shared" ca="1" si="454"/>
        <v>-32749.217410526297</v>
      </c>
      <c r="CA120" s="3" t="str">
        <f t="shared" ca="1" si="501"/>
        <v/>
      </c>
      <c r="CB120" s="3">
        <f t="shared" ca="1" si="455"/>
        <v>-21107.202676823843</v>
      </c>
      <c r="CC120" s="3" t="str">
        <f t="shared" ca="1" si="501"/>
        <v/>
      </c>
      <c r="CD120" s="3">
        <f>IF(RTD("tos.rtd",,CD$83,"."&amp;$B$82&amp;$AS$82&amp;"C"&amp;$A120)="N/A",0,RTD("tos.rtd",,CD$83,"."&amp;$B$82&amp;$AS$82&amp;"C"&amp;$A120))</f>
        <v>0.99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0.84</v>
      </c>
      <c r="CG120" s="3">
        <f>-IF(RTD("tos.rtd",,CG$83,"."&amp;$C$82&amp;$AU$82&amp;"P"&amp;$A120)="N/A",0,RTD("tos.rtd",,CG$83,"."&amp;$C$82&amp;$AU$82&amp;"P"&amp;$A120))</f>
        <v>0.17</v>
      </c>
      <c r="CH120" s="3">
        <f>IF(RTD("tos.rtd",,CH$83,"."&amp;$D$82&amp;$AW$82&amp;"C"&amp;$A120)="N/A",0,RTD("tos.rtd",,CH$83,"."&amp;$D$82&amp;$AW$82&amp;"C"&amp;$A120))</f>
        <v>0.78</v>
      </c>
      <c r="CI120" s="3">
        <f>-IF(RTD("tos.rtd",,CI$83,"."&amp;$D$82&amp;$AW$82&amp;"P"&amp;$A120)="N/A",0,RTD("tos.rtd",,CI$83,"."&amp;$D$82&amp;$AW$82&amp;"P"&amp;$A120))</f>
        <v>0.24</v>
      </c>
      <c r="CK120" s="3">
        <f t="shared" si="523"/>
        <v>80487</v>
      </c>
      <c r="CL120" s="3"/>
      <c r="CM120" s="3">
        <f t="shared" si="524"/>
        <v>24266.999999999996</v>
      </c>
      <c r="CN120" s="3"/>
      <c r="CO120" s="3">
        <f t="shared" si="525"/>
        <v>3540.0000000000009</v>
      </c>
      <c r="CP120" s="3">
        <f t="shared" si="456"/>
        <v>108294</v>
      </c>
      <c r="CQ120" s="3">
        <f t="shared" si="457"/>
        <v>-3397</v>
      </c>
      <c r="CR120" s="3"/>
      <c r="CS120" s="3">
        <f t="shared" si="458"/>
        <v>-244</v>
      </c>
      <c r="CT120" s="3"/>
      <c r="CU120" s="3">
        <f t="shared" si="459"/>
        <v>-67</v>
      </c>
      <c r="CV120" s="3"/>
      <c r="CW120" s="3" t="e">
        <f t="shared" ca="1" si="526"/>
        <v>#NUM!</v>
      </c>
      <c r="CY120" s="3" t="e">
        <f t="shared" ca="1" si="461"/>
        <v>#NUM!</v>
      </c>
      <c r="CZ120" s="70" t="e">
        <f t="shared" ca="1" si="502"/>
        <v>#NUM!</v>
      </c>
      <c r="DA120" s="3">
        <f>IF(RTD("tos.rtd",,DA$83,"."&amp;$B$82&amp;$AS$82&amp;"C"&amp;$A120)="N/A",0,RTD("tos.rtd",,DA$83,"."&amp;$B$82&amp;$AS$82&amp;"C"&amp;$A120))</f>
        <v>174.08</v>
      </c>
      <c r="DB120" s="3">
        <f>IF(RTD("tos.rtd",,DB$83,"."&amp;$B$82&amp;$AS$82&amp;"P"&amp;$A120)="N/A",0,RTD("tos.rtd",,DB$83,"."&amp;$B$82&amp;$AS$82&amp;"P"&amp;$A120))</f>
        <v>0.03</v>
      </c>
      <c r="DC120" s="3">
        <f>IF(RTD("tos.rtd",,DC$83,"."&amp;$B$82&amp;$AS$82&amp;"C"&amp;$A120)="N/A",0,RTD("tos.rtd",,DC$83,"."&amp;$B$82&amp;$AS$82&amp;"C"&amp;$A120))</f>
        <v>169.8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163.80000000000001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494"/>
        <v>-165.75</v>
      </c>
      <c r="DH120" s="3">
        <f t="shared" si="462"/>
        <v>0</v>
      </c>
      <c r="DI120" s="3">
        <f t="shared" si="463"/>
        <v>0</v>
      </c>
      <c r="DJ120" s="3">
        <f t="shared" si="464"/>
        <v>0</v>
      </c>
      <c r="DK120" s="3">
        <f t="shared" si="465"/>
        <v>0</v>
      </c>
      <c r="DL120" s="3">
        <f t="shared" si="466"/>
        <v>0</v>
      </c>
      <c r="DM120" s="3">
        <f t="shared" si="467"/>
        <v>0</v>
      </c>
      <c r="DN120" s="64" t="str">
        <f t="shared" si="468"/>
        <v>UNKNOWN</v>
      </c>
      <c r="DO120" s="64" t="str">
        <f t="shared" si="469"/>
        <v>UNKNOWN</v>
      </c>
      <c r="DP120" s="3">
        <f t="shared" si="470"/>
        <v>0</v>
      </c>
      <c r="DQ120" s="3">
        <f t="shared" si="471"/>
        <v>0</v>
      </c>
      <c r="DR120" s="3" t="e">
        <f t="shared" ca="1" si="472"/>
        <v>#NUM!</v>
      </c>
      <c r="DS120" s="3">
        <f t="shared" si="473"/>
        <v>0</v>
      </c>
      <c r="DT120" s="3">
        <f t="shared" si="495"/>
        <v>0</v>
      </c>
      <c r="DU120" s="3">
        <f t="shared" si="496"/>
        <v>0</v>
      </c>
      <c r="DV120" s="3">
        <f t="shared" si="497"/>
        <v>-159</v>
      </c>
      <c r="DW120" s="3">
        <f t="shared" si="498"/>
        <v>-19</v>
      </c>
      <c r="DX120" s="3" t="e">
        <f t="shared" ca="1" si="503"/>
        <v>#NUM!</v>
      </c>
      <c r="DY120" s="3" t="e">
        <f t="shared" ca="1" si="474"/>
        <v>#NUM!</v>
      </c>
      <c r="DZ120" s="3">
        <f t="shared" ca="1" si="475"/>
        <v>1.5515718005879899E-2</v>
      </c>
      <c r="EA120" s="3">
        <f t="shared" ca="1" si="476"/>
        <v>-1.3178343159425446E-3</v>
      </c>
      <c r="EB120" s="3">
        <f t="shared" ca="1" si="477"/>
        <v>1.3496155661584192E-3</v>
      </c>
      <c r="EC120" s="3">
        <f t="shared" ca="1" si="478"/>
        <v>-1.3198956537482335E-3</v>
      </c>
      <c r="EE120" s="59">
        <f t="shared" si="479"/>
        <v>1.5349999999999999</v>
      </c>
      <c r="EF120" s="59">
        <f t="shared" si="480"/>
        <v>1.3320000000000001</v>
      </c>
      <c r="EG120" s="59">
        <f t="shared" si="481"/>
        <v>0.22189999999999999</v>
      </c>
      <c r="EH120" s="59">
        <f t="shared" si="482"/>
        <v>0.23119999999999999</v>
      </c>
      <c r="EI120" s="59">
        <f t="shared" si="483"/>
        <v>0.21149999999999999</v>
      </c>
      <c r="EJ120" s="59">
        <f t="shared" si="484"/>
        <v>0.2301</v>
      </c>
      <c r="EL120" s="3" t="str">
        <f>RTD("tos.rtd",,EL$83,"."&amp;$B$82&amp;$AS$82&amp;"C"&amp;$A120)</f>
        <v>153.50%</v>
      </c>
      <c r="EM120" s="3" t="str">
        <f>RTD("tos.rtd",,EM$83,"."&amp;$B$82&amp;$AS$82&amp;"P"&amp;$A120)</f>
        <v>133.20%</v>
      </c>
      <c r="EN120" s="3" t="str">
        <f>RTD("tos.rtd",,EN$83,"."&amp;$C$82&amp;$AU$82&amp;"C"&amp;$A120)</f>
        <v>22.19%</v>
      </c>
      <c r="EO120" s="3" t="str">
        <f>RTD("tos.rtd",,EO$83,"."&amp;$C$82&amp;$AU$82&amp;"P"&amp;$A120)</f>
        <v>23.12%</v>
      </c>
      <c r="EP120" s="3" t="str">
        <f>RTD("tos.rtd",,EP$83,"."&amp;$D$82&amp;$AW$82&amp;"C"&amp;$A120)</f>
        <v>21.15%</v>
      </c>
      <c r="EQ120" s="3" t="str">
        <f>RTD("tos.rtd",,EQ$83,"."&amp;$D$82&amp;$AW$82&amp;"P"&amp;$A120)</f>
        <v>23.01%</v>
      </c>
      <c r="ET120" s="64" t="str">
        <f t="shared" ca="1" si="485"/>
        <v>5520,00.00</v>
      </c>
      <c r="EU120" s="67">
        <v>565.21</v>
      </c>
      <c r="EV120" s="67" t="s">
        <v>979</v>
      </c>
      <c r="EW120" s="67">
        <v>486.87</v>
      </c>
      <c r="EX120" s="67" t="s">
        <v>980</v>
      </c>
      <c r="EY120" s="67">
        <v>5668</v>
      </c>
      <c r="EZ120" s="67" t="s">
        <v>981</v>
      </c>
      <c r="FA120" s="67">
        <v>20006.75</v>
      </c>
      <c r="FB120" s="67" t="s">
        <v>982</v>
      </c>
      <c r="FC120" s="67" t="s">
        <v>983</v>
      </c>
      <c r="FD120" s="67" t="s">
        <v>984</v>
      </c>
      <c r="FE120" s="68" t="s">
        <v>985</v>
      </c>
      <c r="FF120" s="68" t="s">
        <v>986</v>
      </c>
    </row>
    <row r="121" spans="1:162" s="63" customFormat="1" ht="12" customHeight="1" thickBot="1" x14ac:dyDescent="0.25">
      <c r="A121" s="2">
        <f t="shared" si="499"/>
        <v>5510</v>
      </c>
      <c r="B121" s="3">
        <f t="shared" si="445"/>
        <v>2511</v>
      </c>
      <c r="C121" s="3">
        <f t="shared" si="446"/>
        <v>597</v>
      </c>
      <c r="D121" s="3">
        <f t="shared" si="447"/>
        <v>649</v>
      </c>
      <c r="E121" s="3">
        <f t="shared" si="519"/>
        <v>3757</v>
      </c>
      <c r="F121" s="4">
        <f t="shared" si="520"/>
        <v>5533.2581453634084</v>
      </c>
      <c r="G121" s="4">
        <f t="shared" si="521"/>
        <v>549.44461152882207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-468</v>
      </c>
      <c r="AN121" s="20">
        <v>4925</v>
      </c>
      <c r="AO121" s="20">
        <v>5510</v>
      </c>
      <c r="AP121" s="20">
        <v>592</v>
      </c>
      <c r="AQ121" s="20">
        <v>-11146</v>
      </c>
      <c r="AR121" s="20"/>
      <c r="AS121" s="54">
        <f>IF(RTD("tos.rtd",,AS$83,"."&amp;$B$82&amp;$AS$82&amp;"C"&amp;$A121)="N/A",0,RTD("tos.rtd",,AS$83,"."&amp;$B$82&amp;$AS$82&amp;"C"&amp;$A121))</f>
        <v>1066</v>
      </c>
      <c r="AT121" s="3">
        <f>-IF(RTD("tos.rtd",,AT$83,"."&amp;$B$82&amp;$AS$82&amp;"P"&amp;$A121)="N/A",0,RTD("tos.rtd",,AT$83,"."&amp;$B$82&amp;$AS$82&amp;"P"&amp;$A121))</f>
        <v>-1445</v>
      </c>
      <c r="AU121" s="54">
        <f>IF(RTD("tos.rtd",,AU$83,"."&amp;$C$82&amp;$AU$82&amp;"C"&amp;$A121)="N/A",0,RTD("tos.rtd",,AU$83,"."&amp;$C$82&amp;$AU$82&amp;"C"&amp;$A121))</f>
        <v>361</v>
      </c>
      <c r="AV121" s="3">
        <f>-IF(RTD("tos.rtd",,AV$83,"."&amp;$C$82&amp;$AU$82&amp;"P"&amp;$A121)="N/A",0,RTD("tos.rtd",,AV$83,"."&amp;$C$82&amp;$AU$82&amp;"P"&amp;$A121))</f>
        <v>-236</v>
      </c>
      <c r="AW121" s="54">
        <f>IF(RTD("tos.rtd",,AW$83,"."&amp;$D$82&amp;$AW$82&amp;"C"&amp;$A121)="N/A",0,RTD("tos.rtd",,AW$83,"."&amp;$D$82&amp;$AW$82&amp;"C"&amp;$A121))</f>
        <v>457</v>
      </c>
      <c r="AX121" s="3">
        <f>-IF(RTD("tos.rtd",,AX$83,"."&amp;$D$82&amp;$AW$82&amp;"P"&amp;$A121)="N/A",0,RTD("tos.rtd",,AX$83,"."&amp;$D$82&amp;$AW$82&amp;"P"&amp;$A121))</f>
        <v>-192</v>
      </c>
      <c r="AY121" s="79">
        <f t="shared" si="522"/>
        <v>11</v>
      </c>
      <c r="AZ121" s="8">
        <f t="shared" si="449"/>
        <v>5510</v>
      </c>
      <c r="BA121" s="54">
        <f>IF(RTD("tos.rtd",,BA$83,"."&amp;$B$82&amp;$AS$82&amp;"C"&amp;$A121)="N/A",0,RTD("tos.rtd",,BA$83,"."&amp;$B$82&amp;$AS$82&amp;"C"&amp;$A121))</f>
        <v>592</v>
      </c>
      <c r="BB121" s="3">
        <f>-IF(RTD("tos.rtd",,BB$83,"."&amp;$B$82&amp;$AS$82&amp;"P"&amp;$A121)="N/A",0,RTD("tos.rtd",,BB$83,"."&amp;$B$82&amp;$AS$82&amp;"P"&amp;$A121))</f>
        <v>-11146</v>
      </c>
      <c r="BC121" s="54">
        <f>IF(RTD("tos.rtd",,BC$83,"."&amp;$C$82&amp;$AU$82&amp;"C"&amp;$A121)="N/A",0,RTD("tos.rtd",,BC$83,"."&amp;$C$82&amp;$AU$82&amp;"C"&amp;$A121))</f>
        <v>31</v>
      </c>
      <c r="BD121" s="3">
        <f>-IF(RTD("tos.rtd",,BD$83,"."&amp;$C$82&amp;$AU$82&amp;"P"&amp;$A121)="N/A",0,RTD("tos.rtd",,BD$83,"."&amp;$C$82&amp;$AU$82&amp;"P"&amp;$A121))</f>
        <v>-144</v>
      </c>
      <c r="BE121" s="54">
        <f>IF(RTD("tos.rtd",,BE$83,"."&amp;$D$82&amp;$AW$82&amp;"C"&amp;$A121)="N/A",0,RTD("tos.rtd",,BE$83,"."&amp;$D$82&amp;$AW$82&amp;"C"&amp;$A121))</f>
        <v>6</v>
      </c>
      <c r="BF121" s="3">
        <f>-IF(RTD("tos.rtd",,BF$83,"."&amp;$D$82&amp;$AW$82&amp;"P"&amp;$A121)="N/A",0,RTD("tos.rtd",,BF$83,"."&amp;$D$82&amp;$AW$82&amp;"P"&amp;$A121))</f>
        <v>-13</v>
      </c>
      <c r="BG121" s="3" t="e">
        <f ca="1">+Hoja2!Y122</f>
        <v>#N/A</v>
      </c>
      <c r="BH121" s="55" t="e">
        <f t="shared" ca="1" si="488"/>
        <v>#N/A</v>
      </c>
      <c r="BI121" s="32" t="e">
        <f t="shared" ca="1" si="504"/>
        <v>#N/A</v>
      </c>
      <c r="BJ121" s="3" t="e">
        <f ca="1">IF($BP$1=1,DX121,IF(RTD("tos.rtd",,BJ$83,"."&amp;$B$82&amp;$AS$82&amp;"C"&amp;$A121)="N/A",0,RTD("tos.rtd",,BJ$83,"."&amp;$B$82&amp;$AS$82&amp;"C"&amp;$A121)))</f>
        <v>#NUM!</v>
      </c>
      <c r="BK121" s="3" t="e">
        <f ca="1">IF($BP$1=1,DY121,-IF(RTD("tos.rtd",,BK$83,"."&amp;$B$82&amp;$AS$82&amp;"P"&amp;$A121)="N/A",0,RTD("tos.rtd",,BK$83,"."&amp;$B$82&amp;$AS$82&amp;"P"&amp;$A121)))</f>
        <v>#NUM!</v>
      </c>
      <c r="BL121" s="3">
        <f ca="1">IF($BP$1=1,DZ121,IF(RTD("tos.rtd",,BL$83,"."&amp;$C$82&amp;$AU$82&amp;"C"&amp;$A121)="N/A",0,RTD("tos.rtd",,BL$83,"."&amp;$C$82&amp;$AU$82&amp;"C"&amp;$A121)))</f>
        <v>1.4804445826127253E-2</v>
      </c>
      <c r="BM121" s="3">
        <f ca="1">IF($BP$1=1,EA121,-IF(RTD("tos.rtd",,BM$83,"."&amp;$C$82&amp;$AU$82&amp;"P"&amp;$A121)="N/A",0,RTD("tos.rtd",,BM$83,"."&amp;$C$82&amp;$AU$82&amp;"P"&amp;$A121)))</f>
        <v>-1.2606091946561343E-3</v>
      </c>
      <c r="BN121" s="3">
        <f ca="1">IF($BP$1=1,EB121,IF(RTD("tos.rtd",,BN$83,"."&amp;$D$82&amp;$AW$82&amp;"C"&amp;$A121)="N/A",0,RTD("tos.rtd",,BN$83,"."&amp;$D$82&amp;$AW$82&amp;"C"&amp;$A121)))</f>
        <v>1.2822654144388455E-3</v>
      </c>
      <c r="BO121" s="3">
        <f ca="1">IF($BP$1=1,EC121,-IF(RTD("tos.rtd",,BO$83,"."&amp;$D$82&amp;$AW$82&amp;"P"&amp;$A121)="N/A",0,RTD("tos.rtd",,BO$83,"."&amp;$D$82&amp;$AW$82&amp;"P"&amp;$A121)))</f>
        <v>-1.262727339131549E-3</v>
      </c>
      <c r="BQ121" s="3" t="e">
        <f t="shared" ca="1" si="450"/>
        <v>#NUM!</v>
      </c>
      <c r="BR121" s="3" t="e">
        <f t="shared" ca="1" si="489"/>
        <v>#NUM!</v>
      </c>
      <c r="BS121" s="3">
        <f t="shared" ca="1" si="451"/>
        <v>1206622.6287601595</v>
      </c>
      <c r="BT121" s="3" t="str">
        <f t="shared" ca="1" si="489"/>
        <v/>
      </c>
      <c r="BU121" s="3">
        <f t="shared" ca="1" si="452"/>
        <v>82136.973781584078</v>
      </c>
      <c r="BV121" s="3" t="str">
        <f t="shared" ca="1" si="489"/>
        <v>Cruce +</v>
      </c>
      <c r="BX121" s="3" t="e">
        <f t="shared" ca="1" si="453"/>
        <v>#NUM!</v>
      </c>
      <c r="BY121" s="3" t="e">
        <f t="shared" ca="1" si="501"/>
        <v>#NUM!</v>
      </c>
      <c r="BZ121" s="3">
        <f t="shared" ca="1" si="454"/>
        <v>66323.727865055378</v>
      </c>
      <c r="CA121" s="3" t="str">
        <f t="shared" ca="1" si="501"/>
        <v>Cruce +</v>
      </c>
      <c r="CB121" s="3">
        <f t="shared" ca="1" si="455"/>
        <v>-2085.2393984674586</v>
      </c>
      <c r="CC121" s="3" t="str">
        <f t="shared" ca="1" si="501"/>
        <v/>
      </c>
      <c r="CD121" s="3">
        <f>IF(RTD("tos.rtd",,CD$83,"."&amp;$B$82&amp;$AS$82&amp;"C"&amp;$A121)="N/A",0,RTD("tos.rtd",,CD$83,"."&amp;$B$82&amp;$AS$82&amp;"C"&amp;$A121))</f>
        <v>1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0.86</v>
      </c>
      <c r="CG121" s="3">
        <f>-IF(RTD("tos.rtd",,CG$83,"."&amp;$C$82&amp;$AU$82&amp;"P"&amp;$A121)="N/A",0,RTD("tos.rtd",,CG$83,"."&amp;$C$82&amp;$AU$82&amp;"P"&amp;$A121))</f>
        <v>0.15</v>
      </c>
      <c r="CH121" s="3">
        <f>IF(RTD("tos.rtd",,CH$83,"."&amp;$D$82&amp;$AW$82&amp;"C"&amp;$A121)="N/A",0,RTD("tos.rtd",,CH$83,"."&amp;$D$82&amp;$AW$82&amp;"C"&amp;$A121))</f>
        <v>0.79</v>
      </c>
      <c r="CI121" s="3">
        <f>-IF(RTD("tos.rtd",,CI$83,"."&amp;$D$82&amp;$AW$82&amp;"P"&amp;$A121)="N/A",0,RTD("tos.rtd",,CI$83,"."&amp;$D$82&amp;$AW$82&amp;"P"&amp;$A121))</f>
        <v>0.23</v>
      </c>
      <c r="CK121" s="3">
        <f t="shared" si="523"/>
        <v>106600</v>
      </c>
      <c r="CL121" s="3"/>
      <c r="CM121" s="3">
        <f t="shared" si="524"/>
        <v>27505.999999999996</v>
      </c>
      <c r="CN121" s="3"/>
      <c r="CO121" s="3">
        <f t="shared" si="525"/>
        <v>31687</v>
      </c>
      <c r="CP121" s="3">
        <f t="shared" si="456"/>
        <v>165793</v>
      </c>
      <c r="CQ121" s="3">
        <f t="shared" si="457"/>
        <v>-10554</v>
      </c>
      <c r="CR121" s="3"/>
      <c r="CS121" s="3">
        <f t="shared" si="458"/>
        <v>-113</v>
      </c>
      <c r="CT121" s="3"/>
      <c r="CU121" s="3">
        <f t="shared" si="459"/>
        <v>-7</v>
      </c>
      <c r="CV121" s="3"/>
      <c r="CW121" s="3" t="e">
        <f t="shared" ca="1" si="526"/>
        <v>#NUM!</v>
      </c>
      <c r="CY121" s="3" t="e">
        <f t="shared" ca="1" si="461"/>
        <v>#NUM!</v>
      </c>
      <c r="CZ121" s="70" t="e">
        <f t="shared" ca="1" si="502"/>
        <v>#NUM!</v>
      </c>
      <c r="DA121" s="3">
        <f>IF(RTD("tos.rtd",,DA$83,"."&amp;$B$82&amp;$AS$82&amp;"C"&amp;$A121)="N/A",0,RTD("tos.rtd",,DA$83,"."&amp;$B$82&amp;$AS$82&amp;"C"&amp;$A121))</f>
        <v>180.47</v>
      </c>
      <c r="DB121" s="3">
        <f>IF(RTD("tos.rtd",,DB$83,"."&amp;$B$82&amp;$AS$82&amp;"P"&amp;$A121)="N/A",0,RTD("tos.rtd",,DB$83,"."&amp;$B$82&amp;$AS$82&amp;"P"&amp;$A121))</f>
        <v>0.03</v>
      </c>
      <c r="DC121" s="3">
        <f>IF(RTD("tos.rtd",,DC$83,"."&amp;$B$82&amp;$AS$82&amp;"C"&amp;$A121)="N/A",0,RTD("tos.rtd",,DC$83,"."&amp;$B$82&amp;$AS$82&amp;"C"&amp;$A121))</f>
        <v>179.8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173.8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494"/>
        <v>-175.75</v>
      </c>
      <c r="DH121" s="3">
        <f t="shared" si="462"/>
        <v>0</v>
      </c>
      <c r="DI121" s="3">
        <f t="shared" si="463"/>
        <v>0</v>
      </c>
      <c r="DJ121" s="3">
        <f t="shared" si="464"/>
        <v>0</v>
      </c>
      <c r="DK121" s="3">
        <f t="shared" si="465"/>
        <v>0</v>
      </c>
      <c r="DL121" s="3">
        <f t="shared" si="466"/>
        <v>0</v>
      </c>
      <c r="DM121" s="3">
        <f t="shared" si="467"/>
        <v>0</v>
      </c>
      <c r="DN121" s="64" t="str">
        <f t="shared" si="468"/>
        <v>UNKNOWN</v>
      </c>
      <c r="DO121" s="64" t="str">
        <f t="shared" si="469"/>
        <v>UNKNOWN</v>
      </c>
      <c r="DP121" s="3">
        <f t="shared" si="470"/>
        <v>0</v>
      </c>
      <c r="DQ121" s="3">
        <f t="shared" si="471"/>
        <v>0</v>
      </c>
      <c r="DR121" s="3" t="e">
        <f t="shared" ca="1" si="472"/>
        <v>#NUM!</v>
      </c>
      <c r="DS121" s="3">
        <f t="shared" si="473"/>
        <v>0</v>
      </c>
      <c r="DT121" s="3">
        <f t="shared" si="495"/>
        <v>0</v>
      </c>
      <c r="DU121" s="3">
        <f t="shared" si="496"/>
        <v>0</v>
      </c>
      <c r="DV121" s="3">
        <f t="shared" si="497"/>
        <v>-468</v>
      </c>
      <c r="DW121" s="3">
        <f t="shared" si="498"/>
        <v>4925</v>
      </c>
      <c r="DX121" s="3" t="e">
        <f t="shared" ca="1" si="503"/>
        <v>#NUM!</v>
      </c>
      <c r="DY121" s="3" t="e">
        <f t="shared" ca="1" si="474"/>
        <v>#NUM!</v>
      </c>
      <c r="DZ121" s="3">
        <f t="shared" ca="1" si="475"/>
        <v>1.4804445826127253E-2</v>
      </c>
      <c r="EA121" s="3">
        <f t="shared" ca="1" si="476"/>
        <v>-1.2606091946561343E-3</v>
      </c>
      <c r="EB121" s="3">
        <f t="shared" ca="1" si="477"/>
        <v>1.2822654144388455E-3</v>
      </c>
      <c r="EC121" s="3">
        <f t="shared" ca="1" si="478"/>
        <v>-1.262727339131549E-3</v>
      </c>
      <c r="EE121" s="59">
        <f t="shared" si="479"/>
        <v>1.6182000000000001</v>
      </c>
      <c r="EF121" s="59">
        <f t="shared" si="480"/>
        <v>1.4058999999999999</v>
      </c>
      <c r="EG121" s="59">
        <f t="shared" si="481"/>
        <v>0.224</v>
      </c>
      <c r="EH121" s="59">
        <f t="shared" si="482"/>
        <v>0.23369999999999999</v>
      </c>
      <c r="EI121" s="59">
        <f t="shared" si="483"/>
        <v>0.2145</v>
      </c>
      <c r="EJ121" s="59">
        <f t="shared" si="484"/>
        <v>0.23219999999999999</v>
      </c>
      <c r="EL121" s="3" t="str">
        <f>RTD("tos.rtd",,EL$83,"."&amp;$B$82&amp;$AS$82&amp;"C"&amp;$A121)</f>
        <v>161.82%</v>
      </c>
      <c r="EM121" s="3" t="str">
        <f>RTD("tos.rtd",,EM$83,"."&amp;$B$82&amp;$AS$82&amp;"P"&amp;$A121)</f>
        <v>140.59%</v>
      </c>
      <c r="EN121" s="3" t="str">
        <f>RTD("tos.rtd",,EN$83,"."&amp;$C$82&amp;$AU$82&amp;"C"&amp;$A121)</f>
        <v>22.40%</v>
      </c>
      <c r="EO121" s="3" t="str">
        <f>RTD("tos.rtd",,EO$83,"."&amp;$C$82&amp;$AU$82&amp;"P"&amp;$A121)</f>
        <v>23.37%</v>
      </c>
      <c r="EP121" s="3" t="str">
        <f>RTD("tos.rtd",,EP$83,"."&amp;$D$82&amp;$AW$82&amp;"C"&amp;$A121)</f>
        <v>21.45%</v>
      </c>
      <c r="EQ121" s="3" t="str">
        <f>RTD("tos.rtd",,EQ$83,"."&amp;$D$82&amp;$AW$82&amp;"P"&amp;$A121)</f>
        <v>23.22%</v>
      </c>
      <c r="ET121" s="64" t="str">
        <f t="shared" ca="1" si="485"/>
        <v>5510,00.00</v>
      </c>
      <c r="EU121" s="67">
        <v>565.13</v>
      </c>
      <c r="EV121" s="67" t="s">
        <v>987</v>
      </c>
      <c r="EW121" s="67">
        <v>486.84</v>
      </c>
      <c r="EX121" s="67" t="s">
        <v>988</v>
      </c>
      <c r="EY121" s="67">
        <v>5667.25</v>
      </c>
      <c r="EZ121" s="67" t="s">
        <v>989</v>
      </c>
      <c r="FA121" s="67">
        <v>20004.25</v>
      </c>
      <c r="FB121" s="67" t="s">
        <v>990</v>
      </c>
      <c r="FC121" s="67" t="s">
        <v>991</v>
      </c>
      <c r="FD121" s="67" t="s">
        <v>992</v>
      </c>
      <c r="FE121" s="68" t="s">
        <v>993</v>
      </c>
      <c r="FF121" s="68" t="s">
        <v>994</v>
      </c>
    </row>
    <row r="122" spans="1:162" s="63" customFormat="1" ht="12" customHeight="1" thickBot="1" x14ac:dyDescent="0.25">
      <c r="A122" s="2">
        <f t="shared" si="499"/>
        <v>5500</v>
      </c>
      <c r="B122" s="3">
        <f t="shared" si="445"/>
        <v>10215</v>
      </c>
      <c r="C122" s="3">
        <f t="shared" si="446"/>
        <v>4132</v>
      </c>
      <c r="D122" s="3">
        <f t="shared" si="447"/>
        <v>2986</v>
      </c>
      <c r="E122" s="3">
        <f t="shared" si="514"/>
        <v>17333</v>
      </c>
      <c r="F122" s="4">
        <f t="shared" si="515"/>
        <v>5523.2159345732753</v>
      </c>
      <c r="G122" s="4">
        <f t="shared" si="516"/>
        <v>548.44743437541229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-521</v>
      </c>
      <c r="AN122" s="20">
        <v>4845</v>
      </c>
      <c r="AO122" s="20">
        <v>5500</v>
      </c>
      <c r="AP122" s="20">
        <v>813</v>
      </c>
      <c r="AQ122" s="20">
        <v>-15605</v>
      </c>
      <c r="AR122" s="20"/>
      <c r="AS122" s="54">
        <f>IF(RTD("tos.rtd",,AS$83,"."&amp;$B$82&amp;$AS$82&amp;"C"&amp;$A122)="N/A",0,RTD("tos.rtd",,AS$83,"."&amp;$B$82&amp;$AS$82&amp;"C"&amp;$A122))</f>
        <v>4604</v>
      </c>
      <c r="AT122" s="3">
        <f>-IF(RTD("tos.rtd",,AT$83,"."&amp;$B$82&amp;$AS$82&amp;"P"&amp;$A122)="N/A",0,RTD("tos.rtd",,AT$83,"."&amp;$B$82&amp;$AS$82&amp;"P"&amp;$A122))</f>
        <v>-5611</v>
      </c>
      <c r="AU122" s="54">
        <f>IF(RTD("tos.rtd",,AU$83,"."&amp;$C$82&amp;$AU$82&amp;"C"&amp;$A122)="N/A",0,RTD("tos.rtd",,AU$83,"."&amp;$C$82&amp;$AU$82&amp;"C"&amp;$A122))</f>
        <v>1636</v>
      </c>
      <c r="AV122" s="3">
        <f>-IF(RTD("tos.rtd",,AV$83,"."&amp;$C$82&amp;$AU$82&amp;"P"&amp;$A122)="N/A",0,RTD("tos.rtd",,AV$83,"."&amp;$C$82&amp;$AU$82&amp;"P"&amp;$A122))</f>
        <v>-2496</v>
      </c>
      <c r="AW122" s="54">
        <f>IF(RTD("tos.rtd",,AW$83,"."&amp;$D$82&amp;$AW$82&amp;"C"&amp;$A122)="N/A",0,RTD("tos.rtd",,AW$83,"."&amp;$D$82&amp;$AW$82&amp;"C"&amp;$A122))</f>
        <v>1071</v>
      </c>
      <c r="AX122" s="3">
        <f>-IF(RTD("tos.rtd",,AX$83,"."&amp;$D$82&amp;$AW$82&amp;"P"&amp;$A122)="N/A",0,RTD("tos.rtd",,AX$83,"."&amp;$D$82&amp;$AW$82&amp;"P"&amp;$A122))</f>
        <v>-1915</v>
      </c>
      <c r="AY122" s="79">
        <f t="shared" si="517"/>
        <v>-2711</v>
      </c>
      <c r="AZ122" s="8">
        <f t="shared" si="449"/>
        <v>5500</v>
      </c>
      <c r="BA122" s="54">
        <f>IF(RTD("tos.rtd",,BA$83,"."&amp;$B$82&amp;$AS$82&amp;"C"&amp;$A122)="N/A",0,RTD("tos.rtd",,BA$83,"."&amp;$B$82&amp;$AS$82&amp;"C"&amp;$A122))</f>
        <v>813</v>
      </c>
      <c r="BB122" s="3">
        <f>-IF(RTD("tos.rtd",,BB$83,"."&amp;$B$82&amp;$AS$82&amp;"P"&amp;$A122)="N/A",0,RTD("tos.rtd",,BB$83,"."&amp;$B$82&amp;$AS$82&amp;"P"&amp;$A122))</f>
        <v>-15605</v>
      </c>
      <c r="BC122" s="54">
        <f>IF(RTD("tos.rtd",,BC$83,"."&amp;$C$82&amp;$AU$82&amp;"C"&amp;$A122)="N/A",0,RTD("tos.rtd",,BC$83,"."&amp;$C$82&amp;$AU$82&amp;"C"&amp;$A122))</f>
        <v>127</v>
      </c>
      <c r="BD122" s="3">
        <f>-IF(RTD("tos.rtd",,BD$83,"."&amp;$C$82&amp;$AU$82&amp;"P"&amp;$A122)="N/A",0,RTD("tos.rtd",,BD$83,"."&amp;$C$82&amp;$AU$82&amp;"P"&amp;$A122))</f>
        <v>-3740</v>
      </c>
      <c r="BE122" s="54">
        <f>IF(RTD("tos.rtd",,BE$83,"."&amp;$D$82&amp;$AW$82&amp;"C"&amp;$A122)="N/A",0,RTD("tos.rtd",,BE$83,"."&amp;$D$82&amp;$AW$82&amp;"C"&amp;$A122))</f>
        <v>61</v>
      </c>
      <c r="BF122" s="3">
        <f>-IF(RTD("tos.rtd",,BF$83,"."&amp;$D$82&amp;$AW$82&amp;"P"&amp;$A122)="N/A",0,RTD("tos.rtd",,BF$83,"."&amp;$D$82&amp;$AW$82&amp;"P"&amp;$A122))</f>
        <v>-1590</v>
      </c>
      <c r="BG122" s="3" t="e">
        <f ca="1">+Hoja2!Y123</f>
        <v>#N/A</v>
      </c>
      <c r="BH122" s="55" t="e">
        <f t="shared" ca="1" si="488"/>
        <v>#N/A</v>
      </c>
      <c r="BI122" s="32" t="e">
        <f t="shared" ca="1" si="504"/>
        <v>#N/A</v>
      </c>
      <c r="BJ122" s="3" t="e">
        <f ca="1">IF($BP$1=1,DX122,IF(RTD("tos.rtd",,BJ$83,"."&amp;$B$82&amp;$AS$82&amp;"C"&amp;$A122)="N/A",0,RTD("tos.rtd",,BJ$83,"."&amp;$B$82&amp;$AS$82&amp;"C"&amp;$A122)))</f>
        <v>#NUM!</v>
      </c>
      <c r="BK122" s="3" t="e">
        <f ca="1">IF($BP$1=1,DY122,-IF(RTD("tos.rtd",,BK$83,"."&amp;$B$82&amp;$AS$82&amp;"P"&amp;$A122)="N/A",0,RTD("tos.rtd",,BK$83,"."&amp;$B$82&amp;$AS$82&amp;"P"&amp;$A122)))</f>
        <v>#NUM!</v>
      </c>
      <c r="BL122" s="3">
        <f ca="1">IF($BP$1=1,DZ122,IF(RTD("tos.rtd",,BL$83,"."&amp;$C$82&amp;$AU$82&amp;"C"&amp;$A122)="N/A",0,RTD("tos.rtd",,BL$83,"."&amp;$C$82&amp;$AU$82&amp;"C"&amp;$A122)))</f>
        <v>1.4120347578539997E-2</v>
      </c>
      <c r="BM122" s="3">
        <f ca="1">IF($BP$1=1,EA122,-IF(RTD("tos.rtd",,BM$83,"."&amp;$C$82&amp;$AU$82&amp;"P"&amp;$A122)="N/A",0,RTD("tos.rtd",,BM$83,"."&amp;$C$82&amp;$AU$82&amp;"P"&amp;$A122)))</f>
        <v>-1.2048640056007613E-3</v>
      </c>
      <c r="BN122" s="3">
        <f ca="1">IF($BP$1=1,EB122,IF(RTD("tos.rtd",,BN$83,"."&amp;$D$82&amp;$AW$82&amp;"C"&amp;$A122)="N/A",0,RTD("tos.rtd",,BN$83,"."&amp;$D$82&amp;$AW$82&amp;"C"&amp;$A122)))</f>
        <v>1.2181181094350782E-3</v>
      </c>
      <c r="BO122" s="3">
        <f ca="1">IF($BP$1=1,EC122,-IF(RTD("tos.rtd",,BO$83,"."&amp;$D$82&amp;$AW$82&amp;"P"&amp;$A122)="N/A",0,RTD("tos.rtd",,BO$83,"."&amp;$D$82&amp;$AW$82&amp;"P"&amp;$A122)))</f>
        <v>-1.2067376641482655E-3</v>
      </c>
      <c r="BQ122" s="3" t="e">
        <f t="shared" ca="1" si="450"/>
        <v>#NUM!</v>
      </c>
      <c r="BR122" s="3" t="e">
        <f t="shared" ca="1" si="489"/>
        <v>#NUM!</v>
      </c>
      <c r="BS122" s="3">
        <f t="shared" ca="1" si="451"/>
        <v>4804003.2831088621</v>
      </c>
      <c r="BT122" s="3" t="str">
        <f t="shared" ca="1" si="489"/>
        <v/>
      </c>
      <c r="BU122" s="3">
        <f t="shared" ca="1" si="452"/>
        <v>-240587.650762807</v>
      </c>
      <c r="BV122" s="3" t="str">
        <f t="shared" ca="1" si="489"/>
        <v>Cruce -</v>
      </c>
      <c r="BX122" s="3" t="e">
        <f t="shared" ca="1" si="453"/>
        <v>#NUM!</v>
      </c>
      <c r="BY122" s="3" t="e">
        <f t="shared" ca="1" si="501"/>
        <v>#NUM!</v>
      </c>
      <c r="BZ122" s="3">
        <f t="shared" ca="1" si="454"/>
        <v>-648606.9671802097</v>
      </c>
      <c r="CA122" s="3" t="str">
        <f t="shared" ca="1" si="501"/>
        <v>Cruce -</v>
      </c>
      <c r="CB122" s="3">
        <f t="shared" ca="1" si="455"/>
        <v>-440964.45888752717</v>
      </c>
      <c r="CC122" s="3" t="str">
        <f t="shared" ca="1" si="501"/>
        <v/>
      </c>
      <c r="CD122" s="3">
        <f>IF(RTD("tos.rtd",,CD$83,"."&amp;$B$82&amp;$AS$82&amp;"C"&amp;$A122)="N/A",0,RTD("tos.rtd",,CD$83,"."&amp;$B$82&amp;$AS$82&amp;"C"&amp;$A122))</f>
        <v>1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0.87</v>
      </c>
      <c r="CG122" s="3">
        <f>-IF(RTD("tos.rtd",,CG$83,"."&amp;$C$82&amp;$AU$82&amp;"P"&amp;$A122)="N/A",0,RTD("tos.rtd",,CG$83,"."&amp;$C$82&amp;$AU$82&amp;"P"&amp;$A122))</f>
        <v>0.14000000000000001</v>
      </c>
      <c r="CH122" s="3">
        <f>IF(RTD("tos.rtd",,CH$83,"."&amp;$D$82&amp;$AW$82&amp;"C"&amp;$A122)="N/A",0,RTD("tos.rtd",,CH$83,"."&amp;$D$82&amp;$AW$82&amp;"C"&amp;$A122))</f>
        <v>0.8</v>
      </c>
      <c r="CI122" s="3">
        <f>-IF(RTD("tos.rtd",,CI$83,"."&amp;$D$82&amp;$AW$82&amp;"P"&amp;$A122)="N/A",0,RTD("tos.rtd",,CI$83,"."&amp;$D$82&amp;$AW$82&amp;"P"&amp;$A122))</f>
        <v>0.22</v>
      </c>
      <c r="CK122" s="3">
        <f t="shared" si="490"/>
        <v>460400</v>
      </c>
      <c r="CL122" s="3"/>
      <c r="CM122" s="3">
        <f t="shared" si="491"/>
        <v>107388</v>
      </c>
      <c r="CN122" s="3"/>
      <c r="CO122" s="3">
        <f t="shared" si="492"/>
        <v>43550</v>
      </c>
      <c r="CP122" s="3">
        <f t="shared" si="456"/>
        <v>611338</v>
      </c>
      <c r="CQ122" s="3">
        <f t="shared" si="457"/>
        <v>-14792</v>
      </c>
      <c r="CR122" s="3"/>
      <c r="CS122" s="3">
        <f t="shared" si="458"/>
        <v>-3613</v>
      </c>
      <c r="CT122" s="3"/>
      <c r="CU122" s="3">
        <f t="shared" si="459"/>
        <v>-1529</v>
      </c>
      <c r="CV122" s="3"/>
      <c r="CW122" s="3" t="e">
        <f t="shared" ca="1" si="518"/>
        <v>#NUM!</v>
      </c>
      <c r="CY122" s="3" t="e">
        <f t="shared" ca="1" si="461"/>
        <v>#NUM!</v>
      </c>
      <c r="CZ122" s="70" t="e">
        <f t="shared" ca="1" si="502"/>
        <v>#NUM!</v>
      </c>
      <c r="DA122" s="3">
        <f>IF(RTD("tos.rtd",,DA$83,"."&amp;$B$82&amp;$AS$82&amp;"C"&amp;$A122)="N/A",0,RTD("tos.rtd",,DA$83,"."&amp;$B$82&amp;$AS$82&amp;"C"&amp;$A122))</f>
        <v>182.2</v>
      </c>
      <c r="DB122" s="3">
        <f>IF(RTD("tos.rtd",,DB$83,"."&amp;$B$82&amp;$AS$82&amp;"P"&amp;$A122)="N/A",0,RTD("tos.rtd",,DB$83,"."&amp;$B$82&amp;$AS$82&amp;"P"&amp;$A122))</f>
        <v>0.03</v>
      </c>
      <c r="DC122" s="3">
        <f>IF(RTD("tos.rtd",,DC$83,"."&amp;$B$82&amp;$AS$82&amp;"C"&amp;$A122)="N/A",0,RTD("tos.rtd",,DC$83,"."&amp;$B$82&amp;$AS$82&amp;"C"&amp;$A122))</f>
        <v>189.8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183.8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494"/>
        <v>-185.75</v>
      </c>
      <c r="DH122" s="3">
        <f t="shared" si="462"/>
        <v>0</v>
      </c>
      <c r="DI122" s="3">
        <f t="shared" si="463"/>
        <v>0</v>
      </c>
      <c r="DJ122" s="3">
        <f t="shared" si="464"/>
        <v>0</v>
      </c>
      <c r="DK122" s="3">
        <f t="shared" si="465"/>
        <v>0</v>
      </c>
      <c r="DL122" s="3">
        <f t="shared" si="466"/>
        <v>0</v>
      </c>
      <c r="DM122" s="3">
        <f t="shared" si="467"/>
        <v>0</v>
      </c>
      <c r="DN122" s="64" t="str">
        <f t="shared" si="468"/>
        <v>UNKNOWN</v>
      </c>
      <c r="DO122" s="64" t="str">
        <f t="shared" si="469"/>
        <v>UNKNOWN</v>
      </c>
      <c r="DP122" s="3">
        <f t="shared" si="470"/>
        <v>0</v>
      </c>
      <c r="DQ122" s="3">
        <f t="shared" si="471"/>
        <v>0</v>
      </c>
      <c r="DR122" s="3" t="e">
        <f t="shared" ca="1" si="472"/>
        <v>#NUM!</v>
      </c>
      <c r="DS122" s="3">
        <f t="shared" si="473"/>
        <v>0</v>
      </c>
      <c r="DT122" s="3">
        <f t="shared" si="495"/>
        <v>0</v>
      </c>
      <c r="DU122" s="3">
        <f t="shared" si="496"/>
        <v>0</v>
      </c>
      <c r="DV122" s="3">
        <f t="shared" si="497"/>
        <v>-521</v>
      </c>
      <c r="DW122" s="3">
        <f t="shared" si="498"/>
        <v>4845</v>
      </c>
      <c r="DX122" s="3" t="e">
        <f t="shared" ca="1" si="503"/>
        <v>#NUM!</v>
      </c>
      <c r="DY122" s="3" t="e">
        <f t="shared" ca="1" si="474"/>
        <v>#NUM!</v>
      </c>
      <c r="DZ122" s="3">
        <f t="shared" ca="1" si="475"/>
        <v>1.4120347578539997E-2</v>
      </c>
      <c r="EA122" s="3">
        <f t="shared" ca="1" si="476"/>
        <v>-1.2048640056007613E-3</v>
      </c>
      <c r="EB122" s="3">
        <f t="shared" ca="1" si="477"/>
        <v>1.2181181094350782E-3</v>
      </c>
      <c r="EC122" s="3">
        <f t="shared" ca="1" si="478"/>
        <v>-1.2067376641482655E-3</v>
      </c>
      <c r="EE122" s="59">
        <f t="shared" si="479"/>
        <v>1.7012</v>
      </c>
      <c r="EF122" s="59">
        <f t="shared" si="480"/>
        <v>1.4797</v>
      </c>
      <c r="EG122" s="59">
        <f t="shared" si="481"/>
        <v>0.22489999999999999</v>
      </c>
      <c r="EH122" s="59">
        <f t="shared" si="482"/>
        <v>0.23630000000000001</v>
      </c>
      <c r="EI122" s="59">
        <f t="shared" si="483"/>
        <v>0.21629999999999999</v>
      </c>
      <c r="EJ122" s="59">
        <f t="shared" si="484"/>
        <v>0.2344</v>
      </c>
      <c r="EL122" s="3" t="str">
        <f>RTD("tos.rtd",,EL$83,"."&amp;$B$82&amp;$AS$82&amp;"C"&amp;$A122)</f>
        <v>170.12%</v>
      </c>
      <c r="EM122" s="3" t="str">
        <f>RTD("tos.rtd",,EM$83,"."&amp;$B$82&amp;$AS$82&amp;"P"&amp;$A122)</f>
        <v>147.97%</v>
      </c>
      <c r="EN122" s="3" t="str">
        <f>RTD("tos.rtd",,EN$83,"."&amp;$C$82&amp;$AU$82&amp;"C"&amp;$A122)</f>
        <v>22.49%</v>
      </c>
      <c r="EO122" s="3" t="str">
        <f>RTD("tos.rtd",,EO$83,"."&amp;$C$82&amp;$AU$82&amp;"P"&amp;$A122)</f>
        <v>23.63%</v>
      </c>
      <c r="EP122" s="3" t="str">
        <f>RTD("tos.rtd",,EP$83,"."&amp;$D$82&amp;$AW$82&amp;"C"&amp;$A122)</f>
        <v>21.63%</v>
      </c>
      <c r="EQ122" s="3" t="str">
        <f>RTD("tos.rtd",,EQ$83,"."&amp;$D$82&amp;$AW$82&amp;"P"&amp;$A122)</f>
        <v>23.44%</v>
      </c>
      <c r="ET122" s="64" t="str">
        <f t="shared" ca="1" si="485"/>
        <v>5500,00.00</v>
      </c>
      <c r="EU122" s="67">
        <v>565.15</v>
      </c>
      <c r="EV122" s="67" t="s">
        <v>995</v>
      </c>
      <c r="EW122" s="67">
        <v>486.92</v>
      </c>
      <c r="EX122" s="67" t="s">
        <v>996</v>
      </c>
      <c r="EY122" s="67">
        <v>5667.25</v>
      </c>
      <c r="EZ122" s="67" t="s">
        <v>997</v>
      </c>
      <c r="FA122" s="67">
        <v>20008.75</v>
      </c>
      <c r="FB122" s="67" t="s">
        <v>998</v>
      </c>
      <c r="FC122" s="67" t="s">
        <v>999</v>
      </c>
      <c r="FD122" s="67" t="s">
        <v>1000</v>
      </c>
      <c r="FE122" s="68" t="s">
        <v>1001</v>
      </c>
      <c r="FF122" s="68" t="s">
        <v>1002</v>
      </c>
    </row>
    <row r="123" spans="1:162" s="63" customFormat="1" ht="12" customHeight="1" thickBot="1" x14ac:dyDescent="0.25">
      <c r="A123" s="2">
        <f t="shared" si="499"/>
        <v>5490</v>
      </c>
      <c r="B123" s="3">
        <f t="shared" si="445"/>
        <v>809</v>
      </c>
      <c r="C123" s="3">
        <f t="shared" si="446"/>
        <v>489</v>
      </c>
      <c r="D123" s="3">
        <f t="shared" si="447"/>
        <v>758</v>
      </c>
      <c r="E123" s="3">
        <f t="shared" si="510"/>
        <v>2056</v>
      </c>
      <c r="F123" s="4">
        <f t="shared" si="513"/>
        <v>5513.1737237831421</v>
      </c>
      <c r="G123" s="4">
        <f t="shared" si="511"/>
        <v>547.45025722200239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11</v>
      </c>
      <c r="AN123" s="20">
        <v>-543</v>
      </c>
      <c r="AO123" s="20">
        <v>5490</v>
      </c>
      <c r="AP123" s="20">
        <v>52</v>
      </c>
      <c r="AQ123" s="20">
        <v>-3223</v>
      </c>
      <c r="AR123" s="20"/>
      <c r="AS123" s="54">
        <f>IF(RTD("tos.rtd",,AS$83,"."&amp;$B$82&amp;$AS$82&amp;"C"&amp;$A123)="N/A",0,RTD("tos.rtd",,AS$83,"."&amp;$B$82&amp;$AS$82&amp;"C"&amp;$A123))</f>
        <v>156</v>
      </c>
      <c r="AT123" s="3">
        <f>-IF(RTD("tos.rtd",,AT$83,"."&amp;$B$82&amp;$AS$82&amp;"P"&amp;$A123)="N/A",0,RTD("tos.rtd",,AT$83,"."&amp;$B$82&amp;$AS$82&amp;"P"&amp;$A123))</f>
        <v>-653</v>
      </c>
      <c r="AU123" s="54">
        <f>IF(RTD("tos.rtd",,AU$83,"."&amp;$C$82&amp;$AU$82&amp;"C"&amp;$A123)="N/A",0,RTD("tos.rtd",,AU$83,"."&amp;$C$82&amp;$AU$82&amp;"C"&amp;$A123))</f>
        <v>223</v>
      </c>
      <c r="AV123" s="3">
        <f>-IF(RTD("tos.rtd",,AV$83,"."&amp;$C$82&amp;$AU$82&amp;"P"&amp;$A123)="N/A",0,RTD("tos.rtd",,AV$83,"."&amp;$C$82&amp;$AU$82&amp;"P"&amp;$A123))</f>
        <v>-266</v>
      </c>
      <c r="AW123" s="54">
        <f>IF(RTD("tos.rtd",,AW$83,"."&amp;$D$82&amp;$AW$82&amp;"C"&amp;$A123)="N/A",0,RTD("tos.rtd",,AW$83,"."&amp;$D$82&amp;$AW$82&amp;"C"&amp;$A123))</f>
        <v>425</v>
      </c>
      <c r="AX123" s="3">
        <f>-IF(RTD("tos.rtd",,AX$83,"."&amp;$D$82&amp;$AW$82&amp;"P"&amp;$A123)="N/A",0,RTD("tos.rtd",,AX$83,"."&amp;$D$82&amp;$AW$82&amp;"P"&amp;$A123))</f>
        <v>-333</v>
      </c>
      <c r="AY123" s="79">
        <f t="shared" si="512"/>
        <v>-448</v>
      </c>
      <c r="AZ123" s="8">
        <f t="shared" si="449"/>
        <v>5490</v>
      </c>
      <c r="BA123" s="54">
        <f>IF(RTD("tos.rtd",,BA$83,"."&amp;$B$82&amp;$AS$82&amp;"C"&amp;$A123)="N/A",0,RTD("tos.rtd",,BA$83,"."&amp;$B$82&amp;$AS$82&amp;"C"&amp;$A123))</f>
        <v>52</v>
      </c>
      <c r="BB123" s="3">
        <f>-IF(RTD("tos.rtd",,BB$83,"."&amp;$B$82&amp;$AS$82&amp;"P"&amp;$A123)="N/A",0,RTD("tos.rtd",,BB$83,"."&amp;$B$82&amp;$AS$82&amp;"P"&amp;$A123))</f>
        <v>-3223</v>
      </c>
      <c r="BC123" s="54">
        <f>IF(RTD("tos.rtd",,BC$83,"."&amp;$C$82&amp;$AU$82&amp;"C"&amp;$A123)="N/A",0,RTD("tos.rtd",,BC$83,"."&amp;$C$82&amp;$AU$82&amp;"C"&amp;$A123))</f>
        <v>7</v>
      </c>
      <c r="BD123" s="3">
        <f>-IF(RTD("tos.rtd",,BD$83,"."&amp;$C$82&amp;$AU$82&amp;"P"&amp;$A123)="N/A",0,RTD("tos.rtd",,BD$83,"."&amp;$C$82&amp;$AU$82&amp;"P"&amp;$A123))</f>
        <v>-378</v>
      </c>
      <c r="BE123" s="54">
        <f>IF(RTD("tos.rtd",,BE$83,"."&amp;$D$82&amp;$AW$82&amp;"C"&amp;$A123)="N/A",0,RTD("tos.rtd",,BE$83,"."&amp;$D$82&amp;$AW$82&amp;"C"&amp;$A123))</f>
        <v>15</v>
      </c>
      <c r="BF123" s="3">
        <f>-IF(RTD("tos.rtd",,BF$83,"."&amp;$D$82&amp;$AW$82&amp;"P"&amp;$A123)="N/A",0,RTD("tos.rtd",,BF$83,"."&amp;$D$82&amp;$AW$82&amp;"P"&amp;$A123))</f>
        <v>-43</v>
      </c>
      <c r="BG123" s="3" t="e">
        <f ca="1">+Hoja2!Y124</f>
        <v>#N/A</v>
      </c>
      <c r="BH123" s="55" t="e">
        <f t="shared" ca="1" si="488"/>
        <v>#N/A</v>
      </c>
      <c r="BI123" s="32" t="e">
        <f t="shared" ca="1" si="504"/>
        <v>#N/A</v>
      </c>
      <c r="BJ123" s="3" t="e">
        <f ca="1">IF($BP$1=1,DX123,IF(RTD("tos.rtd",,BJ$83,"."&amp;$B$82&amp;$AS$82&amp;"C"&amp;$A123)="N/A",0,RTD("tos.rtd",,BJ$83,"."&amp;$B$82&amp;$AS$82&amp;"C"&amp;$A123)))</f>
        <v>#NUM!</v>
      </c>
      <c r="BK123" s="3" t="e">
        <f ca="1">IF($BP$1=1,DY123,-IF(RTD("tos.rtd",,BK$83,"."&amp;$B$82&amp;$AS$82&amp;"P"&amp;$A123)="N/A",0,RTD("tos.rtd",,BK$83,"."&amp;$B$82&amp;$AS$82&amp;"P"&amp;$A123)))</f>
        <v>#NUM!</v>
      </c>
      <c r="BL123" s="3">
        <f ca="1">IF($BP$1=1,DZ123,IF(RTD("tos.rtd",,BL$83,"."&amp;$C$82&amp;$AU$82&amp;"C"&amp;$A123)="N/A",0,RTD("tos.rtd",,BL$83,"."&amp;$C$82&amp;$AU$82&amp;"C"&amp;$A123)))</f>
        <v>1.3439049876921466E-2</v>
      </c>
      <c r="BM123" s="3">
        <f ca="1">IF($BP$1=1,EA123,-IF(RTD("tos.rtd",,BM$83,"."&amp;$C$82&amp;$AU$82&amp;"P"&amp;$A123)="N/A",0,RTD("tos.rtd",,BM$83,"."&amp;$C$82&amp;$AU$82&amp;"P"&amp;$A123)))</f>
        <v>-1.1509843983139314E-3</v>
      </c>
      <c r="BN123" s="3">
        <f ca="1">IF($BP$1=1,EB123,IF(RTD("tos.rtd",,BN$83,"."&amp;$D$82&amp;$AW$82&amp;"C"&amp;$A123)="N/A",0,RTD("tos.rtd",,BN$83,"."&amp;$D$82&amp;$AW$82&amp;"C"&amp;$A123)))</f>
        <v>1.1555147223115171E-3</v>
      </c>
      <c r="BO123" s="3">
        <f ca="1">IF($BP$1=1,EC123,-IF(RTD("tos.rtd",,BO$83,"."&amp;$D$82&amp;$AW$82&amp;"P"&amp;$A123)="N/A",0,RTD("tos.rtd",,BO$83,"."&amp;$D$82&amp;$AW$82&amp;"P"&amp;$A123)))</f>
        <v>-1.1523340655017296E-3</v>
      </c>
      <c r="BQ123" s="3" t="e">
        <f t="shared" ca="1" si="450"/>
        <v>#NUM!</v>
      </c>
      <c r="BR123" s="3" t="e">
        <f t="shared" ca="1" si="489"/>
        <v>#NUM!</v>
      </c>
      <c r="BS123" s="3">
        <f t="shared" ca="1" si="451"/>
        <v>643308.68176186818</v>
      </c>
      <c r="BT123" s="3" t="str">
        <f t="shared" ca="1" si="489"/>
        <v/>
      </c>
      <c r="BU123" s="3">
        <f t="shared" ca="1" si="452"/>
        <v>25669.387989591007</v>
      </c>
      <c r="BV123" s="3" t="str">
        <f t="shared" ca="1" si="489"/>
        <v>Cruce +</v>
      </c>
      <c r="BX123" s="3" t="e">
        <f t="shared" ca="1" si="453"/>
        <v>#NUM!</v>
      </c>
      <c r="BY123" s="3" t="e">
        <f t="shared" ca="1" si="501"/>
        <v>#NUM!</v>
      </c>
      <c r="BZ123" s="3">
        <f t="shared" ca="1" si="454"/>
        <v>-81526.623591915952</v>
      </c>
      <c r="CA123" s="3" t="str">
        <f t="shared" ca="1" si="501"/>
        <v/>
      </c>
      <c r="CB123" s="3">
        <f t="shared" ca="1" si="455"/>
        <v>-7702.6549439119544</v>
      </c>
      <c r="CC123" s="3" t="str">
        <f t="shared" ca="1" si="501"/>
        <v/>
      </c>
      <c r="CD123" s="3">
        <f>IF(RTD("tos.rtd",,CD$83,"."&amp;$B$82&amp;$AS$82&amp;"C"&amp;$A123)="N/A",0,RTD("tos.rtd",,CD$83,"."&amp;$B$82&amp;$AS$82&amp;"C"&amp;$A123))</f>
        <v>1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0.88</v>
      </c>
      <c r="CG123" s="3">
        <f>-IF(RTD("tos.rtd",,CG$83,"."&amp;$C$82&amp;$AU$82&amp;"P"&amp;$A123)="N/A",0,RTD("tos.rtd",,CG$83,"."&amp;$C$82&amp;$AU$82&amp;"P"&amp;$A123))</f>
        <v>0.13</v>
      </c>
      <c r="CH123" s="3">
        <f>IF(RTD("tos.rtd",,CH$83,"."&amp;$D$82&amp;$AW$82&amp;"C"&amp;$A123)="N/A",0,RTD("tos.rtd",,CH$83,"."&amp;$D$82&amp;$AW$82&amp;"C"&amp;$A123))</f>
        <v>0.81</v>
      </c>
      <c r="CI123" s="3">
        <f>-IF(RTD("tos.rtd",,CI$83,"."&amp;$D$82&amp;$AW$82&amp;"P"&amp;$A123)="N/A",0,RTD("tos.rtd",,CI$83,"."&amp;$D$82&amp;$AW$82&amp;"P"&amp;$A123))</f>
        <v>0.21</v>
      </c>
      <c r="CK123" s="3">
        <f t="shared" si="490"/>
        <v>15600</v>
      </c>
      <c r="CL123" s="3"/>
      <c r="CM123" s="3">
        <f t="shared" si="491"/>
        <v>16166</v>
      </c>
      <c r="CN123" s="3"/>
      <c r="CO123" s="3">
        <f t="shared" si="492"/>
        <v>27432</v>
      </c>
      <c r="CP123" s="3">
        <f t="shared" si="456"/>
        <v>59198</v>
      </c>
      <c r="CQ123" s="3">
        <f t="shared" si="457"/>
        <v>-3171</v>
      </c>
      <c r="CR123" s="3"/>
      <c r="CS123" s="3">
        <f t="shared" si="458"/>
        <v>-371</v>
      </c>
      <c r="CT123" s="3"/>
      <c r="CU123" s="3">
        <f t="shared" si="459"/>
        <v>-28</v>
      </c>
      <c r="CV123" s="3"/>
      <c r="CW123" s="3" t="e">
        <f t="shared" ca="1" si="460"/>
        <v>#NUM!</v>
      </c>
      <c r="CY123" s="3" t="e">
        <f t="shared" ca="1" si="461"/>
        <v>#NUM!</v>
      </c>
      <c r="CZ123" s="70" t="e">
        <f t="shared" ca="1" si="502"/>
        <v>#NUM!</v>
      </c>
      <c r="DA123" s="3">
        <f>IF(RTD("tos.rtd",,DA$83,"."&amp;$B$82&amp;$AS$82&amp;"C"&amp;$A123)="N/A",0,RTD("tos.rtd",,DA$83,"."&amp;$B$82&amp;$AS$82&amp;"C"&amp;$A123))</f>
        <v>203.33</v>
      </c>
      <c r="DB123" s="3">
        <f>IF(RTD("tos.rtd",,DB$83,"."&amp;$B$82&amp;$AS$82&amp;"P"&amp;$A123)="N/A",0,RTD("tos.rtd",,DB$83,"."&amp;$B$82&amp;$AS$82&amp;"P"&amp;$A123))</f>
        <v>0.03</v>
      </c>
      <c r="DC123" s="3">
        <f>IF(RTD("tos.rtd",,DC$83,"."&amp;$B$82&amp;$AS$82&amp;"C"&amp;$A123)="N/A",0,RTD("tos.rtd",,DC$83,"."&amp;$B$82&amp;$AS$82&amp;"C"&amp;$A123))</f>
        <v>199.8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193.8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494"/>
        <v>-195.75</v>
      </c>
      <c r="DH123" s="3">
        <f t="shared" si="462"/>
        <v>0</v>
      </c>
      <c r="DI123" s="3">
        <f t="shared" si="463"/>
        <v>0</v>
      </c>
      <c r="DJ123" s="3">
        <f t="shared" si="464"/>
        <v>0</v>
      </c>
      <c r="DK123" s="3">
        <f t="shared" si="465"/>
        <v>0</v>
      </c>
      <c r="DL123" s="3">
        <f t="shared" si="466"/>
        <v>0</v>
      </c>
      <c r="DM123" s="3">
        <f t="shared" si="467"/>
        <v>0</v>
      </c>
      <c r="DN123" s="64" t="str">
        <f t="shared" si="468"/>
        <v>UNKNOWN</v>
      </c>
      <c r="DO123" s="64" t="str">
        <f t="shared" si="469"/>
        <v>UNKNOWN</v>
      </c>
      <c r="DP123" s="3">
        <f t="shared" si="470"/>
        <v>0</v>
      </c>
      <c r="DQ123" s="3">
        <f t="shared" si="471"/>
        <v>0</v>
      </c>
      <c r="DR123" s="3" t="e">
        <f t="shared" ca="1" si="472"/>
        <v>#NUM!</v>
      </c>
      <c r="DS123" s="3">
        <f t="shared" si="473"/>
        <v>0</v>
      </c>
      <c r="DT123" s="3">
        <f t="shared" si="495"/>
        <v>0</v>
      </c>
      <c r="DU123" s="3">
        <f t="shared" si="496"/>
        <v>0</v>
      </c>
      <c r="DV123" s="3">
        <f t="shared" si="497"/>
        <v>11</v>
      </c>
      <c r="DW123" s="3">
        <f t="shared" si="498"/>
        <v>-543</v>
      </c>
      <c r="DX123" s="3" t="e">
        <f t="shared" ca="1" si="503"/>
        <v>#NUM!</v>
      </c>
      <c r="DY123" s="3" t="e">
        <f t="shared" ca="1" si="474"/>
        <v>#NUM!</v>
      </c>
      <c r="DZ123" s="3">
        <f t="shared" ca="1" si="475"/>
        <v>1.3439049876921466E-2</v>
      </c>
      <c r="EA123" s="3">
        <f t="shared" ca="1" si="476"/>
        <v>-1.1509843983139314E-3</v>
      </c>
      <c r="EB123" s="3">
        <f t="shared" ca="1" si="477"/>
        <v>1.1555147223115171E-3</v>
      </c>
      <c r="EC123" s="3">
        <f t="shared" ca="1" si="478"/>
        <v>-1.1523340655017296E-3</v>
      </c>
      <c r="EE123" s="59">
        <f t="shared" si="479"/>
        <v>1.784</v>
      </c>
      <c r="EF123" s="59">
        <f t="shared" si="480"/>
        <v>1.5533999999999999</v>
      </c>
      <c r="EG123" s="59">
        <f t="shared" si="481"/>
        <v>0.22770000000000001</v>
      </c>
      <c r="EH123" s="59">
        <f t="shared" si="482"/>
        <v>0.2387</v>
      </c>
      <c r="EI123" s="59">
        <f t="shared" si="483"/>
        <v>0.21709999999999999</v>
      </c>
      <c r="EJ123" s="59">
        <f t="shared" si="484"/>
        <v>0.2364</v>
      </c>
      <c r="EL123" s="3" t="str">
        <f>RTD("tos.rtd",,EL$83,"."&amp;$B$82&amp;$AS$82&amp;"C"&amp;$A123)</f>
        <v>178.40%</v>
      </c>
      <c r="EM123" s="3" t="str">
        <f>RTD("tos.rtd",,EM$83,"."&amp;$B$82&amp;$AS$82&amp;"P"&amp;$A123)</f>
        <v>155.34%</v>
      </c>
      <c r="EN123" s="3" t="str">
        <f>RTD("tos.rtd",,EN$83,"."&amp;$C$82&amp;$AU$82&amp;"C"&amp;$A123)</f>
        <v>22.77%</v>
      </c>
      <c r="EO123" s="3" t="str">
        <f>RTD("tos.rtd",,EO$83,"."&amp;$C$82&amp;$AU$82&amp;"P"&amp;$A123)</f>
        <v>23.87%</v>
      </c>
      <c r="EP123" s="3" t="str">
        <f>RTD("tos.rtd",,EP$83,"."&amp;$D$82&amp;$AW$82&amp;"C"&amp;$A123)</f>
        <v>21.71%</v>
      </c>
      <c r="EQ123" s="3" t="str">
        <f>RTD("tos.rtd",,EQ$83,"."&amp;$D$82&amp;$AW$82&amp;"P"&amp;$A123)</f>
        <v>23.64%</v>
      </c>
      <c r="ET123" s="64" t="str">
        <f t="shared" ca="1" si="485"/>
        <v>5490,00.00</v>
      </c>
      <c r="EU123" s="67">
        <v>565.23</v>
      </c>
      <c r="EV123" s="67" t="s">
        <v>1003</v>
      </c>
      <c r="EW123" s="67">
        <v>486.9</v>
      </c>
      <c r="EX123" s="67" t="s">
        <v>1004</v>
      </c>
      <c r="EY123" s="67">
        <v>5668.25</v>
      </c>
      <c r="EZ123" s="67" t="s">
        <v>1005</v>
      </c>
      <c r="FA123" s="67">
        <v>20008.5</v>
      </c>
      <c r="FB123" s="67" t="s">
        <v>1006</v>
      </c>
      <c r="FC123" s="67" t="s">
        <v>1007</v>
      </c>
      <c r="FD123" s="67" t="s">
        <v>1008</v>
      </c>
      <c r="FE123" s="68" t="s">
        <v>1009</v>
      </c>
      <c r="FF123" s="68" t="s">
        <v>1010</v>
      </c>
    </row>
    <row r="124" spans="1:162" s="63" customFormat="1" ht="12" customHeight="1" thickBot="1" x14ac:dyDescent="0.25">
      <c r="A124" s="2">
        <f t="shared" si="499"/>
        <v>5480</v>
      </c>
      <c r="B124" s="3">
        <f t="shared" si="445"/>
        <v>1348</v>
      </c>
      <c r="C124" s="3">
        <f t="shared" si="446"/>
        <v>1414</v>
      </c>
      <c r="D124" s="3">
        <f t="shared" si="447"/>
        <v>2044</v>
      </c>
      <c r="E124" s="3">
        <f t="shared" si="510"/>
        <v>4806</v>
      </c>
      <c r="F124" s="4">
        <f t="shared" si="513"/>
        <v>5503.131512993009</v>
      </c>
      <c r="G124" s="4">
        <f t="shared" si="511"/>
        <v>546.45308006859261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-14</v>
      </c>
      <c r="AN124" s="20">
        <v>40</v>
      </c>
      <c r="AO124" s="20">
        <v>5480</v>
      </c>
      <c r="AP124" s="20">
        <v>73</v>
      </c>
      <c r="AQ124" s="20">
        <v>-3124</v>
      </c>
      <c r="AR124" s="20"/>
      <c r="AS124" s="54">
        <f>IF(RTD("tos.rtd",,AS$83,"."&amp;$B$82&amp;$AS$82&amp;"C"&amp;$A124)="N/A",0,RTD("tos.rtd",,AS$83,"."&amp;$B$82&amp;$AS$82&amp;"C"&amp;$A124))</f>
        <v>410</v>
      </c>
      <c r="AT124" s="3">
        <f>-IF(RTD("tos.rtd",,AT$83,"."&amp;$B$82&amp;$AS$82&amp;"P"&amp;$A124)="N/A",0,RTD("tos.rtd",,AT$83,"."&amp;$B$82&amp;$AS$82&amp;"P"&amp;$A124))</f>
        <v>-938</v>
      </c>
      <c r="AU124" s="54">
        <f>IF(RTD("tos.rtd",,AU$83,"."&amp;$C$82&amp;$AU$82&amp;"C"&amp;$A124)="N/A",0,RTD("tos.rtd",,AU$83,"."&amp;$C$82&amp;$AU$82&amp;"C"&amp;$A124))</f>
        <v>811</v>
      </c>
      <c r="AV124" s="3">
        <f>-IF(RTD("tos.rtd",,AV$83,"."&amp;$C$82&amp;$AU$82&amp;"P"&amp;$A124)="N/A",0,RTD("tos.rtd",,AV$83,"."&amp;$C$82&amp;$AU$82&amp;"P"&amp;$A124))</f>
        <v>-603</v>
      </c>
      <c r="AW124" s="54">
        <f>IF(RTD("tos.rtd",,AW$83,"."&amp;$D$82&amp;$AW$82&amp;"C"&amp;$A124)="N/A",0,RTD("tos.rtd",,AW$83,"."&amp;$D$82&amp;$AW$82&amp;"C"&amp;$A124))</f>
        <v>147</v>
      </c>
      <c r="AX124" s="3">
        <f>-IF(RTD("tos.rtd",,AX$83,"."&amp;$D$82&amp;$AW$82&amp;"P"&amp;$A124)="N/A",0,RTD("tos.rtd",,AX$83,"."&amp;$D$82&amp;$AW$82&amp;"P"&amp;$A124))</f>
        <v>-1897</v>
      </c>
      <c r="AY124" s="79">
        <f t="shared" si="512"/>
        <v>-2070</v>
      </c>
      <c r="AZ124" s="8">
        <f t="shared" si="449"/>
        <v>5480</v>
      </c>
      <c r="BA124" s="54">
        <f>IF(RTD("tos.rtd",,BA$83,"."&amp;$B$82&amp;$AS$82&amp;"C"&amp;$A124)="N/A",0,RTD("tos.rtd",,BA$83,"."&amp;$B$82&amp;$AS$82&amp;"C"&amp;$A124))</f>
        <v>73</v>
      </c>
      <c r="BB124" s="3">
        <f>-IF(RTD("tos.rtd",,BB$83,"."&amp;$B$82&amp;$AS$82&amp;"P"&amp;$A124)="N/A",0,RTD("tos.rtd",,BB$83,"."&amp;$B$82&amp;$AS$82&amp;"P"&amp;$A124))</f>
        <v>-3124</v>
      </c>
      <c r="BC124" s="54">
        <f>IF(RTD("tos.rtd",,BC$83,"."&amp;$C$82&amp;$AU$82&amp;"C"&amp;$A124)="N/A",0,RTD("tos.rtd",,BC$83,"."&amp;$C$82&amp;$AU$82&amp;"C"&amp;$A124))</f>
        <v>13</v>
      </c>
      <c r="BD124" s="3">
        <f>-IF(RTD("tos.rtd",,BD$83,"."&amp;$C$82&amp;$AU$82&amp;"P"&amp;$A124)="N/A",0,RTD("tos.rtd",,BD$83,"."&amp;$C$82&amp;$AU$82&amp;"P"&amp;$A124))</f>
        <v>-203</v>
      </c>
      <c r="BE124" s="54">
        <f>IF(RTD("tos.rtd",,BE$83,"."&amp;$D$82&amp;$AW$82&amp;"C"&amp;$A124)="N/A",0,RTD("tos.rtd",,BE$83,"."&amp;$D$82&amp;$AW$82&amp;"C"&amp;$A124))</f>
        <v>5</v>
      </c>
      <c r="BF124" s="3">
        <f>-IF(RTD("tos.rtd",,BF$83,"."&amp;$D$82&amp;$AW$82&amp;"P"&amp;$A124)="N/A",0,RTD("tos.rtd",,BF$83,"."&amp;$D$82&amp;$AW$82&amp;"P"&amp;$A124))</f>
        <v>-531</v>
      </c>
      <c r="BG124" s="3" t="e">
        <f ca="1">+Hoja2!Y125</f>
        <v>#N/A</v>
      </c>
      <c r="BH124" s="55" t="e">
        <f t="shared" ca="1" si="488"/>
        <v>#N/A</v>
      </c>
      <c r="BI124" s="32" t="e">
        <f t="shared" ca="1" si="504"/>
        <v>#N/A</v>
      </c>
      <c r="BJ124" s="3" t="e">
        <f ca="1">IF($BP$1=1,DX124,IF(RTD("tos.rtd",,BJ$83,"."&amp;$B$82&amp;$AS$82&amp;"C"&amp;$A124)="N/A",0,RTD("tos.rtd",,BJ$83,"."&amp;$B$82&amp;$AS$82&amp;"C"&amp;$A124)))</f>
        <v>#NUM!</v>
      </c>
      <c r="BK124" s="3" t="e">
        <f ca="1">IF($BP$1=1,DY124,-IF(RTD("tos.rtd",,BK$83,"."&amp;$B$82&amp;$AS$82&amp;"P"&amp;$A124)="N/A",0,RTD("tos.rtd",,BK$83,"."&amp;$B$82&amp;$AS$82&amp;"P"&amp;$A124)))</f>
        <v>#NUM!</v>
      </c>
      <c r="BL124" s="3">
        <f ca="1">IF($BP$1=1,DZ124,IF(RTD("tos.rtd",,BL$83,"."&amp;$C$82&amp;$AU$82&amp;"C"&amp;$A124)="N/A",0,RTD("tos.rtd",,BL$83,"."&amp;$C$82&amp;$AU$82&amp;"C"&amp;$A124)))</f>
        <v>1.2781008436703224E-2</v>
      </c>
      <c r="BM124" s="3">
        <f ca="1">IF($BP$1=1,EA124,-IF(RTD("tos.rtd",,BM$83,"."&amp;$C$82&amp;$AU$82&amp;"P"&amp;$A124)="N/A",0,RTD("tos.rtd",,BM$83,"."&amp;$C$82&amp;$AU$82&amp;"P"&amp;$A124)))</f>
        <v>-1.0987537221676773E-3</v>
      </c>
      <c r="BN124" s="3">
        <f ca="1">IF($BP$1=1,EB124,IF(RTD("tos.rtd",,BN$83,"."&amp;$D$82&amp;$AW$82&amp;"C"&amp;$A124)="N/A",0,RTD("tos.rtd",,BN$83,"."&amp;$D$82&amp;$AW$82&amp;"C"&amp;$A124)))</f>
        <v>1.0950734393135016E-3</v>
      </c>
      <c r="BO124" s="3">
        <f ca="1">IF($BP$1=1,EC124,-IF(RTD("tos.rtd",,BO$83,"."&amp;$D$82&amp;$AW$82&amp;"P"&amp;$A124)="N/A",0,RTD("tos.rtd",,BO$83,"."&amp;$D$82&amp;$AW$82&amp;"P"&amp;$A124)))</f>
        <v>-1.0993453881657628E-3</v>
      </c>
      <c r="BQ124" s="3" t="e">
        <f t="shared" ca="1" si="450"/>
        <v>#NUM!</v>
      </c>
      <c r="BR124" s="3" t="e">
        <f t="shared" ca="1" si="489"/>
        <v>#NUM!</v>
      </c>
      <c r="BS124" s="3">
        <f t="shared" ca="1" si="451"/>
        <v>2319775.4789292584</v>
      </c>
      <c r="BT124" s="3" t="str">
        <f t="shared" ca="1" si="489"/>
        <v/>
      </c>
      <c r="BU124" s="3">
        <f t="shared" ca="1" si="452"/>
        <v>-460108.87467791321</v>
      </c>
      <c r="BV124" s="3" t="str">
        <f t="shared" ca="1" si="489"/>
        <v>Cruce -</v>
      </c>
      <c r="BX124" s="3" t="e">
        <f t="shared" ca="1" si="453"/>
        <v>#NUM!</v>
      </c>
      <c r="BY124" s="3" t="e">
        <f t="shared" ca="1" si="501"/>
        <v>#NUM!</v>
      </c>
      <c r="BZ124" s="3">
        <f t="shared" ca="1" si="454"/>
        <v>-13602.299688800682</v>
      </c>
      <c r="CA124" s="3" t="str">
        <f t="shared" ca="1" si="501"/>
        <v/>
      </c>
      <c r="CB124" s="3">
        <f t="shared" ca="1" si="455"/>
        <v>-138255.56135552973</v>
      </c>
      <c r="CC124" s="3" t="str">
        <f t="shared" ca="1" si="501"/>
        <v/>
      </c>
      <c r="CD124" s="3">
        <f>IF(RTD("tos.rtd",,CD$83,"."&amp;$B$82&amp;$AS$82&amp;"C"&amp;$A124)="N/A",0,RTD("tos.rtd",,CD$83,"."&amp;$B$82&amp;$AS$82&amp;"C"&amp;$A124))</f>
        <v>1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0.89</v>
      </c>
      <c r="CG124" s="3">
        <f>-IF(RTD("tos.rtd",,CG$83,"."&amp;$C$82&amp;$AU$82&amp;"P"&amp;$A124)="N/A",0,RTD("tos.rtd",,CG$83,"."&amp;$C$82&amp;$AU$82&amp;"P"&amp;$A124))</f>
        <v>0.12</v>
      </c>
      <c r="CH124" s="3">
        <f>IF(RTD("tos.rtd",,CH$83,"."&amp;$D$82&amp;$AW$82&amp;"C"&amp;$A124)="N/A",0,RTD("tos.rtd",,CH$83,"."&amp;$D$82&amp;$AW$82&amp;"C"&amp;$A124))</f>
        <v>0.82</v>
      </c>
      <c r="CI124" s="3">
        <f>-IF(RTD("tos.rtd",,CI$83,"."&amp;$D$82&amp;$AW$82&amp;"P"&amp;$A124)="N/A",0,RTD("tos.rtd",,CI$83,"."&amp;$D$82&amp;$AW$82&amp;"P"&amp;$A124))</f>
        <v>0.2</v>
      </c>
      <c r="CK124" s="3">
        <f t="shared" si="490"/>
        <v>41000</v>
      </c>
      <c r="CL124" s="3"/>
      <c r="CM124" s="3">
        <f t="shared" si="491"/>
        <v>64943</v>
      </c>
      <c r="CN124" s="3"/>
      <c r="CO124" s="3">
        <f t="shared" si="492"/>
        <v>-25886</v>
      </c>
      <c r="CP124" s="3">
        <f t="shared" si="456"/>
        <v>80057</v>
      </c>
      <c r="CQ124" s="3">
        <f t="shared" si="457"/>
        <v>-3051</v>
      </c>
      <c r="CR124" s="3"/>
      <c r="CS124" s="3">
        <f t="shared" si="458"/>
        <v>-190</v>
      </c>
      <c r="CT124" s="3"/>
      <c r="CU124" s="3">
        <f t="shared" si="459"/>
        <v>-526</v>
      </c>
      <c r="CV124" s="3"/>
      <c r="CW124" s="3" t="e">
        <f t="shared" ca="1" si="460"/>
        <v>#NUM!</v>
      </c>
      <c r="CY124" s="3" t="e">
        <f t="shared" ca="1" si="461"/>
        <v>#NUM!</v>
      </c>
      <c r="CZ124" s="70" t="e">
        <f t="shared" ca="1" si="502"/>
        <v>#NUM!</v>
      </c>
      <c r="DA124" s="3">
        <f>IF(RTD("tos.rtd",,DA$83,"."&amp;$B$82&amp;$AS$82&amp;"C"&amp;$A124)="N/A",0,RTD("tos.rtd",,DA$83,"."&amp;$B$82&amp;$AS$82&amp;"C"&amp;$A124))</f>
        <v>213.47</v>
      </c>
      <c r="DB124" s="3">
        <f>IF(RTD("tos.rtd",,DB$83,"."&amp;$B$82&amp;$AS$82&amp;"P"&amp;$A124)="N/A",0,RTD("tos.rtd",,DB$83,"."&amp;$B$82&amp;$AS$82&amp;"P"&amp;$A124))</f>
        <v>0.05</v>
      </c>
      <c r="DC124" s="3">
        <f>IF(RTD("tos.rtd",,DC$83,"."&amp;$B$82&amp;$AS$82&amp;"C"&amp;$A124)="N/A",0,RTD("tos.rtd",,DC$83,"."&amp;$B$82&amp;$AS$82&amp;"C"&amp;$A124))</f>
        <v>211.2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199.1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494"/>
        <v>-205.75</v>
      </c>
      <c r="DH124" s="3">
        <f t="shared" si="462"/>
        <v>0</v>
      </c>
      <c r="DI124" s="3">
        <f t="shared" si="463"/>
        <v>0</v>
      </c>
      <c r="DJ124" s="3">
        <f t="shared" si="464"/>
        <v>0</v>
      </c>
      <c r="DK124" s="3">
        <f t="shared" si="465"/>
        <v>0</v>
      </c>
      <c r="DL124" s="3">
        <f t="shared" si="466"/>
        <v>0</v>
      </c>
      <c r="DM124" s="3">
        <f t="shared" si="467"/>
        <v>0</v>
      </c>
      <c r="DN124" s="64" t="str">
        <f t="shared" si="468"/>
        <v>UNKNOWN</v>
      </c>
      <c r="DO124" s="64" t="str">
        <f t="shared" si="469"/>
        <v>UNKNOWN</v>
      </c>
      <c r="DP124" s="3">
        <f t="shared" si="470"/>
        <v>0</v>
      </c>
      <c r="DQ124" s="3">
        <f t="shared" si="471"/>
        <v>0</v>
      </c>
      <c r="DR124" s="3" t="e">
        <f t="shared" ca="1" si="472"/>
        <v>#NUM!</v>
      </c>
      <c r="DS124" s="3">
        <f t="shared" si="473"/>
        <v>0</v>
      </c>
      <c r="DT124" s="3">
        <f t="shared" si="495"/>
        <v>0</v>
      </c>
      <c r="DU124" s="3">
        <f t="shared" si="496"/>
        <v>0</v>
      </c>
      <c r="DV124" s="3">
        <f t="shared" si="497"/>
        <v>-14</v>
      </c>
      <c r="DW124" s="3">
        <f t="shared" si="498"/>
        <v>40</v>
      </c>
      <c r="DX124" s="3" t="e">
        <f t="shared" ca="1" si="503"/>
        <v>#NUM!</v>
      </c>
      <c r="DY124" s="3" t="e">
        <f t="shared" ca="1" si="474"/>
        <v>#NUM!</v>
      </c>
      <c r="DZ124" s="3">
        <f t="shared" ca="1" si="475"/>
        <v>1.2781008436703224E-2</v>
      </c>
      <c r="EA124" s="3">
        <f t="shared" ca="1" si="476"/>
        <v>-1.0987537221676773E-3</v>
      </c>
      <c r="EB124" s="3">
        <f t="shared" ca="1" si="477"/>
        <v>1.0950734393135016E-3</v>
      </c>
      <c r="EC124" s="3">
        <f t="shared" ca="1" si="478"/>
        <v>-1.0993453881657628E-3</v>
      </c>
      <c r="EE124" s="59">
        <f t="shared" si="479"/>
        <v>0.25</v>
      </c>
      <c r="EF124" s="59">
        <f t="shared" si="480"/>
        <v>1.6269</v>
      </c>
      <c r="EG124" s="59">
        <f t="shared" si="481"/>
        <v>0.2286</v>
      </c>
      <c r="EH124" s="59">
        <f t="shared" si="482"/>
        <v>0.24110000000000001</v>
      </c>
      <c r="EI124" s="59">
        <f t="shared" si="483"/>
        <v>0.2195</v>
      </c>
      <c r="EJ124" s="59">
        <f t="shared" si="484"/>
        <v>0.2384</v>
      </c>
      <c r="EL124" s="3" t="str">
        <f>RTD("tos.rtd",,EL$83,"."&amp;$B$82&amp;$AS$82&amp;"C"&amp;$A124)</f>
        <v>--</v>
      </c>
      <c r="EM124" s="3" t="str">
        <f>RTD("tos.rtd",,EM$83,"."&amp;$B$82&amp;$AS$82&amp;"P"&amp;$A124)</f>
        <v>162.69%</v>
      </c>
      <c r="EN124" s="3" t="str">
        <f>RTD("tos.rtd",,EN$83,"."&amp;$C$82&amp;$AU$82&amp;"C"&amp;$A124)</f>
        <v>22.86%</v>
      </c>
      <c r="EO124" s="3" t="str">
        <f>RTD("tos.rtd",,EO$83,"."&amp;$C$82&amp;$AU$82&amp;"P"&amp;$A124)</f>
        <v>24.11%</v>
      </c>
      <c r="EP124" s="3" t="str">
        <f>RTD("tos.rtd",,EP$83,"."&amp;$D$82&amp;$AW$82&amp;"C"&amp;$A124)</f>
        <v>21.95%</v>
      </c>
      <c r="EQ124" s="3" t="str">
        <f>RTD("tos.rtd",,EQ$83,"."&amp;$D$82&amp;$AW$82&amp;"P"&amp;$A124)</f>
        <v>23.84%</v>
      </c>
      <c r="ET124" s="64" t="str">
        <f t="shared" ca="1" si="485"/>
        <v>5480,00.00</v>
      </c>
      <c r="EU124" s="67">
        <v>565.66999999999996</v>
      </c>
      <c r="EV124" s="67" t="s">
        <v>1011</v>
      </c>
      <c r="EW124" s="67">
        <v>487.3</v>
      </c>
      <c r="EX124" s="67" t="s">
        <v>1012</v>
      </c>
      <c r="EY124" s="67">
        <v>5672.5</v>
      </c>
      <c r="EZ124" s="67" t="s">
        <v>1013</v>
      </c>
      <c r="FA124" s="67">
        <v>20024.75</v>
      </c>
      <c r="FB124" s="67" t="s">
        <v>1014</v>
      </c>
      <c r="FC124" s="67" t="s">
        <v>1015</v>
      </c>
      <c r="FD124" s="67" t="s">
        <v>1016</v>
      </c>
      <c r="FE124" s="68" t="s">
        <v>1017</v>
      </c>
      <c r="FF124" s="68" t="s">
        <v>1018</v>
      </c>
    </row>
    <row r="125" spans="1:162" s="63" customFormat="1" ht="12" customHeight="1" thickBot="1" x14ac:dyDescent="0.25">
      <c r="A125" s="2">
        <f t="shared" si="499"/>
        <v>5470</v>
      </c>
      <c r="B125" s="3">
        <f t="shared" si="445"/>
        <v>1320</v>
      </c>
      <c r="C125" s="3">
        <f t="shared" si="446"/>
        <v>507</v>
      </c>
      <c r="D125" s="3">
        <f t="shared" si="447"/>
        <v>444</v>
      </c>
      <c r="E125" s="3">
        <f t="shared" si="510"/>
        <v>2271</v>
      </c>
      <c r="F125" s="4">
        <f t="shared" si="513"/>
        <v>5493.0893022028758</v>
      </c>
      <c r="G125" s="4">
        <f t="shared" si="511"/>
        <v>545.45590291518272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132</v>
      </c>
      <c r="AN125" s="20">
        <v>871</v>
      </c>
      <c r="AO125" s="20">
        <v>5470</v>
      </c>
      <c r="AP125" s="20">
        <v>155</v>
      </c>
      <c r="AQ125" s="20">
        <v>-2916</v>
      </c>
      <c r="AR125" s="20"/>
      <c r="AS125" s="54">
        <f>IF(RTD("tos.rtd",,AS$83,"."&amp;$B$82&amp;$AS$82&amp;"C"&amp;$A125)="N/A",0,RTD("tos.rtd",,AS$83,"."&amp;$B$82&amp;$AS$82&amp;"C"&amp;$A125))</f>
        <v>307</v>
      </c>
      <c r="AT125" s="3">
        <f>-IF(RTD("tos.rtd",,AT$83,"."&amp;$B$82&amp;$AS$82&amp;"P"&amp;$A125)="N/A",0,RTD("tos.rtd",,AT$83,"."&amp;$B$82&amp;$AS$82&amp;"P"&amp;$A125))</f>
        <v>-1013</v>
      </c>
      <c r="AU125" s="54">
        <f>IF(RTD("tos.rtd",,AU$83,"."&amp;$C$82&amp;$AU$82&amp;"C"&amp;$A125)="N/A",0,RTD("tos.rtd",,AU$83,"."&amp;$C$82&amp;$AU$82&amp;"C"&amp;$A125))</f>
        <v>144</v>
      </c>
      <c r="AV125" s="3">
        <f>-IF(RTD("tos.rtd",,AV$83,"."&amp;$C$82&amp;$AU$82&amp;"P"&amp;$A125)="N/A",0,RTD("tos.rtd",,AV$83,"."&amp;$C$82&amp;$AU$82&amp;"P"&amp;$A125))</f>
        <v>-363</v>
      </c>
      <c r="AW125" s="54">
        <f>IF(RTD("tos.rtd",,AW$83,"."&amp;$D$82&amp;$AW$82&amp;"C"&amp;$A125)="N/A",0,RTD("tos.rtd",,AW$83,"."&amp;$D$82&amp;$AW$82&amp;"C"&amp;$A125))</f>
        <v>117</v>
      </c>
      <c r="AX125" s="3">
        <f>-IF(RTD("tos.rtd",,AX$83,"."&amp;$D$82&amp;$AW$82&amp;"P"&amp;$A125)="N/A",0,RTD("tos.rtd",,AX$83,"."&amp;$D$82&amp;$AW$82&amp;"P"&amp;$A125))</f>
        <v>-327</v>
      </c>
      <c r="AY125" s="79">
        <f t="shared" si="512"/>
        <v>-1135</v>
      </c>
      <c r="AZ125" s="8">
        <f t="shared" si="449"/>
        <v>5470</v>
      </c>
      <c r="BA125" s="54">
        <f>IF(RTD("tos.rtd",,BA$83,"."&amp;$B$82&amp;$AS$82&amp;"C"&amp;$A125)="N/A",0,RTD("tos.rtd",,BA$83,"."&amp;$B$82&amp;$AS$82&amp;"C"&amp;$A125))</f>
        <v>155</v>
      </c>
      <c r="BB125" s="3">
        <f>-IF(RTD("tos.rtd",,BB$83,"."&amp;$B$82&amp;$AS$82&amp;"P"&amp;$A125)="N/A",0,RTD("tos.rtd",,BB$83,"."&amp;$B$82&amp;$AS$82&amp;"P"&amp;$A125))</f>
        <v>-2916</v>
      </c>
      <c r="BC125" s="54">
        <f>IF(RTD("tos.rtd",,BC$83,"."&amp;$C$82&amp;$AU$82&amp;"C"&amp;$A125)="N/A",0,RTD("tos.rtd",,BC$83,"."&amp;$C$82&amp;$AU$82&amp;"C"&amp;$A125))</f>
        <v>3</v>
      </c>
      <c r="BD125" s="3">
        <f>-IF(RTD("tos.rtd",,BD$83,"."&amp;$C$82&amp;$AU$82&amp;"P"&amp;$A125)="N/A",0,RTD("tos.rtd",,BD$83,"."&amp;$C$82&amp;$AU$82&amp;"P"&amp;$A125))</f>
        <v>-177</v>
      </c>
      <c r="BE125" s="54">
        <f>IF(RTD("tos.rtd",,BE$83,"."&amp;$D$82&amp;$AW$82&amp;"C"&amp;$A125)="N/A",0,RTD("tos.rtd",,BE$83,"."&amp;$D$82&amp;$AW$82&amp;"C"&amp;$A125))</f>
        <v>0</v>
      </c>
      <c r="BF125" s="3">
        <f>-IF(RTD("tos.rtd",,BF$83,"."&amp;$D$82&amp;$AW$82&amp;"P"&amp;$A125)="N/A",0,RTD("tos.rtd",,BF$83,"."&amp;$D$82&amp;$AW$82&amp;"P"&amp;$A125))</f>
        <v>-126</v>
      </c>
      <c r="BG125" s="3" t="e">
        <f ca="1">+Hoja2!Y126</f>
        <v>#N/A</v>
      </c>
      <c r="BH125" s="55" t="e">
        <f t="shared" ca="1" si="488"/>
        <v>#N/A</v>
      </c>
      <c r="BI125" s="32" t="e">
        <f t="shared" ca="1" si="504"/>
        <v>#N/A</v>
      </c>
      <c r="BJ125" s="3" t="e">
        <f ca="1">IF($BP$1=1,DX125,IF(RTD("tos.rtd",,BJ$83,"."&amp;$B$82&amp;$AS$82&amp;"C"&amp;$A125)="N/A",0,RTD("tos.rtd",,BJ$83,"."&amp;$B$82&amp;$AS$82&amp;"C"&amp;$A125)))</f>
        <v>#NUM!</v>
      </c>
      <c r="BK125" s="3" t="e">
        <f ca="1">IF($BP$1=1,DY125,-IF(RTD("tos.rtd",,BK$83,"."&amp;$B$82&amp;$AS$82&amp;"P"&amp;$A125)="N/A",0,RTD("tos.rtd",,BK$83,"."&amp;$B$82&amp;$AS$82&amp;"P"&amp;$A125)))</f>
        <v>#NUM!</v>
      </c>
      <c r="BL125" s="3">
        <f ca="1">IF($BP$1=1,DZ125,IF(RTD("tos.rtd",,BL$83,"."&amp;$C$82&amp;$AU$82&amp;"C"&amp;$A125)="N/A",0,RTD("tos.rtd",,BL$83,"."&amp;$C$82&amp;$AU$82&amp;"C"&amp;$A125)))</f>
        <v>1.2149027382988953E-2</v>
      </c>
      <c r="BM125" s="3">
        <f ca="1">IF($BP$1=1,EA125,-IF(RTD("tos.rtd",,BM$83,"."&amp;$C$82&amp;$AU$82&amp;"P"&amp;$A125)="N/A",0,RTD("tos.rtd",,BM$83,"."&amp;$C$82&amp;$AU$82&amp;"P"&amp;$A125)))</f>
        <v>-1.0482396479435507E-3</v>
      </c>
      <c r="BN125" s="3">
        <f ca="1">IF($BP$1=1,EB125,IF(RTD("tos.rtd",,BN$83,"."&amp;$D$82&amp;$AW$82&amp;"C"&amp;$A125)="N/A",0,RTD("tos.rtd",,BN$83,"."&amp;$D$82&amp;$AW$82&amp;"C"&amp;$A125)))</f>
        <v>1.0339098978042107E-3</v>
      </c>
      <c r="BO125" s="3">
        <f ca="1">IF($BP$1=1,EC125,-IF(RTD("tos.rtd",,BO$83,"."&amp;$D$82&amp;$AW$82&amp;"P"&amp;$A125)="N/A",0,RTD("tos.rtd",,BO$83,"."&amp;$D$82&amp;$AW$82&amp;"P"&amp;$A125)))</f>
        <v>-1.0478588924966144E-3</v>
      </c>
      <c r="BQ125" s="3" t="e">
        <f t="shared" ca="1" si="450"/>
        <v>#NUM!</v>
      </c>
      <c r="BR125" s="3" t="e">
        <f t="shared" ca="1" si="489"/>
        <v>#NUM!</v>
      </c>
      <c r="BS125" s="3">
        <f t="shared" ca="1" si="451"/>
        <v>327290.89100673108</v>
      </c>
      <c r="BT125" s="3" t="str">
        <f t="shared" ca="1" si="489"/>
        <v/>
      </c>
      <c r="BU125" s="3">
        <f t="shared" ca="1" si="452"/>
        <v>-53000.245262576485</v>
      </c>
      <c r="BV125" s="3" t="str">
        <f t="shared" ca="1" si="489"/>
        <v/>
      </c>
      <c r="BX125" s="3" t="e">
        <f t="shared" ca="1" si="453"/>
        <v>#NUM!</v>
      </c>
      <c r="BY125" s="3" t="e">
        <f t="shared" ca="1" si="501"/>
        <v>#NUM!</v>
      </c>
      <c r="BZ125" s="3">
        <f t="shared" ca="1" si="454"/>
        <v>-35645.037030452855</v>
      </c>
      <c r="CA125" s="3" t="str">
        <f t="shared" ca="1" si="501"/>
        <v/>
      </c>
      <c r="CB125" s="3">
        <f t="shared" ca="1" si="455"/>
        <v>-31566.033534342219</v>
      </c>
      <c r="CC125" s="3" t="str">
        <f t="shared" ca="1" si="501"/>
        <v/>
      </c>
      <c r="CD125" s="3">
        <f>IF(RTD("tos.rtd",,CD$83,"."&amp;$B$82&amp;$AS$82&amp;"C"&amp;$A125)="N/A",0,RTD("tos.rtd",,CD$83,"."&amp;$B$82&amp;$AS$82&amp;"C"&amp;$A125))</f>
        <v>1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0.89</v>
      </c>
      <c r="CG125" s="3">
        <f>-IF(RTD("tos.rtd",,CG$83,"."&amp;$C$82&amp;$AU$82&amp;"P"&amp;$A125)="N/A",0,RTD("tos.rtd",,CG$83,"."&amp;$C$82&amp;$AU$82&amp;"P"&amp;$A125))</f>
        <v>0.12</v>
      </c>
      <c r="CH125" s="3">
        <f>IF(RTD("tos.rtd",,CH$83,"."&amp;$D$82&amp;$AW$82&amp;"C"&amp;$A125)="N/A",0,RTD("tos.rtd",,CH$83,"."&amp;$D$82&amp;$AW$82&amp;"C"&amp;$A125))</f>
        <v>0.83</v>
      </c>
      <c r="CI125" s="3">
        <f>-IF(RTD("tos.rtd",,CI$83,"."&amp;$D$82&amp;$AW$82&amp;"P"&amp;$A125)="N/A",0,RTD("tos.rtd",,CI$83,"."&amp;$D$82&amp;$AW$82&amp;"P"&amp;$A125))</f>
        <v>0.19</v>
      </c>
      <c r="CK125" s="3">
        <f t="shared" si="490"/>
        <v>30700</v>
      </c>
      <c r="CL125" s="3"/>
      <c r="CM125" s="3">
        <f t="shared" si="491"/>
        <v>8460</v>
      </c>
      <c r="CN125" s="3"/>
      <c r="CO125" s="3">
        <f t="shared" si="492"/>
        <v>3498</v>
      </c>
      <c r="CP125" s="3">
        <f t="shared" si="456"/>
        <v>42658</v>
      </c>
      <c r="CQ125" s="3">
        <f t="shared" si="457"/>
        <v>-2761</v>
      </c>
      <c r="CR125" s="3"/>
      <c r="CS125" s="3">
        <f t="shared" si="458"/>
        <v>-174</v>
      </c>
      <c r="CT125" s="3"/>
      <c r="CU125" s="3">
        <f t="shared" si="459"/>
        <v>-126</v>
      </c>
      <c r="CV125" s="3"/>
      <c r="CW125" s="3" t="e">
        <f t="shared" ca="1" si="460"/>
        <v>#NUM!</v>
      </c>
      <c r="CY125" s="3" t="e">
        <f t="shared" ca="1" si="461"/>
        <v>#NUM!</v>
      </c>
      <c r="CZ125" s="70" t="e">
        <f t="shared" ca="1" si="502"/>
        <v>#NUM!</v>
      </c>
      <c r="DA125" s="3">
        <f>IF(RTD("tos.rtd",,DA$83,"."&amp;$B$82&amp;$AS$82&amp;"C"&amp;$A125)="N/A",0,RTD("tos.rtd",,DA$83,"."&amp;$B$82&amp;$AS$82&amp;"C"&amp;$A125))</f>
        <v>223.68</v>
      </c>
      <c r="DB125" s="3">
        <f>IF(RTD("tos.rtd",,DB$83,"."&amp;$B$82&amp;$AS$82&amp;"P"&amp;$A125)="N/A",0,RTD("tos.rtd",,DB$83,"."&amp;$B$82&amp;$AS$82&amp;"P"&amp;$A125))</f>
        <v>0.05</v>
      </c>
      <c r="DC125" s="3">
        <f>IF(RTD("tos.rtd",,DC$83,"."&amp;$B$82&amp;$AS$82&amp;"C"&amp;$A125)="N/A",0,RTD("tos.rtd",,DC$83,"."&amp;$B$82&amp;$AS$82&amp;"C"&amp;$A125))</f>
        <v>221.5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208.2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494"/>
        <v>-215.75</v>
      </c>
      <c r="DH125" s="3">
        <f t="shared" si="462"/>
        <v>0</v>
      </c>
      <c r="DI125" s="3">
        <f t="shared" si="463"/>
        <v>0</v>
      </c>
      <c r="DJ125" s="3">
        <f t="shared" si="464"/>
        <v>0</v>
      </c>
      <c r="DK125" s="3">
        <f t="shared" si="465"/>
        <v>0</v>
      </c>
      <c r="DL125" s="3">
        <f t="shared" si="466"/>
        <v>0</v>
      </c>
      <c r="DM125" s="3">
        <f t="shared" si="467"/>
        <v>0</v>
      </c>
      <c r="DN125" s="64" t="str">
        <f t="shared" si="468"/>
        <v>UNKNOWN</v>
      </c>
      <c r="DO125" s="64" t="str">
        <f t="shared" si="469"/>
        <v>UNKNOWN</v>
      </c>
      <c r="DP125" s="3">
        <f t="shared" si="470"/>
        <v>0</v>
      </c>
      <c r="DQ125" s="3">
        <f t="shared" si="471"/>
        <v>0</v>
      </c>
      <c r="DR125" s="3" t="e">
        <f t="shared" ca="1" si="472"/>
        <v>#NUM!</v>
      </c>
      <c r="DS125" s="3">
        <f t="shared" si="473"/>
        <v>0</v>
      </c>
      <c r="DT125" s="3">
        <f t="shared" si="495"/>
        <v>0</v>
      </c>
      <c r="DU125" s="3">
        <f t="shared" si="496"/>
        <v>0</v>
      </c>
      <c r="DV125" s="3">
        <f t="shared" si="497"/>
        <v>132</v>
      </c>
      <c r="DW125" s="3">
        <f t="shared" si="498"/>
        <v>871</v>
      </c>
      <c r="DX125" s="3" t="e">
        <f t="shared" ca="1" si="503"/>
        <v>#NUM!</v>
      </c>
      <c r="DY125" s="3" t="e">
        <f t="shared" ca="1" si="474"/>
        <v>#NUM!</v>
      </c>
      <c r="DZ125" s="3">
        <f t="shared" ca="1" si="475"/>
        <v>1.2149027382988953E-2</v>
      </c>
      <c r="EA125" s="3">
        <f t="shared" ca="1" si="476"/>
        <v>-1.0482396479435507E-3</v>
      </c>
      <c r="EB125" s="3">
        <f t="shared" ca="1" si="477"/>
        <v>1.0339098978042107E-3</v>
      </c>
      <c r="EC125" s="3">
        <f t="shared" ca="1" si="478"/>
        <v>-1.0478588924966144E-3</v>
      </c>
      <c r="EE125" s="59">
        <f t="shared" si="479"/>
        <v>0.25</v>
      </c>
      <c r="EF125" s="59">
        <f t="shared" si="480"/>
        <v>1.7002999999999999</v>
      </c>
      <c r="EG125" s="59">
        <f t="shared" si="481"/>
        <v>0.23169999999999999</v>
      </c>
      <c r="EH125" s="59">
        <f t="shared" si="482"/>
        <v>0.24379999999999999</v>
      </c>
      <c r="EI125" s="59">
        <f t="shared" si="483"/>
        <v>0.219</v>
      </c>
      <c r="EJ125" s="59">
        <f t="shared" si="484"/>
        <v>0.2404</v>
      </c>
      <c r="EL125" s="3" t="str">
        <f>RTD("tos.rtd",,EL$83,"."&amp;$B$82&amp;$AS$82&amp;"C"&amp;$A125)</f>
        <v>--</v>
      </c>
      <c r="EM125" s="3" t="str">
        <f>RTD("tos.rtd",,EM$83,"."&amp;$B$82&amp;$AS$82&amp;"P"&amp;$A125)</f>
        <v>170.03%</v>
      </c>
      <c r="EN125" s="3" t="str">
        <f>RTD("tos.rtd",,EN$83,"."&amp;$C$82&amp;$AU$82&amp;"C"&amp;$A125)</f>
        <v>23.17%</v>
      </c>
      <c r="EO125" s="3" t="str">
        <f>RTD("tos.rtd",,EO$83,"."&amp;$C$82&amp;$AU$82&amp;"P"&amp;$A125)</f>
        <v>24.38%</v>
      </c>
      <c r="EP125" s="3" t="str">
        <f>RTD("tos.rtd",,EP$83,"."&amp;$D$82&amp;$AW$82&amp;"C"&amp;$A125)</f>
        <v>21.90%</v>
      </c>
      <c r="EQ125" s="3" t="str">
        <f>RTD("tos.rtd",,EQ$83,"."&amp;$D$82&amp;$AW$82&amp;"P"&amp;$A125)</f>
        <v>24.04%</v>
      </c>
      <c r="ET125" s="64" t="str">
        <f t="shared" ca="1" si="485"/>
        <v>5470,00.00</v>
      </c>
      <c r="EU125" s="67">
        <v>565.70000000000005</v>
      </c>
      <c r="EV125" s="67" t="s">
        <v>1019</v>
      </c>
      <c r="EW125" s="67">
        <v>487.52</v>
      </c>
      <c r="EX125" s="67" t="s">
        <v>1020</v>
      </c>
      <c r="EY125" s="67">
        <v>5672.75</v>
      </c>
      <c r="EZ125" s="67" t="s">
        <v>1021</v>
      </c>
      <c r="FA125" s="67">
        <v>20034.25</v>
      </c>
      <c r="FB125" s="67" t="s">
        <v>1022</v>
      </c>
      <c r="FC125" s="67" t="s">
        <v>1023</v>
      </c>
      <c r="FD125" s="67" t="s">
        <v>1024</v>
      </c>
      <c r="FE125" s="68" t="s">
        <v>1025</v>
      </c>
      <c r="FF125" s="68" t="s">
        <v>1026</v>
      </c>
    </row>
    <row r="126" spans="1:162" s="63" customFormat="1" ht="12" customHeight="1" thickBot="1" x14ac:dyDescent="0.25">
      <c r="A126" s="2">
        <f t="shared" si="499"/>
        <v>5460</v>
      </c>
      <c r="B126" s="3">
        <f t="shared" si="445"/>
        <v>1729</v>
      </c>
      <c r="C126" s="3">
        <f t="shared" si="446"/>
        <v>561</v>
      </c>
      <c r="D126" s="3">
        <f t="shared" si="447"/>
        <v>867</v>
      </c>
      <c r="E126" s="3">
        <f t="shared" si="510"/>
        <v>3157</v>
      </c>
      <c r="F126" s="4">
        <f t="shared" si="513"/>
        <v>5483.0470914127427</v>
      </c>
      <c r="G126" s="4">
        <f t="shared" si="511"/>
        <v>544.45872576177294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15</v>
      </c>
      <c r="AN126" s="20">
        <v>71</v>
      </c>
      <c r="AO126" s="20">
        <v>5460</v>
      </c>
      <c r="AP126" s="20">
        <v>51</v>
      </c>
      <c r="AQ126" s="20">
        <v>-2125</v>
      </c>
      <c r="AR126" s="20"/>
      <c r="AS126" s="54">
        <f>IF(RTD("tos.rtd",,AS$83,"."&amp;$B$82&amp;$AS$82&amp;"C"&amp;$A126)="N/A",0,RTD("tos.rtd",,AS$83,"."&amp;$B$82&amp;$AS$82&amp;"C"&amp;$A126))</f>
        <v>485</v>
      </c>
      <c r="AT126" s="3">
        <f>-IF(RTD("tos.rtd",,AT$83,"."&amp;$B$82&amp;$AS$82&amp;"P"&amp;$A126)="N/A",0,RTD("tos.rtd",,AT$83,"."&amp;$B$82&amp;$AS$82&amp;"P"&amp;$A126))</f>
        <v>-1244</v>
      </c>
      <c r="AU126" s="54">
        <f>IF(RTD("tos.rtd",,AU$83,"."&amp;$C$82&amp;$AU$82&amp;"C"&amp;$A126)="N/A",0,RTD("tos.rtd",,AU$83,"."&amp;$C$82&amp;$AU$82&amp;"C"&amp;$A126))</f>
        <v>331</v>
      </c>
      <c r="AV126" s="3">
        <f>-IF(RTD("tos.rtd",,AV$83,"."&amp;$C$82&amp;$AU$82&amp;"P"&amp;$A126)="N/A",0,RTD("tos.rtd",,AV$83,"."&amp;$C$82&amp;$AU$82&amp;"P"&amp;$A126))</f>
        <v>-230</v>
      </c>
      <c r="AW126" s="54">
        <f>IF(RTD("tos.rtd",,AW$83,"."&amp;$D$82&amp;$AW$82&amp;"C"&amp;$A126)="N/A",0,RTD("tos.rtd",,AW$83,"."&amp;$D$82&amp;$AW$82&amp;"C"&amp;$A126))</f>
        <v>515</v>
      </c>
      <c r="AX126" s="3">
        <f>-IF(RTD("tos.rtd",,AX$83,"."&amp;$D$82&amp;$AW$82&amp;"P"&amp;$A126)="N/A",0,RTD("tos.rtd",,AX$83,"."&amp;$D$82&amp;$AW$82&amp;"P"&amp;$A126))</f>
        <v>-352</v>
      </c>
      <c r="AY126" s="79">
        <f t="shared" si="512"/>
        <v>-495</v>
      </c>
      <c r="AZ126" s="8">
        <f t="shared" si="449"/>
        <v>5460</v>
      </c>
      <c r="BA126" s="54">
        <f>IF(RTD("tos.rtd",,BA$83,"."&amp;$B$82&amp;$AS$82&amp;"C"&amp;$A126)="N/A",0,RTD("tos.rtd",,BA$83,"."&amp;$B$82&amp;$AS$82&amp;"C"&amp;$A126))</f>
        <v>51</v>
      </c>
      <c r="BB126" s="3">
        <f>-IF(RTD("tos.rtd",,BB$83,"."&amp;$B$82&amp;$AS$82&amp;"P"&amp;$A126)="N/A",0,RTD("tos.rtd",,BB$83,"."&amp;$B$82&amp;$AS$82&amp;"P"&amp;$A126))</f>
        <v>-2125</v>
      </c>
      <c r="BC126" s="54">
        <f>IF(RTD("tos.rtd",,BC$83,"."&amp;$C$82&amp;$AU$82&amp;"C"&amp;$A126)="N/A",0,RTD("tos.rtd",,BC$83,"."&amp;$C$82&amp;$AU$82&amp;"C"&amp;$A126))</f>
        <v>59</v>
      </c>
      <c r="BD126" s="3">
        <f>-IF(RTD("tos.rtd",,BD$83,"."&amp;$C$82&amp;$AU$82&amp;"P"&amp;$A126)="N/A",0,RTD("tos.rtd",,BD$83,"."&amp;$C$82&amp;$AU$82&amp;"P"&amp;$A126))</f>
        <v>-264</v>
      </c>
      <c r="BE126" s="54">
        <f>IF(RTD("tos.rtd",,BE$83,"."&amp;$D$82&amp;$AW$82&amp;"C"&amp;$A126)="N/A",0,RTD("tos.rtd",,BE$83,"."&amp;$D$82&amp;$AW$82&amp;"C"&amp;$A126))</f>
        <v>7</v>
      </c>
      <c r="BF126" s="3">
        <f>-IF(RTD("tos.rtd",,BF$83,"."&amp;$D$82&amp;$AW$82&amp;"P"&amp;$A126)="N/A",0,RTD("tos.rtd",,BF$83,"."&amp;$D$82&amp;$AW$82&amp;"P"&amp;$A126))</f>
        <v>-123</v>
      </c>
      <c r="BG126" s="3" t="e">
        <f ca="1">+Hoja2!Y127</f>
        <v>#N/A</v>
      </c>
      <c r="BH126" s="55" t="e">
        <f t="shared" ca="1" si="488"/>
        <v>#N/A</v>
      </c>
      <c r="BI126" s="32" t="e">
        <f t="shared" ca="1" si="504"/>
        <v>#N/A</v>
      </c>
      <c r="BJ126" s="3" t="e">
        <f ca="1">IF($BP$1=1,DX126,IF(RTD("tos.rtd",,BJ$83,"."&amp;$B$82&amp;$AS$82&amp;"C"&amp;$A126)="N/A",0,RTD("tos.rtd",,BJ$83,"."&amp;$B$82&amp;$AS$82&amp;"C"&amp;$A126)))</f>
        <v>#NUM!</v>
      </c>
      <c r="BK126" s="3" t="e">
        <f ca="1">IF($BP$1=1,DY126,-IF(RTD("tos.rtd",,BK$83,"."&amp;$B$82&amp;$AS$82&amp;"P"&amp;$A126)="N/A",0,RTD("tos.rtd",,BK$83,"."&amp;$B$82&amp;$AS$82&amp;"P"&amp;$A126)))</f>
        <v>#NUM!</v>
      </c>
      <c r="BL126" s="3">
        <f ca="1">IF($BP$1=1,DZ126,IF(RTD("tos.rtd",,BL$83,"."&amp;$C$82&amp;$AU$82&amp;"C"&amp;$A126)="N/A",0,RTD("tos.rtd",,BL$83,"."&amp;$C$82&amp;$AU$82&amp;"C"&amp;$A126)))</f>
        <v>1.153602659502837E-2</v>
      </c>
      <c r="BM126" s="3">
        <f ca="1">IF($BP$1=1,EA126,-IF(RTD("tos.rtd",,BM$83,"."&amp;$C$82&amp;$AU$82&amp;"P"&amp;$A126)="N/A",0,RTD("tos.rtd",,BM$83,"."&amp;$C$82&amp;$AU$82&amp;"P"&amp;$A126)))</f>
        <v>-9.9960105434773326E-4</v>
      </c>
      <c r="BN126" s="3">
        <f ca="1">IF($BP$1=1,EB126,IF(RTD("tos.rtd",,BN$83,"."&amp;$D$82&amp;$AW$82&amp;"C"&amp;$A126)="N/A",0,RTD("tos.rtd",,BN$83,"."&amp;$D$82&amp;$AW$82&amp;"C"&amp;$A126)))</f>
        <v>9.7604085888191379E-4</v>
      </c>
      <c r="BO126" s="3">
        <f ca="1">IF($BP$1=1,EC126,-IF(RTD("tos.rtd",,BO$83,"."&amp;$D$82&amp;$AW$82&amp;"P"&amp;$A126)="N/A",0,RTD("tos.rtd",,BO$83,"."&amp;$D$82&amp;$AW$82&amp;"P"&amp;$A126)))</f>
        <v>-9.9799218867738194E-4</v>
      </c>
      <c r="BQ126" s="3" t="e">
        <f t="shared" ca="1" si="450"/>
        <v>#NUM!</v>
      </c>
      <c r="BR126" s="3" t="e">
        <f t="shared" ca="1" si="489"/>
        <v>#NUM!</v>
      </c>
      <c r="BS126" s="3">
        <f t="shared" ca="1" si="451"/>
        <v>857949.29142620089</v>
      </c>
      <c r="BT126" s="3" t="str">
        <f t="shared" ca="1" si="489"/>
        <v/>
      </c>
      <c r="BU126" s="3">
        <f t="shared" ca="1" si="452"/>
        <v>36189.29650341961</v>
      </c>
      <c r="BV126" s="3" t="str">
        <f t="shared" ca="1" si="489"/>
        <v>Cruce +</v>
      </c>
      <c r="BX126" s="3" t="e">
        <f t="shared" ca="1" si="453"/>
        <v>#NUM!</v>
      </c>
      <c r="BY126" s="3" t="e">
        <f t="shared" ca="1" si="501"/>
        <v>#NUM!</v>
      </c>
      <c r="BZ126" s="3">
        <f t="shared" ca="1" si="454"/>
        <v>99632.805483475211</v>
      </c>
      <c r="CA126" s="3" t="str">
        <f t="shared" ca="1" si="501"/>
        <v>Cruce +</v>
      </c>
      <c r="CB126" s="3">
        <f t="shared" ca="1" si="455"/>
        <v>-27714.551790384376</v>
      </c>
      <c r="CC126" s="3" t="str">
        <f t="shared" ca="1" si="501"/>
        <v/>
      </c>
      <c r="CD126" s="3">
        <f>IF(RTD("tos.rtd",,CD$83,"."&amp;$B$82&amp;$AS$82&amp;"C"&amp;$A126)="N/A",0,RTD("tos.rtd",,CD$83,"."&amp;$B$82&amp;$AS$82&amp;"C"&amp;$A126))</f>
        <v>0.98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0.9</v>
      </c>
      <c r="CG126" s="3">
        <f>-IF(RTD("tos.rtd",,CG$83,"."&amp;$C$82&amp;$AU$82&amp;"P"&amp;$A126)="N/A",0,RTD("tos.rtd",,CG$83,"."&amp;$C$82&amp;$AU$82&amp;"P"&amp;$A126))</f>
        <v>0.11</v>
      </c>
      <c r="CH126" s="3">
        <f>IF(RTD("tos.rtd",,CH$83,"."&amp;$D$82&amp;$AW$82&amp;"C"&amp;$A126)="N/A",0,RTD("tos.rtd",,CH$83,"."&amp;$D$82&amp;$AW$82&amp;"C"&amp;$A126))</f>
        <v>0.84</v>
      </c>
      <c r="CI126" s="3">
        <f>-IF(RTD("tos.rtd",,CI$83,"."&amp;$D$82&amp;$AW$82&amp;"P"&amp;$A126)="N/A",0,RTD("tos.rtd",,CI$83,"."&amp;$D$82&amp;$AW$82&amp;"P"&amp;$A126))</f>
        <v>0.18</v>
      </c>
      <c r="CK126" s="3">
        <f t="shared" si="490"/>
        <v>47530</v>
      </c>
      <c r="CL126" s="3"/>
      <c r="CM126" s="3">
        <f t="shared" si="491"/>
        <v>27260.000000000004</v>
      </c>
      <c r="CN126" s="3"/>
      <c r="CO126" s="3">
        <f t="shared" si="492"/>
        <v>36924</v>
      </c>
      <c r="CP126" s="3">
        <f t="shared" si="456"/>
        <v>111714</v>
      </c>
      <c r="CQ126" s="3">
        <f t="shared" si="457"/>
        <v>-2074</v>
      </c>
      <c r="CR126" s="3"/>
      <c r="CS126" s="3">
        <f t="shared" si="458"/>
        <v>-205</v>
      </c>
      <c r="CT126" s="3"/>
      <c r="CU126" s="3">
        <f t="shared" si="459"/>
        <v>-116</v>
      </c>
      <c r="CV126" s="3"/>
      <c r="CW126" s="3" t="e">
        <f t="shared" ca="1" si="460"/>
        <v>#NUM!</v>
      </c>
      <c r="CY126" s="3" t="e">
        <f t="shared" ca="1" si="461"/>
        <v>#NUM!</v>
      </c>
      <c r="CZ126" s="70" t="e">
        <f t="shared" ca="1" si="502"/>
        <v>#NUM!</v>
      </c>
      <c r="DA126" s="3">
        <f>IF(RTD("tos.rtd",,DA$83,"."&amp;$B$82&amp;$AS$82&amp;"C"&amp;$A126)="N/A",0,RTD("tos.rtd",,DA$83,"."&amp;$B$82&amp;$AS$82&amp;"C"&amp;$A126))</f>
        <v>224.8</v>
      </c>
      <c r="DB126" s="3">
        <f>IF(RTD("tos.rtd",,DB$83,"."&amp;$B$82&amp;$AS$82&amp;"P"&amp;$A126)="N/A",0,RTD("tos.rtd",,DB$83,"."&amp;$B$82&amp;$AS$82&amp;"P"&amp;$A126))</f>
        <v>0.03</v>
      </c>
      <c r="DC126" s="3">
        <f>IF(RTD("tos.rtd",,DC$83,"."&amp;$B$82&amp;$AS$82&amp;"C"&amp;$A126)="N/A",0,RTD("tos.rtd",,DC$83,"."&amp;$B$82&amp;$AS$82&amp;"C"&amp;$A126))</f>
        <v>236.7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218.6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494"/>
        <v>-225.75</v>
      </c>
      <c r="DH126" s="3">
        <f t="shared" si="462"/>
        <v>0</v>
      </c>
      <c r="DI126" s="3">
        <f t="shared" si="463"/>
        <v>0</v>
      </c>
      <c r="DJ126" s="3">
        <f t="shared" si="464"/>
        <v>0</v>
      </c>
      <c r="DK126" s="3">
        <f t="shared" si="465"/>
        <v>0</v>
      </c>
      <c r="DL126" s="3">
        <f t="shared" si="466"/>
        <v>0</v>
      </c>
      <c r="DM126" s="3">
        <f t="shared" si="467"/>
        <v>0</v>
      </c>
      <c r="DN126" s="64" t="str">
        <f t="shared" si="468"/>
        <v>UNKNOWN</v>
      </c>
      <c r="DO126" s="64" t="str">
        <f t="shared" si="469"/>
        <v>UNKNOWN</v>
      </c>
      <c r="DP126" s="3">
        <f t="shared" si="470"/>
        <v>0</v>
      </c>
      <c r="DQ126" s="3">
        <f t="shared" si="471"/>
        <v>0</v>
      </c>
      <c r="DR126" s="3" t="e">
        <f t="shared" ca="1" si="472"/>
        <v>#NUM!</v>
      </c>
      <c r="DS126" s="3">
        <f t="shared" si="473"/>
        <v>0</v>
      </c>
      <c r="DT126" s="3">
        <f t="shared" si="495"/>
        <v>0</v>
      </c>
      <c r="DU126" s="3">
        <f t="shared" si="496"/>
        <v>0</v>
      </c>
      <c r="DV126" s="3">
        <f t="shared" si="497"/>
        <v>15</v>
      </c>
      <c r="DW126" s="3">
        <f t="shared" si="498"/>
        <v>71</v>
      </c>
      <c r="DX126" s="3" t="e">
        <f t="shared" ca="1" si="503"/>
        <v>#NUM!</v>
      </c>
      <c r="DY126" s="3" t="e">
        <f t="shared" ca="1" si="474"/>
        <v>#NUM!</v>
      </c>
      <c r="DZ126" s="3">
        <f t="shared" ca="1" si="475"/>
        <v>1.153602659502837E-2</v>
      </c>
      <c r="EA126" s="3">
        <f t="shared" ca="1" si="476"/>
        <v>-9.9960105434773326E-4</v>
      </c>
      <c r="EB126" s="3">
        <f t="shared" ca="1" si="477"/>
        <v>9.7604085888191379E-4</v>
      </c>
      <c r="EC126" s="3">
        <f t="shared" ca="1" si="478"/>
        <v>-9.9799218867738194E-4</v>
      </c>
      <c r="EE126" s="59">
        <f t="shared" si="479"/>
        <v>2.6903999999999999</v>
      </c>
      <c r="EF126" s="59">
        <f t="shared" si="480"/>
        <v>1.7736000000000001</v>
      </c>
      <c r="EG126" s="59">
        <f t="shared" si="481"/>
        <v>0.23369999999999999</v>
      </c>
      <c r="EH126" s="59">
        <f t="shared" si="482"/>
        <v>0.24640000000000001</v>
      </c>
      <c r="EI126" s="59">
        <f t="shared" si="483"/>
        <v>0.22040000000000001</v>
      </c>
      <c r="EJ126" s="59">
        <f t="shared" si="484"/>
        <v>0.24249999999999999</v>
      </c>
      <c r="EL126" s="3" t="str">
        <f>RTD("tos.rtd",,EL$83,"."&amp;$B$82&amp;$AS$82&amp;"C"&amp;$A126)</f>
        <v>269.04%</v>
      </c>
      <c r="EM126" s="3" t="str">
        <f>RTD("tos.rtd",,EM$83,"."&amp;$B$82&amp;$AS$82&amp;"P"&amp;$A126)</f>
        <v>177.36%</v>
      </c>
      <c r="EN126" s="3" t="str">
        <f>RTD("tos.rtd",,EN$83,"."&amp;$C$82&amp;$AU$82&amp;"C"&amp;$A126)</f>
        <v>23.37%</v>
      </c>
      <c r="EO126" s="3" t="str">
        <f>RTD("tos.rtd",,EO$83,"."&amp;$C$82&amp;$AU$82&amp;"P"&amp;$A126)</f>
        <v>24.64%</v>
      </c>
      <c r="EP126" s="3" t="str">
        <f>RTD("tos.rtd",,EP$83,"."&amp;$D$82&amp;$AW$82&amp;"C"&amp;$A126)</f>
        <v>22.04%</v>
      </c>
      <c r="EQ126" s="3" t="str">
        <f>RTD("tos.rtd",,EQ$83,"."&amp;$D$82&amp;$AW$82&amp;"P"&amp;$A126)</f>
        <v>24.25%</v>
      </c>
      <c r="ET126" s="64" t="str">
        <f t="shared" ca="1" si="485"/>
        <v>5460,00.00</v>
      </c>
      <c r="EU126" s="67">
        <v>565.73</v>
      </c>
      <c r="EV126" s="67" t="s">
        <v>1027</v>
      </c>
      <c r="EW126" s="67">
        <v>487.55</v>
      </c>
      <c r="EX126" s="67" t="s">
        <v>1028</v>
      </c>
      <c r="EY126" s="67">
        <v>5672.75</v>
      </c>
      <c r="EZ126" s="67" t="s">
        <v>1029</v>
      </c>
      <c r="FA126" s="67">
        <v>20035</v>
      </c>
      <c r="FB126" s="67" t="s">
        <v>1030</v>
      </c>
      <c r="FC126" s="67" t="s">
        <v>1031</v>
      </c>
      <c r="FD126" s="67" t="s">
        <v>1032</v>
      </c>
      <c r="FE126" s="68" t="s">
        <v>1033</v>
      </c>
      <c r="FF126" s="68" t="s">
        <v>1034</v>
      </c>
    </row>
    <row r="127" spans="1:162" s="63" customFormat="1" ht="12" customHeight="1" thickBot="1" x14ac:dyDescent="0.25">
      <c r="A127" s="2">
        <f t="shared" si="499"/>
        <v>5450</v>
      </c>
      <c r="B127" s="3">
        <f t="shared" si="445"/>
        <v>5071</v>
      </c>
      <c r="C127" s="3">
        <f t="shared" si="446"/>
        <v>2127</v>
      </c>
      <c r="D127" s="3">
        <f t="shared" si="447"/>
        <v>2049</v>
      </c>
      <c r="E127" s="3">
        <f t="shared" si="510"/>
        <v>9247</v>
      </c>
      <c r="F127" s="4">
        <f t="shared" si="513"/>
        <v>5473.0048806226096</v>
      </c>
      <c r="G127" s="4">
        <f t="shared" si="511"/>
        <v>543.46154860836305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213</v>
      </c>
      <c r="AN127" s="20">
        <v>737</v>
      </c>
      <c r="AO127" s="20">
        <v>5450</v>
      </c>
      <c r="AP127" s="20">
        <v>303</v>
      </c>
      <c r="AQ127" s="20">
        <v>-3650</v>
      </c>
      <c r="AR127" s="20"/>
      <c r="AS127" s="54">
        <f>IF(RTD("tos.rtd",,AS$83,"."&amp;$B$82&amp;$AS$82&amp;"C"&amp;$A127)="N/A",0,RTD("tos.rtd",,AS$83,"."&amp;$B$82&amp;$AS$82&amp;"C"&amp;$A127))</f>
        <v>1721</v>
      </c>
      <c r="AT127" s="3">
        <f>-IF(RTD("tos.rtd",,AT$83,"."&amp;$B$82&amp;$AS$82&amp;"P"&amp;$A127)="N/A",0,RTD("tos.rtd",,AT$83,"."&amp;$B$82&amp;$AS$82&amp;"P"&amp;$A127))</f>
        <v>-3350</v>
      </c>
      <c r="AU127" s="54">
        <f>IF(RTD("tos.rtd",,AU$83,"."&amp;$C$82&amp;$AU$82&amp;"C"&amp;$A127)="N/A",0,RTD("tos.rtd",,AU$83,"."&amp;$C$82&amp;$AU$82&amp;"C"&amp;$A127))</f>
        <v>1019</v>
      </c>
      <c r="AV127" s="3">
        <f>-IF(RTD("tos.rtd",,AV$83,"."&amp;$C$82&amp;$AU$82&amp;"P"&amp;$A127)="N/A",0,RTD("tos.rtd",,AV$83,"."&amp;$C$82&amp;$AU$82&amp;"P"&amp;$A127))</f>
        <v>-1108</v>
      </c>
      <c r="AW127" s="54">
        <f>IF(RTD("tos.rtd",,AW$83,"."&amp;$D$82&amp;$AW$82&amp;"C"&amp;$A127)="N/A",0,RTD("tos.rtd",,AW$83,"."&amp;$D$82&amp;$AW$82&amp;"C"&amp;$A127))</f>
        <v>746</v>
      </c>
      <c r="AX127" s="3">
        <f>-IF(RTD("tos.rtd",,AX$83,"."&amp;$D$82&amp;$AW$82&amp;"P"&amp;$A127)="N/A",0,RTD("tos.rtd",,AX$83,"."&amp;$D$82&amp;$AW$82&amp;"P"&amp;$A127))</f>
        <v>-1303</v>
      </c>
      <c r="AY127" s="79">
        <f t="shared" si="512"/>
        <v>-2275</v>
      </c>
      <c r="AZ127" s="8">
        <f t="shared" si="449"/>
        <v>5450</v>
      </c>
      <c r="BA127" s="54">
        <f>IF(RTD("tos.rtd",,BA$83,"."&amp;$B$82&amp;$AS$82&amp;"C"&amp;$A127)="N/A",0,RTD("tos.rtd",,BA$83,"."&amp;$B$82&amp;$AS$82&amp;"C"&amp;$A127))</f>
        <v>303</v>
      </c>
      <c r="BB127" s="3">
        <f>-IF(RTD("tos.rtd",,BB$83,"."&amp;$B$82&amp;$AS$82&amp;"P"&amp;$A127)="N/A",0,RTD("tos.rtd",,BB$83,"."&amp;$B$82&amp;$AS$82&amp;"P"&amp;$A127))</f>
        <v>-3650</v>
      </c>
      <c r="BC127" s="54">
        <f>IF(RTD("tos.rtd",,BC$83,"."&amp;$C$82&amp;$AU$82&amp;"C"&amp;$A127)="N/A",0,RTD("tos.rtd",,BC$83,"."&amp;$C$82&amp;$AU$82&amp;"C"&amp;$A127))</f>
        <v>23</v>
      </c>
      <c r="BD127" s="3">
        <f>-IF(RTD("tos.rtd",,BD$83,"."&amp;$C$82&amp;$AU$82&amp;"P"&amp;$A127)="N/A",0,RTD("tos.rtd",,BD$83,"."&amp;$C$82&amp;$AU$82&amp;"P"&amp;$A127))</f>
        <v>-3111</v>
      </c>
      <c r="BE127" s="54">
        <f>IF(RTD("tos.rtd",,BE$83,"."&amp;$D$82&amp;$AW$82&amp;"C"&amp;$A127)="N/A",0,RTD("tos.rtd",,BE$83,"."&amp;$D$82&amp;$AW$82&amp;"C"&amp;$A127))</f>
        <v>18</v>
      </c>
      <c r="BF127" s="3">
        <f>-IF(RTD("tos.rtd",,BF$83,"."&amp;$D$82&amp;$AW$82&amp;"P"&amp;$A127)="N/A",0,RTD("tos.rtd",,BF$83,"."&amp;$D$82&amp;$AW$82&amp;"P"&amp;$A127))</f>
        <v>-442</v>
      </c>
      <c r="BG127" s="3" t="e">
        <f ca="1">+Hoja2!Y128</f>
        <v>#N/A</v>
      </c>
      <c r="BH127" s="55" t="e">
        <f t="shared" ca="1" si="488"/>
        <v>#N/A</v>
      </c>
      <c r="BI127" s="32" t="e">
        <f t="shared" ca="1" si="504"/>
        <v>#N/A</v>
      </c>
      <c r="BJ127" s="3" t="e">
        <f ca="1">IF($BP$1=1,DX127,IF(RTD("tos.rtd",,BJ$83,"."&amp;$B$82&amp;$AS$82&amp;"C"&amp;$A127)="N/A",0,RTD("tos.rtd",,BJ$83,"."&amp;$B$82&amp;$AS$82&amp;"C"&amp;$A127)))</f>
        <v>#NUM!</v>
      </c>
      <c r="BK127" s="3" t="e">
        <f ca="1">IF($BP$1=1,DY127,-IF(RTD("tos.rtd",,BK$83,"."&amp;$B$82&amp;$AS$82&amp;"P"&amp;$A127)="N/A",0,RTD("tos.rtd",,BK$83,"."&amp;$B$82&amp;$AS$82&amp;"P"&amp;$A127)))</f>
        <v>#NUM!</v>
      </c>
      <c r="BL127" s="3">
        <f ca="1">IF($BP$1=1,DZ127,IF(RTD("tos.rtd",,BL$83,"."&amp;$C$82&amp;$AU$82&amp;"C"&amp;$A127)="N/A",0,RTD("tos.rtd",,BL$83,"."&amp;$C$82&amp;$AU$82&amp;"C"&amp;$A127)))</f>
        <v>1.0909599775383399E-2</v>
      </c>
      <c r="BM127" s="3">
        <f ca="1">IF($BP$1=1,EA127,-IF(RTD("tos.rtd",,BM$83,"."&amp;$C$82&amp;$AU$82&amp;"P"&amp;$A127)="N/A",0,RTD("tos.rtd",,BM$83,"."&amp;$C$82&amp;$AU$82&amp;"P"&amp;$A127)))</f>
        <v>-9.5257094485093113E-4</v>
      </c>
      <c r="BN127" s="3">
        <f ca="1">IF($BP$1=1,EB127,IF(RTD("tos.rtd",,BN$83,"."&amp;$D$82&amp;$AW$82&amp;"C"&amp;$A127)="N/A",0,RTD("tos.rtd",,BN$83,"."&amp;$D$82&amp;$AW$82&amp;"C"&amp;$A127)))</f>
        <v>9.2403273685244373E-4</v>
      </c>
      <c r="BO127" s="3">
        <f ca="1">IF($BP$1=1,EC127,-IF(RTD("tos.rtd",,BO$83,"."&amp;$D$82&amp;$AW$82&amp;"P"&amp;$A127)="N/A",0,RTD("tos.rtd",,BO$83,"."&amp;$D$82&amp;$AW$82&amp;"P"&amp;$A127)))</f>
        <v>-9.4972760278860487E-4</v>
      </c>
      <c r="BQ127" s="3" t="e">
        <f t="shared" ca="1" si="450"/>
        <v>#NUM!</v>
      </c>
      <c r="BR127" s="3" t="e">
        <f t="shared" ca="1" si="489"/>
        <v>#NUM!</v>
      </c>
      <c r="BS127" s="3">
        <f t="shared" ca="1" si="451"/>
        <v>2405506.4681273159</v>
      </c>
      <c r="BT127" s="3" t="str">
        <f t="shared" ca="1" si="489"/>
        <v/>
      </c>
      <c r="BU127" s="3">
        <f t="shared" ca="1" si="452"/>
        <v>-131056.71285518742</v>
      </c>
      <c r="BV127" s="3" t="str">
        <f t="shared" ca="1" si="489"/>
        <v>Cruce -</v>
      </c>
      <c r="BX127" s="3" t="e">
        <f t="shared" ca="1" si="453"/>
        <v>#NUM!</v>
      </c>
      <c r="BY127" s="3" t="e">
        <f t="shared" ca="1" si="501"/>
        <v>#NUM!</v>
      </c>
      <c r="BZ127" s="3">
        <f t="shared" ca="1" si="454"/>
        <v>-648516.15817353653</v>
      </c>
      <c r="CA127" s="3" t="str">
        <f t="shared" ca="1" si="501"/>
        <v>Cruce -</v>
      </c>
      <c r="CB127" s="3">
        <f t="shared" ca="1" si="455"/>
        <v>-96385.145991753176</v>
      </c>
      <c r="CC127" s="3" t="str">
        <f t="shared" ca="1" si="501"/>
        <v/>
      </c>
      <c r="CD127" s="3">
        <f>IF(RTD("tos.rtd",,CD$83,"."&amp;$B$82&amp;$AS$82&amp;"C"&amp;$A127)="N/A",0,RTD("tos.rtd",,CD$83,"."&amp;$B$82&amp;$AS$82&amp;"C"&amp;$A127))</f>
        <v>0.99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0.91</v>
      </c>
      <c r="CG127" s="3">
        <f>-IF(RTD("tos.rtd",,CG$83,"."&amp;$C$82&amp;$AU$82&amp;"P"&amp;$A127)="N/A",0,RTD("tos.rtd",,CG$83,"."&amp;$C$82&amp;$AU$82&amp;"P"&amp;$A127))</f>
        <v>0.1</v>
      </c>
      <c r="CH127" s="3">
        <f>IF(RTD("tos.rtd",,CH$83,"."&amp;$D$82&amp;$AW$82&amp;"C"&amp;$A127)="N/A",0,RTD("tos.rtd",,CH$83,"."&amp;$D$82&amp;$AW$82&amp;"C"&amp;$A127))</f>
        <v>0.85</v>
      </c>
      <c r="CI127" s="3">
        <f>-IF(RTD("tos.rtd",,CI$83,"."&amp;$D$82&amp;$AW$82&amp;"P"&amp;$A127)="N/A",0,RTD("tos.rtd",,CI$83,"."&amp;$D$82&amp;$AW$82&amp;"P"&amp;$A127))</f>
        <v>0.17</v>
      </c>
      <c r="CK127" s="3">
        <f t="shared" si="490"/>
        <v>170379</v>
      </c>
      <c r="CL127" s="3"/>
      <c r="CM127" s="3">
        <f t="shared" si="491"/>
        <v>81649.000000000015</v>
      </c>
      <c r="CN127" s="3"/>
      <c r="CO127" s="3">
        <f t="shared" si="492"/>
        <v>41259</v>
      </c>
      <c r="CP127" s="3">
        <f t="shared" si="456"/>
        <v>293287</v>
      </c>
      <c r="CQ127" s="3">
        <f t="shared" si="457"/>
        <v>-3347</v>
      </c>
      <c r="CR127" s="3"/>
      <c r="CS127" s="3">
        <f t="shared" si="458"/>
        <v>-3088</v>
      </c>
      <c r="CT127" s="3"/>
      <c r="CU127" s="3">
        <f t="shared" si="459"/>
        <v>-424</v>
      </c>
      <c r="CV127" s="3"/>
      <c r="CW127" s="3" t="e">
        <f t="shared" ca="1" si="460"/>
        <v>#NUM!</v>
      </c>
      <c r="CY127" s="3" t="e">
        <f t="shared" ca="1" si="461"/>
        <v>#NUM!</v>
      </c>
      <c r="CZ127" s="70" t="e">
        <f t="shared" ca="1" si="502"/>
        <v>#NUM!</v>
      </c>
      <c r="DA127" s="3">
        <f>IF(RTD("tos.rtd",,DA$83,"."&amp;$B$82&amp;$AS$82&amp;"C"&amp;$A127)="N/A",0,RTD("tos.rtd",,DA$83,"."&amp;$B$82&amp;$AS$82&amp;"C"&amp;$A127))</f>
        <v>238</v>
      </c>
      <c r="DB127" s="3">
        <f>IF(RTD("tos.rtd",,DB$83,"."&amp;$B$82&amp;$AS$82&amp;"P"&amp;$A127)="N/A",0,RTD("tos.rtd",,DB$83,"."&amp;$B$82&amp;$AS$82&amp;"P"&amp;$A127))</f>
        <v>0.05</v>
      </c>
      <c r="DC127" s="3">
        <f>IF(RTD("tos.rtd",,DC$83,"."&amp;$B$82&amp;$AS$82&amp;"C"&amp;$A127)="N/A",0,RTD("tos.rtd",,DC$83,"."&amp;$B$82&amp;$AS$82&amp;"C"&amp;$A127))</f>
        <v>245.7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228.6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494"/>
        <v>-235.75</v>
      </c>
      <c r="DH127" s="3">
        <f t="shared" si="462"/>
        <v>0</v>
      </c>
      <c r="DI127" s="3">
        <f t="shared" si="463"/>
        <v>0</v>
      </c>
      <c r="DJ127" s="3">
        <f t="shared" si="464"/>
        <v>0</v>
      </c>
      <c r="DK127" s="3">
        <f t="shared" si="465"/>
        <v>0</v>
      </c>
      <c r="DL127" s="3">
        <f t="shared" si="466"/>
        <v>0</v>
      </c>
      <c r="DM127" s="3">
        <f t="shared" si="467"/>
        <v>0</v>
      </c>
      <c r="DN127" s="64" t="str">
        <f t="shared" si="468"/>
        <v>UNKNOWN</v>
      </c>
      <c r="DO127" s="64" t="str">
        <f t="shared" si="469"/>
        <v>UNKNOWN</v>
      </c>
      <c r="DP127" s="3">
        <f t="shared" si="470"/>
        <v>0</v>
      </c>
      <c r="DQ127" s="3">
        <f t="shared" si="471"/>
        <v>0</v>
      </c>
      <c r="DR127" s="3" t="e">
        <f t="shared" ca="1" si="472"/>
        <v>#NUM!</v>
      </c>
      <c r="DS127" s="3">
        <f t="shared" si="473"/>
        <v>0</v>
      </c>
      <c r="DT127" s="3">
        <f t="shared" si="495"/>
        <v>0</v>
      </c>
      <c r="DU127" s="3">
        <f t="shared" si="496"/>
        <v>0</v>
      </c>
      <c r="DV127" s="3">
        <f t="shared" si="497"/>
        <v>213</v>
      </c>
      <c r="DW127" s="3">
        <f t="shared" si="498"/>
        <v>737</v>
      </c>
      <c r="DX127" s="3" t="e">
        <f t="shared" ca="1" si="503"/>
        <v>#NUM!</v>
      </c>
      <c r="DY127" s="3" t="e">
        <f t="shared" ca="1" si="474"/>
        <v>#NUM!</v>
      </c>
      <c r="DZ127" s="3">
        <f t="shared" ca="1" si="475"/>
        <v>1.0909599775383399E-2</v>
      </c>
      <c r="EA127" s="3">
        <f t="shared" ca="1" si="476"/>
        <v>-9.5257094485093113E-4</v>
      </c>
      <c r="EB127" s="3">
        <f t="shared" ca="1" si="477"/>
        <v>9.2403273685244373E-4</v>
      </c>
      <c r="EC127" s="3">
        <f t="shared" ca="1" si="478"/>
        <v>-9.4972760278860487E-4</v>
      </c>
      <c r="EE127" s="59">
        <f t="shared" si="479"/>
        <v>2.5097</v>
      </c>
      <c r="EF127" s="59">
        <f t="shared" si="480"/>
        <v>1.8468</v>
      </c>
      <c r="EG127" s="59">
        <f t="shared" si="481"/>
        <v>0.23319999999999999</v>
      </c>
      <c r="EH127" s="59">
        <f t="shared" si="482"/>
        <v>0.24859999999999999</v>
      </c>
      <c r="EI127" s="59">
        <f t="shared" si="483"/>
        <v>0.22389999999999999</v>
      </c>
      <c r="EJ127" s="59">
        <f t="shared" si="484"/>
        <v>0.2445</v>
      </c>
      <c r="EL127" s="3" t="str">
        <f>RTD("tos.rtd",,EL$83,"."&amp;$B$82&amp;$AS$82&amp;"C"&amp;$A127)</f>
        <v>250.97%</v>
      </c>
      <c r="EM127" s="3" t="str">
        <f>RTD("tos.rtd",,EM$83,"."&amp;$B$82&amp;$AS$82&amp;"P"&amp;$A127)</f>
        <v>184.68%</v>
      </c>
      <c r="EN127" s="3" t="str">
        <f>RTD("tos.rtd",,EN$83,"."&amp;$C$82&amp;$AU$82&amp;"C"&amp;$A127)</f>
        <v>23.32%</v>
      </c>
      <c r="EO127" s="3" t="str">
        <f>RTD("tos.rtd",,EO$83,"."&amp;$C$82&amp;$AU$82&amp;"P"&amp;$A127)</f>
        <v>24.86%</v>
      </c>
      <c r="EP127" s="3" t="str">
        <f>RTD("tos.rtd",,EP$83,"."&amp;$D$82&amp;$AW$82&amp;"C"&amp;$A127)</f>
        <v>22.39%</v>
      </c>
      <c r="EQ127" s="3" t="str">
        <f>RTD("tos.rtd",,EQ$83,"."&amp;$D$82&amp;$AW$82&amp;"P"&amp;$A127)</f>
        <v>24.45%</v>
      </c>
      <c r="ET127" s="64" t="str">
        <f t="shared" ca="1" si="485"/>
        <v>5450,00.00</v>
      </c>
      <c r="EU127" s="67">
        <v>565.9</v>
      </c>
      <c r="EV127" s="67" t="s">
        <v>1035</v>
      </c>
      <c r="EW127" s="67">
        <v>487.62</v>
      </c>
      <c r="EX127" s="67" t="s">
        <v>1036</v>
      </c>
      <c r="EY127" s="67">
        <v>5674.5</v>
      </c>
      <c r="EZ127" s="67" t="s">
        <v>1037</v>
      </c>
      <c r="FA127" s="67">
        <v>20037.25</v>
      </c>
      <c r="FB127" s="67" t="s">
        <v>1038</v>
      </c>
      <c r="FC127" s="67" t="s">
        <v>1039</v>
      </c>
      <c r="FD127" s="67" t="s">
        <v>1040</v>
      </c>
      <c r="FE127" s="68" t="s">
        <v>1041</v>
      </c>
      <c r="FF127" s="68" t="s">
        <v>1042</v>
      </c>
    </row>
    <row r="128" spans="1:162" s="63" customFormat="1" ht="12" customHeight="1" thickBot="1" x14ac:dyDescent="0.25">
      <c r="A128" s="2">
        <f t="shared" si="499"/>
        <v>5440</v>
      </c>
      <c r="B128" s="3">
        <f t="shared" si="445"/>
        <v>1006</v>
      </c>
      <c r="C128" s="3">
        <f t="shared" si="446"/>
        <v>675</v>
      </c>
      <c r="D128" s="3">
        <f t="shared" si="447"/>
        <v>1912</v>
      </c>
      <c r="E128" s="3">
        <f t="shared" si="510"/>
        <v>3593</v>
      </c>
      <c r="F128" s="4">
        <f t="shared" si="513"/>
        <v>5462.9626698324764</v>
      </c>
      <c r="G128" s="4">
        <f t="shared" si="511"/>
        <v>542.46437145495315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-4</v>
      </c>
      <c r="AN128" s="20">
        <v>117</v>
      </c>
      <c r="AO128" s="20">
        <v>5440</v>
      </c>
      <c r="AP128" s="20">
        <v>16</v>
      </c>
      <c r="AQ128" s="20">
        <v>-2139</v>
      </c>
      <c r="AR128" s="20"/>
      <c r="AS128" s="54">
        <f>IF(RTD("tos.rtd",,AS$83,"."&amp;$B$82&amp;$AS$82&amp;"C"&amp;$A128)="N/A",0,RTD("tos.rtd",,AS$83,"."&amp;$B$82&amp;$AS$82&amp;"C"&amp;$A128))</f>
        <v>140</v>
      </c>
      <c r="AT128" s="3">
        <f>-IF(RTD("tos.rtd",,AT$83,"."&amp;$B$82&amp;$AS$82&amp;"P"&amp;$A128)="N/A",0,RTD("tos.rtd",,AT$83,"."&amp;$B$82&amp;$AS$82&amp;"P"&amp;$A128))</f>
        <v>-866</v>
      </c>
      <c r="AU128" s="54">
        <f>IF(RTD("tos.rtd",,AU$83,"."&amp;$C$82&amp;$AU$82&amp;"C"&amp;$A128)="N/A",0,RTD("tos.rtd",,AU$83,"."&amp;$C$82&amp;$AU$82&amp;"C"&amp;$A128))</f>
        <v>297</v>
      </c>
      <c r="AV128" s="3">
        <f>-IF(RTD("tos.rtd",,AV$83,"."&amp;$C$82&amp;$AU$82&amp;"P"&amp;$A128)="N/A",0,RTD("tos.rtd",,AV$83,"."&amp;$C$82&amp;$AU$82&amp;"P"&amp;$A128))</f>
        <v>-378</v>
      </c>
      <c r="AW128" s="54">
        <f>IF(RTD("tos.rtd",,AW$83,"."&amp;$D$82&amp;$AW$82&amp;"C"&amp;$A128)="N/A",0,RTD("tos.rtd",,AW$83,"."&amp;$D$82&amp;$AW$82&amp;"C"&amp;$A128))</f>
        <v>654</v>
      </c>
      <c r="AX128" s="3">
        <f>-IF(RTD("tos.rtd",,AX$83,"."&amp;$D$82&amp;$AW$82&amp;"P"&amp;$A128)="N/A",0,RTD("tos.rtd",,AX$83,"."&amp;$D$82&amp;$AW$82&amp;"P"&amp;$A128))</f>
        <v>-1258</v>
      </c>
      <c r="AY128" s="79">
        <f t="shared" si="512"/>
        <v>-1411</v>
      </c>
      <c r="AZ128" s="8">
        <f t="shared" si="449"/>
        <v>5440</v>
      </c>
      <c r="BA128" s="54">
        <f>IF(RTD("tos.rtd",,BA$83,"."&amp;$B$82&amp;$AS$82&amp;"C"&amp;$A128)="N/A",0,RTD("tos.rtd",,BA$83,"."&amp;$B$82&amp;$AS$82&amp;"C"&amp;$A128))</f>
        <v>16</v>
      </c>
      <c r="BB128" s="3">
        <f>-IF(RTD("tos.rtd",,BB$83,"."&amp;$B$82&amp;$AS$82&amp;"P"&amp;$A128)="N/A",0,RTD("tos.rtd",,BB$83,"."&amp;$B$82&amp;$AS$82&amp;"P"&amp;$A128))</f>
        <v>-2139</v>
      </c>
      <c r="BC128" s="54">
        <f>IF(RTD("tos.rtd",,BC$83,"."&amp;$C$82&amp;$AU$82&amp;"C"&amp;$A128)="N/A",0,RTD("tos.rtd",,BC$83,"."&amp;$C$82&amp;$AU$82&amp;"C"&amp;$A128))</f>
        <v>0</v>
      </c>
      <c r="BD128" s="3">
        <f>-IF(RTD("tos.rtd",,BD$83,"."&amp;$C$82&amp;$AU$82&amp;"P"&amp;$A128)="N/A",0,RTD("tos.rtd",,BD$83,"."&amp;$C$82&amp;$AU$82&amp;"P"&amp;$A128))</f>
        <v>-240</v>
      </c>
      <c r="BE128" s="54">
        <f>IF(RTD("tos.rtd",,BE$83,"."&amp;$D$82&amp;$AW$82&amp;"C"&amp;$A128)="N/A",0,RTD("tos.rtd",,BE$83,"."&amp;$D$82&amp;$AW$82&amp;"C"&amp;$A128))</f>
        <v>4</v>
      </c>
      <c r="BF128" s="3">
        <f>-IF(RTD("tos.rtd",,BF$83,"."&amp;$D$82&amp;$AW$82&amp;"P"&amp;$A128)="N/A",0,RTD("tos.rtd",,BF$83,"."&amp;$D$82&amp;$AW$82&amp;"P"&amp;$A128))</f>
        <v>-77</v>
      </c>
      <c r="BG128" s="3" t="e">
        <f ca="1">+Hoja2!Y129</f>
        <v>#N/A</v>
      </c>
      <c r="BH128" s="55" t="e">
        <f t="shared" ca="1" si="488"/>
        <v>#N/A</v>
      </c>
      <c r="BI128" s="32" t="e">
        <f t="shared" ca="1" si="504"/>
        <v>#N/A</v>
      </c>
      <c r="BJ128" s="3" t="e">
        <f ca="1">IF($BP$1=1,DX128,IF(RTD("tos.rtd",,BJ$83,"."&amp;$B$82&amp;$AS$82&amp;"C"&amp;$A128)="N/A",0,RTD("tos.rtd",,BJ$83,"."&amp;$B$82&amp;$AS$82&amp;"C"&amp;$A128)))</f>
        <v>#NUM!</v>
      </c>
      <c r="BK128" s="3" t="e">
        <f ca="1">IF($BP$1=1,DY128,-IF(RTD("tos.rtd",,BK$83,"."&amp;$B$82&amp;$AS$82&amp;"P"&amp;$A128)="N/A",0,RTD("tos.rtd",,BK$83,"."&amp;$B$82&amp;$AS$82&amp;"P"&amp;$A128)))</f>
        <v>#NUM!</v>
      </c>
      <c r="BL128" s="3">
        <f ca="1">IF($BP$1=1,DZ128,IF(RTD("tos.rtd",,BL$83,"."&amp;$C$82&amp;$AU$82&amp;"C"&amp;$A128)="N/A",0,RTD("tos.rtd",,BL$83,"."&amp;$C$82&amp;$AU$82&amp;"C"&amp;$A128)))</f>
        <v>1.0363145740095E-2</v>
      </c>
      <c r="BM128" s="3">
        <f ca="1">IF($BP$1=1,EA128,-IF(RTD("tos.rtd",,BM$83,"."&amp;$C$82&amp;$AU$82&amp;"P"&amp;$A128)="N/A",0,RTD("tos.rtd",,BM$83,"."&amp;$C$82&amp;$AU$82&amp;"P"&amp;$A128)))</f>
        <v>-9.073618266326294E-4</v>
      </c>
      <c r="BN128" s="3">
        <f ca="1">IF($BP$1=1,EB128,IF(RTD("tos.rtd",,BN$83,"."&amp;$D$82&amp;$AW$82&amp;"C"&amp;$A128)="N/A",0,RTD("tos.rtd",,BN$83,"."&amp;$D$82&amp;$AW$82&amp;"C"&amp;$A128)))</f>
        <v>8.6768484933525119E-4</v>
      </c>
      <c r="BO128" s="3">
        <f ca="1">IF($BP$1=1,EC128,-IF(RTD("tos.rtd",,BO$83,"."&amp;$D$82&amp;$AW$82&amp;"P"&amp;$A128)="N/A",0,RTD("tos.rtd",,BO$83,"."&amp;$D$82&amp;$AW$82&amp;"P"&amp;$A128)))</f>
        <v>-9.0332495500543134E-4</v>
      </c>
      <c r="BQ128" s="3" t="e">
        <f t="shared" ca="1" si="450"/>
        <v>#NUM!</v>
      </c>
      <c r="BR128" s="3" t="e">
        <f t="shared" ca="1" si="489"/>
        <v>#NUM!</v>
      </c>
      <c r="BS128" s="3">
        <f t="shared" ca="1" si="451"/>
        <v>653858.22758290695</v>
      </c>
      <c r="BT128" s="3" t="str">
        <f t="shared" ca="1" si="489"/>
        <v/>
      </c>
      <c r="BU128" s="3">
        <f t="shared" ca="1" si="452"/>
        <v>-136017.72338784445</v>
      </c>
      <c r="BV128" s="3" t="str">
        <f t="shared" ca="1" si="489"/>
        <v/>
      </c>
      <c r="BX128" s="3" t="e">
        <f t="shared" ca="1" si="453"/>
        <v>#NUM!</v>
      </c>
      <c r="BY128" s="3" t="e">
        <f t="shared" ca="1" si="501"/>
        <v>#NUM!</v>
      </c>
      <c r="BZ128" s="3">
        <f t="shared" ca="1" si="454"/>
        <v>-52064.105472802083</v>
      </c>
      <c r="CA128" s="3" t="str">
        <f t="shared" ca="1" si="501"/>
        <v/>
      </c>
      <c r="CB128" s="3">
        <f t="shared" ca="1" si="455"/>
        <v>-15799.793599638371</v>
      </c>
      <c r="CC128" s="3" t="str">
        <f t="shared" ca="1" si="501"/>
        <v/>
      </c>
      <c r="CD128" s="3">
        <f>IF(RTD("tos.rtd",,CD$83,"."&amp;$B$82&amp;$AS$82&amp;"C"&amp;$A128)="N/A",0,RTD("tos.rtd",,CD$83,"."&amp;$B$82&amp;$AS$82&amp;"C"&amp;$A128))</f>
        <v>0.98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0.92</v>
      </c>
      <c r="CG128" s="3">
        <f>-IF(RTD("tos.rtd",,CG$83,"."&amp;$C$82&amp;$AU$82&amp;"P"&amp;$A128)="N/A",0,RTD("tos.rtd",,CG$83,"."&amp;$C$82&amp;$AU$82&amp;"P"&amp;$A128))</f>
        <v>0.09</v>
      </c>
      <c r="CH128" s="3">
        <f>IF(RTD("tos.rtd",,CH$83,"."&amp;$D$82&amp;$AW$82&amp;"C"&amp;$A128)="N/A",0,RTD("tos.rtd",,CH$83,"."&amp;$D$82&amp;$AW$82&amp;"C"&amp;$A128))</f>
        <v>0.86</v>
      </c>
      <c r="CI128" s="3">
        <f>-IF(RTD("tos.rtd",,CI$83,"."&amp;$D$82&amp;$AW$82&amp;"P"&amp;$A128)="N/A",0,RTD("tos.rtd",,CI$83,"."&amp;$D$82&amp;$AW$82&amp;"P"&amp;$A128))</f>
        <v>0.16</v>
      </c>
      <c r="CK128" s="3">
        <f t="shared" si="490"/>
        <v>13719.999999999998</v>
      </c>
      <c r="CL128" s="3"/>
      <c r="CM128" s="3">
        <f t="shared" si="491"/>
        <v>23922</v>
      </c>
      <c r="CN128" s="3"/>
      <c r="CO128" s="3">
        <f t="shared" si="492"/>
        <v>36115.999999999993</v>
      </c>
      <c r="CP128" s="3">
        <f t="shared" si="456"/>
        <v>73758</v>
      </c>
      <c r="CQ128" s="3">
        <f t="shared" si="457"/>
        <v>-2123</v>
      </c>
      <c r="CR128" s="3"/>
      <c r="CS128" s="3">
        <f t="shared" si="458"/>
        <v>-240</v>
      </c>
      <c r="CT128" s="3"/>
      <c r="CU128" s="3">
        <f t="shared" si="459"/>
        <v>-73</v>
      </c>
      <c r="CV128" s="3"/>
      <c r="CW128" s="3" t="e">
        <f t="shared" ca="1" si="460"/>
        <v>#NUM!</v>
      </c>
      <c r="CY128" s="3" t="e">
        <f t="shared" ca="1" si="461"/>
        <v>#NUM!</v>
      </c>
      <c r="CZ128" s="70" t="e">
        <f t="shared" ca="1" si="502"/>
        <v>#NUM!</v>
      </c>
      <c r="DA128" s="3">
        <f>IF(RTD("tos.rtd",,DA$83,"."&amp;$B$82&amp;$AS$82&amp;"C"&amp;$A128)="N/A",0,RTD("tos.rtd",,DA$83,"."&amp;$B$82&amp;$AS$82&amp;"C"&amp;$A128))</f>
        <v>254.7</v>
      </c>
      <c r="DB128" s="3">
        <f>IF(RTD("tos.rtd",,DB$83,"."&amp;$B$82&amp;$AS$82&amp;"P"&amp;$A128)="N/A",0,RTD("tos.rtd",,DB$83,"."&amp;$B$82&amp;$AS$82&amp;"P"&amp;$A128))</f>
        <v>0.05</v>
      </c>
      <c r="DC128" s="3">
        <f>IF(RTD("tos.rtd",,DC$83,"."&amp;$B$82&amp;$AS$82&amp;"C"&amp;$A128)="N/A",0,RTD("tos.rtd",,DC$83,"."&amp;$B$82&amp;$AS$82&amp;"C"&amp;$A128))</f>
        <v>256.7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238.6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494"/>
        <v>-245.75</v>
      </c>
      <c r="DH128" s="3">
        <f t="shared" si="462"/>
        <v>0</v>
      </c>
      <c r="DI128" s="3">
        <f t="shared" si="463"/>
        <v>0</v>
      </c>
      <c r="DJ128" s="3">
        <f t="shared" si="464"/>
        <v>0</v>
      </c>
      <c r="DK128" s="3">
        <f t="shared" si="465"/>
        <v>0</v>
      </c>
      <c r="DL128" s="3">
        <f t="shared" si="466"/>
        <v>0</v>
      </c>
      <c r="DM128" s="3">
        <f t="shared" si="467"/>
        <v>0</v>
      </c>
      <c r="DN128" s="64" t="str">
        <f t="shared" si="468"/>
        <v>UNKNOWN</v>
      </c>
      <c r="DO128" s="64" t="str">
        <f t="shared" si="469"/>
        <v>UNKNOWN</v>
      </c>
      <c r="DP128" s="3">
        <f t="shared" si="470"/>
        <v>0</v>
      </c>
      <c r="DQ128" s="3">
        <f t="shared" si="471"/>
        <v>0</v>
      </c>
      <c r="DR128" s="3" t="e">
        <f t="shared" ca="1" si="472"/>
        <v>#NUM!</v>
      </c>
      <c r="DS128" s="3">
        <f t="shared" si="473"/>
        <v>0</v>
      </c>
      <c r="DT128" s="3">
        <f t="shared" si="495"/>
        <v>0</v>
      </c>
      <c r="DU128" s="3">
        <f t="shared" si="496"/>
        <v>0</v>
      </c>
      <c r="DV128" s="3">
        <f t="shared" si="497"/>
        <v>-4</v>
      </c>
      <c r="DW128" s="3">
        <f t="shared" si="498"/>
        <v>117</v>
      </c>
      <c r="DX128" s="3" t="e">
        <f t="shared" ca="1" si="503"/>
        <v>#NUM!</v>
      </c>
      <c r="DY128" s="3" t="e">
        <f t="shared" ca="1" si="474"/>
        <v>#NUM!</v>
      </c>
      <c r="DZ128" s="3">
        <f t="shared" ca="1" si="475"/>
        <v>1.0363145740095E-2</v>
      </c>
      <c r="EA128" s="3">
        <f t="shared" ca="1" si="476"/>
        <v>-9.073618266326294E-4</v>
      </c>
      <c r="EB128" s="3">
        <f t="shared" ca="1" si="477"/>
        <v>8.6768484933525119E-4</v>
      </c>
      <c r="EC128" s="3">
        <f t="shared" ca="1" si="478"/>
        <v>-9.0332495500543134E-4</v>
      </c>
      <c r="EE128" s="59">
        <f t="shared" si="479"/>
        <v>2.8948</v>
      </c>
      <c r="EF128" s="59">
        <f t="shared" si="480"/>
        <v>1.9198999999999999</v>
      </c>
      <c r="EG128" s="59">
        <f t="shared" si="481"/>
        <v>0.2369</v>
      </c>
      <c r="EH128" s="59">
        <f t="shared" si="482"/>
        <v>0.251</v>
      </c>
      <c r="EI128" s="59">
        <f t="shared" si="483"/>
        <v>0.2238</v>
      </c>
      <c r="EJ128" s="59">
        <f t="shared" si="484"/>
        <v>0.2467</v>
      </c>
      <c r="EL128" s="3" t="str">
        <f>RTD("tos.rtd",,EL$83,"."&amp;$B$82&amp;$AS$82&amp;"C"&amp;$A128)</f>
        <v>289.48%</v>
      </c>
      <c r="EM128" s="3" t="str">
        <f>RTD("tos.rtd",,EM$83,"."&amp;$B$82&amp;$AS$82&amp;"P"&amp;$A128)</f>
        <v>191.99%</v>
      </c>
      <c r="EN128" s="3" t="str">
        <f>RTD("tos.rtd",,EN$83,"."&amp;$C$82&amp;$AU$82&amp;"C"&amp;$A128)</f>
        <v>23.69%</v>
      </c>
      <c r="EO128" s="3" t="str">
        <f>RTD("tos.rtd",,EO$83,"."&amp;$C$82&amp;$AU$82&amp;"P"&amp;$A128)</f>
        <v>25.10%</v>
      </c>
      <c r="EP128" s="3" t="str">
        <f>RTD("tos.rtd",,EP$83,"."&amp;$D$82&amp;$AW$82&amp;"C"&amp;$A128)</f>
        <v>22.38%</v>
      </c>
      <c r="EQ128" s="3" t="str">
        <f>RTD("tos.rtd",,EQ$83,"."&amp;$D$82&amp;$AW$82&amp;"P"&amp;$A128)</f>
        <v>24.67%</v>
      </c>
      <c r="ET128" s="64" t="str">
        <f t="shared" ca="1" si="485"/>
        <v>5440,00.00</v>
      </c>
      <c r="EU128" s="67">
        <v>565.62</v>
      </c>
      <c r="EV128" s="67" t="s">
        <v>1043</v>
      </c>
      <c r="EW128" s="67">
        <v>487.48</v>
      </c>
      <c r="EX128" s="67" t="s">
        <v>1044</v>
      </c>
      <c r="EY128" s="67">
        <v>5671.5</v>
      </c>
      <c r="EZ128" s="67" t="s">
        <v>1045</v>
      </c>
      <c r="FA128" s="67">
        <v>20030.5</v>
      </c>
      <c r="FB128" s="67" t="s">
        <v>1046</v>
      </c>
      <c r="FC128" s="67" t="s">
        <v>1047</v>
      </c>
      <c r="FD128" s="67" t="s">
        <v>1048</v>
      </c>
      <c r="FE128" s="68" t="s">
        <v>1049</v>
      </c>
      <c r="FF128" s="68" t="s">
        <v>1050</v>
      </c>
    </row>
    <row r="129" spans="1:162" s="63" customFormat="1" ht="12" customHeight="1" thickBot="1" x14ac:dyDescent="0.25">
      <c r="A129" s="2">
        <f t="shared" si="499"/>
        <v>5430</v>
      </c>
      <c r="B129" s="3">
        <f t="shared" si="445"/>
        <v>1076</v>
      </c>
      <c r="C129" s="3">
        <f t="shared" si="446"/>
        <v>1457</v>
      </c>
      <c r="D129" s="3">
        <f t="shared" si="447"/>
        <v>358</v>
      </c>
      <c r="E129" s="3">
        <f t="shared" si="510"/>
        <v>2891</v>
      </c>
      <c r="F129" s="11">
        <f t="shared" si="513"/>
        <v>5452.9204590423424</v>
      </c>
      <c r="G129" s="4">
        <f t="shared" si="511"/>
        <v>541.46719430154337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23</v>
      </c>
      <c r="AN129" s="20">
        <v>870</v>
      </c>
      <c r="AO129" s="20">
        <v>5430</v>
      </c>
      <c r="AP129" s="20">
        <v>100</v>
      </c>
      <c r="AQ129" s="20">
        <v>-4650</v>
      </c>
      <c r="AR129" s="20"/>
      <c r="AS129" s="54">
        <f>IF(RTD("tos.rtd",,AS$83,"."&amp;$B$82&amp;$AS$82&amp;"C"&amp;$A129)="N/A",0,RTD("tos.rtd",,AS$83,"."&amp;$B$82&amp;$AS$82&amp;"C"&amp;$A129))</f>
        <v>224</v>
      </c>
      <c r="AT129" s="3">
        <f>-IF(RTD("tos.rtd",,AT$83,"."&amp;$B$82&amp;$AS$82&amp;"P"&amp;$A129)="N/A",0,RTD("tos.rtd",,AT$83,"."&amp;$B$82&amp;$AS$82&amp;"P"&amp;$A129))</f>
        <v>-852</v>
      </c>
      <c r="AU129" s="54">
        <f>IF(RTD("tos.rtd",,AU$83,"."&amp;$C$82&amp;$AU$82&amp;"C"&amp;$A129)="N/A",0,RTD("tos.rtd",,AU$83,"."&amp;$C$82&amp;$AU$82&amp;"C"&amp;$A129))</f>
        <v>1128</v>
      </c>
      <c r="AV129" s="3">
        <f>-IF(RTD("tos.rtd",,AV$83,"."&amp;$C$82&amp;$AU$82&amp;"P"&amp;$A129)="N/A",0,RTD("tos.rtd",,AV$83,"."&amp;$C$82&amp;$AU$82&amp;"P"&amp;$A129))</f>
        <v>-329</v>
      </c>
      <c r="AW129" s="54">
        <f>IF(RTD("tos.rtd",,AW$83,"."&amp;$D$82&amp;$AW$82&amp;"C"&amp;$A129)="N/A",0,RTD("tos.rtd",,AW$83,"."&amp;$D$82&amp;$AW$82&amp;"C"&amp;$A129))</f>
        <v>117</v>
      </c>
      <c r="AX129" s="3">
        <f>-IF(RTD("tos.rtd",,AX$83,"."&amp;$D$82&amp;$AW$82&amp;"P"&amp;$A129)="N/A",0,RTD("tos.rtd",,AX$83,"."&amp;$D$82&amp;$AW$82&amp;"P"&amp;$A129))</f>
        <v>-241</v>
      </c>
      <c r="AY129" s="79">
        <f t="shared" si="512"/>
        <v>47</v>
      </c>
      <c r="AZ129" s="8">
        <f t="shared" si="449"/>
        <v>5430</v>
      </c>
      <c r="BA129" s="54">
        <f>IF(RTD("tos.rtd",,BA$83,"."&amp;$B$82&amp;$AS$82&amp;"C"&amp;$A129)="N/A",0,RTD("tos.rtd",,BA$83,"."&amp;$B$82&amp;$AS$82&amp;"C"&amp;$A129))</f>
        <v>100</v>
      </c>
      <c r="BB129" s="3">
        <f>-IF(RTD("tos.rtd",,BB$83,"."&amp;$B$82&amp;$AS$82&amp;"P"&amp;$A129)="N/A",0,RTD("tos.rtd",,BB$83,"."&amp;$B$82&amp;$AS$82&amp;"P"&amp;$A129))</f>
        <v>-4650</v>
      </c>
      <c r="BC129" s="54">
        <f>IF(RTD("tos.rtd",,BC$83,"."&amp;$C$82&amp;$AU$82&amp;"C"&amp;$A129)="N/A",0,RTD("tos.rtd",,BC$83,"."&amp;$C$82&amp;$AU$82&amp;"C"&amp;$A129))</f>
        <v>2</v>
      </c>
      <c r="BD129" s="3">
        <f>-IF(RTD("tos.rtd",,BD$83,"."&amp;$C$82&amp;$AU$82&amp;"P"&amp;$A129)="N/A",0,RTD("tos.rtd",,BD$83,"."&amp;$C$82&amp;$AU$82&amp;"P"&amp;$A129))</f>
        <v>-192</v>
      </c>
      <c r="BE129" s="54">
        <f>IF(RTD("tos.rtd",,BE$83,"."&amp;$D$82&amp;$AW$82&amp;"C"&amp;$A129)="N/A",0,RTD("tos.rtd",,BE$83,"."&amp;$D$82&amp;$AW$82&amp;"C"&amp;$A129))</f>
        <v>5</v>
      </c>
      <c r="BF129" s="3">
        <f>-IF(RTD("tos.rtd",,BF$83,"."&amp;$D$82&amp;$AW$82&amp;"P"&amp;$A129)="N/A",0,RTD("tos.rtd",,BF$83,"."&amp;$D$82&amp;$AW$82&amp;"P"&amp;$A129))</f>
        <v>-24</v>
      </c>
      <c r="BG129" s="3" t="e">
        <f ca="1">+Hoja2!Y130</f>
        <v>#N/A</v>
      </c>
      <c r="BH129" s="55" t="e">
        <f t="shared" ca="1" si="488"/>
        <v>#N/A</v>
      </c>
      <c r="BI129" s="32" t="e">
        <f t="shared" ca="1" si="504"/>
        <v>#N/A</v>
      </c>
      <c r="BJ129" s="3" t="e">
        <f ca="1">IF($BP$1=1,DX129,IF(RTD("tos.rtd",,BJ$83,"."&amp;$B$82&amp;$AS$82&amp;"C"&amp;$A129)="N/A",0,RTD("tos.rtd",,BJ$83,"."&amp;$B$82&amp;$AS$82&amp;"C"&amp;$A129)))</f>
        <v>#NUM!</v>
      </c>
      <c r="BK129" s="3" t="e">
        <f ca="1">IF($BP$1=1,DY129,-IF(RTD("tos.rtd",,BK$83,"."&amp;$B$82&amp;$AS$82&amp;"P"&amp;$A129)="N/A",0,RTD("tos.rtd",,BK$83,"."&amp;$B$82&amp;$AS$82&amp;"P"&amp;$A129)))</f>
        <v>#NUM!</v>
      </c>
      <c r="BL129" s="3">
        <f ca="1">IF($BP$1=1,DZ129,IF(RTD("tos.rtd",,BL$83,"."&amp;$C$82&amp;$AU$82&amp;"C"&amp;$A129)="N/A",0,RTD("tos.rtd",,BL$83,"."&amp;$C$82&amp;$AU$82&amp;"C"&amp;$A129)))</f>
        <v>9.762005326714198E-3</v>
      </c>
      <c r="BM129" s="3">
        <f ca="1">IF($BP$1=1,EA129,-IF(RTD("tos.rtd",,BM$83,"."&amp;$C$82&amp;$AU$82&amp;"P"&amp;$A129)="N/A",0,RTD("tos.rtd",,BM$83,"."&amp;$C$82&amp;$AU$82&amp;"P"&amp;$A129)))</f>
        <v>-8.6443116926802302E-4</v>
      </c>
      <c r="BN129" s="3">
        <f ca="1">IF($BP$1=1,EB129,IF(RTD("tos.rtd",,BN$83,"."&amp;$D$82&amp;$AW$82&amp;"C"&amp;$A129)="N/A",0,RTD("tos.rtd",,BN$83,"."&amp;$D$82&amp;$AW$82&amp;"C"&amp;$A129)))</f>
        <v>8.1520476257681998E-4</v>
      </c>
      <c r="BO129" s="3">
        <f ca="1">IF($BP$1=1,EC129,-IF(RTD("tos.rtd",,BO$83,"."&amp;$D$82&amp;$AW$82&amp;"P"&amp;$A129)="N/A",0,RTD("tos.rtd",,BO$83,"."&amp;$D$82&amp;$AW$82&amp;"P"&amp;$A129)))</f>
        <v>-8.585672471116949E-4</v>
      </c>
      <c r="BQ129" s="3" t="e">
        <f t="shared" ca="1" si="450"/>
        <v>#NUM!</v>
      </c>
      <c r="BR129" s="3" t="e">
        <f t="shared" ca="1" si="489"/>
        <v>#NUM!</v>
      </c>
      <c r="BS129" s="3">
        <f t="shared" ca="1" si="451"/>
        <v>2564665.8084955681</v>
      </c>
      <c r="BT129" s="3" t="str">
        <f t="shared" ca="1" si="489"/>
        <v/>
      </c>
      <c r="BU129" s="3">
        <f t="shared" ca="1" si="452"/>
        <v>-26666.176816063435</v>
      </c>
      <c r="BV129" s="3" t="str">
        <f t="shared" ca="1" si="489"/>
        <v/>
      </c>
      <c r="BX129" s="3" t="e">
        <f t="shared" ca="1" si="453"/>
        <v>#NUM!</v>
      </c>
      <c r="BY129" s="3" t="e">
        <f t="shared" ca="1" si="501"/>
        <v>#NUM!</v>
      </c>
      <c r="BZ129" s="3">
        <f t="shared" ca="1" si="454"/>
        <v>-35012.770245359003</v>
      </c>
      <c r="CA129" s="3" t="str">
        <f t="shared" ca="1" si="501"/>
        <v/>
      </c>
      <c r="CB129" s="3">
        <f t="shared" ca="1" si="455"/>
        <v>-3951.925507439571</v>
      </c>
      <c r="CC129" s="3" t="str">
        <f t="shared" ca="1" si="501"/>
        <v/>
      </c>
      <c r="CD129" s="3">
        <f>IF(RTD("tos.rtd",,CD$83,"."&amp;$B$82&amp;$AS$82&amp;"C"&amp;$A129)="N/A",0,RTD("tos.rtd",,CD$83,"."&amp;$B$82&amp;$AS$82&amp;"C"&amp;$A129))</f>
        <v>0.98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0.93</v>
      </c>
      <c r="CG129" s="3">
        <f>-IF(RTD("tos.rtd",,CG$83,"."&amp;$C$82&amp;$AU$82&amp;"P"&amp;$A129)="N/A",0,RTD("tos.rtd",,CG$83,"."&amp;$C$82&amp;$AU$82&amp;"P"&amp;$A129))</f>
        <v>0.09</v>
      </c>
      <c r="CH129" s="3">
        <f>IF(RTD("tos.rtd",,CH$83,"."&amp;$D$82&amp;$AW$82&amp;"C"&amp;$A129)="N/A",0,RTD("tos.rtd",,CH$83,"."&amp;$D$82&amp;$AW$82&amp;"C"&amp;$A129))</f>
        <v>0.87</v>
      </c>
      <c r="CI129" s="3">
        <f>-IF(RTD("tos.rtd",,CI$83,"."&amp;$D$82&amp;$AW$82&amp;"P"&amp;$A129)="N/A",0,RTD("tos.rtd",,CI$83,"."&amp;$D$82&amp;$AW$82&amp;"P"&amp;$A129))</f>
        <v>0.16</v>
      </c>
      <c r="CK129" s="3">
        <f t="shared" si="490"/>
        <v>21952</v>
      </c>
      <c r="CL129" s="3"/>
      <c r="CM129" s="3">
        <f t="shared" si="491"/>
        <v>101943</v>
      </c>
      <c r="CN129" s="3"/>
      <c r="CO129" s="3">
        <f t="shared" si="492"/>
        <v>6323</v>
      </c>
      <c r="CP129" s="3">
        <f t="shared" si="456"/>
        <v>130218</v>
      </c>
      <c r="CQ129" s="3">
        <f t="shared" si="457"/>
        <v>-4550</v>
      </c>
      <c r="CR129" s="3"/>
      <c r="CS129" s="3">
        <f t="shared" si="458"/>
        <v>-190</v>
      </c>
      <c r="CT129" s="3"/>
      <c r="CU129" s="3">
        <f t="shared" si="459"/>
        <v>-19</v>
      </c>
      <c r="CV129" s="3"/>
      <c r="CW129" s="3" t="e">
        <f t="shared" ca="1" si="460"/>
        <v>#NUM!</v>
      </c>
      <c r="CY129" s="3" t="e">
        <f t="shared" ca="1" si="461"/>
        <v>#NUM!</v>
      </c>
      <c r="CZ129" s="70" t="e">
        <f t="shared" ca="1" si="502"/>
        <v>#NUM!</v>
      </c>
      <c r="DA129" s="3">
        <f>IF(RTD("tos.rtd",,DA$83,"."&amp;$B$82&amp;$AS$82&amp;"C"&amp;$A129)="N/A",0,RTD("tos.rtd",,DA$83,"."&amp;$B$82&amp;$AS$82&amp;"C"&amp;$A129))</f>
        <v>262.3</v>
      </c>
      <c r="DB129" s="3">
        <f>IF(RTD("tos.rtd",,DB$83,"."&amp;$B$82&amp;$AS$82&amp;"P"&amp;$A129)="N/A",0,RTD("tos.rtd",,DB$83,"."&amp;$B$82&amp;$AS$82&amp;"P"&amp;$A129))</f>
        <v>0.05</v>
      </c>
      <c r="DC129" s="3">
        <f>IF(RTD("tos.rtd",,DC$83,"."&amp;$B$82&amp;$AS$82&amp;"C"&amp;$A129)="N/A",0,RTD("tos.rtd",,DC$83,"."&amp;$B$82&amp;$AS$82&amp;"C"&amp;$A129))</f>
        <v>266.7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248.6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494"/>
        <v>-255.75</v>
      </c>
      <c r="DH129" s="3">
        <f t="shared" si="462"/>
        <v>0</v>
      </c>
      <c r="DI129" s="3">
        <f t="shared" si="463"/>
        <v>0</v>
      </c>
      <c r="DJ129" s="3">
        <f t="shared" si="464"/>
        <v>0</v>
      </c>
      <c r="DK129" s="3">
        <f t="shared" si="465"/>
        <v>0</v>
      </c>
      <c r="DL129" s="3">
        <f t="shared" si="466"/>
        <v>0</v>
      </c>
      <c r="DM129" s="3">
        <f t="shared" si="467"/>
        <v>0</v>
      </c>
      <c r="DN129" s="64" t="str">
        <f t="shared" si="468"/>
        <v>UNKNOWN</v>
      </c>
      <c r="DO129" s="64" t="str">
        <f t="shared" si="469"/>
        <v>UNKNOWN</v>
      </c>
      <c r="DP129" s="3">
        <f t="shared" si="470"/>
        <v>0</v>
      </c>
      <c r="DQ129" s="3">
        <f t="shared" si="471"/>
        <v>0</v>
      </c>
      <c r="DR129" s="3" t="e">
        <f t="shared" ca="1" si="472"/>
        <v>#NUM!</v>
      </c>
      <c r="DS129" s="3">
        <f t="shared" si="473"/>
        <v>0</v>
      </c>
      <c r="DT129" s="3">
        <f t="shared" si="495"/>
        <v>0</v>
      </c>
      <c r="DU129" s="3">
        <f t="shared" si="496"/>
        <v>0</v>
      </c>
      <c r="DV129" s="3">
        <f t="shared" si="497"/>
        <v>23</v>
      </c>
      <c r="DW129" s="3">
        <f t="shared" si="498"/>
        <v>870</v>
      </c>
      <c r="DX129" s="3" t="e">
        <f t="shared" ca="1" si="503"/>
        <v>#NUM!</v>
      </c>
      <c r="DY129" s="3" t="e">
        <f t="shared" ca="1" si="474"/>
        <v>#NUM!</v>
      </c>
      <c r="DZ129" s="3">
        <f t="shared" ca="1" si="475"/>
        <v>9.762005326714198E-3</v>
      </c>
      <c r="EA129" s="3">
        <f t="shared" ca="1" si="476"/>
        <v>-8.6443116926802302E-4</v>
      </c>
      <c r="EB129" s="3">
        <f t="shared" ca="1" si="477"/>
        <v>8.1520476257681998E-4</v>
      </c>
      <c r="EC129" s="3">
        <f t="shared" ca="1" si="478"/>
        <v>-8.585672471116949E-4</v>
      </c>
      <c r="EE129" s="59">
        <f t="shared" si="479"/>
        <v>2.9965999999999999</v>
      </c>
      <c r="EF129" s="59">
        <f t="shared" si="480"/>
        <v>1.9930000000000001</v>
      </c>
      <c r="EG129" s="59">
        <f t="shared" si="481"/>
        <v>0.23630000000000001</v>
      </c>
      <c r="EH129" s="59">
        <f t="shared" si="482"/>
        <v>0.25390000000000001</v>
      </c>
      <c r="EI129" s="59">
        <f t="shared" si="483"/>
        <v>0.2248</v>
      </c>
      <c r="EJ129" s="59">
        <f t="shared" si="484"/>
        <v>0.24879999999999999</v>
      </c>
      <c r="EL129" s="3" t="str">
        <f>RTD("tos.rtd",,EL$83,"."&amp;$B$82&amp;$AS$82&amp;"C"&amp;$A129)</f>
        <v>299.66%</v>
      </c>
      <c r="EM129" s="3" t="str">
        <f>RTD("tos.rtd",,EM$83,"."&amp;$B$82&amp;$AS$82&amp;"P"&amp;$A129)</f>
        <v>199.30%</v>
      </c>
      <c r="EN129" s="3" t="str">
        <f>RTD("tos.rtd",,EN$83,"."&amp;$C$82&amp;$AU$82&amp;"C"&amp;$A129)</f>
        <v>23.63%</v>
      </c>
      <c r="EO129" s="3" t="str">
        <f>RTD("tos.rtd",,EO$83,"."&amp;$C$82&amp;$AU$82&amp;"P"&amp;$A129)</f>
        <v>25.39%</v>
      </c>
      <c r="EP129" s="3" t="str">
        <f>RTD("tos.rtd",,EP$83,"."&amp;$D$82&amp;$AW$82&amp;"C"&amp;$A129)</f>
        <v>22.48%</v>
      </c>
      <c r="EQ129" s="3" t="str">
        <f>RTD("tos.rtd",,EQ$83,"."&amp;$D$82&amp;$AW$82&amp;"P"&amp;$A129)</f>
        <v>24.88%</v>
      </c>
      <c r="ET129" s="64" t="str">
        <f t="shared" ca="1" si="485"/>
        <v>5430,00.00</v>
      </c>
      <c r="EU129" s="67">
        <v>565.41</v>
      </c>
      <c r="EV129" s="67" t="s">
        <v>1051</v>
      </c>
      <c r="EW129" s="67">
        <v>487.26</v>
      </c>
      <c r="EX129" s="67" t="s">
        <v>1052</v>
      </c>
      <c r="EY129" s="67">
        <v>5669.5</v>
      </c>
      <c r="EZ129" s="67" t="s">
        <v>1053</v>
      </c>
      <c r="FA129" s="67">
        <v>20021</v>
      </c>
      <c r="FB129" s="67" t="s">
        <v>1054</v>
      </c>
      <c r="FC129" s="67" t="s">
        <v>1055</v>
      </c>
      <c r="FD129" s="67" t="s">
        <v>1056</v>
      </c>
      <c r="FE129" s="68" t="s">
        <v>1057</v>
      </c>
      <c r="FF129" s="68" t="s">
        <v>1058</v>
      </c>
    </row>
    <row r="130" spans="1:162" s="63" customFormat="1" ht="12" customHeight="1" thickBot="1" x14ac:dyDescent="0.25">
      <c r="A130" s="2">
        <f t="shared" si="499"/>
        <v>5420</v>
      </c>
      <c r="B130" s="3">
        <f t="shared" si="445"/>
        <v>1577</v>
      </c>
      <c r="C130" s="3">
        <f t="shared" si="446"/>
        <v>530</v>
      </c>
      <c r="D130" s="3">
        <f t="shared" si="447"/>
        <v>630</v>
      </c>
      <c r="E130" s="3">
        <f>SUM(B130:D130)</f>
        <v>2737</v>
      </c>
      <c r="F130" s="11">
        <f>+$F$84/$A$84*A130</f>
        <v>5442.8782482522092</v>
      </c>
      <c r="G130" s="4">
        <f t="shared" si="511"/>
        <v>540.47001714813348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53</v>
      </c>
      <c r="AN130" s="20">
        <v>967</v>
      </c>
      <c r="AO130" s="20">
        <v>5420</v>
      </c>
      <c r="AP130" s="20">
        <v>91</v>
      </c>
      <c r="AQ130" s="20">
        <v>-3206</v>
      </c>
      <c r="AR130" s="20"/>
      <c r="AS130" s="56">
        <f>IF(RTD("tos.rtd",,AS$83,"."&amp;$B$82&amp;$AS$82&amp;"C"&amp;$A130)="N/A",0,RTD("tos.rtd",,AS$83,"."&amp;$B$82&amp;$AS$82&amp;"C"&amp;$A130))</f>
        <v>141</v>
      </c>
      <c r="AT130" s="35">
        <f>-IF(RTD("tos.rtd",,AT$83,"."&amp;$B$82&amp;$AS$82&amp;"P"&amp;$A130)="N/A",0,RTD("tos.rtd",,AT$83,"."&amp;$B$82&amp;$AS$82&amp;"P"&amp;$A130))</f>
        <v>-1436</v>
      </c>
      <c r="AU130" s="56">
        <f>IF(RTD("tos.rtd",,AU$83,"."&amp;$C$82&amp;$AU$82&amp;"C"&amp;$A130)="N/A",0,RTD("tos.rtd",,AU$83,"."&amp;$C$82&amp;$AU$82&amp;"C"&amp;$A130))</f>
        <v>156</v>
      </c>
      <c r="AV130" s="35">
        <f>-IF(RTD("tos.rtd",,AV$83,"."&amp;$C$82&amp;$AU$82&amp;"P"&amp;$A130)="N/A",0,RTD("tos.rtd",,AV$83,"."&amp;$C$82&amp;$AU$82&amp;"P"&amp;$A130))</f>
        <v>-374</v>
      </c>
      <c r="AW130" s="56">
        <f>IF(RTD("tos.rtd",,AW$83,"."&amp;$D$82&amp;$AW$82&amp;"C"&amp;$A130)="N/A",0,RTD("tos.rtd",,AW$83,"."&amp;$D$82&amp;$AW$82&amp;"C"&amp;$A130))</f>
        <v>320</v>
      </c>
      <c r="AX130" s="35">
        <f>-IF(RTD("tos.rtd",,AX$83,"."&amp;$D$82&amp;$AW$82&amp;"P"&amp;$A130)="N/A",0,RTD("tos.rtd",,AX$83,"."&amp;$D$82&amp;$AW$82&amp;"P"&amp;$A130))</f>
        <v>-310</v>
      </c>
      <c r="AY130" s="81">
        <f t="shared" si="512"/>
        <v>-1503</v>
      </c>
      <c r="AZ130" s="8">
        <f t="shared" si="449"/>
        <v>5420</v>
      </c>
      <c r="BA130" s="56">
        <f>IF(RTD("tos.rtd",,BA$83,"."&amp;$B$82&amp;$AS$82&amp;"C"&amp;$A130)="N/A",0,RTD("tos.rtd",,BA$83,"."&amp;$B$82&amp;$AS$82&amp;"C"&amp;$A130))</f>
        <v>91</v>
      </c>
      <c r="BB130" s="35">
        <f>-IF(RTD("tos.rtd",,BB$83,"."&amp;$B$82&amp;$AS$82&amp;"P"&amp;$A130)="N/A",0,RTD("tos.rtd",,BB$83,"."&amp;$B$82&amp;$AS$82&amp;"P"&amp;$A130))</f>
        <v>-3206</v>
      </c>
      <c r="BC130" s="56">
        <f>IF(RTD("tos.rtd",,BC$83,"."&amp;$C$82&amp;$AU$82&amp;"C"&amp;$A130)="N/A",0,RTD("tos.rtd",,BC$83,"."&amp;$C$82&amp;$AU$82&amp;"C"&amp;$A130))</f>
        <v>1</v>
      </c>
      <c r="BD130" s="35">
        <f>-IF(RTD("tos.rtd",,BD$83,"."&amp;$C$82&amp;$AU$82&amp;"P"&amp;$A130)="N/A",0,RTD("tos.rtd",,BD$83,"."&amp;$C$82&amp;$AU$82&amp;"P"&amp;$A130))</f>
        <v>-195</v>
      </c>
      <c r="BE130" s="56">
        <f>IF(RTD("tos.rtd",,BE$83,"."&amp;$D$82&amp;$AW$82&amp;"C"&amp;$A130)="N/A",0,RTD("tos.rtd",,BE$83,"."&amp;$D$82&amp;$AW$82&amp;"C"&amp;$A130))</f>
        <v>14</v>
      </c>
      <c r="BF130" s="35">
        <f>-IF(RTD("tos.rtd",,BF$83,"."&amp;$D$82&amp;$AW$82&amp;"P"&amp;$A130)="N/A",0,RTD("tos.rtd",,BF$83,"."&amp;$D$82&amp;$AW$82&amp;"P"&amp;$A130))</f>
        <v>-108</v>
      </c>
      <c r="BG130" s="3" t="e">
        <f ca="1">+Hoja2!Y131</f>
        <v>#N/A</v>
      </c>
      <c r="BH130" s="57" t="e">
        <f t="shared" ca="1" si="488"/>
        <v>#N/A</v>
      </c>
      <c r="BI130" s="32" t="e">
        <f t="shared" ca="1" si="504"/>
        <v>#N/A</v>
      </c>
      <c r="BJ130" s="3" t="e">
        <f ca="1">IF($BP$1=1,DX130,IF(RTD("tos.rtd",,BJ$83,"."&amp;$B$82&amp;$AS$82&amp;"C"&amp;$A130)="N/A",0,RTD("tos.rtd",,BJ$83,"."&amp;$B$82&amp;$AS$82&amp;"C"&amp;$A130)))</f>
        <v>#NUM!</v>
      </c>
      <c r="BK130" s="3" t="e">
        <f ca="1">IF($BP$1=1,DY130,-IF(RTD("tos.rtd",,BK$83,"."&amp;$B$82&amp;$AS$82&amp;"P"&amp;$A130)="N/A",0,RTD("tos.rtd",,BK$83,"."&amp;$B$82&amp;$AS$82&amp;"P"&amp;$A130)))</f>
        <v>#NUM!</v>
      </c>
      <c r="BL130" s="3">
        <f ca="1">IF($BP$1=1,DZ130,IF(RTD("tos.rtd",,BL$83,"."&amp;$C$82&amp;$AU$82&amp;"C"&amp;$A130)="N/A",0,RTD("tos.rtd",,BL$83,"."&amp;$C$82&amp;$AU$82&amp;"C"&amp;$A130)))</f>
        <v>9.2717861919410557E-3</v>
      </c>
      <c r="BM130" s="3">
        <f ca="1">IF($BP$1=1,EA130,-IF(RTD("tos.rtd",,BM$83,"."&amp;$C$82&amp;$AU$82&amp;"P"&amp;$A130)="N/A",0,RTD("tos.rtd",,BM$83,"."&amp;$C$82&amp;$AU$82&amp;"P"&amp;$A130)))</f>
        <v>-8.2280078432964187E-4</v>
      </c>
      <c r="BN130" s="3">
        <f ca="1">IF($BP$1=1,EB130,IF(RTD("tos.rtd",,BN$83,"."&amp;$D$82&amp;$AW$82&amp;"C"&amp;$A130)="N/A",0,RTD("tos.rtd",,BN$83,"."&amp;$D$82&amp;$AW$82&amp;"C"&amp;$A130)))</f>
        <v>7.6307354479334994E-4</v>
      </c>
      <c r="BO130" s="3">
        <f ca="1">IF($BP$1=1,EC130,-IF(RTD("tos.rtd",,BO$83,"."&amp;$D$82&amp;$AW$82&amp;"P"&amp;$A130)="N/A",0,RTD("tos.rtd",,BO$83,"."&amp;$D$82&amp;$AW$82&amp;"P"&amp;$A130)))</f>
        <v>-8.1538967474458596E-4</v>
      </c>
      <c r="BQ130" s="3" t="e">
        <f t="shared" ca="1" si="450"/>
        <v>#NUM!</v>
      </c>
      <c r="BR130" s="3" t="e">
        <f t="shared" ca="1" si="489"/>
        <v>#NUM!</v>
      </c>
      <c r="BS130" s="3">
        <f t="shared" ca="1" si="451"/>
        <v>272235.64168808999</v>
      </c>
      <c r="BT130" s="3" t="str">
        <f t="shared" ca="1" si="489"/>
        <v/>
      </c>
      <c r="BU130" s="3">
        <f t="shared" ca="1" si="452"/>
        <v>-2053.0594350154497</v>
      </c>
      <c r="BV130" s="3" t="str">
        <f t="shared" ca="1" si="489"/>
        <v/>
      </c>
      <c r="BX130" s="3" t="e">
        <f t="shared" ca="1" si="453"/>
        <v>#NUM!</v>
      </c>
      <c r="BY130" s="3" t="e">
        <f t="shared" ca="1" si="501"/>
        <v>#NUM!</v>
      </c>
      <c r="BZ130" s="3">
        <f t="shared" ca="1" si="454"/>
        <v>-36143.052052837716</v>
      </c>
      <c r="CA130" s="3" t="str">
        <f t="shared" ca="1" si="501"/>
        <v/>
      </c>
      <c r="CB130" s="3">
        <f t="shared" ca="1" si="455"/>
        <v>-18499.930124478677</v>
      </c>
      <c r="CC130" s="3" t="str">
        <f t="shared" ca="1" si="501"/>
        <v/>
      </c>
      <c r="CD130" s="3">
        <f>IF(RTD("tos.rtd",,CD$83,"."&amp;$B$82&amp;$AS$82&amp;"C"&amp;$A130)="N/A",0,RTD("tos.rtd",,CD$83,"."&amp;$B$82&amp;$AS$82&amp;"C"&amp;$A130))</f>
        <v>0.99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0.93</v>
      </c>
      <c r="CG130" s="3">
        <f>-IF(RTD("tos.rtd",,CG$83,"."&amp;$C$82&amp;$AU$82&amp;"P"&amp;$A130)="N/A",0,RTD("tos.rtd",,CG$83,"."&amp;$C$82&amp;$AU$82&amp;"P"&amp;$A130))</f>
        <v>0.08</v>
      </c>
      <c r="CH130" s="3">
        <f>IF(RTD("tos.rtd",,CH$83,"."&amp;$D$82&amp;$AW$82&amp;"C"&amp;$A130)="N/A",0,RTD("tos.rtd",,CH$83,"."&amp;$D$82&amp;$AW$82&amp;"C"&amp;$A130))</f>
        <v>0.87</v>
      </c>
      <c r="CI130" s="3">
        <f>-IF(RTD("tos.rtd",,CI$83,"."&amp;$D$82&amp;$AW$82&amp;"P"&amp;$A130)="N/A",0,RTD("tos.rtd",,CI$83,"."&amp;$D$82&amp;$AW$82&amp;"P"&amp;$A130))</f>
        <v>0.15</v>
      </c>
      <c r="CK130" s="3">
        <f t="shared" si="490"/>
        <v>13959</v>
      </c>
      <c r="CL130" s="3"/>
      <c r="CM130" s="3">
        <f t="shared" si="491"/>
        <v>11516.000000000002</v>
      </c>
      <c r="CN130" s="3"/>
      <c r="CO130" s="3">
        <f t="shared" si="492"/>
        <v>23189.999999999996</v>
      </c>
      <c r="CP130" s="3">
        <f t="shared" si="456"/>
        <v>48665</v>
      </c>
      <c r="CQ130" s="3">
        <f t="shared" si="457"/>
        <v>-3115</v>
      </c>
      <c r="CR130" s="3"/>
      <c r="CS130" s="3">
        <f t="shared" si="458"/>
        <v>-194</v>
      </c>
      <c r="CT130" s="3"/>
      <c r="CU130" s="3">
        <f t="shared" si="459"/>
        <v>-94</v>
      </c>
      <c r="CV130" s="3"/>
      <c r="CW130" s="3" t="e">
        <f t="shared" ca="1" si="460"/>
        <v>#NUM!</v>
      </c>
      <c r="CY130" s="3" t="e">
        <f t="shared" ca="1" si="461"/>
        <v>#NUM!</v>
      </c>
      <c r="CZ130" s="70" t="e">
        <f t="shared" ca="1" si="502"/>
        <v>#NUM!</v>
      </c>
      <c r="DA130" s="3">
        <f>IF(RTD("tos.rtd",,DA$83,"."&amp;$B$82&amp;$AS$82&amp;"C"&amp;$A130)="N/A",0,RTD("tos.rtd",,DA$83,"."&amp;$B$82&amp;$AS$82&amp;"C"&amp;$A130))</f>
        <v>269.77999999999997</v>
      </c>
      <c r="DB130" s="3">
        <f>IF(RTD("tos.rtd",,DB$83,"."&amp;$B$82&amp;$AS$82&amp;"P"&amp;$A130)="N/A",0,RTD("tos.rtd",,DB$83,"."&amp;$B$82&amp;$AS$82&amp;"P"&amp;$A130))</f>
        <v>0.03</v>
      </c>
      <c r="DC130" s="3">
        <f>IF(RTD("tos.rtd",,DC$83,"."&amp;$B$82&amp;$AS$82&amp;"C"&amp;$A130)="N/A",0,RTD("tos.rtd",,DC$83,"."&amp;$B$82&amp;$AS$82&amp;"C"&amp;$A130))</f>
        <v>276.2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258.10000000000002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494"/>
        <v>-265.75</v>
      </c>
      <c r="DH130" s="3">
        <f t="shared" si="462"/>
        <v>0</v>
      </c>
      <c r="DI130" s="3">
        <f t="shared" si="463"/>
        <v>0</v>
      </c>
      <c r="DJ130" s="3">
        <f t="shared" si="464"/>
        <v>0</v>
      </c>
      <c r="DK130" s="3">
        <f t="shared" si="465"/>
        <v>0</v>
      </c>
      <c r="DL130" s="3">
        <f t="shared" si="466"/>
        <v>0</v>
      </c>
      <c r="DM130" s="3">
        <f t="shared" si="467"/>
        <v>0</v>
      </c>
      <c r="DN130" s="64" t="str">
        <f t="shared" si="468"/>
        <v>UNKNOWN</v>
      </c>
      <c r="DO130" s="64" t="str">
        <f t="shared" si="469"/>
        <v>UNKNOWN</v>
      </c>
      <c r="DP130" s="3">
        <f t="shared" si="470"/>
        <v>0</v>
      </c>
      <c r="DQ130" s="3">
        <f t="shared" si="471"/>
        <v>0</v>
      </c>
      <c r="DR130" s="3" t="e">
        <f t="shared" ca="1" si="472"/>
        <v>#NUM!</v>
      </c>
      <c r="DS130" s="3">
        <f t="shared" si="473"/>
        <v>0</v>
      </c>
      <c r="DT130" s="3">
        <f t="shared" si="495"/>
        <v>0</v>
      </c>
      <c r="DU130" s="3">
        <f t="shared" si="496"/>
        <v>0</v>
      </c>
      <c r="DV130" s="3">
        <f t="shared" si="497"/>
        <v>53</v>
      </c>
      <c r="DW130" s="3">
        <f t="shared" si="498"/>
        <v>967</v>
      </c>
      <c r="DX130" s="3" t="e">
        <f t="shared" ca="1" si="503"/>
        <v>#NUM!</v>
      </c>
      <c r="DY130" s="3" t="e">
        <f t="shared" ca="1" si="474"/>
        <v>#NUM!</v>
      </c>
      <c r="DZ130" s="3">
        <f t="shared" ca="1" si="475"/>
        <v>9.2717861919410557E-3</v>
      </c>
      <c r="EA130" s="3">
        <f t="shared" ca="1" si="476"/>
        <v>-8.2280078432964187E-4</v>
      </c>
      <c r="EB130" s="3">
        <f t="shared" ca="1" si="477"/>
        <v>7.6307354479334994E-4</v>
      </c>
      <c r="EC130" s="3">
        <f t="shared" ca="1" si="478"/>
        <v>-8.1538967474458596E-4</v>
      </c>
      <c r="EE130" s="59">
        <f t="shared" si="479"/>
        <v>2.7911000000000001</v>
      </c>
      <c r="EF130" s="59">
        <f t="shared" si="480"/>
        <v>2.0659999999999998</v>
      </c>
      <c r="EG130" s="59">
        <f t="shared" si="481"/>
        <v>0.24010000000000001</v>
      </c>
      <c r="EH130" s="59">
        <f t="shared" si="482"/>
        <v>0.25629999999999997</v>
      </c>
      <c r="EI130" s="59">
        <f t="shared" si="483"/>
        <v>0.22520000000000001</v>
      </c>
      <c r="EJ130" s="59">
        <f t="shared" si="484"/>
        <v>0.25080000000000002</v>
      </c>
      <c r="EL130" s="3" t="str">
        <f>RTD("tos.rtd",,EL$83,"."&amp;$B$82&amp;$AS$82&amp;"C"&amp;$A130)</f>
        <v>279.11%</v>
      </c>
      <c r="EM130" s="3" t="str">
        <f>RTD("tos.rtd",,EM$83,"."&amp;$B$82&amp;$AS$82&amp;"P"&amp;$A130)</f>
        <v>206.60%</v>
      </c>
      <c r="EN130" s="3" t="str">
        <f>RTD("tos.rtd",,EN$83,"."&amp;$C$82&amp;$AU$82&amp;"C"&amp;$A130)</f>
        <v>24.01%</v>
      </c>
      <c r="EO130" s="3" t="str">
        <f>RTD("tos.rtd",,EO$83,"."&amp;$C$82&amp;$AU$82&amp;"P"&amp;$A130)</f>
        <v>25.63%</v>
      </c>
      <c r="EP130" s="3" t="str">
        <f>RTD("tos.rtd",,EP$83,"."&amp;$D$82&amp;$AW$82&amp;"C"&amp;$A130)</f>
        <v>22.52%</v>
      </c>
      <c r="EQ130" s="3" t="str">
        <f>RTD("tos.rtd",,EQ$83,"."&amp;$D$82&amp;$AW$82&amp;"P"&amp;$A130)</f>
        <v>25.08%</v>
      </c>
      <c r="ET130" s="64" t="str">
        <f t="shared" ca="1" si="485"/>
        <v>5420,00.00</v>
      </c>
      <c r="EU130" s="67">
        <v>565.4</v>
      </c>
      <c r="EV130" s="67" t="s">
        <v>1059</v>
      </c>
      <c r="EW130" s="67">
        <v>487.18</v>
      </c>
      <c r="EX130" s="67" t="s">
        <v>1060</v>
      </c>
      <c r="EY130" s="67">
        <v>5670</v>
      </c>
      <c r="EZ130" s="67" t="s">
        <v>1061</v>
      </c>
      <c r="FA130" s="67">
        <v>20018.75</v>
      </c>
      <c r="FB130" s="67" t="s">
        <v>1062</v>
      </c>
      <c r="FC130" s="67" t="s">
        <v>1063</v>
      </c>
      <c r="FD130" s="67" t="s">
        <v>1064</v>
      </c>
      <c r="FE130" s="68" t="s">
        <v>1065</v>
      </c>
      <c r="FF130" s="68" t="s">
        <v>1066</v>
      </c>
    </row>
    <row r="131" spans="1:162" ht="13.5" thickBot="1" x14ac:dyDescent="0.25">
      <c r="A131" s="56"/>
      <c r="C131" s="35"/>
      <c r="D131" s="35"/>
      <c r="E131" s="35"/>
      <c r="F131" s="57"/>
      <c r="BH131" s="1" t="e">
        <f ca="1">MIN(BH85:BH130)</f>
        <v>#N/A</v>
      </c>
      <c r="BI131" s="1" t="str">
        <f ca="1">IFERROR(IF(MIN(BH85:BH130)&lt;&gt;0,INDEX(A85:A130,MATCH(MIN(BH85:BH130),BH85:BH130,0)),""),"")</f>
        <v/>
      </c>
      <c r="BP131" s="64" t="e">
        <f ca="1">INDEX(BQ131:BU131,MATCH(MAX(BQ84:BU84),BQ84:BU84,0))</f>
        <v>#NUM!</v>
      </c>
      <c r="BQ131" s="1" t="e">
        <f ca="1">IF(AND(BQ84&gt;0,ABS(MAX(BQ85:BQ130))&gt;ABS(MIN(BQ85:BQ130))),IF(MAX(BQ85:BQ130)&lt;&gt;0,INDEX($A85:$A130,MATCH(MAX(BQ85:BQ130),BQ85:BQ130,0)),""),"")</f>
        <v>#NUM!</v>
      </c>
      <c r="BS131" s="1">
        <f ca="1">IF(AND(BS84&gt;0,ABS(MAX(BS85:BS130))&gt;ABS(MIN(BS85:BS130))),IF(MAX(BS85:BS130)&lt;&gt;0,INDEX($A85:$A130,MATCH(MAX(BS85:BS130),BS85:BS130,0)),""),"")</f>
        <v>5700</v>
      </c>
      <c r="BU131" s="1">
        <f ca="1">IF(AND(BU84&gt;0,ABS(MAX(BU85:BU130))&gt;ABS(MIN(BU85:BU130))),IF(MAX(BU85:BU130)&lt;&gt;0,INDEX($A85:$A130,MATCH(MAX(BU85:BU130),BU85:BU130,0)),""),"")</f>
        <v>5800</v>
      </c>
      <c r="BW131" s="64" t="e">
        <f ca="1">INDEX(BX131:CB131,MATCH(MAX(BX84:CB84),BX84:CB84,0))</f>
        <v>#NUM!</v>
      </c>
      <c r="BX131" s="1" t="e">
        <f ca="1">IF(AND(BX84&gt;0,ABS(MAX(BX85:BX130))&gt;ABS(MIN(BX85:BX130))),IF(MAX(BX85:BX130)&lt;&gt;0,INDEX($A85:$A130,MATCH(MAX(BX85:BX130),BX85:BX130,0)),""),"")</f>
        <v>#NUM!</v>
      </c>
      <c r="BY131" s="1" t="e">
        <f ca="1">INDEX($A$85:$A$130,MATCH("Cruce -",BY85:BY130,)+1)</f>
        <v>#N/A</v>
      </c>
      <c r="BZ131" s="1">
        <f ca="1">IF(AND(BZ84&gt;0,ABS(MAX(BZ85:BZ130))&gt;ABS(MIN(BZ85:BZ130))),IF(MAX(BZ85:BZ130)&lt;&gt;0,INDEX($A85:$A130,MATCH(MAX(BZ85:BZ130),BZ85:BZ130,0)),""),"")</f>
        <v>5850</v>
      </c>
      <c r="CA131" s="1">
        <f ca="1">INDEX($A$85:$A$130,MATCH("Cruce -",CA85:CA130,)+1)</f>
        <v>5580</v>
      </c>
      <c r="CB131" s="1" t="str">
        <f ca="1">IF(AND(CB84&gt;0,ABS(MAX(CB85:CB130))&gt;ABS(MIN(CB85:CB130))),IF(MAX(CB85:CB130)&lt;&gt;0,INDEX($A85:$A130,MATCH(MAX(CB85:CB130),CB85:CB130,0)),""),"")</f>
        <v/>
      </c>
      <c r="CJ131" s="64">
        <f>INDEX(CK131:CO131,MATCH(MAX(CK84:CO84),CK84:CO84,0))</f>
        <v>5650</v>
      </c>
      <c r="CK131" s="1">
        <f>IF(AND(CK84&gt;0,ABS(MAX(CK85:CK130))&gt;ABS(MIN(CK85:CK130))),IF(MAX(CK85:CK130)&lt;&gt;0,INDEX($A85:$A130,MATCH(MAX(CK85:CK130),CK85:CK130,0)),""),"")</f>
        <v>5650</v>
      </c>
      <c r="CM131" s="1">
        <f>IF(AND(CM84&gt;0,ABS(MAX(CM85:CM130))&gt;ABS(MIN(CM85:CM130))),IF(MAX(CM85:CM130)&lt;&gt;0,INDEX($A85:$A130,MATCH(MAX(CM85:CM130),CM85:CM130,0)),""),"")</f>
        <v>5680</v>
      </c>
      <c r="CO131" s="1" t="str">
        <f>IF(AND(CO84&gt;0,ABS(MAX(CO85:CO130))&gt;ABS(MIN(CO85:CO130))),IF(MAX(CO85:CO130)&lt;&gt;0,INDEX($A85:$A130,MATCH(MAX(CO85:CO130),CO85:CO130,0)),""),"")</f>
        <v/>
      </c>
      <c r="CP131" s="1">
        <f>IF(ABS(MAX(CP85:CP130))&gt;ABS(MIN(CP85:CP130)),IF(MAX(CP85:CP130)&lt;&gt;0,INDEX($A85:$A130,MATCH(MAX(CP85:CP130),CP85:CP130,0)),""),"")</f>
        <v>5650</v>
      </c>
      <c r="CW131" s="1" t="e">
        <f ca="1">IF(ABS(MAX(CW85:CW130))&gt;ABS(MIN(CW85:CW130)),IF(MAX(CW85:CW130)&lt;&gt;0,INDEX($A85:$A130,MATCH(MAX(CW85:CW130),CW85:CW130,0)),""),"")</f>
        <v>#NUM!</v>
      </c>
      <c r="CY131" s="1" t="e">
        <f ca="1">IF(ABS(MAX(CY85:CY130))&gt;ABS(MIN(CY85:CY130)),IF(MAX(CY85:CY130)&lt;&gt;0,INDEX($A85:$A130,MATCH(MAX(CY85:CY130),CY85:CY130,0)),""),"")</f>
        <v>#NUM!</v>
      </c>
      <c r="DH131" s="1" t="str">
        <f t="shared" ref="DH131:DM131" si="527">IF(ABS(MAX(DH85:DH130))&gt;ABS(MIN(DH85:DH130)),IF(MAX(DH85:DH130)&lt;&gt;0,INDEX($A85:$A130,MATCH(MAX(DH85:DH130),DH85:DH130,0)),""),"")</f>
        <v/>
      </c>
      <c r="DI131" s="1" t="str">
        <f t="shared" si="527"/>
        <v/>
      </c>
      <c r="DJ131" s="89" t="str">
        <f>IF(AND(ABS(MAX(DJ85:DJ130))&gt;$DG$83,ABS(INDEX($DG$85:$DG$130,MATCH(MAX(DJ85:DJ130),DJ85:DJ130,0)))&lt;10,1),IF(MAX(DJ85:DJ130)&lt;&gt;0,INDEX($A85:$A130,MATCH(MAX(DJ85:DJ130),DJ85:DJ130,0)),""),"")</f>
        <v/>
      </c>
      <c r="DK131" s="89" t="str">
        <f>IF(AND(ABS(MAX(DK85:DK130))&gt;$DG$83,ABS(INDEX($DG$85:$DG$130,MATCH(MAX(DK85:DK130),DK85:DK130,0)))&lt;10,1),IF(MAX(DK85:DK130)&lt;&gt;0,INDEX($A85:$A130,MATCH(MAX(DK85:DK130),DK85:DK130,0)),""),"")</f>
        <v/>
      </c>
      <c r="DL131" s="1" t="str">
        <f t="shared" si="527"/>
        <v/>
      </c>
      <c r="DM131" s="1" t="str">
        <f t="shared" si="527"/>
        <v/>
      </c>
      <c r="DN131" s="64" t="str">
        <f>DJ131&amp;","&amp;DJ132&amp;","&amp;DK131&amp;","&amp;DK132</f>
        <v>,,,</v>
      </c>
      <c r="DP131" s="1" t="str">
        <f>IF(ABS(MAX(DP85:DP130))&gt;ABS(MIN(DP85:DP130)),IF(MAX(DP85:DP130)&lt;&gt;0,INDEX($A85:$A130,MATCH(MAX(DP85:DP130),DP85:DP130,0)),""),"")</f>
        <v/>
      </c>
      <c r="DQ131" s="1" t="str">
        <f>IF(ABS(MAX(DQ85:DQ130))&gt;ABS(MIN(DQ85:DQ130)),IF(MAX(DQ85:DQ130)&lt;&gt;0,INDEX($A85:$A130,MATCH(MAX(DQ85:DQ130),DQ85:DQ130,0)),""),"")</f>
        <v/>
      </c>
      <c r="DR131" s="1" t="e">
        <f ca="1">IF(ABS(MAX(DR85:DR130))&gt;ABS(MIN(DR85:DR130)),IF(MAX(DR85:DR130)&lt;&gt;0,INDEX($A85:$A130,MATCH(MAX(DR85:DR130),DR85:DR130,0)),""),"")</f>
        <v>#NUM!</v>
      </c>
      <c r="DS131" s="1" t="str">
        <f>IF(ABS(MAX(DS85:DS130))&gt;ABS(MIN(DS85:DS130)),IF(MAX(DS85:DS130)&lt;&gt;0,INDEX($A85:$A130,MATCH(MAX(DS85:DS130),DS85:DS130,0)),""),"")</f>
        <v/>
      </c>
      <c r="EU131" s="67">
        <v>565.28</v>
      </c>
      <c r="EV131" s="67" t="s">
        <v>1067</v>
      </c>
      <c r="EW131" s="67">
        <v>487</v>
      </c>
      <c r="EX131" s="67" t="s">
        <v>1068</v>
      </c>
      <c r="EY131" s="67">
        <v>5668.75</v>
      </c>
      <c r="EZ131" s="67" t="s">
        <v>1069</v>
      </c>
      <c r="FA131" s="67">
        <v>20012</v>
      </c>
      <c r="FB131" s="67" t="s">
        <v>1070</v>
      </c>
      <c r="FC131" s="67" t="s">
        <v>1071</v>
      </c>
      <c r="FD131" s="67" t="s">
        <v>1072</v>
      </c>
      <c r="FE131" s="68" t="s">
        <v>1073</v>
      </c>
      <c r="FF131" s="68" t="s">
        <v>1074</v>
      </c>
    </row>
    <row r="132" spans="1:162" x14ac:dyDescent="0.2">
      <c r="AP132" s="1">
        <v>5700</v>
      </c>
      <c r="AQ132" s="1">
        <v>5670</v>
      </c>
      <c r="BA132" s="1">
        <f>INDEX($A$85:$A$130,MATCH(MAX(BA85:BA130),BA85:BA130,0))</f>
        <v>5700</v>
      </c>
      <c r="BB132" s="38">
        <f>INDEX($A$85:$A$130,MATCH(MIN(BB85:BB130),BB85:BB130,0))</f>
        <v>5670</v>
      </c>
      <c r="BC132" s="1">
        <f>INDEX($A$85:$A$130,MATCH(MAX(BC85:BC130),BC85:BC130,0))</f>
        <v>5850</v>
      </c>
      <c r="BD132" s="38">
        <f>INDEX($A$85:$A$130,MATCH(MIN(BD85:BD130),BD85:BD130,0))</f>
        <v>5500</v>
      </c>
      <c r="BE132" s="1">
        <f>INDEX($A$85:$A$130,MATCH(MAX(BE85:BE130),BE85:BE130,0))</f>
        <v>5850</v>
      </c>
      <c r="BF132" s="38">
        <f>INDEX($A$85:$A$130,MATCH(MIN(BF85:BF130),BF85:BF130,0))</f>
        <v>5630</v>
      </c>
      <c r="BG132" s="38"/>
      <c r="BK132" s="38"/>
      <c r="BM132" s="38"/>
      <c r="BO132" s="38"/>
      <c r="BP132" s="64" t="e">
        <f ca="1">INDEX(BQ132:BU132,MATCH(MIN(BQ84:BU84),BQ84:BU84,0))</f>
        <v>#NUM!</v>
      </c>
      <c r="BQ132" s="1" t="e">
        <f ca="1">IF(AND(BQ84&lt;0,ABS(MIN(BQ85:BQ130))&gt;ABS(MAX(BQ85:BQ130))),IF(MIN(BQ85:BQ130)&lt;&gt;0,INDEX($A85:$A130,MATCH(MIN(BQ85:BQ130),BQ85:BQ130,0)),""),"")</f>
        <v>#NUM!</v>
      </c>
      <c r="BR132" s="38"/>
      <c r="BS132" s="1" t="str">
        <f ca="1">IF(AND(BS84&lt;0,ABS(MIN(BS85:BS130))&gt;ABS(MAX(BS85:BS130))),IF(MIN(BS85:BS130)&lt;&gt;0,INDEX($A85:$A130,MATCH(MIN(BS85:BS130),BS85:BS130,0)),""),"")</f>
        <v/>
      </c>
      <c r="BT132" s="38"/>
      <c r="BU132" s="1" t="str">
        <f ca="1">IF(AND(BU84&lt;0,ABS(MIN(BU85:BU130))&gt;ABS(MAX(BU85:BU130))),IF(MIN(BU85:BU130)&lt;&gt;0,INDEX($A85:$A130,MATCH(MIN(BU85:BU130),BU85:BU130,0)),""),"")</f>
        <v/>
      </c>
      <c r="BV132" s="38"/>
      <c r="BW132" s="64" t="e">
        <f ca="1">INDEX(BX132:CB132,MATCH(MIN(BX84:CB84),BX84:CB84,0))</f>
        <v>#NUM!</v>
      </c>
      <c r="BX132" s="1" t="e">
        <f ca="1">IF(AND(BX84&lt;0,ABS(MIN(BX85:BX130))&gt;ABS(MAX(BX85:BX130))),IF(MIN(BX85:BX130)&lt;&gt;0,INDEX($A85:$A130,MATCH(MIN(BX85:BX130),BX85:BX130,0)),""),"")</f>
        <v>#NUM!</v>
      </c>
      <c r="BY132" s="38" t="e">
        <f ca="1">INDEX($A$85:$A$130,MATCH("Cruce -",BY85:BY130,)-1)</f>
        <v>#N/A</v>
      </c>
      <c r="BZ132" s="1" t="str">
        <f ca="1">IF(AND(BZ84&lt;0,ABS(MIN(BZ85:BZ130))&gt;ABS(MAX(BZ85:BZ130))),IF(MIN(BZ85:BZ130)&lt;&gt;0,INDEX($A85:$A130,MATCH(MIN(BZ85:BZ130),BZ85:BZ130,0)),""),"")</f>
        <v/>
      </c>
      <c r="CA132" s="38">
        <f ca="1">INDEX($A$85:$A$130,MATCH("Cruce -",CA85:CA130,)-1)</f>
        <v>5600</v>
      </c>
      <c r="CB132" s="1">
        <f ca="1">IF(AND(CB84&lt;0,ABS(MIN(CB85:CB130))&gt;ABS(MAX(CB85:CB130))),IF(MIN(CB85:CB130)&lt;&gt;0,INDEX($A85:$A130,MATCH(MIN(CB85:CB130),CB85:CB130,0)),""),"")</f>
        <v>5630</v>
      </c>
      <c r="CC132" s="38"/>
      <c r="CE132" s="38"/>
      <c r="CG132" s="38"/>
      <c r="CI132" s="38"/>
      <c r="CJ132" s="64" t="str">
        <f>INDEX(CK132:CO132,MATCH(MIN(CK84:CO84),CK84:CO84,0))</f>
        <v/>
      </c>
      <c r="CK132" s="1" t="str">
        <f>IF(AND(CK84&lt;0,ABS(MIN(CK85:CK130))&gt;ABS(MAX(CK85:CK130))),IF(MIN(CK85:CK130)&lt;&gt;0,INDEX($A85:$A130,MATCH(MIN(CK85:CK130),CK85:CK130,0)),""),"")</f>
        <v/>
      </c>
      <c r="CL132" s="38"/>
      <c r="CM132" s="1" t="str">
        <f>IF(AND(CM84&lt;0,ABS(MIN(CM85:CM130))&gt;ABS(MAX(CM85:CM130))),IF(MIN(CM85:CM130)&lt;&gt;0,INDEX($A85:$A130,MATCH(MIN(CM85:CM130),CM85:CM130,0)),""),"")</f>
        <v/>
      </c>
      <c r="CN132" s="38"/>
      <c r="CO132" s="1" t="str">
        <f>IF(AND(CO84&lt;0,ABS(MIN(CO85:CO130))&gt;ABS(MAX(CO85:CO130))),IF(MIN(CO85:CO130)&lt;&gt;0,INDEX($A85:$A130,MATCH(MIN(CO85:CO130),CO85:CO130,0)),""),"")</f>
        <v/>
      </c>
      <c r="CP132" s="38" t="str">
        <f>IF(ABS(MIN(CP85:CP130))&gt;ABS(MAX(CP85:CP130)),IF(MIN(CP85:CP130)&lt;&gt;0,INDEX($A85:$A130,MATCH(MIN(CP85:CP130),CP85:CP130,0)),""),"")</f>
        <v/>
      </c>
      <c r="CR132" s="38"/>
      <c r="CT132" s="38"/>
      <c r="CV132" s="38"/>
      <c r="CW132" s="38" t="e">
        <f ca="1">IF(ABS(MIN(CW85:CW130))&gt;ABS(MAX(CW85:CW130)),IF(MIN(CW85:CW130)&lt;&gt;0,INDEX($A85:$A130,MATCH(MIN(CW85:CW130),CW85:CW130,0)),""),"")</f>
        <v>#NUM!</v>
      </c>
      <c r="CY132" s="38" t="e">
        <f ca="1">IF(ABS(MIN(CY85:CY130))&gt;ABS(MAX(CY85:CY130)),IF(MIN(CY85:CY130)&lt;&gt;0,INDEX($A85:$A130,MATCH(MIN(CY85:CY130),CY85:CY130,0)),""),"")</f>
        <v>#NUM!</v>
      </c>
      <c r="DB132" s="38"/>
      <c r="DD132" s="38"/>
      <c r="DH132" s="1" t="str">
        <f t="shared" ref="DH132:DM132" si="528">IF(ABS(MIN(DH85:DH130))&gt;ABS(MAX(DH85:DH130)),IF(MIN(DH85:DH130)&lt;&gt;0,INDEX($A85:$A130,MATCH(MIN(DH85:DH130),DH85:DH130,0)),""),"")</f>
        <v/>
      </c>
      <c r="DI132" s="38" t="str">
        <f t="shared" si="528"/>
        <v/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 t="str">
        <f>IF(AND(ABS(MIN(DK85:DK130))&gt;$DG$83,ABS(INDEX($DG$85:$DG$130,MATCH(MIN(DK85:DK130),DK85:DK130,0)))&lt;10,1),IF(MIN(DK85:DK130)&lt;&gt;0,INDEX($A85:$A130,MATCH(MIN(DK85:DK130),DK85:DK130,0)),""),"")</f>
        <v/>
      </c>
      <c r="DL132" s="1" t="str">
        <f t="shared" si="528"/>
        <v/>
      </c>
      <c r="DM132" s="1" t="str">
        <f t="shared" si="528"/>
        <v/>
      </c>
      <c r="DN132" s="64" t="str">
        <f ca="1">BI82&amp;","&amp;BI131</f>
        <v>,</v>
      </c>
      <c r="DP132" s="1" t="str">
        <f>IF(ABS(MIN(DP85:DP130))&gt;ABS(MAX(DP85:DP130)),IF(MIN(DP85:DP130)&lt;&gt;0,INDEX($A85:$A130,MATCH(MIN(DP85:DP130),DP85:DP130,0)),""),"")</f>
        <v/>
      </c>
      <c r="DQ132" s="38" t="str">
        <f>IF(ABS(MIN(DQ85:DQ130))&gt;ABS(MAX(DQ85:DQ130)),IF(MIN(DQ85:DQ130)&lt;&gt;0,INDEX($A85:$A130,MATCH(MIN(DQ85:DQ130),DQ85:DQ130,0)),""),"")</f>
        <v/>
      </c>
      <c r="DR132" s="1" t="e">
        <f ca="1">IF(ABS(MIN(DR85:DR130))&gt;ABS(MAX(DR85:DR130)),IF(MIN(DR85:DR130)&lt;&gt;0,INDEX($A85:$A130,MATCH(MIN(DR85:DR130),DR85:DR130,0)),""),"")</f>
        <v>#NUM!</v>
      </c>
      <c r="DS132" s="38" t="str">
        <f>IF(ABS(MIN(DS85:DS130))&gt;ABS(MAX(DS85:DS130)),IF(MIN(DS85:DS130)&lt;&gt;0,INDEX($A85:$A130,MATCH(MIN(DS85:DS130),DS85:DS130,0)),""),"")</f>
        <v/>
      </c>
      <c r="DW132" s="38"/>
      <c r="DY132" s="38"/>
      <c r="EA132" s="38"/>
      <c r="EF132" s="38"/>
      <c r="EH132" s="38"/>
      <c r="EM132" s="38"/>
      <c r="EO132" s="38"/>
      <c r="EU132" s="67">
        <v>565.25</v>
      </c>
      <c r="EV132" s="67" t="s">
        <v>1075</v>
      </c>
      <c r="EW132" s="67">
        <v>487.09</v>
      </c>
      <c r="EX132" s="67" t="s">
        <v>1076</v>
      </c>
      <c r="EY132" s="67">
        <v>5668.25</v>
      </c>
      <c r="EZ132" s="67" t="s">
        <v>1077</v>
      </c>
      <c r="FA132" s="67">
        <v>20016.5</v>
      </c>
      <c r="FB132" s="67" t="s">
        <v>1078</v>
      </c>
      <c r="FC132" s="67" t="s">
        <v>1079</v>
      </c>
      <c r="FD132" s="67" t="s">
        <v>1080</v>
      </c>
      <c r="FE132" s="68" t="s">
        <v>1081</v>
      </c>
      <c r="FF132" s="68" t="s">
        <v>1082</v>
      </c>
    </row>
    <row r="133" spans="1:162" ht="13.5" thickBot="1" x14ac:dyDescent="0.25">
      <c r="A133" s="49">
        <v>20</v>
      </c>
      <c r="D133" s="50">
        <f>+F136-100</f>
        <v>20092</v>
      </c>
      <c r="E133" s="82">
        <v>20000</v>
      </c>
      <c r="EU133" s="67">
        <v>565.09</v>
      </c>
      <c r="EV133" s="67" t="s">
        <v>1083</v>
      </c>
      <c r="EW133" s="67">
        <v>486.88</v>
      </c>
      <c r="EX133" s="67" t="s">
        <v>1084</v>
      </c>
      <c r="EY133" s="67">
        <v>5666.75</v>
      </c>
      <c r="EZ133" s="67" t="s">
        <v>1085</v>
      </c>
      <c r="FA133" s="67">
        <v>20007.25</v>
      </c>
      <c r="FB133" s="67" t="s">
        <v>1086</v>
      </c>
      <c r="FC133" s="67" t="s">
        <v>1087</v>
      </c>
      <c r="FD133" s="67" t="s">
        <v>1088</v>
      </c>
      <c r="FE133" s="68" t="s">
        <v>1089</v>
      </c>
      <c r="FF133" s="68" t="s">
        <v>1090</v>
      </c>
    </row>
    <row r="134" spans="1:162" ht="13.5" thickBot="1" x14ac:dyDescent="0.25">
      <c r="A134" s="20" t="s">
        <v>14</v>
      </c>
      <c r="B134" s="45" t="s">
        <v>58</v>
      </c>
      <c r="C134" s="45" t="s">
        <v>58</v>
      </c>
      <c r="D134" s="45" t="s">
        <v>14</v>
      </c>
      <c r="E134" s="20">
        <f>RTD("tos.rtd", ,"MARK", A135)</f>
        <v>20102.614000000001</v>
      </c>
      <c r="F134" s="20">
        <f>+[3]Sheet1!$AD$2</f>
        <v>5826.8235213891576</v>
      </c>
      <c r="AP134" s="1">
        <v>250502</v>
      </c>
      <c r="AS134" s="22" t="str">
        <f>+B135</f>
        <v>250502</v>
      </c>
      <c r="AT134" s="22"/>
      <c r="AU134" s="22" t="str">
        <f>+C135</f>
        <v>250509</v>
      </c>
      <c r="AV134" s="22"/>
      <c r="AW134" s="22" t="str">
        <f>+D135</f>
        <v>250516</v>
      </c>
      <c r="AX134" s="22"/>
      <c r="BA134" s="22" t="str">
        <f>+B135</f>
        <v>250502</v>
      </c>
      <c r="BB134" s="22"/>
      <c r="BC134" s="22" t="str">
        <f>+C135</f>
        <v>250509</v>
      </c>
      <c r="BD134" s="22"/>
      <c r="BE134" s="22" t="str">
        <f>+D135</f>
        <v>250516</v>
      </c>
      <c r="BF134" s="22"/>
      <c r="BG134" s="96"/>
      <c r="BH134" s="1" t="e">
        <f ca="1">MAX(BH137:BH189)</f>
        <v>#N/A</v>
      </c>
      <c r="BI134" s="1" t="str">
        <f ca="1">IFERROR(IF(MAX(BH137:BH189)&lt;&gt;0,INDEX(A137:A189,MATCH(MAX(BH137:BH189),BH137:BH189,0)),""),"")</f>
        <v/>
      </c>
      <c r="BJ134" s="22"/>
      <c r="BK134" s="22"/>
      <c r="BL134" s="22"/>
      <c r="BM134" s="22"/>
      <c r="BN134" s="22"/>
      <c r="BO134" s="22"/>
      <c r="BQ134" s="22" t="e">
        <f ca="1">IF(BR134&gt;BS134,IF(MAX(BQ137:BQ189)&lt;&gt;0,INDEX(A137:A189,MATCH(MAX(BQ137:BQ189),BQ137:BQ189,0)),A136),IF(MIN(BQ137:BQ189)&lt;&gt;0,INDEX(A137:A189,MATCH(MIN(BQ137:BQ189),BQ137:BQ189,0))))</f>
        <v>#NUM!</v>
      </c>
      <c r="BR134" s="22" t="e">
        <f ca="1">+MAX(BQ137:BQ189)</f>
        <v>#NUM!</v>
      </c>
      <c r="BS134" s="22" t="e">
        <f ca="1">ABS(MIN(BQ137:BQ189))</f>
        <v>#NUM!</v>
      </c>
      <c r="BT134" s="22"/>
      <c r="BU134" s="22"/>
      <c r="BV134" s="22"/>
      <c r="BX134" s="22" t="e">
        <f ca="1">IF(BY134&gt;BZ134,IF(MAX(BX137:BX189)&lt;&gt;0,INDEX(G137:G189,MATCH(MAX(BX137:BX189),BX137:BX189,0)),G136),IF(MIN(BX137:BX189)&lt;&gt;0,INDEX(G137:G189,MATCH(MIN(BX137:BX189),BX137:BX189,0))))</f>
        <v>#NUM!</v>
      </c>
      <c r="BY134" s="22" t="e">
        <f ca="1">+MAX(BX137:BX189)</f>
        <v>#NUM!</v>
      </c>
      <c r="BZ134" s="22" t="e">
        <f ca="1">ABS(MIN(BX137:BX189))</f>
        <v>#NUM!</v>
      </c>
      <c r="CA134" s="22"/>
      <c r="CB134" s="22"/>
      <c r="CC134" s="22" t="e">
        <f ca="1">+AVERAGE(BY190:BY191,CA190:CA191,CC190:CC191)</f>
        <v>#N/A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9875</v>
      </c>
      <c r="CM134" s="22">
        <f>ABS(MIN(CK137:CK189))</f>
        <v>819</v>
      </c>
      <c r="CN134" s="22"/>
      <c r="CO134" s="22"/>
      <c r="CP134" s="22"/>
      <c r="CQ134" s="22">
        <f>IF(CR134&gt;CS134,IF(MAX(CQ137:CQ189)&lt;&gt;0,INDEX(G137:G189,MATCH(MAX(CQ137:CQ189),CQ137:CQ189,0)),G136),IF(MIN(CQ137:CQ189)&lt;&gt;0,INDEX(G137:G189,MATCH(MIN(CQ137:CQ189),CQ137:CQ189,0))))</f>
        <v>491.58829384829784</v>
      </c>
      <c r="CR134" s="22">
        <f>+MAX(CQ137:CQ189)</f>
        <v>1902</v>
      </c>
      <c r="CS134" s="22">
        <f>ABS(MIN(CQ137:CQ189))</f>
        <v>804</v>
      </c>
      <c r="CT134" s="22"/>
      <c r="CU134" s="22"/>
      <c r="CV134" s="22"/>
      <c r="CW134" s="22" t="e">
        <f ca="1">IF(CX134&gt;CY134,IF(MAX(CW137:CW189)&lt;&gt;0,INDEX(M137:M189,MATCH(MAX(CW137:CW189),CW137:CW189,0)),M136),IF(MIN(CW137:CW189)&lt;&gt;0,INDEX(M137:M189,MATCH(MIN(CW137:CW189),CW137:CW189,0))))</f>
        <v>#NUM!</v>
      </c>
      <c r="CX134" s="61" t="e">
        <f ca="1">+MAX(CW137:CW189)</f>
        <v>#NUM!</v>
      </c>
      <c r="CY134" s="22" t="e">
        <f ca="1">ABS(MIN(CW137:CW189))</f>
        <v>#NUM!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565.22</v>
      </c>
      <c r="EV134" s="67" t="s">
        <v>1091</v>
      </c>
      <c r="EW134" s="67">
        <v>486.89</v>
      </c>
      <c r="EX134" s="67" t="s">
        <v>1092</v>
      </c>
      <c r="EY134" s="67">
        <v>5668</v>
      </c>
      <c r="EZ134" s="67" t="s">
        <v>1093</v>
      </c>
      <c r="FA134" s="67">
        <v>20008.25</v>
      </c>
      <c r="FB134" s="67" t="s">
        <v>1094</v>
      </c>
      <c r="FC134" s="67" t="s">
        <v>1095</v>
      </c>
      <c r="FD134" s="67" t="s">
        <v>1096</v>
      </c>
      <c r="FE134" s="68" t="s">
        <v>1097</v>
      </c>
      <c r="FF134" s="68" t="s">
        <v>1098</v>
      </c>
    </row>
    <row r="135" spans="1:162" ht="13.5" thickBot="1" x14ac:dyDescent="0.25">
      <c r="A135" s="45" t="s">
        <v>14</v>
      </c>
      <c r="B135" s="45" t="str">
        <f>+B83</f>
        <v>250502</v>
      </c>
      <c r="C135" s="45" t="str">
        <f>+C83</f>
        <v>250509</v>
      </c>
      <c r="D135" s="45" t="str">
        <f>+D83</f>
        <v>250516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50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565.09</v>
      </c>
      <c r="EV135" s="67" t="s">
        <v>1100</v>
      </c>
      <c r="EW135" s="67">
        <v>486.77</v>
      </c>
      <c r="EX135" s="67" t="s">
        <v>1101</v>
      </c>
      <c r="EY135" s="67">
        <v>5666.75</v>
      </c>
      <c r="EZ135" s="67" t="s">
        <v>1102</v>
      </c>
      <c r="FA135" s="67">
        <v>20003</v>
      </c>
      <c r="FB135" s="67" t="s">
        <v>1103</v>
      </c>
      <c r="FC135" s="67" t="s">
        <v>1104</v>
      </c>
      <c r="FD135" s="67" t="s">
        <v>1105</v>
      </c>
      <c r="FE135" s="68" t="s">
        <v>1106</v>
      </c>
      <c r="FF135" s="68" t="s">
        <v>1107</v>
      </c>
    </row>
    <row r="136" spans="1:162" ht="13.5" thickBot="1" x14ac:dyDescent="0.25">
      <c r="A136" s="46">
        <f>+D133</f>
        <v>20092</v>
      </c>
      <c r="B136" s="27">
        <f>+AS136/AT136</f>
        <v>-2.4478371501272265</v>
      </c>
      <c r="C136" s="27">
        <f>+AU136/AV136</f>
        <v>-2.9302325581395348</v>
      </c>
      <c r="D136" s="27">
        <f>+AW136/AX136</f>
        <v>-1.0713224368499257</v>
      </c>
      <c r="E136" s="28">
        <v>0</v>
      </c>
      <c r="F136" s="47">
        <f>RTD("tos.rtd", ,"MARK", F135)</f>
        <v>20192</v>
      </c>
      <c r="G136" s="58">
        <f>RTD("tos.rtd", ,"MARK", G135)</f>
        <v>488.96</v>
      </c>
      <c r="AO136" s="1">
        <v>0</v>
      </c>
      <c r="AP136" s="1">
        <v>8050</v>
      </c>
      <c r="AQ136" s="1">
        <v>-7445</v>
      </c>
      <c r="AS136" s="13">
        <f t="shared" ref="AS136:AX136" si="529">SUM(AS137:AS189)</f>
        <v>962</v>
      </c>
      <c r="AT136" s="29">
        <f t="shared" si="529"/>
        <v>-393</v>
      </c>
      <c r="AU136" s="13">
        <f t="shared" si="529"/>
        <v>126</v>
      </c>
      <c r="AV136" s="29">
        <f t="shared" si="529"/>
        <v>-43</v>
      </c>
      <c r="AW136" s="13">
        <f t="shared" si="529"/>
        <v>721</v>
      </c>
      <c r="AX136" s="29">
        <f t="shared" si="529"/>
        <v>-673</v>
      </c>
      <c r="AY136" s="29">
        <f>SUM(AY137:AY189)</f>
        <v>700</v>
      </c>
      <c r="AZ136" s="1">
        <v>0</v>
      </c>
      <c r="BA136" s="13">
        <f t="shared" ref="BA136:BF136" si="530">SUM(BA137:BA189)</f>
        <v>8050</v>
      </c>
      <c r="BB136" s="29">
        <f t="shared" si="530"/>
        <v>-7445</v>
      </c>
      <c r="BC136" s="13">
        <f t="shared" si="530"/>
        <v>101</v>
      </c>
      <c r="BD136" s="29">
        <f t="shared" si="530"/>
        <v>-87</v>
      </c>
      <c r="BE136" s="13">
        <f t="shared" si="530"/>
        <v>27</v>
      </c>
      <c r="BF136" s="29">
        <f t="shared" si="530"/>
        <v>-82</v>
      </c>
      <c r="BG136" s="29"/>
      <c r="BH136" s="29" t="e">
        <f ca="1">SUM(BH137:BH189)</f>
        <v>#N/A</v>
      </c>
      <c r="BJ136" s="30" t="e">
        <f t="shared" ref="BJ136:BO136" ca="1" si="531">SUM(BJ137:BJ189)</f>
        <v>#NUM!</v>
      </c>
      <c r="BK136" s="31" t="e">
        <f t="shared" ca="1" si="531"/>
        <v>#NUM!</v>
      </c>
      <c r="BL136" s="30">
        <f t="shared" ca="1" si="531"/>
        <v>2.3979710512278162E-2</v>
      </c>
      <c r="BM136" s="31">
        <f t="shared" ca="1" si="531"/>
        <v>-2.3793504356733452E-2</v>
      </c>
      <c r="BN136" s="30">
        <f t="shared" ca="1" si="531"/>
        <v>2.4045779040345987E-2</v>
      </c>
      <c r="BO136" s="31">
        <f t="shared" ca="1" si="531"/>
        <v>-2.3769744021226048E-2</v>
      </c>
      <c r="BQ136" s="30" t="e">
        <f ca="1">SUM(BQ137:BQ189)</f>
        <v>#NUM!</v>
      </c>
      <c r="BR136" s="31"/>
      <c r="BS136" s="30">
        <f ca="1">SUM(BS137:BS189)</f>
        <v>1383269.7634614927</v>
      </c>
      <c r="BT136" s="31"/>
      <c r="BU136" s="30">
        <f ca="1">SUM(BU137:BU189)</f>
        <v>1707147.9163391846</v>
      </c>
      <c r="BV136" s="31"/>
      <c r="BX136" s="30" t="e">
        <f ca="1">SUM(BX137:BX189)</f>
        <v>#NUM!</v>
      </c>
      <c r="BY136" s="31"/>
      <c r="BZ136" s="30">
        <f ca="1">SUM(BZ137:BZ189)</f>
        <v>4146.8704268825895</v>
      </c>
      <c r="CA136" s="31"/>
      <c r="CB136" s="30">
        <f ca="1">SUM(CB137:CB189)</f>
        <v>-4535.0971994743759</v>
      </c>
      <c r="CC136" s="31"/>
      <c r="CD136" s="30">
        <f t="shared" ref="CD136:CI136" si="532">SUM(CD154:CD188)</f>
        <v>34.549999999999997</v>
      </c>
      <c r="CE136" s="31">
        <f t="shared" si="532"/>
        <v>2.2800000000000007</v>
      </c>
      <c r="CF136" s="30">
        <f t="shared" si="532"/>
        <v>4.8000000000000007</v>
      </c>
      <c r="CG136" s="31">
        <f t="shared" si="532"/>
        <v>2.2399999999999998</v>
      </c>
      <c r="CH136" s="30">
        <f t="shared" si="532"/>
        <v>4.57</v>
      </c>
      <c r="CI136" s="31">
        <f t="shared" si="532"/>
        <v>2.4900000000000002</v>
      </c>
      <c r="CK136" s="30">
        <f>SUM(CK137:CK188)</f>
        <v>61417</v>
      </c>
      <c r="CL136" s="31"/>
      <c r="CM136" s="30">
        <f>SUM(CM137:CM188)</f>
        <v>6142</v>
      </c>
      <c r="CN136" s="31"/>
      <c r="CO136" s="30">
        <f>SUM(CO137:CO188)</f>
        <v>13639</v>
      </c>
      <c r="CP136" s="31">
        <f t="shared" ref="CP136:CP189" si="533">+CK136+CM136+CO136</f>
        <v>81198</v>
      </c>
      <c r="CQ136" s="30">
        <f>SUM(CQ137:CQ189)</f>
        <v>605</v>
      </c>
      <c r="CR136" s="31"/>
      <c r="CS136" s="30">
        <f>SUM(CS137:CS189)</f>
        <v>14</v>
      </c>
      <c r="CT136" s="31"/>
      <c r="CU136" s="30">
        <f>SUM(CU137:CU189)</f>
        <v>-55</v>
      </c>
      <c r="CV136" s="31"/>
      <c r="CW136" s="31" t="e">
        <f ca="1">SUM(CW137:CW189)</f>
        <v>#NUM!</v>
      </c>
      <c r="CY136" s="31" t="e">
        <f ca="1">SUM(CY137:CY189)</f>
        <v>#NUM!</v>
      </c>
      <c r="DA136" s="30">
        <f t="shared" ref="DA136:DB136" si="534">SUM(DA137:DA189)</f>
        <v>9229.64</v>
      </c>
      <c r="DB136" s="31">
        <f t="shared" si="534"/>
        <v>1737.6</v>
      </c>
      <c r="DC136" s="30">
        <f t="shared" ref="DC136:DF136" si="535">SUM(DC137:DC189)</f>
        <v>13316.55</v>
      </c>
      <c r="DD136" s="31">
        <f t="shared" si="535"/>
        <v>3129.8500000000035</v>
      </c>
      <c r="DE136" s="30">
        <f t="shared" si="535"/>
        <v>11730.599999999999</v>
      </c>
      <c r="DF136" s="30">
        <f t="shared" si="535"/>
        <v>2354.4500000000003</v>
      </c>
      <c r="DH136" s="30" t="e">
        <f t="shared" ref="DH136:DM136" si="536">SUM(DH137:DH189)</f>
        <v>#DIV/0!</v>
      </c>
      <c r="DI136" s="31" t="e">
        <f t="shared" si="536"/>
        <v>#DIV/0!</v>
      </c>
      <c r="DJ136" s="30">
        <f t="shared" si="536"/>
        <v>0</v>
      </c>
      <c r="DK136" s="31">
        <f t="shared" si="536"/>
        <v>0</v>
      </c>
      <c r="DL136" s="30" t="e">
        <f t="shared" si="536"/>
        <v>#DIV/0!</v>
      </c>
      <c r="DM136" s="30">
        <f t="shared" si="536"/>
        <v>0</v>
      </c>
      <c r="DP136" s="30" t="e">
        <f>SUM(DP137:DP189)</f>
        <v>#DIV/0!</v>
      </c>
      <c r="DQ136" s="31">
        <f>SUM(DQ137:DQ189)</f>
        <v>0</v>
      </c>
      <c r="DR136" s="30" t="e">
        <f ca="1">SUM(DR137:DR189)</f>
        <v>#NUM!</v>
      </c>
      <c r="DS136" s="31">
        <f>SUM(DS137:DS189)</f>
        <v>0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537">SUM(EE137:EE189)</f>
        <v>18.756799999999998</v>
      </c>
      <c r="EF136" s="31">
        <f t="shared" si="537"/>
        <v>65.18780000000001</v>
      </c>
      <c r="EG136" s="30">
        <f t="shared" si="537"/>
        <v>12.995799999999997</v>
      </c>
      <c r="EH136" s="31">
        <f t="shared" si="537"/>
        <v>13.117599999999998</v>
      </c>
      <c r="EI136" s="30">
        <f t="shared" si="537"/>
        <v>12.954599999999999</v>
      </c>
      <c r="EJ136" s="30">
        <f t="shared" si="537"/>
        <v>13.124600000000001</v>
      </c>
      <c r="EL136" s="30">
        <f t="shared" ref="EL136:EQ136" si="538">SUM(EL137:EL189)</f>
        <v>0</v>
      </c>
      <c r="EM136" s="31">
        <f t="shared" si="538"/>
        <v>0</v>
      </c>
      <c r="EN136" s="30">
        <f t="shared" si="538"/>
        <v>0</v>
      </c>
      <c r="EO136" s="31">
        <f t="shared" si="538"/>
        <v>0</v>
      </c>
      <c r="EP136" s="30">
        <f t="shared" si="538"/>
        <v>0</v>
      </c>
      <c r="EQ136" s="30">
        <f t="shared" si="538"/>
        <v>0</v>
      </c>
      <c r="EU136" s="67">
        <v>565.17999999999995</v>
      </c>
      <c r="EV136" s="67" t="s">
        <v>1108</v>
      </c>
      <c r="EW136" s="67">
        <v>486.85</v>
      </c>
      <c r="EX136" s="67" t="s">
        <v>1109</v>
      </c>
      <c r="EY136" s="67">
        <v>5667.5</v>
      </c>
      <c r="EZ136" s="67" t="s">
        <v>1110</v>
      </c>
      <c r="FA136" s="67">
        <v>20006.5</v>
      </c>
      <c r="FB136" s="67" t="s">
        <v>1111</v>
      </c>
      <c r="FC136" s="67" t="s">
        <v>1112</v>
      </c>
      <c r="FD136" s="67" t="s">
        <v>1113</v>
      </c>
      <c r="FE136" s="68" t="s">
        <v>1114</v>
      </c>
      <c r="FF136" s="68" t="s">
        <v>1115</v>
      </c>
    </row>
    <row r="137" spans="1:162" ht="11.1" customHeight="1" thickBot="1" x14ac:dyDescent="0.25">
      <c r="A137" s="2">
        <f>ROUND(E133/A133,0)*A133+22*A133</f>
        <v>20440</v>
      </c>
      <c r="B137" s="3">
        <f>+IF($A$1="ABS",AS137-AT137,AS137+AT137)</f>
        <v>0</v>
      </c>
      <c r="C137" s="3">
        <f>+IF($A$1="ABS",AU137-AV137,AU137+AV137)</f>
        <v>0</v>
      </c>
      <c r="D137" s="3">
        <f>+IF($A$1="ABS",AW137-AX137,AW137+AX137)</f>
        <v>0</v>
      </c>
      <c r="E137" s="3">
        <f>SUM(B137:D137)</f>
        <v>0</v>
      </c>
      <c r="F137" s="4">
        <f>+$F$136/$A$136*A137</f>
        <v>20541.732032649812</v>
      </c>
      <c r="G137" s="5">
        <f>+$G$136/$A$136*A137</f>
        <v>497.42894684451522</v>
      </c>
      <c r="AM137" s="1">
        <v>14</v>
      </c>
      <c r="AN137" s="1">
        <v>0</v>
      </c>
      <c r="AO137" s="1">
        <v>20440</v>
      </c>
      <c r="AP137" s="1">
        <v>0</v>
      </c>
      <c r="AQ137" s="1">
        <v>0</v>
      </c>
      <c r="AS137" s="73">
        <f>IF(RTD("tos.rtd",,AS$83,"."&amp;$B$134&amp;$AS$82&amp;"C"&amp;$A137)="N/A",0,RTD("tos.rtd",,AS$83,"."&amp;$B$134&amp;$AS$82&amp;"C"&amp;$A137))</f>
        <v>0</v>
      </c>
      <c r="AT137" s="28">
        <f>-IF(RTD("tos.rtd",,AT$83,"."&amp;$B$134&amp;$AS$82&amp;"P"&amp;$A137)="N/A",0,RTD("tos.rtd",,AT$83,"."&amp;$B$134&amp;$AS$82&amp;"P"&amp;$A137))</f>
        <v>0</v>
      </c>
      <c r="AU137" s="73">
        <f>IF(RTD("tos.rtd",,AU$2,"."&amp;$C$134&amp;$AU$134&amp;"C"&amp;$A137)="N/A",0,RTD("tos.rtd",,AU$2,"."&amp;$C$134&amp;$AU$134&amp;"C"&amp;$A137))</f>
        <v>0</v>
      </c>
      <c r="AV137" s="28">
        <f>-IF(RTD("tos.rtd",,AV$2,"."&amp;$C$134&amp;$AU$134&amp;"P"&amp;$A137)="N/A",0,RTD("tos.rtd",,AV$2,"."&amp;$C$134&amp;$AU$134&amp;"P"&amp;$A137))</f>
        <v>0</v>
      </c>
      <c r="AW137" s="73">
        <f>IF(RTD("tos.rtd",,AW$2,"."&amp;$D$134&amp;$AW$134&amp;"C"&amp;$A137)="N/A",0,RTD("tos.rtd",,AW$2,"."&amp;$D$134&amp;$AW$134&amp;"C"&amp;$A137))</f>
        <v>0</v>
      </c>
      <c r="AX137" s="28">
        <f>-IF(RTD("tos.rtd",,AX$2,"."&amp;$D$134&amp;$AW$134&amp;"P"&amp;$A137)="N/A",0,RTD("tos.rtd",,AX$2,"."&amp;$D$134&amp;$AW$134&amp;"P"&amp;$A137))</f>
        <v>0</v>
      </c>
      <c r="AY137" s="75">
        <f>SUM(AS137:AX137)</f>
        <v>0</v>
      </c>
      <c r="AZ137" s="8">
        <f t="shared" ref="AZ137:AZ189" si="539">+A137</f>
        <v>20440</v>
      </c>
      <c r="BA137" s="73">
        <f>IF(RTD("tos.rtd",,BA$43,"."&amp;$B$134&amp;$AS$82&amp;"C"&amp;$A137)="N/A",0,RTD("tos.rtd",,BA$43,"."&amp;$B$134&amp;$AS$82&amp;"C"&amp;$A137))</f>
        <v>0</v>
      </c>
      <c r="BB137" s="28">
        <f>-IF(RTD("tos.rtd",,BB$43,"."&amp;$B$134&amp;$AS$82&amp;"P"&amp;$A137)="N/A",0,RTD("tos.rtd",,BB$43,"."&amp;$B$134&amp;$AS$82&amp;"P"&amp;$A137))</f>
        <v>0</v>
      </c>
      <c r="BC137" s="73">
        <f>IF(RTD("tos.rtd",,BC$2,"."&amp;$C$134&amp;$AU$82&amp;"C"&amp;$A137)="N/A",0,RTD("tos.rtd",,BC$2,"."&amp;$C$134&amp;$AU$82&amp;"C"&amp;$A137))</f>
        <v>0</v>
      </c>
      <c r="BD137" s="28">
        <f>-IF(RTD("tos.rtd",,BD$2,"."&amp;$C$134&amp;$AU$82&amp;"P"&amp;$A137)="N/A",0,RTD("tos.rtd",,BD$2,"."&amp;$C$134&amp;$AU$82&amp;"P"&amp;$A137))</f>
        <v>0</v>
      </c>
      <c r="BE137" s="73">
        <f>IF(RTD("tos.rtd",,BE$2,"."&amp;$D$134&amp;$AW$82&amp;"C"&amp;$A137)="N/A",0,RTD("tos.rtd",,BE$2,"."&amp;$D$134&amp;$AW$82&amp;"C"&amp;$A137))</f>
        <v>0</v>
      </c>
      <c r="BF137" s="28">
        <f>-IF(RTD("tos.rtd",,BF$2,"."&amp;$D$134&amp;$AW$82&amp;"P"&amp;$A137)="N/A",0,RTD("tos.rtd",,BF$2,"."&amp;$D$134&amp;$AW$82&amp;"P"&amp;$A137))</f>
        <v>0</v>
      </c>
      <c r="BG137" s="28" t="e">
        <f ca="1">+Hoja2!Y138</f>
        <v>#N/A</v>
      </c>
      <c r="BH137" s="31" t="e">
        <f t="shared" ref="BH137:BH189" ca="1" si="540">SUM(BA137:BG137)</f>
        <v>#N/A</v>
      </c>
      <c r="BJ137" s="3" t="e">
        <f ca="1">IF($BP$1=1,DX137,IF(RTD("tos.rtd",,BJ$43,"."&amp;$B$134&amp;$AS$82&amp;"C"&amp;$A137)="N/A",0,RTD("tos.rtd",,BJ$43,"."&amp;$B$134&amp;$AS$82&amp;"C"&amp;$A137)))</f>
        <v>#NUM!</v>
      </c>
      <c r="BK137" s="3" t="e">
        <f ca="1">IF($BP$1=1,DY137,-IF(RTD("tos.rtd",,BK$43,"."&amp;$B$134&amp;$AS$82&amp;"P"&amp;$A137)="N/A",0,RTD("tos.rtd",,BK$43,"."&amp;$B$134&amp;$AS$82&amp;"P"&amp;$A137)))</f>
        <v>#NUM!</v>
      </c>
      <c r="BL137" s="3">
        <f ca="1">IF($BP$1=1,DZ137,IF(RTD("tos.rtd",,BL$2,"."&amp;$C$134&amp;$AU$82&amp;"C"&amp;$A137)="N/A",0,RTD("tos.rtd",,BL$2,"."&amp;$C$134&amp;$AU$82&amp;"C"&amp;$A137)))</f>
        <v>4.5614880177438199E-4</v>
      </c>
      <c r="BM137" s="3">
        <f ca="1">IF($BP$1=1,EA137,-IF(RTD("tos.rtd",,BM$2,"."&amp;$C$134&amp;$AU$82&amp;"P"&amp;$A137)="N/A",0,RTD("tos.rtd",,BM$2,"."&amp;$C$134&amp;$AU$82&amp;"P"&amp;$A137)))</f>
        <v>-4.5614880177438199E-4</v>
      </c>
      <c r="BN137" s="3">
        <f ca="1">IF($BP$1=1,EB137,IF(RTD("tos.rtd",,BN$2,"."&amp;$D$134&amp;$AW$82&amp;"C"&amp;$A137)="N/A",0,RTD("tos.rtd",,BN$2,"."&amp;$D$134&amp;$AW$82&amp;"C"&amp;$A137)))</f>
        <v>4.5614880177438199E-4</v>
      </c>
      <c r="BO137" s="3">
        <f ca="1">IF($BP$1=1,EC137,-IF(RTD("tos.rtd",,BO$2,"."&amp;$D$134&amp;$AW$82&amp;"P"&amp;$A137)="N/A",0,RTD("tos.rtd",,BO$2,"."&amp;$D$134&amp;$AW$82&amp;"P"&amp;$A137)))</f>
        <v>-4.5614880177438199E-4</v>
      </c>
      <c r="BQ137" s="3" t="e">
        <f ca="1">+$A$84*$A$84*AS137*BJ137-$A$84*$A$84*AT137*BK137</f>
        <v>#NUM!</v>
      </c>
      <c r="BR137" s="3" t="e">
        <f t="shared" ref="BR137:BR188" ca="1" si="541">IF(AND(BQ137&lt;0,BQ136&gt;0), "Cruce -", IF(AND(BQ137&gt;0,BQ136&lt;0),"Cruce +", ""))</f>
        <v>#NUM!</v>
      </c>
      <c r="BS137" s="3">
        <f ca="1">+$A$84*$A$84*AU137*BL137-$A$84*$A$84*AV137*BM137</f>
        <v>0</v>
      </c>
      <c r="BT137" s="3" t="str">
        <f t="shared" ref="BT137:BV188" ca="1" si="542">IF(AND(BS137&lt;0,BS136&gt;0), "Cruce -", IF(AND(BS137&gt;0,BS136&lt;0),"Cruce +", ""))</f>
        <v/>
      </c>
      <c r="BU137" s="3">
        <f ca="1">+$A$84*$A$84*AW137*BN137-$A$84*$A$84*AX137*BO137</f>
        <v>0</v>
      </c>
      <c r="BV137" s="3"/>
      <c r="BX137" s="3" t="e">
        <f ca="1">+$A$44*$A$44*BA137*BJ137-$A$44*$A$44*BB137*BK137</f>
        <v>#NUM!</v>
      </c>
      <c r="BY137" s="3"/>
      <c r="BZ137" s="3">
        <f ca="1">+$A$44*$A$44*BC137*BL137-$A$44*$A$44*BD137*BM137</f>
        <v>0</v>
      </c>
      <c r="CA137" s="3"/>
      <c r="CB137" s="3">
        <f ca="1">+$A$44*$A$44*BE137*BN137-$A$44*$A$44*BF137*BO137</f>
        <v>0</v>
      </c>
      <c r="CC137" s="3"/>
      <c r="CD137" s="3">
        <f>IF(RTD("tos.rtd",,CD$43,"."&amp;$B$134&amp;$AS$82&amp;"C"&amp;$A137)="N/A",0,RTD("tos.rtd",,CD$43,"."&amp;$B$134&amp;$AS$82&amp;"C"&amp;$A137))</f>
        <v>0</v>
      </c>
      <c r="CE137" s="3">
        <f>-IF(RTD("tos.rtd",,CE$43,"."&amp;$B$134&amp;$AS$82&amp;"P"&amp;$A137)="N/A",0,RTD("tos.rtd",,CE$43,"."&amp;$B$134&amp;$AS$82&amp;"P"&amp;$A137))</f>
        <v>0</v>
      </c>
      <c r="CF137" s="3">
        <f>IF(RTD("tos.rtd",,CF$2,"."&amp;$C$134&amp;$AU$82&amp;"C"&amp;$A137)="N/A",0,RTD("tos.rtd",,CF$2,"."&amp;$C$134&amp;$AU$82&amp;"C"&amp;$A137))</f>
        <v>0</v>
      </c>
      <c r="CG137" s="3">
        <f>-IF(RTD("tos.rtd",,CG$2,"."&amp;$C$134&amp;$AU$82&amp;"P"&amp;$A137)="N/A",0,RTD("tos.rtd",,CG$2,"."&amp;$C$134&amp;$AU$82&amp;"P"&amp;$A137))</f>
        <v>0</v>
      </c>
      <c r="CH137" s="3">
        <f>IF(RTD("tos.rtd",,CH$2,"."&amp;$D$134&amp;$AW$82&amp;"C"&amp;$A137)="N/A",0,RTD("tos.rtd",,CH$2,"."&amp;$D$134&amp;$AW$82&amp;"C"&amp;$A137))</f>
        <v>0</v>
      </c>
      <c r="CI137" s="3">
        <f>-IF(RTD("tos.rtd",,CI$2,"."&amp;$D$134&amp;$AW$82&amp;"P"&amp;$A137)="N/A",0,RTD("tos.rtd",,CI$2,"."&amp;$D$134&amp;$AW$82&amp;"P"&amp;$A137))</f>
        <v>0</v>
      </c>
      <c r="CK137" s="3">
        <f>+AS137*CD137*100+AT137*CE137*100</f>
        <v>0</v>
      </c>
      <c r="CL137" s="3"/>
      <c r="CM137" s="3">
        <f>+AU137*CF137*100+AV137*CG137*100</f>
        <v>0</v>
      </c>
      <c r="CN137" s="3"/>
      <c r="CO137" s="3">
        <f>+AW137*CH137*100+AX137*CI137*100</f>
        <v>0</v>
      </c>
      <c r="CP137" s="3">
        <f t="shared" si="533"/>
        <v>0</v>
      </c>
      <c r="CQ137" s="3">
        <f t="shared" ref="CQ137:CQ189" si="543">+BA137+BB137</f>
        <v>0</v>
      </c>
      <c r="CR137" s="3"/>
      <c r="CS137" s="3">
        <f t="shared" ref="CS137:CS189" si="544">+BC137+BD137</f>
        <v>0</v>
      </c>
      <c r="CT137" s="3"/>
      <c r="CU137" s="3">
        <f t="shared" ref="CU137:CU189" si="545">+BE137+BF137</f>
        <v>0</v>
      </c>
      <c r="CV137" s="3"/>
      <c r="CW137" s="3" t="e">
        <f t="shared" ref="CW137:CW189" ca="1" si="546">+BQ137+BS137+BU137</f>
        <v>#NUM!</v>
      </c>
      <c r="CY137" s="3" t="e">
        <f t="shared" ref="CY137:CY189" ca="1" si="547">+BX137+BZ137+CB137</f>
        <v>#NUM!</v>
      </c>
      <c r="DA137" s="3">
        <f>IF(RTD("tos.rtd",,DA$43,"."&amp;$B$134&amp;$AS$82&amp;"C"&amp;$A137)="N/A",0,RTD("tos.rtd",,DA$43,"."&amp;$B$134&amp;$AS$82&amp;"C"&amp;$A137))</f>
        <v>0</v>
      </c>
      <c r="DB137" s="3">
        <f>IF(RTD("tos.rtd",,DB$43,"."&amp;$B$134&amp;$AS$82&amp;"P"&amp;$A137)="N/A",0,RTD("tos.rtd",,DB$43,"."&amp;$B$134&amp;$AS$82&amp;"P"&amp;$A137))</f>
        <v>0</v>
      </c>
      <c r="DC137" s="3">
        <f>IF(RTD("tos.rtd",,DC$43,"."&amp;$B$134&amp;$AS$82&amp;"C"&amp;$A137)="N/A",0,RTD("tos.rtd",,DC$43,"."&amp;$B$134&amp;$AS$82&amp;"C"&amp;$A137))</f>
        <v>0</v>
      </c>
      <c r="DD137" s="3">
        <f>IF(RTD("tos.rtd",,DD$43,"."&amp;$B$134&amp;$AS$82&amp;"P"&amp;$A137)="N/A",0,RTD("tos.rtd",,DD$43,"."&amp;$B$134&amp;$AS$82&amp;"P"&amp;$A137))</f>
        <v>0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0</v>
      </c>
      <c r="DG137" s="86">
        <f>+$A137-$A$136</f>
        <v>348</v>
      </c>
      <c r="DH137" s="3" t="e">
        <f t="shared" ref="DH137:DH189" si="548">((DA137-DE137)/(DC137-DE137))*(BA137-AP137)</f>
        <v>#DIV/0!</v>
      </c>
      <c r="DI137" s="3" t="e">
        <f t="shared" ref="DI137:DI189" si="549">((DB137-DF137)/(DD137-DF137))*(BB137-AQ137)</f>
        <v>#DIV/0!</v>
      </c>
      <c r="DJ137" s="3">
        <f t="shared" ref="DJ137:DJ188" si="550">IF(DA137&gt;=(DE137+(DC137-DE137)*0.6),(BA137-AP137),IF(DA137&lt;=(DE137+(DC137-DE137)*0.4),-(BA137-AP137),0))</f>
        <v>0</v>
      </c>
      <c r="DK137" s="3">
        <f t="shared" ref="DK137:DK188" si="551">IF(DB137&lt;=(DF137+(DD137-DF137)*0.4),-(BB137-AQ137),IF(DB137&gt;=(DF137+(DD137-DF137)*0.6),(BB137-AQ137),0))</f>
        <v>0</v>
      </c>
      <c r="DL137" s="3" t="e">
        <f t="shared" ref="DL137:DL189" si="552">+DH137+DI137</f>
        <v>#DIV/0!</v>
      </c>
      <c r="DM137" s="3">
        <f t="shared" ref="DM137:DM189" si="553">+DJ137+DK137</f>
        <v>0</v>
      </c>
      <c r="DN137" s="64" t="str">
        <f t="shared" ref="DN137:DN189" si="554">IF(AND(DA137&gt;=(DE137+(DC137-DE137)*0.6),BA137&gt;AP137),"BUY",IF(AND(DA137&lt;=(DE137+(DC137-DE137)*0.4),BA137&gt;AP137),"SELL","UNKNOWN"))</f>
        <v>UNKNOWN</v>
      </c>
      <c r="DO137" s="64" t="str">
        <f t="shared" ref="DO137:DO189" si="555">IF(AND(DB137&gt;=(DF137+(DD137-DF137)*0.6),ABS(BB137)&gt;ABS(AQ137)),"BUY",IF(AND(DB137&lt;=(DF137+(DD137-DF137)*0.4),ABS(BB137)&gt;ABS(AQ137)),"SELL","UNKNOWN"))</f>
        <v>UNKNOWN</v>
      </c>
      <c r="DP137" s="3" t="e">
        <f t="shared" ref="DP137:DP189" si="556">+DH137*DA137+DI137*DB137</f>
        <v>#DIV/0!</v>
      </c>
      <c r="DQ137" s="3">
        <f t="shared" ref="DQ137:DQ189" si="557">+DA137*DJ137+DB137*DK137</f>
        <v>0</v>
      </c>
      <c r="DR137" s="3" t="e">
        <f t="shared" ref="DR137:DR189" ca="1" si="558">+BJ137*DJ137+BK137*DK137</f>
        <v>#NUM!</v>
      </c>
      <c r="DS137" s="3">
        <f t="shared" ref="DS137:DS189" si="559">+CD137*DJ137+CE137*DK137</f>
        <v>0</v>
      </c>
      <c r="DT137" s="3">
        <f>BA137-VLOOKUP(AZ137,$AO$137:$AQ$189,2,FALSE)</f>
        <v>0</v>
      </c>
      <c r="DU137" s="3">
        <f>BB137-VLOOKUP(AZ137,$AO$137:$AQ$189,3,FALSE)</f>
        <v>0</v>
      </c>
      <c r="DV137" s="3">
        <f t="shared" ref="DV137:DV189" si="560">AM137+IF(DN137="BUY",DT137,IF(DN137="SELL",-DT137,0))</f>
        <v>14</v>
      </c>
      <c r="DW137" s="3">
        <f t="shared" ref="DW137:DW189" si="561">AN137+IF(DO137="BUY",DU137,IF(DO137="SELL",-DU137,0))</f>
        <v>0</v>
      </c>
      <c r="DX137" s="3" t="e">
        <f t="shared" ref="DX137:DX168" ca="1" si="562">(EXP(-POWER((LN($A$136/$A137)+($EC$1+POWER($EE137,2)/2)*($EM$1/$DY$1))/($EE137*SQRT($EM$1/$DY$1)),2)/2)/SQRT(2*PI())/($A$136*$EE137*SQRT($EM$1/$DY$1)))</f>
        <v>#NUM!</v>
      </c>
      <c r="DY137" s="3" t="e">
        <f t="shared" ref="DY137:DY168" ca="1" si="563">-(EXP(-POWER((LN($A$136/$A137)+($EC$1+POWER($EF137,2)/2)*($EM$1/$DY$1))/($EF137*SQRT($EM$1/$DY$1)),2)/2)/SQRT(2*PI())/($A$136*$EF137*SQRT($EM$1/$DY$1)))</f>
        <v>#NUM!</v>
      </c>
      <c r="DZ137" s="3">
        <f t="shared" ref="DZ137:DZ168" ca="1" si="564">(EXP(-POWER((LN($A$136/$A137)+($EC$1+POWER($EG137,2)/2)*($EO$1/$DY$1))/($EG137*SQRT($EO$1/$DY$1)),2)/2)/SQRT(2*PI())/($A$136*$EG137*SQRT($EO$1/$DY$1)))</f>
        <v>4.5614880177438199E-4</v>
      </c>
      <c r="EA137" s="3">
        <f t="shared" ref="EA137:EA168" ca="1" si="565">-(EXP(-POWER((LN($A$136/$A137)+($EC$1+POWER($EH137,2)/2)*($EO$1/$DY$1))/($EH137*SQRT($EO$1/$DY$1)),2)/2)/SQRT(2*PI())/($A$136*$EH137*SQRT($EO$1/$DY$1)))</f>
        <v>-4.5614880177438199E-4</v>
      </c>
      <c r="EB137" s="3">
        <f t="shared" ref="EB137:EB168" ca="1" si="566">(EXP(-POWER((LN($A$136/$A137)+($EC$1+POWER($EI137,2)/2)*($EO$1/$DY$1))/($EI137*SQRT($EO$1/$DY$1)),2)/2)/SQRT(2*PI())/($A$136*$EI137*SQRT($EO$1/$DY$1)))</f>
        <v>4.5614880177438199E-4</v>
      </c>
      <c r="EC137" s="3">
        <f t="shared" ref="EC137:EC168" ca="1" si="567">-(EXP(-POWER((LN($A$136/$A137)+($EC$1+POWER($EJ137,2)/2)*($EO$1/$DY$1))/($EJ137*SQRT($EO$1/$DY$1)),2)/2)/SQRT(2*PI())/($A$136*$EJ137*SQRT($EO$1/$DY$1)))</f>
        <v>-4.5614880177438199E-4</v>
      </c>
      <c r="EE137" s="59">
        <f t="shared" ref="EE137:EE189" si="568">IFERROR(VALUE(IF(OR(EL137="--",EL137="0.00%"),$EE$1,EL137)),$EE$1)</f>
        <v>0.25</v>
      </c>
      <c r="EF137" s="59">
        <f t="shared" ref="EF137:EF189" si="569">IFERROR(VALUE(IF(OR(EM137="--",EM137="0.00%"),$EE$1,EM137)),$EE$1)</f>
        <v>0.25</v>
      </c>
      <c r="EG137" s="59">
        <f t="shared" ref="EG137:EG189" si="570">IFERROR(VALUE(IF(OR(EN137="--",EN137="0.00%"),$EE$1,EN137)),$EE$1)</f>
        <v>0.25</v>
      </c>
      <c r="EH137" s="59">
        <f t="shared" ref="EH137:EH189" si="571">IFERROR(VALUE(IF(OR(EO137="--",EO137="0.00%"),$EE$1,EO137)),$EE$1)</f>
        <v>0.25</v>
      </c>
      <c r="EI137" s="59">
        <f t="shared" ref="EI137:EI189" si="572">IFERROR(VALUE(IF(OR(EP137="--",EP137="0.00%"),$EE$1,EP137)),$EE$1)</f>
        <v>0.25</v>
      </c>
      <c r="EJ137" s="59">
        <f t="shared" ref="EJ137:EJ189" si="573">IFERROR(VALUE(IF(OR(EQ137="--",EQ137="0.00%"),$EE$1,EQ137)),$EE$1)</f>
        <v>0.25</v>
      </c>
      <c r="EL137" s="3" t="str">
        <f>RTD("tos.rtd",,EL$43,"."&amp;$B$134&amp;$AS$82&amp;"C"&amp;$A137)</f>
        <v>N/A</v>
      </c>
      <c r="EM137" s="3" t="str">
        <f>RTD("tos.rtd",,EM$43,"."&amp;$B$134&amp;$AS$82&amp;"P"&amp;$A137)</f>
        <v>N/A</v>
      </c>
      <c r="EN137" s="3" t="str">
        <f>RTD("tos.rtd",,EN$2,"."&amp;$C$134&amp;$AU$82&amp;"C"&amp;$A137)</f>
        <v>N/A</v>
      </c>
      <c r="EO137" s="3" t="str">
        <f>RTD("tos.rtd",,EO$2,"."&amp;$C$134&amp;$AU$82&amp;"P"&amp;$A137)</f>
        <v>N/A</v>
      </c>
      <c r="EP137" s="3" t="str">
        <f>RTD("tos.rtd",,EP$2,"."&amp;$D$134&amp;$AW$82&amp;"C"&amp;$A137)</f>
        <v>N/A</v>
      </c>
      <c r="EQ137" s="3" t="str">
        <f>RTD("tos.rtd",,EQ$2,"."&amp;$D$134&amp;$AW$82&amp;"P"&amp;$A137)</f>
        <v>N/A</v>
      </c>
      <c r="ET137" s="64" t="str">
        <f t="shared" ref="ET137:ET189" ca="1" si="574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IF(ISNUMBER(DV137+DW137), (DV137+DW137),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IF(ISNUMBER(DV137+DW137), (DV137+DW137), 0)
        )))),
    "00.00")
)</f>
        <v>20440,00.00</v>
      </c>
      <c r="EU137" s="67">
        <v>565.16</v>
      </c>
      <c r="EV137" s="67" t="s">
        <v>1116</v>
      </c>
      <c r="EW137" s="67">
        <v>486.72</v>
      </c>
      <c r="EX137" s="67" t="s">
        <v>1117</v>
      </c>
      <c r="EY137" s="67">
        <v>5667.5</v>
      </c>
      <c r="EZ137" s="67" t="s">
        <v>1118</v>
      </c>
      <c r="FA137" s="67">
        <v>20000.25</v>
      </c>
      <c r="FB137" s="67" t="s">
        <v>1119</v>
      </c>
      <c r="FC137" s="67" t="s">
        <v>1120</v>
      </c>
      <c r="FD137" s="67" t="s">
        <v>1121</v>
      </c>
      <c r="FE137" s="68" t="s">
        <v>1122</v>
      </c>
      <c r="FF137" s="68" t="s">
        <v>1123</v>
      </c>
    </row>
    <row r="138" spans="1:162" ht="11.1" customHeight="1" thickBot="1" x14ac:dyDescent="0.25">
      <c r="A138" s="2">
        <f>+A137-$A$133</f>
        <v>20420</v>
      </c>
      <c r="B138" s="3">
        <f>+IF($A$1="ABS",AS138-AT138,AS138+AT138)</f>
        <v>0</v>
      </c>
      <c r="C138" s="3">
        <f>+IF($A$1="ABS",AU138-AV138,AU138+AV138)</f>
        <v>0</v>
      </c>
      <c r="D138" s="3">
        <f>+IF($A$1="ABS",AW138-AX138,AW138+AX138)</f>
        <v>0</v>
      </c>
      <c r="E138" s="3">
        <f>SUM(B138:D138)</f>
        <v>0</v>
      </c>
      <c r="F138" s="4">
        <f>+$F$136/$A$136*A138</f>
        <v>20521.632490543499</v>
      </c>
      <c r="G138" s="5">
        <f>+$G$136/$A$136*A138</f>
        <v>496.94222576149707</v>
      </c>
      <c r="AM138" s="1">
        <v>-16</v>
      </c>
      <c r="AN138" s="1">
        <v>0</v>
      </c>
      <c r="AO138" s="1">
        <v>20420</v>
      </c>
      <c r="AP138" s="1">
        <v>0</v>
      </c>
      <c r="AQ138" s="1">
        <v>0</v>
      </c>
      <c r="AS138" s="54">
        <f>IF(RTD("tos.rtd",,AS$83,"."&amp;$B$134&amp;$AS$82&amp;"C"&amp;$A138)="N/A",0,RTD("tos.rtd",,AS$83,"."&amp;$B$134&amp;$AS$82&amp;"C"&amp;$A138))</f>
        <v>0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0</v>
      </c>
      <c r="AV138" s="3">
        <f>-IF(RTD("tos.rtd",,AV$2,"."&amp;$C$134&amp;$AU$134&amp;"P"&amp;$A138)="N/A",0,RTD("tos.rtd",,AV$2,"."&amp;$C$134&amp;$AU$134&amp;"P"&amp;$A138))</f>
        <v>0</v>
      </c>
      <c r="AW138" s="54">
        <f>IF(RTD("tos.rtd",,AW$2,"."&amp;$D$134&amp;$AW$134&amp;"C"&amp;$A138)="N/A",0,RTD("tos.rtd",,AW$2,"."&amp;$D$134&amp;$AW$134&amp;"C"&amp;$A138))</f>
        <v>0</v>
      </c>
      <c r="AX138" s="3">
        <f>-IF(RTD("tos.rtd",,AX$2,"."&amp;$D$134&amp;$AW$134&amp;"P"&amp;$A138)="N/A",0,RTD("tos.rtd",,AX$2,"."&amp;$D$134&amp;$AW$134&amp;"P"&amp;$A138))</f>
        <v>0</v>
      </c>
      <c r="AY138" s="76">
        <f>SUM(AS138:AX138)</f>
        <v>0</v>
      </c>
      <c r="AZ138" s="8">
        <f t="shared" si="539"/>
        <v>20420</v>
      </c>
      <c r="BA138" s="54">
        <f>IF(RTD("tos.rtd",,BA$43,"."&amp;$B$134&amp;$AS$82&amp;"C"&amp;$A138)="N/A",0,RTD("tos.rtd",,BA$43,"."&amp;$B$134&amp;$AS$82&amp;"C"&amp;$A138))</f>
        <v>0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0</v>
      </c>
      <c r="BD138" s="3">
        <f>-IF(RTD("tos.rtd",,BD$2,"."&amp;$C$134&amp;$AU$82&amp;"P"&amp;$A138)="N/A",0,RTD("tos.rtd",,BD$2,"."&amp;$C$134&amp;$AU$82&amp;"P"&amp;$A138))</f>
        <v>0</v>
      </c>
      <c r="BE138" s="54">
        <f>IF(RTD("tos.rtd",,BE$2,"."&amp;$D$134&amp;$AW$82&amp;"C"&amp;$A138)="N/A",0,RTD("tos.rtd",,BE$2,"."&amp;$D$134&amp;$AW$82&amp;"C"&amp;$A138))</f>
        <v>0</v>
      </c>
      <c r="BF138" s="3">
        <f>-IF(RTD("tos.rtd",,BF$2,"."&amp;$D$134&amp;$AW$82&amp;"P"&amp;$A138)="N/A",0,RTD("tos.rtd",,BF$2,"."&amp;$D$134&amp;$AW$82&amp;"P"&amp;$A138))</f>
        <v>0</v>
      </c>
      <c r="BG138" s="3" t="e">
        <f ca="1">+Hoja2!Y139</f>
        <v>#N/A</v>
      </c>
      <c r="BH138" s="7" t="e">
        <f t="shared" ca="1" si="540"/>
        <v>#N/A</v>
      </c>
      <c r="BI138" s="32"/>
      <c r="BJ138" s="3" t="e">
        <f ca="1">IF($BP$1=1,DX138,IF(RTD("tos.rtd",,BJ$43,"."&amp;$B$134&amp;$AS$82&amp;"C"&amp;$A138)="N/A",0,RTD("tos.rtd",,BJ$43,"."&amp;$B$134&amp;$AS$82&amp;"C"&amp;$A138)))</f>
        <v>#NUM!</v>
      </c>
      <c r="BK138" s="3" t="e">
        <f ca="1">IF($BP$1=1,DY138,-IF(RTD("tos.rtd",,BK$43,"."&amp;$B$134&amp;$AS$82&amp;"P"&amp;$A138)="N/A",0,RTD("tos.rtd",,BK$43,"."&amp;$B$134&amp;$AS$82&amp;"P"&amp;$A138)))</f>
        <v>#NUM!</v>
      </c>
      <c r="BL138" s="3">
        <f ca="1">IF($BP$1=1,DZ138,IF(RTD("tos.rtd",,BL$2,"."&amp;$C$134&amp;$AU$82&amp;"C"&amp;$A138)="N/A",0,RTD("tos.rtd",,BL$2,"."&amp;$C$134&amp;$AU$82&amp;"C"&amp;$A138)))</f>
        <v>4.6017113551228764E-4</v>
      </c>
      <c r="BM138" s="3">
        <f ca="1">IF($BP$1=1,EA138,-IF(RTD("tos.rtd",,BM$2,"."&amp;$C$134&amp;$AU$82&amp;"P"&amp;$A138)="N/A",0,RTD("tos.rtd",,BM$2,"."&amp;$C$134&amp;$AU$82&amp;"P"&amp;$A138)))</f>
        <v>-4.6017113551228764E-4</v>
      </c>
      <c r="BN138" s="3">
        <f ca="1">IF($BP$1=1,EB138,IF(RTD("tos.rtd",,BN$2,"."&amp;$D$134&amp;$AW$82&amp;"C"&amp;$A138)="N/A",0,RTD("tos.rtd",,BN$2,"."&amp;$D$134&amp;$AW$82&amp;"C"&amp;$A138)))</f>
        <v>4.6017113551228764E-4</v>
      </c>
      <c r="BO138" s="3">
        <f ca="1">IF($BP$1=1,EC138,-IF(RTD("tos.rtd",,BO$2,"."&amp;$D$134&amp;$AW$82&amp;"P"&amp;$A138)="N/A",0,RTD("tos.rtd",,BO$2,"."&amp;$D$134&amp;$AW$82&amp;"P"&amp;$A138)))</f>
        <v>-4.6017113551228764E-4</v>
      </c>
      <c r="BQ138" s="3" t="e">
        <f ca="1">+$A$84*$A$84*AS138*BJ138-$A$84*$A$84*AT138*BK138</f>
        <v>#NUM!</v>
      </c>
      <c r="BR138" s="3" t="e">
        <f t="shared" ca="1" si="541"/>
        <v>#NUM!</v>
      </c>
      <c r="BS138" s="3">
        <f ca="1">+$A$84*$A$84*AU138*BL138-$A$84*$A$84*AV138*BM138</f>
        <v>0</v>
      </c>
      <c r="BT138" s="3" t="str">
        <f t="shared" ca="1" si="542"/>
        <v/>
      </c>
      <c r="BU138" s="3">
        <f ca="1">+$A$84*$A$84*AW138*BN138-$A$84*$A$84*AX138*BO138</f>
        <v>0</v>
      </c>
      <c r="BV138" s="3" t="str">
        <f t="shared" ca="1" si="542"/>
        <v/>
      </c>
      <c r="BX138" s="3" t="e">
        <f t="shared" ref="BX138:BX189" ca="1" si="575">+$A$44*$A$44*BA138*BJ138-$A$44*$A$44*BB138*BK138</f>
        <v>#NUM!</v>
      </c>
      <c r="BY138" s="3" t="e">
        <f t="shared" ref="BY138:CC189" ca="1" si="576">IF(AND(BX138&lt;0,BX137&gt;0), "Cruce -", IF(AND(BX138&gt;0,BX137&lt;0),"Cruce +", ""))</f>
        <v>#NUM!</v>
      </c>
      <c r="BZ138" s="3">
        <f t="shared" ref="BZ138:BZ189" ca="1" si="577">+$A$44*$A$44*BC138*BL138-$A$44*$A$44*BD138*BM138</f>
        <v>0</v>
      </c>
      <c r="CA138" s="3" t="str">
        <f t="shared" ca="1" si="576"/>
        <v/>
      </c>
      <c r="CB138" s="3">
        <f t="shared" ref="CB138:CB189" ca="1" si="578">+$A$44*$A$44*BE138*BN138-$A$44*$A$44*BF138*BO138</f>
        <v>0</v>
      </c>
      <c r="CC138" s="3" t="str">
        <f t="shared" ca="1" si="576"/>
        <v/>
      </c>
      <c r="CD138" s="3">
        <f>IF(RTD("tos.rtd",,CD$43,"."&amp;$B$134&amp;$AS$82&amp;"C"&amp;$A138)="N/A",0,RTD("tos.rtd",,CD$43,"."&amp;$B$134&amp;$AS$82&amp;"C"&amp;$A138))</f>
        <v>0</v>
      </c>
      <c r="CE138" s="3">
        <f>-IF(RTD("tos.rtd",,CE$43,"."&amp;$B$134&amp;$AS$82&amp;"P"&amp;$A138)="N/A",0,RTD("tos.rtd",,CE$43,"."&amp;$B$134&amp;$AS$82&amp;"P"&amp;$A138))</f>
        <v>0</v>
      </c>
      <c r="CF138" s="3">
        <f>IF(RTD("tos.rtd",,CF$2,"."&amp;$C$134&amp;$AU$82&amp;"C"&amp;$A138)="N/A",0,RTD("tos.rtd",,CF$2,"."&amp;$C$134&amp;$AU$82&amp;"C"&amp;$A138))</f>
        <v>0</v>
      </c>
      <c r="CG138" s="3">
        <f>-IF(RTD("tos.rtd",,CG$2,"."&amp;$C$134&amp;$AU$82&amp;"P"&amp;$A138)="N/A",0,RTD("tos.rtd",,CG$2,"."&amp;$C$134&amp;$AU$82&amp;"P"&amp;$A138))</f>
        <v>0</v>
      </c>
      <c r="CH138" s="3">
        <f>IF(RTD("tos.rtd",,CH$2,"."&amp;$D$134&amp;$AW$82&amp;"C"&amp;$A138)="N/A",0,RTD("tos.rtd",,CH$2,"."&amp;$D$134&amp;$AW$82&amp;"C"&amp;$A138))</f>
        <v>0</v>
      </c>
      <c r="CI138" s="3">
        <f>-IF(RTD("tos.rtd",,CI$2,"."&amp;$D$134&amp;$AW$82&amp;"P"&amp;$A138)="N/A",0,RTD("tos.rtd",,CI$2,"."&amp;$D$134&amp;$AW$82&amp;"P"&amp;$A138))</f>
        <v>0</v>
      </c>
      <c r="CK138" s="3">
        <f>+AS138*CD138*100+AT138*CE138*100</f>
        <v>0</v>
      </c>
      <c r="CL138" s="3"/>
      <c r="CM138" s="3">
        <f>+AU138*CF138*100+AV138*CG138*100</f>
        <v>0</v>
      </c>
      <c r="CN138" s="3"/>
      <c r="CO138" s="3">
        <f>+AW138*CH138*100+AX138*CI138*100</f>
        <v>0</v>
      </c>
      <c r="CP138" s="3">
        <f t="shared" si="533"/>
        <v>0</v>
      </c>
      <c r="CQ138" s="3">
        <f t="shared" si="543"/>
        <v>0</v>
      </c>
      <c r="CR138" s="3"/>
      <c r="CS138" s="3">
        <f t="shared" si="544"/>
        <v>0</v>
      </c>
      <c r="CT138" s="3"/>
      <c r="CU138" s="3">
        <f t="shared" si="545"/>
        <v>0</v>
      </c>
      <c r="CV138" s="3"/>
      <c r="CW138" s="3" t="e">
        <f t="shared" ca="1" si="546"/>
        <v>#NUM!</v>
      </c>
      <c r="CY138" s="3" t="e">
        <f t="shared" ca="1" si="547"/>
        <v>#NUM!</v>
      </c>
      <c r="CZ138" s="70" t="e">
        <f t="shared" ref="CZ138:CZ189" ca="1" si="579">IF(AND(CY138&lt;0,CY137&gt;0), "Cruce -", IF(AND(CY138&gt;0,CY137&lt;0),"Cruce +", ""))</f>
        <v>#NUM!</v>
      </c>
      <c r="DA138" s="3">
        <f>IF(RTD("tos.rtd",,DA$43,"."&amp;$B$134&amp;$AS$82&amp;"C"&amp;$A138)="N/A",0,RTD("tos.rtd",,DA$43,"."&amp;$B$134&amp;$AS$82&amp;"C"&amp;$A138))</f>
        <v>0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0</v>
      </c>
      <c r="DD138" s="3">
        <f>IF(RTD("tos.rtd",,DD$43,"."&amp;$B$134&amp;$AS$82&amp;"P"&amp;$A138)="N/A",0,RTD("tos.rtd",,DD$43,"."&amp;$B$134&amp;$AS$82&amp;"P"&amp;$A138))</f>
        <v>0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0</v>
      </c>
      <c r="DG138" s="86">
        <f t="shared" ref="DG138:DG189" si="580">+$A138-$A$136</f>
        <v>328</v>
      </c>
      <c r="DH138" s="3" t="e">
        <f t="shared" si="548"/>
        <v>#DIV/0!</v>
      </c>
      <c r="DI138" s="3" t="e">
        <f t="shared" si="549"/>
        <v>#DIV/0!</v>
      </c>
      <c r="DJ138" s="3">
        <f t="shared" si="550"/>
        <v>0</v>
      </c>
      <c r="DK138" s="3">
        <f t="shared" si="551"/>
        <v>0</v>
      </c>
      <c r="DL138" s="3" t="e">
        <f t="shared" si="552"/>
        <v>#DIV/0!</v>
      </c>
      <c r="DM138" s="3">
        <f t="shared" si="553"/>
        <v>0</v>
      </c>
      <c r="DN138" s="64" t="str">
        <f t="shared" si="554"/>
        <v>UNKNOWN</v>
      </c>
      <c r="DO138" s="64" t="str">
        <f t="shared" si="555"/>
        <v>UNKNOWN</v>
      </c>
      <c r="DP138" s="3" t="e">
        <f t="shared" si="556"/>
        <v>#DIV/0!</v>
      </c>
      <c r="DQ138" s="3">
        <f t="shared" si="557"/>
        <v>0</v>
      </c>
      <c r="DR138" s="3" t="e">
        <f t="shared" ca="1" si="558"/>
        <v>#NUM!</v>
      </c>
      <c r="DS138" s="3">
        <f t="shared" si="559"/>
        <v>0</v>
      </c>
      <c r="DT138" s="3">
        <f t="shared" ref="DT138:DT189" si="581">BA138-VLOOKUP(AZ138,$AO$137:$AQ$189,2,FALSE)</f>
        <v>0</v>
      </c>
      <c r="DU138" s="3">
        <f t="shared" ref="DU138:DU189" si="582">BB138-VLOOKUP(AZ138,$AO$137:$AQ$189,3,FALSE)</f>
        <v>0</v>
      </c>
      <c r="DV138" s="3">
        <f t="shared" si="560"/>
        <v>-16</v>
      </c>
      <c r="DW138" s="3">
        <f t="shared" si="561"/>
        <v>0</v>
      </c>
      <c r="DX138" s="3" t="e">
        <f t="shared" ca="1" si="562"/>
        <v>#NUM!</v>
      </c>
      <c r="DY138" s="3" t="e">
        <f t="shared" ca="1" si="563"/>
        <v>#NUM!</v>
      </c>
      <c r="DZ138" s="3">
        <f t="shared" ca="1" si="564"/>
        <v>4.6017113551228764E-4</v>
      </c>
      <c r="EA138" s="3">
        <f t="shared" ca="1" si="565"/>
        <v>-4.6017113551228764E-4</v>
      </c>
      <c r="EB138" s="3">
        <f t="shared" ca="1" si="566"/>
        <v>4.6017113551228764E-4</v>
      </c>
      <c r="EC138" s="3">
        <f t="shared" ca="1" si="567"/>
        <v>-4.6017113551228764E-4</v>
      </c>
      <c r="EE138" s="59">
        <f t="shared" si="568"/>
        <v>0.25</v>
      </c>
      <c r="EF138" s="59">
        <f t="shared" si="569"/>
        <v>0.25</v>
      </c>
      <c r="EG138" s="59">
        <f t="shared" si="570"/>
        <v>0.25</v>
      </c>
      <c r="EH138" s="59">
        <f t="shared" si="571"/>
        <v>0.25</v>
      </c>
      <c r="EI138" s="59">
        <f t="shared" si="572"/>
        <v>0.25</v>
      </c>
      <c r="EJ138" s="59">
        <f t="shared" si="573"/>
        <v>0.25</v>
      </c>
      <c r="EL138" s="3" t="str">
        <f>RTD("tos.rtd",,EL$43,"."&amp;$B$134&amp;$AS$82&amp;"C"&amp;$A138)</f>
        <v>N/A</v>
      </c>
      <c r="EM138" s="3" t="str">
        <f>RTD("tos.rtd",,EM$43,"."&amp;$B$134&amp;$AS$82&amp;"P"&amp;$A138)</f>
        <v>N/A</v>
      </c>
      <c r="EN138" s="3" t="str">
        <f>RTD("tos.rtd",,EN$2,"."&amp;$C$134&amp;$AU$82&amp;"C"&amp;$A138)</f>
        <v>N/A</v>
      </c>
      <c r="EO138" s="3" t="str">
        <f>RTD("tos.rtd",,EO$2,"."&amp;$C$134&amp;$AU$82&amp;"P"&amp;$A138)</f>
        <v>N/A</v>
      </c>
      <c r="EP138" s="3" t="str">
        <f>RTD("tos.rtd",,EP$2,"."&amp;$D$134&amp;$AW$82&amp;"C"&amp;$A138)</f>
        <v>N/A</v>
      </c>
      <c r="EQ138" s="3" t="str">
        <f>RTD("tos.rtd",,EQ$2,"."&amp;$D$134&amp;$AW$82&amp;"P"&amp;$A138)</f>
        <v>N/A</v>
      </c>
      <c r="ET138" s="64" t="str">
        <f t="shared" ca="1" si="574"/>
        <v>20420,00.00</v>
      </c>
      <c r="EU138" s="67">
        <v>565.09</v>
      </c>
      <c r="EV138" s="67" t="s">
        <v>1124</v>
      </c>
      <c r="EW138" s="67">
        <v>486.66</v>
      </c>
      <c r="EX138" s="67" t="s">
        <v>1125</v>
      </c>
      <c r="EY138" s="67">
        <v>5666.5</v>
      </c>
      <c r="EZ138" s="67" t="s">
        <v>1126</v>
      </c>
      <c r="FA138" s="67">
        <v>19997</v>
      </c>
      <c r="FB138" s="67" t="s">
        <v>1127</v>
      </c>
      <c r="FC138" s="67" t="s">
        <v>1128</v>
      </c>
      <c r="FD138" s="67" t="s">
        <v>1129</v>
      </c>
      <c r="FE138" s="68" t="s">
        <v>1130</v>
      </c>
      <c r="FF138" s="68" t="s">
        <v>1131</v>
      </c>
    </row>
    <row r="139" spans="1:162" ht="11.1" customHeight="1" thickBot="1" x14ac:dyDescent="0.25">
      <c r="A139" s="2">
        <f t="shared" ref="A139:A189" si="583">+A138-$A$133</f>
        <v>20400</v>
      </c>
      <c r="B139" s="3">
        <f t="shared" ref="B139:B144" si="584">+IF($A$1="ABS",AS139-AT139,AS139+AT139)</f>
        <v>57</v>
      </c>
      <c r="C139" s="3">
        <f t="shared" ref="C139:C144" si="585">+IF($A$1="ABS",AU139-AV139,AU139+AV139)</f>
        <v>16</v>
      </c>
      <c r="D139" s="3">
        <f>+IF($A$1="ABS",AW139-AX139,AW139+AX139)</f>
        <v>162</v>
      </c>
      <c r="E139" s="3">
        <f t="shared" ref="E139:E147" si="586">SUM(B139:D139)</f>
        <v>235</v>
      </c>
      <c r="F139" s="4">
        <f t="shared" ref="F139:F147" si="587">+$F$136/$A$136*A139</f>
        <v>20501.53294843719</v>
      </c>
      <c r="G139" s="5">
        <f t="shared" ref="G139:G147" si="588">+$G$136/$A$136*A139</f>
        <v>496.45550467847897</v>
      </c>
      <c r="AM139" s="1">
        <v>-260</v>
      </c>
      <c r="AN139" s="1">
        <v>-1</v>
      </c>
      <c r="AO139" s="1">
        <v>20400</v>
      </c>
      <c r="AP139" s="1">
        <v>555</v>
      </c>
      <c r="AQ139" s="1">
        <v>-10</v>
      </c>
      <c r="AS139" s="54">
        <f>IF(RTD("tos.rtd",,AS$83,"."&amp;$B$134&amp;$AS$82&amp;"C"&amp;$A139)="N/A",0,RTD("tos.rtd",,AS$83,"."&amp;$B$134&amp;$AS$82&amp;"C"&amp;$A139))</f>
        <v>48</v>
      </c>
      <c r="AT139" s="3">
        <f>-IF(RTD("tos.rtd",,AT$83,"."&amp;$B$134&amp;$AS$82&amp;"P"&amp;$A139)="N/A",0,RTD("tos.rtd",,AT$83,"."&amp;$B$134&amp;$AS$82&amp;"P"&amp;$A139))</f>
        <v>-9</v>
      </c>
      <c r="AU139" s="54">
        <f>IF(RTD("tos.rtd",,AU$2,"."&amp;$C$134&amp;$AU$134&amp;"C"&amp;$A139)="N/A",0,RTD("tos.rtd",,AU$2,"."&amp;$C$134&amp;$AU$134&amp;"C"&amp;$A139))</f>
        <v>15</v>
      </c>
      <c r="AV139" s="3">
        <f>-IF(RTD("tos.rtd",,AV$2,"."&amp;$C$134&amp;$AU$134&amp;"P"&amp;$A139)="N/A",0,RTD("tos.rtd",,AV$2,"."&amp;$C$134&amp;$AU$134&amp;"P"&amp;$A139))</f>
        <v>-1</v>
      </c>
      <c r="AW139" s="54">
        <f>IF(RTD("tos.rtd",,AW$2,"."&amp;$D$134&amp;$AW$134&amp;"C"&amp;$A139)="N/A",0,RTD("tos.rtd",,AW$2,"."&amp;$D$134&amp;$AW$134&amp;"C"&amp;$A139))</f>
        <v>67</v>
      </c>
      <c r="AX139" s="3">
        <f>-IF(RTD("tos.rtd",,AX$2,"."&amp;$D$134&amp;$AW$134&amp;"P"&amp;$A139)="N/A",0,RTD("tos.rtd",,AX$2,"."&amp;$D$134&amp;$AW$134&amp;"P"&amp;$A139))</f>
        <v>-95</v>
      </c>
      <c r="AY139" s="76">
        <f t="shared" ref="AY139:AY147" si="589">SUM(AS139:AX139)</f>
        <v>25</v>
      </c>
      <c r="AZ139" s="8">
        <f t="shared" si="539"/>
        <v>20400</v>
      </c>
      <c r="BA139" s="54">
        <f>IF(RTD("tos.rtd",,BA$43,"."&amp;$B$134&amp;$AS$82&amp;"C"&amp;$A139)="N/A",0,RTD("tos.rtd",,BA$43,"."&amp;$B$134&amp;$AS$82&amp;"C"&amp;$A139))</f>
        <v>555</v>
      </c>
      <c r="BB139" s="3">
        <f>-IF(RTD("tos.rtd",,BB$43,"."&amp;$B$134&amp;$AS$82&amp;"P"&amp;$A139)="N/A",0,RTD("tos.rtd",,BB$43,"."&amp;$B$134&amp;$AS$82&amp;"P"&amp;$A139))</f>
        <v>-10</v>
      </c>
      <c r="BC139" s="54">
        <f>IF(RTD("tos.rtd",,BC$2,"."&amp;$C$134&amp;$AU$82&amp;"C"&amp;$A139)="N/A",0,RTD("tos.rtd",,BC$2,"."&amp;$C$134&amp;$AU$82&amp;"C"&amp;$A139))</f>
        <v>4</v>
      </c>
      <c r="BD139" s="3">
        <f>-IF(RTD("tos.rtd",,BD$2,"."&amp;$C$134&amp;$AU$82&amp;"P"&amp;$A139)="N/A",0,RTD("tos.rtd",,BD$2,"."&amp;$C$134&amp;$AU$82&amp;"P"&amp;$A139))</f>
        <v>0</v>
      </c>
      <c r="BE139" s="54">
        <f>IF(RTD("tos.rtd",,BE$2,"."&amp;$D$134&amp;$AW$82&amp;"C"&amp;$A139)="N/A",0,RTD("tos.rtd",,BE$2,"."&amp;$D$134&amp;$AW$82&amp;"C"&amp;$A139))</f>
        <v>2</v>
      </c>
      <c r="BF139" s="3">
        <f>-IF(RTD("tos.rtd",,BF$2,"."&amp;$D$134&amp;$AW$82&amp;"P"&amp;$A139)="N/A",0,RTD("tos.rtd",,BF$2,"."&amp;$D$134&amp;$AW$82&amp;"P"&amp;$A139))</f>
        <v>-2</v>
      </c>
      <c r="BG139" s="3" t="e">
        <f ca="1">+Hoja2!Y140</f>
        <v>#N/A</v>
      </c>
      <c r="BH139" s="7" t="e">
        <f t="shared" ca="1" si="540"/>
        <v>#N/A</v>
      </c>
      <c r="BI139" s="32" t="e">
        <f ca="1">IF(AND(BH139&lt;0,BH138&gt;0), "Cruce -", IF(AND(BH139&gt;0,BH138&lt;0),"Cruce +", ""))</f>
        <v>#N/A</v>
      </c>
      <c r="BJ139" s="3" t="e">
        <f ca="1">IF($BP$1=1,DX139,IF(RTD("tos.rtd",,BJ$43,"."&amp;$B$134&amp;$AS$82&amp;"C"&amp;$A139)="N/A",0,RTD("tos.rtd",,BJ$43,"."&amp;$B$134&amp;$AS$82&amp;"C"&amp;$A139)))</f>
        <v>#NUM!</v>
      </c>
      <c r="BK139" s="3" t="e">
        <f ca="1">IF($BP$1=1,DY139,-IF(RTD("tos.rtd",,BK$43,"."&amp;$B$134&amp;$AS$82&amp;"P"&amp;$A139)="N/A",0,RTD("tos.rtd",,BK$43,"."&amp;$B$134&amp;$AS$82&amp;"P"&amp;$A139)))</f>
        <v>#NUM!</v>
      </c>
      <c r="BL139" s="3">
        <f ca="1">IF($BP$1=1,DZ139,IF(RTD("tos.rtd",,BL$2,"."&amp;$C$134&amp;$AU$82&amp;"C"&amp;$A139)="N/A",0,RTD("tos.rtd",,BL$2,"."&amp;$C$134&amp;$AU$82&amp;"C"&amp;$A139)))</f>
        <v>5.5073561944907212E-4</v>
      </c>
      <c r="BM139" s="3">
        <f ca="1">IF($BP$1=1,EA139,-IF(RTD("tos.rtd",,BM$2,"."&amp;$C$134&amp;$AU$82&amp;"P"&amp;$A139)="N/A",0,RTD("tos.rtd",,BM$2,"."&amp;$C$134&amp;$AU$82&amp;"P"&amp;$A139)))</f>
        <v>-5.2980039555269084E-4</v>
      </c>
      <c r="BN139" s="3">
        <f ca="1">IF($BP$1=1,EB139,IF(RTD("tos.rtd",,BN$2,"."&amp;$D$134&amp;$AW$82&amp;"C"&amp;$A139)="N/A",0,RTD("tos.rtd",,BN$2,"."&amp;$D$134&amp;$AW$82&amp;"C"&amp;$A139)))</f>
        <v>5.5384078916495972E-4</v>
      </c>
      <c r="BO139" s="3">
        <f ca="1">IF($BP$1=1,EC139,-IF(RTD("tos.rtd",,BO$2,"."&amp;$D$134&amp;$AW$82&amp;"P"&amp;$A139)="N/A",0,RTD("tos.rtd",,BO$2,"."&amp;$D$134&amp;$AW$82&amp;"P"&amp;$A139)))</f>
        <v>-5.2366282183095121E-4</v>
      </c>
      <c r="BQ139" s="3" t="e">
        <f t="shared" ref="BQ139:BQ147" ca="1" si="590">+$A$84*$A$84*AS139*BJ139-$A$84*$A$84*AT139*BK139</f>
        <v>#NUM!</v>
      </c>
      <c r="BR139" s="3" t="e">
        <f t="shared" ca="1" si="541"/>
        <v>#NUM!</v>
      </c>
      <c r="BS139" s="3">
        <f t="shared" ref="BS139:BS147" ca="1" si="591">+$A$84*$A$84*AU139*BL139-$A$84*$A$84*AV139*BM139</f>
        <v>249933.42026424647</v>
      </c>
      <c r="BT139" s="3" t="str">
        <f t="shared" ca="1" si="542"/>
        <v/>
      </c>
      <c r="BU139" s="3">
        <f t="shared" ref="BU139:BU147" ca="1" si="592">+$A$84*$A$84*AW139*BN139-$A$84*$A$84*AX139*BO139</f>
        <v>-408643.33329512668</v>
      </c>
      <c r="BV139" s="3" t="str">
        <f t="shared" ca="1" si="542"/>
        <v/>
      </c>
      <c r="BX139" s="3" t="e">
        <f t="shared" ca="1" si="575"/>
        <v>#NUM!</v>
      </c>
      <c r="BY139" s="3" t="e">
        <f t="shared" ca="1" si="576"/>
        <v>#NUM!</v>
      </c>
      <c r="BZ139" s="3">
        <f t="shared" ca="1" si="577"/>
        <v>526.68363264810284</v>
      </c>
      <c r="CA139" s="3" t="str">
        <f t="shared" ca="1" si="576"/>
        <v/>
      </c>
      <c r="CB139" s="3">
        <f t="shared" ca="1" si="578"/>
        <v>14.430010426156173</v>
      </c>
      <c r="CC139" s="3" t="str">
        <f t="shared" ca="1" si="576"/>
        <v/>
      </c>
      <c r="CD139" s="3">
        <f>IF(RTD("tos.rtd",,CD$43,"."&amp;$B$134&amp;$AS$82&amp;"C"&amp;$A139)="N/A",0,RTD("tos.rtd",,CD$43,"."&amp;$B$134&amp;$AS$82&amp;"C"&amp;$A139))</f>
        <v>0</v>
      </c>
      <c r="CE139" s="3">
        <f>-IF(RTD("tos.rtd",,CE$43,"."&amp;$B$134&amp;$AS$82&amp;"P"&amp;$A139)="N/A",0,RTD("tos.rtd",,CE$43,"."&amp;$B$134&amp;$AS$82&amp;"P"&amp;$A139))</f>
        <v>0.91</v>
      </c>
      <c r="CF139" s="3">
        <f>IF(RTD("tos.rtd",,CF$2,"."&amp;$C$134&amp;$AU$82&amp;"C"&amp;$A139)="N/A",0,RTD("tos.rtd",,CF$2,"."&amp;$C$134&amp;$AU$82&amp;"C"&amp;$A139))</f>
        <v>0.32</v>
      </c>
      <c r="CG139" s="3">
        <f>-IF(RTD("tos.rtd",,CG$2,"."&amp;$C$134&amp;$AU$82&amp;"P"&amp;$A139)="N/A",0,RTD("tos.rtd",,CG$2,"."&amp;$C$134&amp;$AU$82&amp;"P"&amp;$A139))</f>
        <v>0.67</v>
      </c>
      <c r="CH139" s="3">
        <f>IF(RTD("tos.rtd",,CH$2,"."&amp;$D$134&amp;$AW$82&amp;"C"&amp;$A139)="N/A",0,RTD("tos.rtd",,CH$2,"."&amp;$D$134&amp;$AW$82&amp;"C"&amp;$A139))</f>
        <v>0.38</v>
      </c>
      <c r="CI139" s="3">
        <f>-IF(RTD("tos.rtd",,CI$2,"."&amp;$D$134&amp;$AW$82&amp;"P"&amp;$A139)="N/A",0,RTD("tos.rtd",,CI$2,"."&amp;$D$134&amp;$AW$82&amp;"P"&amp;$A139))</f>
        <v>0.61</v>
      </c>
      <c r="CK139" s="3">
        <f t="shared" ref="CK139:CK147" si="593">+AS139*CD139*100+AT139*CE139*100</f>
        <v>-819</v>
      </c>
      <c r="CL139" s="3"/>
      <c r="CM139" s="3">
        <f t="shared" ref="CM139:CM147" si="594">+AU139*CF139*100+AV139*CG139*100</f>
        <v>413</v>
      </c>
      <c r="CN139" s="3"/>
      <c r="CO139" s="3">
        <f t="shared" ref="CO139:CO147" si="595">+AW139*CH139*100+AX139*CI139*100</f>
        <v>-3249</v>
      </c>
      <c r="CP139" s="3">
        <f t="shared" si="533"/>
        <v>-3655</v>
      </c>
      <c r="CQ139" s="3">
        <f t="shared" si="543"/>
        <v>545</v>
      </c>
      <c r="CR139" s="3"/>
      <c r="CS139" s="3">
        <f t="shared" si="544"/>
        <v>4</v>
      </c>
      <c r="CT139" s="3"/>
      <c r="CU139" s="3">
        <f t="shared" si="545"/>
        <v>0</v>
      </c>
      <c r="CV139" s="3"/>
      <c r="CW139" s="3" t="e">
        <f t="shared" ca="1" si="546"/>
        <v>#NUM!</v>
      </c>
      <c r="CY139" s="3" t="e">
        <f t="shared" ca="1" si="547"/>
        <v>#NUM!</v>
      </c>
      <c r="CZ139" s="70" t="e">
        <f t="shared" ca="1" si="579"/>
        <v>#NUM!</v>
      </c>
      <c r="DA139" s="3">
        <f>IF(RTD("tos.rtd",,DA$43,"."&amp;$B$134&amp;$AS$82&amp;"C"&amp;$A139)="N/A",0,RTD("tos.rtd",,DA$43,"."&amp;$B$134&amp;$AS$82&amp;"C"&amp;$A139))</f>
        <v>0.05</v>
      </c>
      <c r="DB139" s="3">
        <f>IF(RTD("tos.rtd",,DB$43,"."&amp;$B$134&amp;$AS$82&amp;"P"&amp;$A139)="N/A",0,RTD("tos.rtd",,DB$43,"."&amp;$B$134&amp;$AS$82&amp;"P"&amp;$A139))</f>
        <v>251.35</v>
      </c>
      <c r="DC139" s="3">
        <f>IF(RTD("tos.rtd",,DC$43,"."&amp;$B$134&amp;$AS$82&amp;"C"&amp;$A139)="N/A",0,RTD("tos.rtd",,DC$43,"."&amp;$B$134&amp;$AS$82&amp;"C"&amp;$A139))</f>
        <v>0.05</v>
      </c>
      <c r="DD139" s="3">
        <f>IF(RTD("tos.rtd",,DD$43,"."&amp;$B$134&amp;$AS$82&amp;"P"&amp;$A139)="N/A",0,RTD("tos.rtd",,DD$43,"."&amp;$B$134&amp;$AS$82&amp;"P"&amp;$A139))</f>
        <v>326.10000000000002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286</v>
      </c>
      <c r="DG139" s="86">
        <f t="shared" si="580"/>
        <v>308</v>
      </c>
      <c r="DH139" s="3">
        <f t="shared" si="548"/>
        <v>0</v>
      </c>
      <c r="DI139" s="3">
        <f t="shared" si="549"/>
        <v>0</v>
      </c>
      <c r="DJ139" s="3">
        <f t="shared" si="550"/>
        <v>0</v>
      </c>
      <c r="DK139" s="3">
        <f t="shared" si="551"/>
        <v>0</v>
      </c>
      <c r="DL139" s="3">
        <f t="shared" si="552"/>
        <v>0</v>
      </c>
      <c r="DM139" s="3">
        <f t="shared" si="553"/>
        <v>0</v>
      </c>
      <c r="DN139" s="64" t="str">
        <f t="shared" si="554"/>
        <v>UNKNOWN</v>
      </c>
      <c r="DO139" s="64" t="str">
        <f t="shared" si="555"/>
        <v>UNKNOWN</v>
      </c>
      <c r="DP139" s="3">
        <f t="shared" si="556"/>
        <v>0</v>
      </c>
      <c r="DQ139" s="3">
        <f t="shared" si="557"/>
        <v>0</v>
      </c>
      <c r="DR139" s="3" t="e">
        <f t="shared" ca="1" si="558"/>
        <v>#NUM!</v>
      </c>
      <c r="DS139" s="3">
        <f t="shared" si="559"/>
        <v>0</v>
      </c>
      <c r="DT139" s="3">
        <f t="shared" si="581"/>
        <v>0</v>
      </c>
      <c r="DU139" s="3">
        <f t="shared" si="582"/>
        <v>0</v>
      </c>
      <c r="DV139" s="3">
        <f t="shared" si="560"/>
        <v>-260</v>
      </c>
      <c r="DW139" s="3">
        <f t="shared" si="561"/>
        <v>-1</v>
      </c>
      <c r="DX139" s="3" t="e">
        <f t="shared" ca="1" si="562"/>
        <v>#NUM!</v>
      </c>
      <c r="DY139" s="3" t="e">
        <f t="shared" ca="1" si="563"/>
        <v>#NUM!</v>
      </c>
      <c r="DZ139" s="3">
        <f t="shared" ca="1" si="564"/>
        <v>5.5073561944907212E-4</v>
      </c>
      <c r="EA139" s="3">
        <f t="shared" ca="1" si="565"/>
        <v>-5.2980039555269084E-4</v>
      </c>
      <c r="EB139" s="3">
        <f t="shared" ca="1" si="566"/>
        <v>5.5384078916495972E-4</v>
      </c>
      <c r="EC139" s="3">
        <f t="shared" ca="1" si="567"/>
        <v>-5.2366282183095121E-4</v>
      </c>
      <c r="EE139" s="59">
        <f t="shared" si="568"/>
        <v>0.626</v>
      </c>
      <c r="EF139" s="59">
        <f t="shared" si="569"/>
        <v>1.4280999999999999</v>
      </c>
      <c r="EG139" s="59">
        <f t="shared" si="570"/>
        <v>0.2044</v>
      </c>
      <c r="EH139" s="59">
        <f t="shared" si="571"/>
        <v>0.2142</v>
      </c>
      <c r="EI139" s="59">
        <f t="shared" si="572"/>
        <v>0.20300000000000001</v>
      </c>
      <c r="EJ139" s="59">
        <f t="shared" si="573"/>
        <v>0.2172</v>
      </c>
      <c r="EL139" s="3" t="str">
        <f>RTD("tos.rtd",,EL$43,"."&amp;$B$134&amp;$AS$82&amp;"C"&amp;$A139)</f>
        <v>62.60%</v>
      </c>
      <c r="EM139" s="3" t="str">
        <f>RTD("tos.rtd",,EM$43,"."&amp;$B$134&amp;$AS$82&amp;"P"&amp;$A139)</f>
        <v>142.81%</v>
      </c>
      <c r="EN139" s="3" t="str">
        <f>RTD("tos.rtd",,EN$2,"."&amp;$C$134&amp;$AU$82&amp;"C"&amp;$A139)</f>
        <v>20.44%</v>
      </c>
      <c r="EO139" s="3" t="str">
        <f>RTD("tos.rtd",,EO$2,"."&amp;$C$134&amp;$AU$82&amp;"P"&amp;$A139)</f>
        <v>21.42%</v>
      </c>
      <c r="EP139" s="3" t="str">
        <f>RTD("tos.rtd",,EP$2,"."&amp;$D$134&amp;$AW$82&amp;"C"&amp;$A139)</f>
        <v>20.30%</v>
      </c>
      <c r="EQ139" s="3" t="str">
        <f>RTD("tos.rtd",,EQ$2,"."&amp;$D$134&amp;$AW$82&amp;"P"&amp;$A139)</f>
        <v>21.72%</v>
      </c>
      <c r="ET139" s="64" t="str">
        <f t="shared" ca="1" si="574"/>
        <v>20400,00.00</v>
      </c>
      <c r="EU139" s="67">
        <v>564.94000000000005</v>
      </c>
      <c r="EV139" s="67" t="s">
        <v>1132</v>
      </c>
      <c r="EW139" s="67">
        <v>486.55</v>
      </c>
      <c r="EX139" s="67" t="s">
        <v>1133</v>
      </c>
      <c r="EY139" s="67">
        <v>5665</v>
      </c>
      <c r="EZ139" s="67" t="s">
        <v>1134</v>
      </c>
      <c r="FA139" s="67">
        <v>19992.75</v>
      </c>
      <c r="FB139" s="67" t="s">
        <v>1135</v>
      </c>
      <c r="FC139" s="67" t="s">
        <v>1136</v>
      </c>
      <c r="FD139" s="67" t="s">
        <v>1137</v>
      </c>
      <c r="FE139" s="68" t="s">
        <v>1138</v>
      </c>
      <c r="FF139" s="68" t="s">
        <v>1139</v>
      </c>
    </row>
    <row r="140" spans="1:162" ht="11.1" customHeight="1" thickBot="1" x14ac:dyDescent="0.25">
      <c r="A140" s="2">
        <f t="shared" si="583"/>
        <v>20380</v>
      </c>
      <c r="B140" s="3">
        <f t="shared" si="584"/>
        <v>9</v>
      </c>
      <c r="C140" s="3">
        <f t="shared" si="585"/>
        <v>0</v>
      </c>
      <c r="D140" s="3">
        <f t="shared" ref="D140:D144" si="596">+IF($A$1="ABS",AW140-AX140,AW140+AX140)</f>
        <v>0</v>
      </c>
      <c r="E140" s="3">
        <f t="shared" si="586"/>
        <v>9</v>
      </c>
      <c r="F140" s="4">
        <f t="shared" si="587"/>
        <v>20481.433406330878</v>
      </c>
      <c r="G140" s="5">
        <f t="shared" si="588"/>
        <v>495.96878359546088</v>
      </c>
      <c r="AM140" s="1">
        <v>2</v>
      </c>
      <c r="AN140" s="1">
        <v>0</v>
      </c>
      <c r="AO140" s="1">
        <v>20380</v>
      </c>
      <c r="AP140" s="1">
        <v>69</v>
      </c>
      <c r="AQ140" s="1">
        <v>0</v>
      </c>
      <c r="AS140" s="54">
        <f>IF(RTD("tos.rtd",,AS$83,"."&amp;$B$134&amp;$AS$82&amp;"C"&amp;$A140)="N/A",0,RTD("tos.rtd",,AS$83,"."&amp;$B$134&amp;$AS$82&amp;"C"&amp;$A140))</f>
        <v>9</v>
      </c>
      <c r="AT140" s="3">
        <f>-IF(RTD("tos.rtd",,AT$83,"."&amp;$B$134&amp;$AS$82&amp;"P"&amp;$A140)="N/A",0,RTD("tos.rtd",,AT$83,"."&amp;$B$134&amp;$AS$82&amp;"P"&amp;$A140))</f>
        <v>0</v>
      </c>
      <c r="AU140" s="54">
        <f>IF(RTD("tos.rtd",,AU$2,"."&amp;$C$134&amp;$AU$134&amp;"C"&amp;$A140)="N/A",0,RTD("tos.rtd",,AU$2,"."&amp;$C$134&amp;$AU$134&amp;"C"&amp;$A140))</f>
        <v>0</v>
      </c>
      <c r="AV140" s="3">
        <f>-IF(RTD("tos.rtd",,AV$2,"."&amp;$C$134&amp;$AU$134&amp;"P"&amp;$A140)="N/A",0,RTD("tos.rtd",,AV$2,"."&amp;$C$134&amp;$AU$134&amp;"P"&amp;$A140))</f>
        <v>0</v>
      </c>
      <c r="AW140" s="54">
        <f>IF(RTD("tos.rtd",,AW$2,"."&amp;$D$134&amp;$AW$134&amp;"C"&amp;$A140)="N/A",0,RTD("tos.rtd",,AW$2,"."&amp;$D$134&amp;$AW$134&amp;"C"&amp;$A140))</f>
        <v>0</v>
      </c>
      <c r="AX140" s="3">
        <f>-IF(RTD("tos.rtd",,AX$2,"."&amp;$D$134&amp;$AW$134&amp;"P"&amp;$A140)="N/A",0,RTD("tos.rtd",,AX$2,"."&amp;$D$134&amp;$AW$134&amp;"P"&amp;$A140))</f>
        <v>0</v>
      </c>
      <c r="AY140" s="76">
        <f t="shared" si="589"/>
        <v>9</v>
      </c>
      <c r="AZ140" s="8">
        <f t="shared" si="539"/>
        <v>20380</v>
      </c>
      <c r="BA140" s="54">
        <f>IF(RTD("tos.rtd",,BA$43,"."&amp;$B$134&amp;$AS$82&amp;"C"&amp;$A140)="N/A",0,RTD("tos.rtd",,BA$43,"."&amp;$B$134&amp;$AS$82&amp;"C"&amp;$A140))</f>
        <v>69</v>
      </c>
      <c r="BB140" s="3">
        <f>-IF(RTD("tos.rtd",,BB$43,"."&amp;$B$134&amp;$AS$82&amp;"P"&amp;$A140)="N/A",0,RTD("tos.rtd",,BB$43,"."&amp;$B$134&amp;$AS$82&amp;"P"&amp;$A140))</f>
        <v>0</v>
      </c>
      <c r="BC140" s="54">
        <f>IF(RTD("tos.rtd",,BC$2,"."&amp;$C$134&amp;$AU$82&amp;"C"&amp;$A140)="N/A",0,RTD("tos.rtd",,BC$2,"."&amp;$C$134&amp;$AU$82&amp;"C"&amp;$A140))</f>
        <v>0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0</v>
      </c>
      <c r="BF140" s="3">
        <f>-IF(RTD("tos.rtd",,BF$2,"."&amp;$D$134&amp;$AW$82&amp;"P"&amp;$A140)="N/A",0,RTD("tos.rtd",,BF$2,"."&amp;$D$134&amp;$AW$82&amp;"P"&amp;$A140))</f>
        <v>0</v>
      </c>
      <c r="BG140" s="3" t="e">
        <f ca="1">+Hoja2!Y141</f>
        <v>#N/A</v>
      </c>
      <c r="BH140" s="7" t="e">
        <f t="shared" ca="1" si="540"/>
        <v>#N/A</v>
      </c>
      <c r="BI140" s="32" t="e">
        <f t="shared" ref="BI140:BI189" ca="1" si="597">IF(AND(BH140&lt;0,BH139&gt;0), "Cruce -", IF(AND(BH140&gt;0,BH139&lt;0),"Cruce +", ""))</f>
        <v>#N/A</v>
      </c>
      <c r="BJ140" s="3" t="e">
        <f ca="1">IF($BP$1=1,DX140,IF(RTD("tos.rtd",,BJ$43,"."&amp;$B$134&amp;$AS$82&amp;"C"&amp;$A140)="N/A",0,RTD("tos.rtd",,BJ$43,"."&amp;$B$134&amp;$AS$82&amp;"C"&amp;$A140)))</f>
        <v>#NUM!</v>
      </c>
      <c r="BK140" s="3" t="e">
        <f ca="1">IF($BP$1=1,DY140,-IF(RTD("tos.rtd",,BK$43,"."&amp;$B$134&amp;$AS$82&amp;"P"&amp;$A140)="N/A",0,RTD("tos.rtd",,BK$43,"."&amp;$B$134&amp;$AS$82&amp;"P"&amp;$A140)))</f>
        <v>#NUM!</v>
      </c>
      <c r="BL140" s="3">
        <f ca="1">IF($BP$1=1,DZ140,IF(RTD("tos.rtd",,BL$2,"."&amp;$C$134&amp;$AU$82&amp;"C"&amp;$A140)="N/A",0,RTD("tos.rtd",,BL$2,"."&amp;$C$134&amp;$AU$82&amp;"C"&amp;$A140)))</f>
        <v>4.6751489828649086E-4</v>
      </c>
      <c r="BM140" s="3">
        <f ca="1">IF($BP$1=1,EA140,-IF(RTD("tos.rtd",,BM$2,"."&amp;$C$134&amp;$AU$82&amp;"P"&amp;$A140)="N/A",0,RTD("tos.rtd",,BM$2,"."&amp;$C$134&amp;$AU$82&amp;"P"&amp;$A140)))</f>
        <v>-4.6751489828649086E-4</v>
      </c>
      <c r="BN140" s="3">
        <f ca="1">IF($BP$1=1,EB140,IF(RTD("tos.rtd",,BN$2,"."&amp;$D$134&amp;$AW$82&amp;"C"&amp;$A140)="N/A",0,RTD("tos.rtd",,BN$2,"."&amp;$D$134&amp;$AW$82&amp;"C"&amp;$A140)))</f>
        <v>4.6751489828649086E-4</v>
      </c>
      <c r="BO140" s="3">
        <f ca="1">IF($BP$1=1,EC140,-IF(RTD("tos.rtd",,BO$2,"."&amp;$D$134&amp;$AW$82&amp;"P"&amp;$A140)="N/A",0,RTD("tos.rtd",,BO$2,"."&amp;$D$134&amp;$AW$82&amp;"P"&amp;$A140)))</f>
        <v>-4.6751489828649086E-4</v>
      </c>
      <c r="BQ140" s="3" t="e">
        <f t="shared" ca="1" si="590"/>
        <v>#NUM!</v>
      </c>
      <c r="BR140" s="3" t="e">
        <f t="shared" ca="1" si="541"/>
        <v>#NUM!</v>
      </c>
      <c r="BS140" s="3">
        <f t="shared" ca="1" si="591"/>
        <v>0</v>
      </c>
      <c r="BT140" s="3" t="str">
        <f t="shared" ca="1" si="542"/>
        <v/>
      </c>
      <c r="BU140" s="3">
        <f t="shared" ca="1" si="592"/>
        <v>0</v>
      </c>
      <c r="BV140" s="3" t="str">
        <f t="shared" ca="1" si="542"/>
        <v/>
      </c>
      <c r="BX140" s="3" t="e">
        <f t="shared" ca="1" si="575"/>
        <v>#NUM!</v>
      </c>
      <c r="BY140" s="3" t="e">
        <f t="shared" ca="1" si="576"/>
        <v>#NUM!</v>
      </c>
      <c r="BZ140" s="3">
        <f t="shared" ca="1" si="577"/>
        <v>0</v>
      </c>
      <c r="CA140" s="3" t="str">
        <f t="shared" ca="1" si="576"/>
        <v/>
      </c>
      <c r="CB140" s="3">
        <f t="shared" ca="1" si="578"/>
        <v>0</v>
      </c>
      <c r="CC140" s="3" t="str">
        <f t="shared" ca="1" si="576"/>
        <v/>
      </c>
      <c r="CD140" s="3">
        <f>IF(RTD("tos.rtd",,CD$43,"."&amp;$B$134&amp;$AS$82&amp;"C"&amp;$A140)="N/A",0,RTD("tos.rtd",,CD$43,"."&amp;$B$134&amp;$AS$82&amp;"C"&amp;$A140))</f>
        <v>0.1</v>
      </c>
      <c r="CE140" s="3">
        <f>-IF(RTD("tos.rtd",,CE$43,"."&amp;$B$134&amp;$AS$82&amp;"P"&amp;$A140)="N/A",0,RTD("tos.rtd",,CE$43,"."&amp;$B$134&amp;$AS$82&amp;"P"&amp;$A140))</f>
        <v>0.91</v>
      </c>
      <c r="CF140" s="3">
        <f>IF(RTD("tos.rtd",,CF$2,"."&amp;$C$134&amp;$AU$82&amp;"C"&amp;$A140)="N/A",0,RTD("tos.rtd",,CF$2,"."&amp;$C$134&amp;$AU$82&amp;"C"&amp;$A140))</f>
        <v>0</v>
      </c>
      <c r="CG140" s="3">
        <f>-IF(RTD("tos.rtd",,CG$2,"."&amp;$C$134&amp;$AU$82&amp;"P"&amp;$A140)="N/A",0,RTD("tos.rtd",,CG$2,"."&amp;$C$134&amp;$AU$82&amp;"P"&amp;$A140))</f>
        <v>0</v>
      </c>
      <c r="CH140" s="3">
        <f>IF(RTD("tos.rtd",,CH$2,"."&amp;$D$134&amp;$AW$82&amp;"C"&amp;$A140)="N/A",0,RTD("tos.rtd",,CH$2,"."&amp;$D$134&amp;$AW$82&amp;"C"&amp;$A140))</f>
        <v>0</v>
      </c>
      <c r="CI140" s="3">
        <f>-IF(RTD("tos.rtd",,CI$2,"."&amp;$D$134&amp;$AW$82&amp;"P"&amp;$A140)="N/A",0,RTD("tos.rtd",,CI$2,"."&amp;$D$134&amp;$AW$82&amp;"P"&amp;$A140))</f>
        <v>0</v>
      </c>
      <c r="CK140" s="3">
        <f t="shared" si="593"/>
        <v>90</v>
      </c>
      <c r="CL140" s="3"/>
      <c r="CM140" s="3">
        <f t="shared" si="594"/>
        <v>0</v>
      </c>
      <c r="CN140" s="3"/>
      <c r="CO140" s="3">
        <f t="shared" si="595"/>
        <v>0</v>
      </c>
      <c r="CP140" s="3">
        <f t="shared" si="533"/>
        <v>90</v>
      </c>
      <c r="CQ140" s="3">
        <f t="shared" si="543"/>
        <v>69</v>
      </c>
      <c r="CR140" s="3"/>
      <c r="CS140" s="3">
        <f t="shared" si="544"/>
        <v>0</v>
      </c>
      <c r="CT140" s="3"/>
      <c r="CU140" s="3">
        <f t="shared" si="545"/>
        <v>0</v>
      </c>
      <c r="CV140" s="3"/>
      <c r="CW140" s="3" t="e">
        <f t="shared" ca="1" si="546"/>
        <v>#NUM!</v>
      </c>
      <c r="CY140" s="3" t="e">
        <f t="shared" ca="1" si="547"/>
        <v>#NUM!</v>
      </c>
      <c r="CZ140" s="70" t="e">
        <f t="shared" ca="1" si="579"/>
        <v>#NUM!</v>
      </c>
      <c r="DA140" s="3">
        <f>IF(RTD("tos.rtd",,DA$43,"."&amp;$B$134&amp;$AS$82&amp;"C"&amp;$A140)="N/A",0,RTD("tos.rtd",,DA$43,"."&amp;$B$134&amp;$AS$82&amp;"C"&amp;$A140))</f>
        <v>0.81</v>
      </c>
      <c r="DB140" s="3">
        <f>IF(RTD("tos.rtd",,DB$43,"."&amp;$B$134&amp;$AS$82&amp;"P"&amp;$A140)="N/A",0,RTD("tos.rtd",,DB$43,"."&amp;$B$134&amp;$AS$82&amp;"P"&amp;$A140))</f>
        <v>0</v>
      </c>
      <c r="DC140" s="3">
        <f>IF(RTD("tos.rtd",,DC$43,"."&amp;$B$134&amp;$AS$82&amp;"C"&amp;$A140)="N/A",0,RTD("tos.rtd",,DC$43,"."&amp;$B$134&amp;$AS$82&amp;"C"&amp;$A140))</f>
        <v>19.8</v>
      </c>
      <c r="DD140" s="3">
        <f>IF(RTD("tos.rtd",,DD$43,"."&amp;$B$134&amp;$AS$82&amp;"P"&amp;$A140)="N/A",0,RTD("tos.rtd",,DD$43,"."&amp;$B$134&amp;$AS$82&amp;"P"&amp;$A140))</f>
        <v>306.10000000000002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266</v>
      </c>
      <c r="DG140" s="86">
        <f t="shared" si="580"/>
        <v>288</v>
      </c>
      <c r="DH140" s="3">
        <f t="shared" si="548"/>
        <v>0</v>
      </c>
      <c r="DI140" s="3">
        <f t="shared" si="549"/>
        <v>0</v>
      </c>
      <c r="DJ140" s="3">
        <f t="shared" si="550"/>
        <v>0</v>
      </c>
      <c r="DK140" s="3">
        <f t="shared" si="551"/>
        <v>0</v>
      </c>
      <c r="DL140" s="3">
        <f t="shared" si="552"/>
        <v>0</v>
      </c>
      <c r="DM140" s="3">
        <f t="shared" si="553"/>
        <v>0</v>
      </c>
      <c r="DN140" s="64" t="str">
        <f t="shared" si="554"/>
        <v>UNKNOWN</v>
      </c>
      <c r="DO140" s="64" t="str">
        <f t="shared" si="555"/>
        <v>UNKNOWN</v>
      </c>
      <c r="DP140" s="3">
        <f t="shared" si="556"/>
        <v>0</v>
      </c>
      <c r="DQ140" s="3">
        <f t="shared" si="557"/>
        <v>0</v>
      </c>
      <c r="DR140" s="3" t="e">
        <f t="shared" ca="1" si="558"/>
        <v>#NUM!</v>
      </c>
      <c r="DS140" s="3">
        <f t="shared" si="559"/>
        <v>0</v>
      </c>
      <c r="DT140" s="3">
        <f t="shared" si="581"/>
        <v>0</v>
      </c>
      <c r="DU140" s="3">
        <f t="shared" si="582"/>
        <v>0</v>
      </c>
      <c r="DV140" s="3">
        <f t="shared" si="560"/>
        <v>2</v>
      </c>
      <c r="DW140" s="3">
        <f t="shared" si="561"/>
        <v>0</v>
      </c>
      <c r="DX140" s="3" t="e">
        <f t="shared" ca="1" si="562"/>
        <v>#NUM!</v>
      </c>
      <c r="DY140" s="3" t="e">
        <f t="shared" ca="1" si="563"/>
        <v>#NUM!</v>
      </c>
      <c r="DZ140" s="3">
        <f t="shared" ca="1" si="564"/>
        <v>4.6751489828649086E-4</v>
      </c>
      <c r="EA140" s="3">
        <f t="shared" ca="1" si="565"/>
        <v>-4.6751489828649086E-4</v>
      </c>
      <c r="EB140" s="3">
        <f t="shared" ca="1" si="566"/>
        <v>4.6751489828649086E-4</v>
      </c>
      <c r="EC140" s="3">
        <f t="shared" ca="1" si="567"/>
        <v>-4.6751489828649086E-4</v>
      </c>
      <c r="EE140" s="59">
        <f t="shared" si="568"/>
        <v>1.4027000000000001</v>
      </c>
      <c r="EF140" s="59">
        <f t="shared" si="569"/>
        <v>1.3566</v>
      </c>
      <c r="EG140" s="59">
        <f t="shared" si="570"/>
        <v>0.25</v>
      </c>
      <c r="EH140" s="59">
        <f t="shared" si="571"/>
        <v>0.25</v>
      </c>
      <c r="EI140" s="59">
        <f t="shared" si="572"/>
        <v>0.25</v>
      </c>
      <c r="EJ140" s="59">
        <f t="shared" si="573"/>
        <v>0.25</v>
      </c>
      <c r="EL140" s="3" t="str">
        <f>RTD("tos.rtd",,EL$43,"."&amp;$B$134&amp;$AS$82&amp;"C"&amp;$A140)</f>
        <v>140.27%</v>
      </c>
      <c r="EM140" s="3" t="str">
        <f>RTD("tos.rtd",,EM$43,"."&amp;$B$134&amp;$AS$82&amp;"P"&amp;$A140)</f>
        <v>135.66%</v>
      </c>
      <c r="EN140" s="3" t="str">
        <f>RTD("tos.rtd",,EN$2,"."&amp;$C$134&amp;$AU$82&amp;"C"&amp;$A140)</f>
        <v>N/A</v>
      </c>
      <c r="EO140" s="3" t="str">
        <f>RTD("tos.rtd",,EO$2,"."&amp;$C$134&amp;$AU$82&amp;"P"&amp;$A140)</f>
        <v>N/A</v>
      </c>
      <c r="EP140" s="3" t="str">
        <f>RTD("tos.rtd",,EP$2,"."&amp;$D$134&amp;$AW$82&amp;"C"&amp;$A140)</f>
        <v>N/A</v>
      </c>
      <c r="EQ140" s="3" t="str">
        <f>RTD("tos.rtd",,EQ$2,"."&amp;$D$134&amp;$AW$82&amp;"P"&amp;$A140)</f>
        <v>N/A</v>
      </c>
      <c r="ET140" s="64" t="str">
        <f t="shared" ca="1" si="574"/>
        <v>20380,00.00</v>
      </c>
      <c r="EU140" s="67">
        <v>564.83000000000004</v>
      </c>
      <c r="EV140" s="67" t="s">
        <v>1140</v>
      </c>
      <c r="EW140" s="67">
        <v>486.47</v>
      </c>
      <c r="EX140" s="67" t="s">
        <v>1141</v>
      </c>
      <c r="EY140" s="67">
        <v>5663.75</v>
      </c>
      <c r="EZ140" s="67" t="s">
        <v>1142</v>
      </c>
      <c r="FA140" s="67">
        <v>19990</v>
      </c>
      <c r="FB140" s="67" t="s">
        <v>1143</v>
      </c>
      <c r="FC140" s="67" t="s">
        <v>1144</v>
      </c>
      <c r="FD140" s="67" t="s">
        <v>1145</v>
      </c>
      <c r="FE140" s="68" t="s">
        <v>1146</v>
      </c>
      <c r="FF140" s="68" t="s">
        <v>1147</v>
      </c>
    </row>
    <row r="141" spans="1:162" ht="11.1" customHeight="1" thickBot="1" x14ac:dyDescent="0.25">
      <c r="A141" s="2">
        <f t="shared" si="583"/>
        <v>20360</v>
      </c>
      <c r="B141" s="3">
        <f t="shared" si="584"/>
        <v>12</v>
      </c>
      <c r="C141" s="3">
        <f t="shared" si="585"/>
        <v>0</v>
      </c>
      <c r="D141" s="3">
        <f t="shared" si="596"/>
        <v>0</v>
      </c>
      <c r="E141" s="3">
        <f t="shared" si="586"/>
        <v>12</v>
      </c>
      <c r="F141" s="4">
        <f t="shared" si="587"/>
        <v>20461.333864224569</v>
      </c>
      <c r="G141" s="5">
        <f t="shared" si="588"/>
        <v>495.48206251244272</v>
      </c>
      <c r="AM141" s="1">
        <v>-22</v>
      </c>
      <c r="AN141" s="1" t="e">
        <v>#N/A</v>
      </c>
      <c r="AO141" s="1">
        <v>20360</v>
      </c>
      <c r="AP141" s="1">
        <v>47</v>
      </c>
      <c r="AQ141" s="1">
        <v>-1</v>
      </c>
      <c r="AS141" s="54">
        <f>IF(RTD("tos.rtd",,AS$83,"."&amp;$B$134&amp;$AS$82&amp;"C"&amp;$A141)="N/A",0,RTD("tos.rtd",,AS$83,"."&amp;$B$134&amp;$AS$82&amp;"C"&amp;$A141))</f>
        <v>12</v>
      </c>
      <c r="AT141" s="3">
        <f>-IF(RTD("tos.rtd",,AT$83,"."&amp;$B$134&amp;$AS$82&amp;"P"&amp;$A141)="N/A",0,RTD("tos.rtd",,AT$83,"."&amp;$B$134&amp;$AS$82&amp;"P"&amp;$A141))</f>
        <v>0</v>
      </c>
      <c r="AU141" s="54">
        <f>IF(RTD("tos.rtd",,AU$2,"."&amp;$C$134&amp;$AU$134&amp;"C"&amp;$A141)="N/A",0,RTD("tos.rtd",,AU$2,"."&amp;$C$134&amp;$AU$134&amp;"C"&amp;$A141))</f>
        <v>0</v>
      </c>
      <c r="AV141" s="3">
        <f>-IF(RTD("tos.rtd",,AV$2,"."&amp;$C$134&amp;$AU$134&amp;"P"&amp;$A141)="N/A",0,RTD("tos.rtd",,AV$2,"."&amp;$C$134&amp;$AU$134&amp;"P"&amp;$A141))</f>
        <v>0</v>
      </c>
      <c r="AW141" s="54">
        <f>IF(RTD("tos.rtd",,AW$2,"."&amp;$D$134&amp;$AW$134&amp;"C"&amp;$A141)="N/A",0,RTD("tos.rtd",,AW$2,"."&amp;$D$134&amp;$AW$134&amp;"C"&amp;$A141))</f>
        <v>0</v>
      </c>
      <c r="AX141" s="3">
        <f>-IF(RTD("tos.rtd",,AX$2,"."&amp;$D$134&amp;$AW$134&amp;"P"&amp;$A141)="N/A",0,RTD("tos.rtd",,AX$2,"."&amp;$D$134&amp;$AW$134&amp;"P"&amp;$A141))</f>
        <v>0</v>
      </c>
      <c r="AY141" s="76">
        <f t="shared" si="589"/>
        <v>12</v>
      </c>
      <c r="AZ141" s="8">
        <f t="shared" si="539"/>
        <v>20360</v>
      </c>
      <c r="BA141" s="54">
        <f>IF(RTD("tos.rtd",,BA$43,"."&amp;$B$134&amp;$AS$82&amp;"C"&amp;$A141)="N/A",0,RTD("tos.rtd",,BA$43,"."&amp;$B$134&amp;$AS$82&amp;"C"&amp;$A141))</f>
        <v>47</v>
      </c>
      <c r="BB141" s="3">
        <f>-IF(RTD("tos.rtd",,BB$43,"."&amp;$B$134&amp;$AS$82&amp;"P"&amp;$A141)="N/A",0,RTD("tos.rtd",,BB$43,"."&amp;$B$134&amp;$AS$82&amp;"P"&amp;$A141))</f>
        <v>-1</v>
      </c>
      <c r="BC141" s="54">
        <f>IF(RTD("tos.rtd",,BC$2,"."&amp;$C$134&amp;$AU$82&amp;"C"&amp;$A141)="N/A",0,RTD("tos.rtd",,BC$2,"."&amp;$C$134&amp;$AU$82&amp;"C"&amp;$A141))</f>
        <v>0</v>
      </c>
      <c r="BD141" s="3">
        <f>-IF(RTD("tos.rtd",,BD$2,"."&amp;$C$134&amp;$AU$82&amp;"P"&amp;$A141)="N/A",0,RTD("tos.rtd",,BD$2,"."&amp;$C$134&amp;$AU$82&amp;"P"&amp;$A141))</f>
        <v>0</v>
      </c>
      <c r="BE141" s="54">
        <f>IF(RTD("tos.rtd",,BE$2,"."&amp;$D$134&amp;$AW$82&amp;"C"&amp;$A141)="N/A",0,RTD("tos.rtd",,BE$2,"."&amp;$D$134&amp;$AW$82&amp;"C"&amp;$A141))</f>
        <v>0</v>
      </c>
      <c r="BF141" s="3">
        <f>-IF(RTD("tos.rtd",,BF$2,"."&amp;$D$134&amp;$AW$82&amp;"P"&amp;$A141)="N/A",0,RTD("tos.rtd",,BF$2,"."&amp;$D$134&amp;$AW$82&amp;"P"&amp;$A141))</f>
        <v>0</v>
      </c>
      <c r="BG141" s="3" t="e">
        <f ca="1">+Hoja2!Y142</f>
        <v>#N/A</v>
      </c>
      <c r="BH141" s="7" t="e">
        <f t="shared" ca="1" si="540"/>
        <v>#N/A</v>
      </c>
      <c r="BI141" s="32" t="e">
        <f t="shared" ca="1" si="597"/>
        <v>#N/A</v>
      </c>
      <c r="BJ141" s="3" t="e">
        <f ca="1">IF($BP$1=1,DX141,IF(RTD("tos.rtd",,BJ$43,"."&amp;$B$134&amp;$AS$82&amp;"C"&amp;$A141)="N/A",0,RTD("tos.rtd",,BJ$43,"."&amp;$B$134&amp;$AS$82&amp;"C"&amp;$A141)))</f>
        <v>#NUM!</v>
      </c>
      <c r="BK141" s="3" t="e">
        <f ca="1">IF($BP$1=1,DY141,-IF(RTD("tos.rtd",,BK$43,"."&amp;$B$134&amp;$AS$82&amp;"P"&amp;$A141)="N/A",0,RTD("tos.rtd",,BK$43,"."&amp;$B$134&amp;$AS$82&amp;"P"&amp;$A141)))</f>
        <v>#NUM!</v>
      </c>
      <c r="BL141" s="3">
        <f ca="1">IF($BP$1=1,DZ141,IF(RTD("tos.rtd",,BL$2,"."&amp;$C$134&amp;$AU$82&amp;"C"&amp;$A141)="N/A",0,RTD("tos.rtd",,BL$2,"."&amp;$C$134&amp;$AU$82&amp;"C"&amp;$A141)))</f>
        <v>4.7082251361574902E-4</v>
      </c>
      <c r="BM141" s="3">
        <f ca="1">IF($BP$1=1,EA141,-IF(RTD("tos.rtd",,BM$2,"."&amp;$C$134&amp;$AU$82&amp;"P"&amp;$A141)="N/A",0,RTD("tos.rtd",,BM$2,"."&amp;$C$134&amp;$AU$82&amp;"P"&amp;$A141)))</f>
        <v>-4.7082251361574902E-4</v>
      </c>
      <c r="BN141" s="3">
        <f ca="1">IF($BP$1=1,EB141,IF(RTD("tos.rtd",,BN$2,"."&amp;$D$134&amp;$AW$82&amp;"C"&amp;$A141)="N/A",0,RTD("tos.rtd",,BN$2,"."&amp;$D$134&amp;$AW$82&amp;"C"&amp;$A141)))</f>
        <v>4.7082251361574902E-4</v>
      </c>
      <c r="BO141" s="3">
        <f ca="1">IF($BP$1=1,EC141,-IF(RTD("tos.rtd",,BO$2,"."&amp;$D$134&amp;$AW$82&amp;"P"&amp;$A141)="N/A",0,RTD("tos.rtd",,BO$2,"."&amp;$D$134&amp;$AW$82&amp;"P"&amp;$A141)))</f>
        <v>-4.7082251361574902E-4</v>
      </c>
      <c r="BQ141" s="3" t="e">
        <f t="shared" ca="1" si="590"/>
        <v>#NUM!</v>
      </c>
      <c r="BR141" s="3" t="e">
        <f t="shared" ca="1" si="541"/>
        <v>#NUM!</v>
      </c>
      <c r="BS141" s="3">
        <f t="shared" ca="1" si="591"/>
        <v>0</v>
      </c>
      <c r="BT141" s="3" t="str">
        <f t="shared" ca="1" si="542"/>
        <v/>
      </c>
      <c r="BU141" s="3">
        <f t="shared" ca="1" si="592"/>
        <v>0</v>
      </c>
      <c r="BV141" s="3" t="str">
        <f t="shared" ca="1" si="542"/>
        <v/>
      </c>
      <c r="BX141" s="3" t="e">
        <f t="shared" ca="1" si="575"/>
        <v>#NUM!</v>
      </c>
      <c r="BY141" s="3" t="e">
        <f t="shared" ca="1" si="576"/>
        <v>#NUM!</v>
      </c>
      <c r="BZ141" s="3">
        <f t="shared" ca="1" si="577"/>
        <v>0</v>
      </c>
      <c r="CA141" s="3" t="str">
        <f t="shared" ca="1" si="576"/>
        <v/>
      </c>
      <c r="CB141" s="3">
        <f t="shared" ca="1" si="578"/>
        <v>0</v>
      </c>
      <c r="CC141" s="3" t="str">
        <f t="shared" ca="1" si="576"/>
        <v/>
      </c>
      <c r="CD141" s="3">
        <f>IF(RTD("tos.rtd",,CD$43,"."&amp;$B$134&amp;$AS$82&amp;"C"&amp;$A141)="N/A",0,RTD("tos.rtd",,CD$43,"."&amp;$B$134&amp;$AS$82&amp;"C"&amp;$A141))</f>
        <v>0.1</v>
      </c>
      <c r="CE141" s="3">
        <f>-IF(RTD("tos.rtd",,CE$43,"."&amp;$B$134&amp;$AS$82&amp;"P"&amp;$A141)="N/A",0,RTD("tos.rtd",,CE$43,"."&amp;$B$134&amp;$AS$82&amp;"P"&amp;$A141))</f>
        <v>0.9</v>
      </c>
      <c r="CF141" s="3">
        <f>IF(RTD("tos.rtd",,CF$2,"."&amp;$C$134&amp;$AU$82&amp;"C"&amp;$A141)="N/A",0,RTD("tos.rtd",,CF$2,"."&amp;$C$134&amp;$AU$82&amp;"C"&amp;$A141))</f>
        <v>0</v>
      </c>
      <c r="CG141" s="3">
        <f>-IF(RTD("tos.rtd",,CG$2,"."&amp;$C$134&amp;$AU$82&amp;"P"&amp;$A141)="N/A",0,RTD("tos.rtd",,CG$2,"."&amp;$C$134&amp;$AU$82&amp;"P"&amp;$A141))</f>
        <v>0</v>
      </c>
      <c r="CH141" s="3">
        <f>IF(RTD("tos.rtd",,CH$2,"."&amp;$D$134&amp;$AW$82&amp;"C"&amp;$A141)="N/A",0,RTD("tos.rtd",,CH$2,"."&amp;$D$134&amp;$AW$82&amp;"C"&amp;$A141))</f>
        <v>0</v>
      </c>
      <c r="CI141" s="3">
        <f>-IF(RTD("tos.rtd",,CI$2,"."&amp;$D$134&amp;$AW$82&amp;"P"&amp;$A141)="N/A",0,RTD("tos.rtd",,CI$2,"."&amp;$D$134&amp;$AW$82&amp;"P"&amp;$A141))</f>
        <v>0</v>
      </c>
      <c r="CK141" s="3">
        <f t="shared" si="593"/>
        <v>120.00000000000001</v>
      </c>
      <c r="CL141" s="3"/>
      <c r="CM141" s="3">
        <f t="shared" si="594"/>
        <v>0</v>
      </c>
      <c r="CN141" s="3"/>
      <c r="CO141" s="3">
        <f t="shared" si="595"/>
        <v>0</v>
      </c>
      <c r="CP141" s="3">
        <f t="shared" si="533"/>
        <v>120.00000000000001</v>
      </c>
      <c r="CQ141" s="3">
        <f t="shared" si="543"/>
        <v>46</v>
      </c>
      <c r="CR141" s="3"/>
      <c r="CS141" s="3">
        <f t="shared" si="544"/>
        <v>0</v>
      </c>
      <c r="CT141" s="3"/>
      <c r="CU141" s="3">
        <f t="shared" si="545"/>
        <v>0</v>
      </c>
      <c r="CV141" s="3"/>
      <c r="CW141" s="3" t="e">
        <f t="shared" ca="1" si="546"/>
        <v>#NUM!</v>
      </c>
      <c r="CY141" s="3" t="e">
        <f t="shared" ca="1" si="547"/>
        <v>#NUM!</v>
      </c>
      <c r="CZ141" s="70" t="e">
        <f t="shared" ca="1" si="579"/>
        <v>#NUM!</v>
      </c>
      <c r="DA141" s="3">
        <f>IF(RTD("tos.rtd",,DA$43,"."&amp;$B$134&amp;$AS$82&amp;"C"&amp;$A141)="N/A",0,RTD("tos.rtd",,DA$43,"."&amp;$B$134&amp;$AS$82&amp;"C"&amp;$A141))</f>
        <v>0.18</v>
      </c>
      <c r="DB141" s="3">
        <f>IF(RTD("tos.rtd",,DB$43,"."&amp;$B$134&amp;$AS$82&amp;"P"&amp;$A141)="N/A",0,RTD("tos.rtd",,DB$43,"."&amp;$B$134&amp;$AS$82&amp;"P"&amp;$A141))</f>
        <v>218</v>
      </c>
      <c r="DC141" s="3">
        <f>IF(RTD("tos.rtd",,DC$43,"."&amp;$B$134&amp;$AS$82&amp;"C"&amp;$A141)="N/A",0,RTD("tos.rtd",,DC$43,"."&amp;$B$134&amp;$AS$82&amp;"C"&amp;$A141))</f>
        <v>19.8</v>
      </c>
      <c r="DD141" s="3">
        <f>IF(RTD("tos.rtd",,DD$43,"."&amp;$B$134&amp;$AS$82&amp;"P"&amp;$A141)="N/A",0,RTD("tos.rtd",,DD$43,"."&amp;$B$134&amp;$AS$82&amp;"P"&amp;$A141))</f>
        <v>286</v>
      </c>
      <c r="DE141" s="3">
        <f>IF(RTD("tos.rtd",,DE$43,"."&amp;$B$134&amp;$AS$82&amp;"C"&amp;$A141)="N/A",0,RTD("tos.rtd",,DE$43,"."&amp;$B$134&amp;$AS$82&amp;"C"&amp;$A141))</f>
        <v>0</v>
      </c>
      <c r="DF141" s="3">
        <f>IF(RTD("tos.rtd",,DF$43,"."&amp;$B$134&amp;$AS$82&amp;"P"&amp;$A141)="N/A",0,RTD("tos.rtd",,DF$43,"."&amp;$B$134&amp;$AS$82&amp;"P"&amp;$A141))</f>
        <v>246</v>
      </c>
      <c r="DG141" s="86">
        <f t="shared" si="580"/>
        <v>268</v>
      </c>
      <c r="DH141" s="3">
        <f t="shared" si="548"/>
        <v>0</v>
      </c>
      <c r="DI141" s="3">
        <f t="shared" si="549"/>
        <v>0</v>
      </c>
      <c r="DJ141" s="3">
        <f t="shared" si="550"/>
        <v>0</v>
      </c>
      <c r="DK141" s="3">
        <f t="shared" si="551"/>
        <v>0</v>
      </c>
      <c r="DL141" s="3">
        <f t="shared" si="552"/>
        <v>0</v>
      </c>
      <c r="DM141" s="3">
        <f t="shared" si="553"/>
        <v>0</v>
      </c>
      <c r="DN141" s="64" t="str">
        <f t="shared" si="554"/>
        <v>UNKNOWN</v>
      </c>
      <c r="DO141" s="64" t="str">
        <f t="shared" si="555"/>
        <v>UNKNOWN</v>
      </c>
      <c r="DP141" s="3">
        <f t="shared" si="556"/>
        <v>0</v>
      </c>
      <c r="DQ141" s="3">
        <f t="shared" si="557"/>
        <v>0</v>
      </c>
      <c r="DR141" s="3" t="e">
        <f t="shared" ca="1" si="558"/>
        <v>#NUM!</v>
      </c>
      <c r="DS141" s="3">
        <f t="shared" si="559"/>
        <v>0</v>
      </c>
      <c r="DT141" s="3">
        <f t="shared" si="581"/>
        <v>0</v>
      </c>
      <c r="DU141" s="3">
        <f t="shared" si="582"/>
        <v>0</v>
      </c>
      <c r="DV141" s="3">
        <f t="shared" si="560"/>
        <v>-22</v>
      </c>
      <c r="DW141" s="3" t="e">
        <f t="shared" si="561"/>
        <v>#N/A</v>
      </c>
      <c r="DX141" s="3" t="e">
        <f t="shared" ca="1" si="562"/>
        <v>#NUM!</v>
      </c>
      <c r="DY141" s="3" t="e">
        <f t="shared" ca="1" si="563"/>
        <v>#NUM!</v>
      </c>
      <c r="DZ141" s="3">
        <f t="shared" ca="1" si="564"/>
        <v>4.7082251361574902E-4</v>
      </c>
      <c r="EA141" s="3">
        <f t="shared" ca="1" si="565"/>
        <v>-4.7082251361574902E-4</v>
      </c>
      <c r="EB141" s="3">
        <f t="shared" ca="1" si="566"/>
        <v>4.7082251361574902E-4</v>
      </c>
      <c r="EC141" s="3">
        <f t="shared" ca="1" si="567"/>
        <v>-4.7082251361574902E-4</v>
      </c>
      <c r="EE141" s="59">
        <f t="shared" si="568"/>
        <v>1.3287</v>
      </c>
      <c r="EF141" s="59">
        <f t="shared" si="569"/>
        <v>1.2822</v>
      </c>
      <c r="EG141" s="59">
        <f t="shared" si="570"/>
        <v>0.25</v>
      </c>
      <c r="EH141" s="59">
        <f t="shared" si="571"/>
        <v>0.25</v>
      </c>
      <c r="EI141" s="59">
        <f t="shared" si="572"/>
        <v>0.25</v>
      </c>
      <c r="EJ141" s="59">
        <f t="shared" si="573"/>
        <v>0.25</v>
      </c>
      <c r="EL141" s="3" t="str">
        <f>RTD("tos.rtd",,EL$43,"."&amp;$B$134&amp;$AS$82&amp;"C"&amp;$A141)</f>
        <v>132.87%</v>
      </c>
      <c r="EM141" s="3" t="str">
        <f>RTD("tos.rtd",,EM$43,"."&amp;$B$134&amp;$AS$82&amp;"P"&amp;$A141)</f>
        <v>128.22%</v>
      </c>
      <c r="EN141" s="3" t="str">
        <f>RTD("tos.rtd",,EN$2,"."&amp;$C$134&amp;$AU$82&amp;"C"&amp;$A141)</f>
        <v>N/A</v>
      </c>
      <c r="EO141" s="3" t="str">
        <f>RTD("tos.rtd",,EO$2,"."&amp;$C$134&amp;$AU$82&amp;"P"&amp;$A141)</f>
        <v>N/A</v>
      </c>
      <c r="EP141" s="3" t="str">
        <f>RTD("tos.rtd",,EP$2,"."&amp;$D$134&amp;$AW$82&amp;"C"&amp;$A141)</f>
        <v>N/A</v>
      </c>
      <c r="EQ141" s="3" t="str">
        <f>RTD("tos.rtd",,EQ$2,"."&amp;$D$134&amp;$AW$82&amp;"P"&amp;$A141)</f>
        <v>N/A</v>
      </c>
      <c r="ET141" s="64" t="str">
        <f t="shared" ca="1" si="574"/>
        <v>20360,00.00</v>
      </c>
      <c r="EU141" s="67">
        <v>564.75</v>
      </c>
      <c r="EV141" s="67" t="s">
        <v>1148</v>
      </c>
      <c r="EW141" s="67">
        <v>486.48</v>
      </c>
      <c r="EX141" s="67" t="s">
        <v>1149</v>
      </c>
      <c r="EY141" s="67">
        <v>5663.5</v>
      </c>
      <c r="EZ141" s="67" t="s">
        <v>1150</v>
      </c>
      <c r="FA141" s="67">
        <v>19990.5</v>
      </c>
      <c r="FB141" s="67" t="s">
        <v>1151</v>
      </c>
      <c r="FC141" s="67" t="s">
        <v>1152</v>
      </c>
      <c r="FD141" s="67" t="s">
        <v>1153</v>
      </c>
      <c r="FE141" s="68" t="s">
        <v>1154</v>
      </c>
      <c r="FF141" s="68" t="s">
        <v>1155</v>
      </c>
    </row>
    <row r="142" spans="1:162" ht="11.1" customHeight="1" thickBot="1" x14ac:dyDescent="0.25">
      <c r="A142" s="2">
        <f t="shared" si="583"/>
        <v>20340</v>
      </c>
      <c r="B142" s="3">
        <f t="shared" si="584"/>
        <v>1</v>
      </c>
      <c r="C142" s="3">
        <f t="shared" si="585"/>
        <v>0</v>
      </c>
      <c r="D142" s="3">
        <f t="shared" si="596"/>
        <v>0</v>
      </c>
      <c r="E142" s="3">
        <f t="shared" si="586"/>
        <v>1</v>
      </c>
      <c r="F142" s="4">
        <f t="shared" si="587"/>
        <v>20441.234322118256</v>
      </c>
      <c r="G142" s="5">
        <f t="shared" si="588"/>
        <v>494.99534142942463</v>
      </c>
      <c r="AM142" s="1">
        <v>43</v>
      </c>
      <c r="AN142" s="1" t="e">
        <v>#N/A</v>
      </c>
      <c r="AO142" s="1">
        <v>20340</v>
      </c>
      <c r="AP142" s="1">
        <v>108</v>
      </c>
      <c r="AQ142" s="1">
        <v>-6</v>
      </c>
      <c r="AS142" s="54">
        <f>IF(RTD("tos.rtd",,AS$83,"."&amp;$B$134&amp;$AS$82&amp;"C"&amp;$A142)="N/A",0,RTD("tos.rtd",,AS$83,"."&amp;$B$134&amp;$AS$82&amp;"C"&amp;$A142))</f>
        <v>1</v>
      </c>
      <c r="AT142" s="3">
        <f>-IF(RTD("tos.rtd",,AT$83,"."&amp;$B$134&amp;$AS$82&amp;"P"&amp;$A142)="N/A",0,RTD("tos.rtd",,AT$83,"."&amp;$B$134&amp;$AS$82&amp;"P"&amp;$A142))</f>
        <v>0</v>
      </c>
      <c r="AU142" s="54">
        <f>IF(RTD("tos.rtd",,AU$2,"."&amp;$C$134&amp;$AU$134&amp;"C"&amp;$A142)="N/A",0,RTD("tos.rtd",,AU$2,"."&amp;$C$134&amp;$AU$134&amp;"C"&amp;$A142))</f>
        <v>0</v>
      </c>
      <c r="AV142" s="3">
        <f>-IF(RTD("tos.rtd",,AV$2,"."&amp;$C$134&amp;$AU$134&amp;"P"&amp;$A142)="N/A",0,RTD("tos.rtd",,AV$2,"."&amp;$C$134&amp;$AU$134&amp;"P"&amp;$A142))</f>
        <v>0</v>
      </c>
      <c r="AW142" s="54">
        <f>IF(RTD("tos.rtd",,AW$2,"."&amp;$D$134&amp;$AW$134&amp;"C"&amp;$A142)="N/A",0,RTD("tos.rtd",,AW$2,"."&amp;$D$134&amp;$AW$134&amp;"C"&amp;$A142))</f>
        <v>0</v>
      </c>
      <c r="AX142" s="3">
        <f>-IF(RTD("tos.rtd",,AX$2,"."&amp;$D$134&amp;$AW$134&amp;"P"&amp;$A142)="N/A",0,RTD("tos.rtd",,AX$2,"."&amp;$D$134&amp;$AW$134&amp;"P"&amp;$A142))</f>
        <v>0</v>
      </c>
      <c r="AY142" s="76">
        <f t="shared" si="589"/>
        <v>1</v>
      </c>
      <c r="AZ142" s="8">
        <f t="shared" si="539"/>
        <v>20340</v>
      </c>
      <c r="BA142" s="54">
        <f>IF(RTD("tos.rtd",,BA$43,"."&amp;$B$134&amp;$AS$82&amp;"C"&amp;$A142)="N/A",0,RTD("tos.rtd",,BA$43,"."&amp;$B$134&amp;$AS$82&amp;"C"&amp;$A142))</f>
        <v>108</v>
      </c>
      <c r="BB142" s="3">
        <f>-IF(RTD("tos.rtd",,BB$43,"."&amp;$B$134&amp;$AS$82&amp;"P"&amp;$A142)="N/A",0,RTD("tos.rtd",,BB$43,"."&amp;$B$134&amp;$AS$82&amp;"P"&amp;$A142))</f>
        <v>-6</v>
      </c>
      <c r="BC142" s="54">
        <f>IF(RTD("tos.rtd",,BC$2,"."&amp;$C$134&amp;$AU$82&amp;"C"&amp;$A142)="N/A",0,RTD("tos.rtd",,BC$2,"."&amp;$C$134&amp;$AU$82&amp;"C"&amp;$A142))</f>
        <v>0</v>
      </c>
      <c r="BD142" s="3">
        <f>-IF(RTD("tos.rtd",,BD$2,"."&amp;$C$134&amp;$AU$82&amp;"P"&amp;$A142)="N/A",0,RTD("tos.rtd",,BD$2,"."&amp;$C$134&amp;$AU$82&amp;"P"&amp;$A142))</f>
        <v>0</v>
      </c>
      <c r="BE142" s="54">
        <f>IF(RTD("tos.rtd",,BE$2,"."&amp;$D$134&amp;$AW$82&amp;"C"&amp;$A142)="N/A",0,RTD("tos.rtd",,BE$2,"."&amp;$D$134&amp;$AW$82&amp;"C"&amp;$A142))</f>
        <v>0</v>
      </c>
      <c r="BF142" s="3">
        <f>-IF(RTD("tos.rtd",,BF$2,"."&amp;$D$134&amp;$AW$82&amp;"P"&amp;$A142)="N/A",0,RTD("tos.rtd",,BF$2,"."&amp;$D$134&amp;$AW$82&amp;"P"&amp;$A142))</f>
        <v>0</v>
      </c>
      <c r="BG142" s="3" t="e">
        <f ca="1">+Hoja2!Y143</f>
        <v>#N/A</v>
      </c>
      <c r="BH142" s="7" t="e">
        <f t="shared" ca="1" si="540"/>
        <v>#N/A</v>
      </c>
      <c r="BI142" s="32" t="e">
        <f t="shared" ca="1" si="597"/>
        <v>#N/A</v>
      </c>
      <c r="BJ142" s="3" t="e">
        <f ca="1">IF($BP$1=1,DX142,IF(RTD("tos.rtd",,BJ$43,"."&amp;$B$134&amp;$AS$82&amp;"C"&amp;$A142)="N/A",0,RTD("tos.rtd",,BJ$43,"."&amp;$B$134&amp;$AS$82&amp;"C"&amp;$A142)))</f>
        <v>#NUM!</v>
      </c>
      <c r="BK142" s="3" t="e">
        <f ca="1">IF($BP$1=1,DY142,-IF(RTD("tos.rtd",,BK$43,"."&amp;$B$134&amp;$AS$82&amp;"P"&amp;$A142)="N/A",0,RTD("tos.rtd",,BK$43,"."&amp;$B$134&amp;$AS$82&amp;"P"&amp;$A142)))</f>
        <v>#NUM!</v>
      </c>
      <c r="BL142" s="3">
        <f ca="1">IF($BP$1=1,DZ142,IF(RTD("tos.rtd",,BL$2,"."&amp;$C$134&amp;$AU$82&amp;"C"&amp;$A142)="N/A",0,RTD("tos.rtd",,BL$2,"."&amp;$C$134&amp;$AU$82&amp;"C"&amp;$A142)))</f>
        <v>4.7387865601460435E-4</v>
      </c>
      <c r="BM142" s="3">
        <f ca="1">IF($BP$1=1,EA142,-IF(RTD("tos.rtd",,BM$2,"."&amp;$C$134&amp;$AU$82&amp;"P"&amp;$A142)="N/A",0,RTD("tos.rtd",,BM$2,"."&amp;$C$134&amp;$AU$82&amp;"P"&amp;$A142)))</f>
        <v>-4.7387865601460435E-4</v>
      </c>
      <c r="BN142" s="3">
        <f ca="1">IF($BP$1=1,EB142,IF(RTD("tos.rtd",,BN$2,"."&amp;$D$134&amp;$AW$82&amp;"C"&amp;$A142)="N/A",0,RTD("tos.rtd",,BN$2,"."&amp;$D$134&amp;$AW$82&amp;"C"&amp;$A142)))</f>
        <v>4.7387865601460435E-4</v>
      </c>
      <c r="BO142" s="3">
        <f ca="1">IF($BP$1=1,EC142,-IF(RTD("tos.rtd",,BO$2,"."&amp;$D$134&amp;$AW$82&amp;"P"&amp;$A142)="N/A",0,RTD("tos.rtd",,BO$2,"."&amp;$D$134&amp;$AW$82&amp;"P"&amp;$A142)))</f>
        <v>-4.7387865601460435E-4</v>
      </c>
      <c r="BQ142" s="3" t="e">
        <f t="shared" ca="1" si="590"/>
        <v>#NUM!</v>
      </c>
      <c r="BR142" s="3" t="e">
        <f t="shared" ca="1" si="541"/>
        <v>#NUM!</v>
      </c>
      <c r="BS142" s="3">
        <f t="shared" ca="1" si="591"/>
        <v>0</v>
      </c>
      <c r="BT142" s="3" t="str">
        <f t="shared" ca="1" si="542"/>
        <v/>
      </c>
      <c r="BU142" s="3">
        <f t="shared" ca="1" si="592"/>
        <v>0</v>
      </c>
      <c r="BV142" s="3" t="str">
        <f t="shared" ca="1" si="542"/>
        <v/>
      </c>
      <c r="BX142" s="3" t="e">
        <f t="shared" ca="1" si="575"/>
        <v>#NUM!</v>
      </c>
      <c r="BY142" s="3" t="e">
        <f t="shared" ca="1" si="576"/>
        <v>#NUM!</v>
      </c>
      <c r="BZ142" s="3">
        <f t="shared" ca="1" si="577"/>
        <v>0</v>
      </c>
      <c r="CA142" s="3" t="str">
        <f t="shared" ca="1" si="576"/>
        <v/>
      </c>
      <c r="CB142" s="3">
        <f t="shared" ca="1" si="578"/>
        <v>0</v>
      </c>
      <c r="CC142" s="3" t="str">
        <f t="shared" ca="1" si="576"/>
        <v/>
      </c>
      <c r="CD142" s="3">
        <f>IF(RTD("tos.rtd",,CD$43,"."&amp;$B$134&amp;$AS$82&amp;"C"&amp;$A142)="N/A",0,RTD("tos.rtd",,CD$43,"."&amp;$B$134&amp;$AS$82&amp;"C"&amp;$A142))</f>
        <v>0.02</v>
      </c>
      <c r="CE142" s="3">
        <f>-IF(RTD("tos.rtd",,CE$43,"."&amp;$B$134&amp;$AS$82&amp;"P"&amp;$A142)="N/A",0,RTD("tos.rtd",,CE$43,"."&amp;$B$134&amp;$AS$82&amp;"P"&amp;$A142))</f>
        <v>0.9</v>
      </c>
      <c r="CF142" s="3">
        <f>IF(RTD("tos.rtd",,CF$2,"."&amp;$C$134&amp;$AU$82&amp;"C"&amp;$A142)="N/A",0,RTD("tos.rtd",,CF$2,"."&amp;$C$134&amp;$AU$82&amp;"C"&amp;$A142))</f>
        <v>0</v>
      </c>
      <c r="CG142" s="3">
        <f>-IF(RTD("tos.rtd",,CG$2,"."&amp;$C$134&amp;$AU$82&amp;"P"&amp;$A142)="N/A",0,RTD("tos.rtd",,CG$2,"."&amp;$C$134&amp;$AU$82&amp;"P"&amp;$A142))</f>
        <v>0</v>
      </c>
      <c r="CH142" s="3">
        <f>IF(RTD("tos.rtd",,CH$2,"."&amp;$D$134&amp;$AW$82&amp;"C"&amp;$A142)="N/A",0,RTD("tos.rtd",,CH$2,"."&amp;$D$134&amp;$AW$82&amp;"C"&amp;$A142))</f>
        <v>0</v>
      </c>
      <c r="CI142" s="3">
        <f>-IF(RTD("tos.rtd",,CI$2,"."&amp;$D$134&amp;$AW$82&amp;"P"&amp;$A142)="N/A",0,RTD("tos.rtd",,CI$2,"."&amp;$D$134&amp;$AW$82&amp;"P"&amp;$A142))</f>
        <v>0</v>
      </c>
      <c r="CK142" s="3">
        <f t="shared" si="593"/>
        <v>2</v>
      </c>
      <c r="CL142" s="3"/>
      <c r="CM142" s="3">
        <f t="shared" si="594"/>
        <v>0</v>
      </c>
      <c r="CN142" s="3"/>
      <c r="CO142" s="3">
        <f t="shared" si="595"/>
        <v>0</v>
      </c>
      <c r="CP142" s="3">
        <f t="shared" si="533"/>
        <v>2</v>
      </c>
      <c r="CQ142" s="3">
        <f t="shared" si="543"/>
        <v>102</v>
      </c>
      <c r="CR142" s="3"/>
      <c r="CS142" s="3">
        <f t="shared" si="544"/>
        <v>0</v>
      </c>
      <c r="CT142" s="3"/>
      <c r="CU142" s="3">
        <f t="shared" si="545"/>
        <v>0</v>
      </c>
      <c r="CV142" s="3"/>
      <c r="CW142" s="3" t="e">
        <f t="shared" ca="1" si="546"/>
        <v>#NUM!</v>
      </c>
      <c r="CY142" s="3" t="e">
        <f t="shared" ca="1" si="547"/>
        <v>#NUM!</v>
      </c>
      <c r="CZ142" s="70" t="e">
        <f t="shared" ca="1" si="579"/>
        <v>#NUM!</v>
      </c>
      <c r="DA142" s="3">
        <f>IF(RTD("tos.rtd",,DA$43,"."&amp;$B$134&amp;$AS$82&amp;"C"&amp;$A142)="N/A",0,RTD("tos.rtd",,DA$43,"."&amp;$B$134&amp;$AS$82&amp;"C"&amp;$A142))</f>
        <v>0.15</v>
      </c>
      <c r="DB142" s="3">
        <f>IF(RTD("tos.rtd",,DB$43,"."&amp;$B$134&amp;$AS$82&amp;"P"&amp;$A142)="N/A",0,RTD("tos.rtd",,DB$43,"."&amp;$B$134&amp;$AS$82&amp;"P"&amp;$A142))</f>
        <v>224</v>
      </c>
      <c r="DC142" s="3">
        <f>IF(RTD("tos.rtd",,DC$43,"."&amp;$B$134&amp;$AS$82&amp;"C"&amp;$A142)="N/A",0,RTD("tos.rtd",,DC$43,"."&amp;$B$134&amp;$AS$82&amp;"C"&amp;$A142))</f>
        <v>2</v>
      </c>
      <c r="DD142" s="3">
        <f>IF(RTD("tos.rtd",,DD$43,"."&amp;$B$134&amp;$AS$82&amp;"P"&amp;$A142)="N/A",0,RTD("tos.rtd",,DD$43,"."&amp;$B$134&amp;$AS$82&amp;"P"&amp;$A142))</f>
        <v>266</v>
      </c>
      <c r="DE142" s="3">
        <f>IF(RTD("tos.rtd",,DE$43,"."&amp;$B$134&amp;$AS$82&amp;"C"&amp;$A142)="N/A",0,RTD("tos.rtd",,DE$43,"."&amp;$B$134&amp;$AS$82&amp;"C"&amp;$A142))</f>
        <v>0</v>
      </c>
      <c r="DF142" s="3">
        <f>IF(RTD("tos.rtd",,DF$43,"."&amp;$B$134&amp;$AS$82&amp;"P"&amp;$A142)="N/A",0,RTD("tos.rtd",,DF$43,"."&amp;$B$134&amp;$AS$82&amp;"P"&amp;$A142))</f>
        <v>226</v>
      </c>
      <c r="DG142" s="86">
        <f t="shared" si="580"/>
        <v>248</v>
      </c>
      <c r="DH142" s="3">
        <f t="shared" si="548"/>
        <v>0</v>
      </c>
      <c r="DI142" s="3">
        <f t="shared" si="549"/>
        <v>0</v>
      </c>
      <c r="DJ142" s="3">
        <f t="shared" si="550"/>
        <v>0</v>
      </c>
      <c r="DK142" s="3">
        <f t="shared" si="551"/>
        <v>0</v>
      </c>
      <c r="DL142" s="3">
        <f t="shared" si="552"/>
        <v>0</v>
      </c>
      <c r="DM142" s="3">
        <f t="shared" si="553"/>
        <v>0</v>
      </c>
      <c r="DN142" s="64" t="str">
        <f t="shared" si="554"/>
        <v>UNKNOWN</v>
      </c>
      <c r="DO142" s="64" t="str">
        <f t="shared" si="555"/>
        <v>UNKNOWN</v>
      </c>
      <c r="DP142" s="3">
        <f t="shared" si="556"/>
        <v>0</v>
      </c>
      <c r="DQ142" s="3">
        <f t="shared" si="557"/>
        <v>0</v>
      </c>
      <c r="DR142" s="3" t="e">
        <f t="shared" ca="1" si="558"/>
        <v>#NUM!</v>
      </c>
      <c r="DS142" s="3">
        <f t="shared" si="559"/>
        <v>0</v>
      </c>
      <c r="DT142" s="3">
        <f t="shared" si="581"/>
        <v>0</v>
      </c>
      <c r="DU142" s="3">
        <f t="shared" si="582"/>
        <v>0</v>
      </c>
      <c r="DV142" s="3">
        <f t="shared" si="560"/>
        <v>43</v>
      </c>
      <c r="DW142" s="3" t="e">
        <f t="shared" si="561"/>
        <v>#N/A</v>
      </c>
      <c r="DX142" s="3" t="e">
        <f t="shared" ca="1" si="562"/>
        <v>#NUM!</v>
      </c>
      <c r="DY142" s="3" t="e">
        <f t="shared" ca="1" si="563"/>
        <v>#NUM!</v>
      </c>
      <c r="DZ142" s="3">
        <f t="shared" ca="1" si="564"/>
        <v>4.7387865601460435E-4</v>
      </c>
      <c r="EA142" s="3">
        <f t="shared" ca="1" si="565"/>
        <v>-4.7387865601460435E-4</v>
      </c>
      <c r="EB142" s="3">
        <f t="shared" ca="1" si="566"/>
        <v>4.7387865601460435E-4</v>
      </c>
      <c r="EC142" s="3">
        <f t="shared" ca="1" si="567"/>
        <v>-4.7387865601460435E-4</v>
      </c>
      <c r="EE142" s="59">
        <f t="shared" si="568"/>
        <v>0.77610000000000001</v>
      </c>
      <c r="EF142" s="59">
        <f t="shared" si="569"/>
        <v>1.2088000000000001</v>
      </c>
      <c r="EG142" s="59">
        <f t="shared" si="570"/>
        <v>0.25</v>
      </c>
      <c r="EH142" s="59">
        <f t="shared" si="571"/>
        <v>0.25</v>
      </c>
      <c r="EI142" s="59">
        <f t="shared" si="572"/>
        <v>0.25</v>
      </c>
      <c r="EJ142" s="59">
        <f t="shared" si="573"/>
        <v>0.25</v>
      </c>
      <c r="EL142" s="3" t="str">
        <f>RTD("tos.rtd",,EL$43,"."&amp;$B$134&amp;$AS$82&amp;"C"&amp;$A142)</f>
        <v>77.61%</v>
      </c>
      <c r="EM142" s="3" t="str">
        <f>RTD("tos.rtd",,EM$43,"."&amp;$B$134&amp;$AS$82&amp;"P"&amp;$A142)</f>
        <v>120.88%</v>
      </c>
      <c r="EN142" s="3" t="str">
        <f>RTD("tos.rtd",,EN$2,"."&amp;$C$134&amp;$AU$82&amp;"C"&amp;$A142)</f>
        <v>N/A</v>
      </c>
      <c r="EO142" s="3" t="str">
        <f>RTD("tos.rtd",,EO$2,"."&amp;$C$134&amp;$AU$82&amp;"P"&amp;$A142)</f>
        <v>N/A</v>
      </c>
      <c r="EP142" s="3" t="str">
        <f>RTD("tos.rtd",,EP$2,"."&amp;$D$134&amp;$AW$82&amp;"C"&amp;$A142)</f>
        <v>N/A</v>
      </c>
      <c r="EQ142" s="3" t="str">
        <f>RTD("tos.rtd",,EQ$2,"."&amp;$D$134&amp;$AW$82&amp;"P"&amp;$A142)</f>
        <v>N/A</v>
      </c>
      <c r="ET142" s="64" t="str">
        <f t="shared" ca="1" si="574"/>
        <v>20340,00.00</v>
      </c>
      <c r="EU142" s="67">
        <v>564.58000000000004</v>
      </c>
      <c r="EV142" s="67" t="s">
        <v>1156</v>
      </c>
      <c r="EW142" s="67">
        <v>486.38</v>
      </c>
      <c r="EX142" s="67" t="s">
        <v>1157</v>
      </c>
      <c r="EY142" s="67">
        <v>5661.75</v>
      </c>
      <c r="EZ142" s="67" t="s">
        <v>1158</v>
      </c>
      <c r="FA142" s="67">
        <v>19986</v>
      </c>
      <c r="FB142" s="67" t="s">
        <v>1159</v>
      </c>
      <c r="FC142" s="67" t="s">
        <v>1160</v>
      </c>
      <c r="FD142" s="67" t="s">
        <v>1161</v>
      </c>
      <c r="FE142" s="68" t="s">
        <v>1162</v>
      </c>
      <c r="FF142" s="68" t="s">
        <v>1163</v>
      </c>
    </row>
    <row r="143" spans="1:162" ht="11.1" customHeight="1" thickBot="1" x14ac:dyDescent="0.25">
      <c r="A143" s="2">
        <f t="shared" si="583"/>
        <v>20320</v>
      </c>
      <c r="B143" s="3">
        <f t="shared" si="584"/>
        <v>4</v>
      </c>
      <c r="C143" s="3">
        <f t="shared" si="585"/>
        <v>0</v>
      </c>
      <c r="D143" s="3">
        <f t="shared" si="596"/>
        <v>0</v>
      </c>
      <c r="E143" s="3">
        <f t="shared" si="586"/>
        <v>4</v>
      </c>
      <c r="F143" s="4">
        <f t="shared" si="587"/>
        <v>20421.134780011947</v>
      </c>
      <c r="G143" s="5">
        <f t="shared" si="588"/>
        <v>494.50862034640653</v>
      </c>
      <c r="AM143" s="1">
        <v>-63</v>
      </c>
      <c r="AN143" s="1">
        <v>2</v>
      </c>
      <c r="AO143" s="1">
        <v>20320</v>
      </c>
      <c r="AP143" s="1">
        <v>153</v>
      </c>
      <c r="AQ143" s="1">
        <v>0</v>
      </c>
      <c r="AS143" s="54">
        <f>IF(RTD("tos.rtd",,AS$83,"."&amp;$B$134&amp;$AS$82&amp;"C"&amp;$A143)="N/A",0,RTD("tos.rtd",,AS$83,"."&amp;$B$134&amp;$AS$82&amp;"C"&amp;$A143))</f>
        <v>4</v>
      </c>
      <c r="AT143" s="3">
        <f>-IF(RTD("tos.rtd",,AT$83,"."&amp;$B$134&amp;$AS$82&amp;"P"&amp;$A143)="N/A",0,RTD("tos.rtd",,AT$83,"."&amp;$B$134&amp;$AS$82&amp;"P"&amp;$A143))</f>
        <v>0</v>
      </c>
      <c r="AU143" s="54">
        <f>IF(RTD("tos.rtd",,AU$2,"."&amp;$C$134&amp;$AU$134&amp;"C"&amp;$A143)="N/A",0,RTD("tos.rtd",,AU$2,"."&amp;$C$134&amp;$AU$134&amp;"C"&amp;$A143))</f>
        <v>0</v>
      </c>
      <c r="AV143" s="3">
        <f>-IF(RTD("tos.rtd",,AV$2,"."&amp;$C$134&amp;$AU$134&amp;"P"&amp;$A143)="N/A",0,RTD("tos.rtd",,AV$2,"."&amp;$C$134&amp;$AU$134&amp;"P"&amp;$A143))</f>
        <v>0</v>
      </c>
      <c r="AW143" s="54">
        <f>IF(RTD("tos.rtd",,AW$2,"."&amp;$D$134&amp;$AW$134&amp;"C"&amp;$A143)="N/A",0,RTD("tos.rtd",,AW$2,"."&amp;$D$134&amp;$AW$134&amp;"C"&amp;$A143))</f>
        <v>0</v>
      </c>
      <c r="AX143" s="3">
        <f>-IF(RTD("tos.rtd",,AX$2,"."&amp;$D$134&amp;$AW$134&amp;"P"&amp;$A143)="N/A",0,RTD("tos.rtd",,AX$2,"."&amp;$D$134&amp;$AW$134&amp;"P"&amp;$A143))</f>
        <v>0</v>
      </c>
      <c r="AY143" s="76">
        <f t="shared" si="589"/>
        <v>4</v>
      </c>
      <c r="AZ143" s="8">
        <f t="shared" si="539"/>
        <v>20320</v>
      </c>
      <c r="BA143" s="54">
        <f>IF(RTD("tos.rtd",,BA$43,"."&amp;$B$134&amp;$AS$82&amp;"C"&amp;$A143)="N/A",0,RTD("tos.rtd",,BA$43,"."&amp;$B$134&amp;$AS$82&amp;"C"&amp;$A143))</f>
        <v>153</v>
      </c>
      <c r="BB143" s="3">
        <f>-IF(RTD("tos.rtd",,BB$43,"."&amp;$B$134&amp;$AS$82&amp;"P"&amp;$A143)="N/A",0,RTD("tos.rtd",,BB$43,"."&amp;$B$134&amp;$AS$82&amp;"P"&amp;$A143))</f>
        <v>0</v>
      </c>
      <c r="BC143" s="54">
        <f>IF(RTD("tos.rtd",,BC$2,"."&amp;$C$134&amp;$AU$82&amp;"C"&amp;$A143)="N/A",0,RTD("tos.rtd",,BC$2,"."&amp;$C$134&amp;$AU$82&amp;"C"&amp;$A143))</f>
        <v>0</v>
      </c>
      <c r="BD143" s="3">
        <f>-IF(RTD("tos.rtd",,BD$2,"."&amp;$C$134&amp;$AU$82&amp;"P"&amp;$A143)="N/A",0,RTD("tos.rtd",,BD$2,"."&amp;$C$134&amp;$AU$82&amp;"P"&amp;$A143))</f>
        <v>0</v>
      </c>
      <c r="BE143" s="54">
        <f>IF(RTD("tos.rtd",,BE$2,"."&amp;$D$134&amp;$AW$82&amp;"C"&amp;$A143)="N/A",0,RTD("tos.rtd",,BE$2,"."&amp;$D$134&amp;$AW$82&amp;"C"&amp;$A143))</f>
        <v>0</v>
      </c>
      <c r="BF143" s="3">
        <f>-IF(RTD("tos.rtd",,BF$2,"."&amp;$D$134&amp;$AW$82&amp;"P"&amp;$A143)="N/A",0,RTD("tos.rtd",,BF$2,"."&amp;$D$134&amp;$AW$82&amp;"P"&amp;$A143))</f>
        <v>0</v>
      </c>
      <c r="BG143" s="3" t="e">
        <f ca="1">+Hoja2!Y144</f>
        <v>#N/A</v>
      </c>
      <c r="BH143" s="7" t="e">
        <f t="shared" ca="1" si="540"/>
        <v>#N/A</v>
      </c>
      <c r="BI143" s="32" t="e">
        <f t="shared" ca="1" si="597"/>
        <v>#N/A</v>
      </c>
      <c r="BJ143" s="3" t="e">
        <f ca="1">IF($BP$1=1,DX143,IF(RTD("tos.rtd",,BJ$43,"."&amp;$B$134&amp;$AS$82&amp;"C"&amp;$A143)="N/A",0,RTD("tos.rtd",,BJ$43,"."&amp;$B$134&amp;$AS$82&amp;"C"&amp;$A143)))</f>
        <v>#NUM!</v>
      </c>
      <c r="BK143" s="3" t="e">
        <f ca="1">IF($BP$1=1,DY143,-IF(RTD("tos.rtd",,BK$43,"."&amp;$B$134&amp;$AS$82&amp;"P"&amp;$A143)="N/A",0,RTD("tos.rtd",,BK$43,"."&amp;$B$134&amp;$AS$82&amp;"P"&amp;$A143)))</f>
        <v>#NUM!</v>
      </c>
      <c r="BL143" s="3">
        <f ca="1">IF($BP$1=1,DZ143,IF(RTD("tos.rtd",,BL$2,"."&amp;$C$134&amp;$AU$82&amp;"C"&amp;$A143)="N/A",0,RTD("tos.rtd",,BL$2,"."&amp;$C$134&amp;$AU$82&amp;"C"&amp;$A143)))</f>
        <v>4.7667731909443567E-4</v>
      </c>
      <c r="BM143" s="3">
        <f ca="1">IF($BP$1=1,EA143,-IF(RTD("tos.rtd",,BM$2,"."&amp;$C$134&amp;$AU$82&amp;"P"&amp;$A143)="N/A",0,RTD("tos.rtd",,BM$2,"."&amp;$C$134&amp;$AU$82&amp;"P"&amp;$A143)))</f>
        <v>-4.7667731909443567E-4</v>
      </c>
      <c r="BN143" s="3">
        <f ca="1">IF($BP$1=1,EB143,IF(RTD("tos.rtd",,BN$2,"."&amp;$D$134&amp;$AW$82&amp;"C"&amp;$A143)="N/A",0,RTD("tos.rtd",,BN$2,"."&amp;$D$134&amp;$AW$82&amp;"C"&amp;$A143)))</f>
        <v>4.7667731909443567E-4</v>
      </c>
      <c r="BO143" s="3">
        <f ca="1">IF($BP$1=1,EC143,-IF(RTD("tos.rtd",,BO$2,"."&amp;$D$134&amp;$AW$82&amp;"P"&amp;$A143)="N/A",0,RTD("tos.rtd",,BO$2,"."&amp;$D$134&amp;$AW$82&amp;"P"&amp;$A143)))</f>
        <v>-4.7667731909443567E-4</v>
      </c>
      <c r="BQ143" s="3" t="e">
        <f t="shared" ca="1" si="590"/>
        <v>#NUM!</v>
      </c>
      <c r="BR143" s="3" t="e">
        <f t="shared" ca="1" si="541"/>
        <v>#NUM!</v>
      </c>
      <c r="BS143" s="3">
        <f t="shared" ca="1" si="591"/>
        <v>0</v>
      </c>
      <c r="BT143" s="3" t="str">
        <f t="shared" ca="1" si="542"/>
        <v/>
      </c>
      <c r="BU143" s="3">
        <f t="shared" ca="1" si="592"/>
        <v>0</v>
      </c>
      <c r="BV143" s="3" t="str">
        <f t="shared" ca="1" si="542"/>
        <v/>
      </c>
      <c r="BX143" s="3" t="e">
        <f t="shared" ca="1" si="575"/>
        <v>#NUM!</v>
      </c>
      <c r="BY143" s="3" t="e">
        <f t="shared" ca="1" si="576"/>
        <v>#NUM!</v>
      </c>
      <c r="BZ143" s="3">
        <f t="shared" ca="1" si="577"/>
        <v>0</v>
      </c>
      <c r="CA143" s="3" t="str">
        <f t="shared" ca="1" si="576"/>
        <v/>
      </c>
      <c r="CB143" s="3">
        <f t="shared" ca="1" si="578"/>
        <v>0</v>
      </c>
      <c r="CC143" s="3" t="str">
        <f t="shared" ca="1" si="576"/>
        <v/>
      </c>
      <c r="CD143" s="3">
        <f>IF(RTD("tos.rtd",,CD$43,"."&amp;$B$134&amp;$AS$82&amp;"C"&amp;$A143)="N/A",0,RTD("tos.rtd",,CD$43,"."&amp;$B$134&amp;$AS$82&amp;"C"&amp;$A143))</f>
        <v>0.11</v>
      </c>
      <c r="CE143" s="3">
        <f>-IF(RTD("tos.rtd",,CE$43,"."&amp;$B$134&amp;$AS$82&amp;"P"&amp;$A143)="N/A",0,RTD("tos.rtd",,CE$43,"."&amp;$B$134&amp;$AS$82&amp;"P"&amp;$A143))</f>
        <v>0.88</v>
      </c>
      <c r="CF143" s="3">
        <f>IF(RTD("tos.rtd",,CF$2,"."&amp;$C$134&amp;$AU$82&amp;"C"&amp;$A143)="N/A",0,RTD("tos.rtd",,CF$2,"."&amp;$C$134&amp;$AU$82&amp;"C"&amp;$A143))</f>
        <v>0</v>
      </c>
      <c r="CG143" s="3">
        <f>-IF(RTD("tos.rtd",,CG$2,"."&amp;$C$134&amp;$AU$82&amp;"P"&amp;$A143)="N/A",0,RTD("tos.rtd",,CG$2,"."&amp;$C$134&amp;$AU$82&amp;"P"&amp;$A143))</f>
        <v>0</v>
      </c>
      <c r="CH143" s="3">
        <f>IF(RTD("tos.rtd",,CH$2,"."&amp;$D$134&amp;$AW$82&amp;"C"&amp;$A143)="N/A",0,RTD("tos.rtd",,CH$2,"."&amp;$D$134&amp;$AW$82&amp;"C"&amp;$A143))</f>
        <v>0</v>
      </c>
      <c r="CI143" s="3">
        <f>-IF(RTD("tos.rtd",,CI$2,"."&amp;$D$134&amp;$AW$82&amp;"P"&amp;$A143)="N/A",0,RTD("tos.rtd",,CI$2,"."&amp;$D$134&amp;$AW$82&amp;"P"&amp;$A143))</f>
        <v>0</v>
      </c>
      <c r="CK143" s="3">
        <f t="shared" si="593"/>
        <v>44</v>
      </c>
      <c r="CL143" s="3"/>
      <c r="CM143" s="3">
        <f t="shared" si="594"/>
        <v>0</v>
      </c>
      <c r="CN143" s="3"/>
      <c r="CO143" s="3">
        <f t="shared" si="595"/>
        <v>0</v>
      </c>
      <c r="CP143" s="3">
        <f t="shared" si="533"/>
        <v>44</v>
      </c>
      <c r="CQ143" s="3">
        <f t="shared" si="543"/>
        <v>153</v>
      </c>
      <c r="CR143" s="3"/>
      <c r="CS143" s="3">
        <f t="shared" si="544"/>
        <v>0</v>
      </c>
      <c r="CT143" s="3"/>
      <c r="CU143" s="3">
        <f t="shared" si="545"/>
        <v>0</v>
      </c>
      <c r="CV143" s="3"/>
      <c r="CW143" s="3" t="e">
        <f t="shared" ca="1" si="546"/>
        <v>#NUM!</v>
      </c>
      <c r="CY143" s="3" t="e">
        <f t="shared" ca="1" si="547"/>
        <v>#NUM!</v>
      </c>
      <c r="CZ143" s="70" t="e">
        <f t="shared" ca="1" si="579"/>
        <v>#NUM!</v>
      </c>
      <c r="DA143" s="3">
        <f>IF(RTD("tos.rtd",,DA$43,"."&amp;$B$134&amp;$AS$82&amp;"C"&amp;$A143)="N/A",0,RTD("tos.rtd",,DA$43,"."&amp;$B$134&amp;$AS$82&amp;"C"&amp;$A143))</f>
        <v>0.1</v>
      </c>
      <c r="DB143" s="3">
        <f>IF(RTD("tos.rtd",,DB$43,"."&amp;$B$134&amp;$AS$82&amp;"P"&amp;$A143)="N/A",0,RTD("tos.rtd",,DB$43,"."&amp;$B$134&amp;$AS$82&amp;"P"&amp;$A143))</f>
        <v>0</v>
      </c>
      <c r="DC143" s="3">
        <f>IF(RTD("tos.rtd",,DC$43,"."&amp;$B$134&amp;$AS$82&amp;"C"&amp;$A143)="N/A",0,RTD("tos.rtd",,DC$43,"."&amp;$B$134&amp;$AS$82&amp;"C"&amp;$A143))</f>
        <v>19.8</v>
      </c>
      <c r="DD143" s="3">
        <f>IF(RTD("tos.rtd",,DD$43,"."&amp;$B$134&amp;$AS$82&amp;"P"&amp;$A143)="N/A",0,RTD("tos.rtd",,DD$43,"."&amp;$B$134&amp;$AS$82&amp;"P"&amp;$A143))</f>
        <v>250.8</v>
      </c>
      <c r="DE143" s="3">
        <f>IF(RTD("tos.rtd",,DE$43,"."&amp;$B$134&amp;$AS$82&amp;"C"&amp;$A143)="N/A",0,RTD("tos.rtd",,DE$43,"."&amp;$B$134&amp;$AS$82&amp;"C"&amp;$A143))</f>
        <v>0</v>
      </c>
      <c r="DF143" s="3">
        <f>IF(RTD("tos.rtd",,DF$43,"."&amp;$B$134&amp;$AS$82&amp;"P"&amp;$A143)="N/A",0,RTD("tos.rtd",,DF$43,"."&amp;$B$134&amp;$AS$82&amp;"P"&amp;$A143))</f>
        <v>206</v>
      </c>
      <c r="DG143" s="86">
        <f t="shared" si="580"/>
        <v>228</v>
      </c>
      <c r="DH143" s="3">
        <f t="shared" si="548"/>
        <v>0</v>
      </c>
      <c r="DI143" s="3">
        <f t="shared" si="549"/>
        <v>0</v>
      </c>
      <c r="DJ143" s="3">
        <f t="shared" si="550"/>
        <v>0</v>
      </c>
      <c r="DK143" s="3">
        <f t="shared" si="551"/>
        <v>0</v>
      </c>
      <c r="DL143" s="3">
        <f t="shared" si="552"/>
        <v>0</v>
      </c>
      <c r="DM143" s="3">
        <f t="shared" si="553"/>
        <v>0</v>
      </c>
      <c r="DN143" s="64" t="str">
        <f t="shared" si="554"/>
        <v>UNKNOWN</v>
      </c>
      <c r="DO143" s="64" t="str">
        <f t="shared" si="555"/>
        <v>UNKNOWN</v>
      </c>
      <c r="DP143" s="3">
        <f t="shared" si="556"/>
        <v>0</v>
      </c>
      <c r="DQ143" s="3">
        <f t="shared" si="557"/>
        <v>0</v>
      </c>
      <c r="DR143" s="3" t="e">
        <f t="shared" ca="1" si="558"/>
        <v>#NUM!</v>
      </c>
      <c r="DS143" s="3">
        <f t="shared" si="559"/>
        <v>0</v>
      </c>
      <c r="DT143" s="3">
        <f t="shared" si="581"/>
        <v>0</v>
      </c>
      <c r="DU143" s="3">
        <f t="shared" si="582"/>
        <v>0</v>
      </c>
      <c r="DV143" s="3">
        <f t="shared" si="560"/>
        <v>-63</v>
      </c>
      <c r="DW143" s="3">
        <f t="shared" si="561"/>
        <v>2</v>
      </c>
      <c r="DX143" s="3" t="e">
        <f t="shared" ca="1" si="562"/>
        <v>#NUM!</v>
      </c>
      <c r="DY143" s="3" t="e">
        <f t="shared" ca="1" si="563"/>
        <v>#NUM!</v>
      </c>
      <c r="DZ143" s="3">
        <f t="shared" ca="1" si="564"/>
        <v>4.7667731909443567E-4</v>
      </c>
      <c r="EA143" s="3">
        <f t="shared" ca="1" si="565"/>
        <v>-4.7667731909443567E-4</v>
      </c>
      <c r="EB143" s="3">
        <f t="shared" ca="1" si="566"/>
        <v>4.7667731909443567E-4</v>
      </c>
      <c r="EC143" s="3">
        <f t="shared" ca="1" si="567"/>
        <v>-4.7667731909443567E-4</v>
      </c>
      <c r="EE143" s="59">
        <f t="shared" si="568"/>
        <v>1.1777</v>
      </c>
      <c r="EF143" s="59">
        <f t="shared" si="569"/>
        <v>1.2164999999999999</v>
      </c>
      <c r="EG143" s="59">
        <f t="shared" si="570"/>
        <v>0.25</v>
      </c>
      <c r="EH143" s="59">
        <f t="shared" si="571"/>
        <v>0.25</v>
      </c>
      <c r="EI143" s="59">
        <f t="shared" si="572"/>
        <v>0.25</v>
      </c>
      <c r="EJ143" s="59">
        <f t="shared" si="573"/>
        <v>0.25</v>
      </c>
      <c r="EL143" s="3" t="str">
        <f>RTD("tos.rtd",,EL$43,"."&amp;$B$134&amp;$AS$82&amp;"C"&amp;$A143)</f>
        <v>117.77%</v>
      </c>
      <c r="EM143" s="3" t="str">
        <f>RTD("tos.rtd",,EM$43,"."&amp;$B$134&amp;$AS$82&amp;"P"&amp;$A143)</f>
        <v>121.65%</v>
      </c>
      <c r="EN143" s="3" t="str">
        <f>RTD("tos.rtd",,EN$2,"."&amp;$C$134&amp;$AU$82&amp;"C"&amp;$A143)</f>
        <v>N/A</v>
      </c>
      <c r="EO143" s="3" t="str">
        <f>RTD("tos.rtd",,EO$2,"."&amp;$C$134&amp;$AU$82&amp;"P"&amp;$A143)</f>
        <v>N/A</v>
      </c>
      <c r="EP143" s="3" t="str">
        <f>RTD("tos.rtd",,EP$2,"."&amp;$D$134&amp;$AW$82&amp;"C"&amp;$A143)</f>
        <v>N/A</v>
      </c>
      <c r="EQ143" s="3" t="str">
        <f>RTD("tos.rtd",,EQ$2,"."&amp;$D$134&amp;$AW$82&amp;"P"&amp;$A143)</f>
        <v>N/A</v>
      </c>
      <c r="ET143" s="64" t="str">
        <f t="shared" ca="1" si="574"/>
        <v>20320,00.00</v>
      </c>
      <c r="EU143" s="67">
        <v>564.46</v>
      </c>
      <c r="EV143" s="67" t="s">
        <v>1164</v>
      </c>
      <c r="EW143" s="67">
        <v>486.32</v>
      </c>
      <c r="EX143" s="67" t="s">
        <v>1165</v>
      </c>
      <c r="EY143" s="67">
        <v>5660.25</v>
      </c>
      <c r="EZ143" s="67" t="s">
        <v>1166</v>
      </c>
      <c r="FA143" s="67">
        <v>19981.75</v>
      </c>
      <c r="FB143" s="67" t="s">
        <v>1167</v>
      </c>
      <c r="FC143" s="67" t="s">
        <v>1168</v>
      </c>
      <c r="FD143" s="67" t="s">
        <v>1169</v>
      </c>
      <c r="FE143" s="68" t="s">
        <v>1170</v>
      </c>
      <c r="FF143" s="68" t="s">
        <v>1171</v>
      </c>
    </row>
    <row r="144" spans="1:162" ht="11.1" customHeight="1" thickBot="1" x14ac:dyDescent="0.25">
      <c r="A144" s="2">
        <f t="shared" si="583"/>
        <v>20300</v>
      </c>
      <c r="B144" s="3">
        <f t="shared" si="584"/>
        <v>85</v>
      </c>
      <c r="C144" s="3">
        <f t="shared" si="585"/>
        <v>5</v>
      </c>
      <c r="D144" s="3">
        <f t="shared" si="596"/>
        <v>68</v>
      </c>
      <c r="E144" s="3">
        <f t="shared" si="586"/>
        <v>158</v>
      </c>
      <c r="F144" s="4">
        <f t="shared" si="587"/>
        <v>20401.035237905635</v>
      </c>
      <c r="G144" s="5">
        <f t="shared" si="588"/>
        <v>494.02189926338838</v>
      </c>
      <c r="AM144" s="1">
        <v>15</v>
      </c>
      <c r="AN144" s="1">
        <v>0</v>
      </c>
      <c r="AO144" s="1">
        <v>20300</v>
      </c>
      <c r="AP144" s="1">
        <v>1112</v>
      </c>
      <c r="AQ144" s="1">
        <v>-8</v>
      </c>
      <c r="AS144" s="54">
        <f>IF(RTD("tos.rtd",,AS$83,"."&amp;$B$134&amp;$AS$82&amp;"C"&amp;$A144)="N/A",0,RTD("tos.rtd",,AS$83,"."&amp;$B$134&amp;$AS$82&amp;"C"&amp;$A144))</f>
        <v>82</v>
      </c>
      <c r="AT144" s="3">
        <f>-IF(RTD("tos.rtd",,AT$83,"."&amp;$B$134&amp;$AS$82&amp;"P"&amp;$A144)="N/A",0,RTD("tos.rtd",,AT$83,"."&amp;$B$134&amp;$AS$82&amp;"P"&amp;$A144))</f>
        <v>-3</v>
      </c>
      <c r="AU144" s="54">
        <f>IF(RTD("tos.rtd",,AU$2,"."&amp;$C$134&amp;$AU$134&amp;"C"&amp;$A144)="N/A",0,RTD("tos.rtd",,AU$2,"."&amp;$C$134&amp;$AU$134&amp;"C"&amp;$A144))</f>
        <v>4</v>
      </c>
      <c r="AV144" s="3">
        <f>-IF(RTD("tos.rtd",,AV$2,"."&amp;$C$134&amp;$AU$134&amp;"P"&amp;$A144)="N/A",0,RTD("tos.rtd",,AV$2,"."&amp;$C$134&amp;$AU$134&amp;"P"&amp;$A144))</f>
        <v>-1</v>
      </c>
      <c r="AW144" s="54">
        <f>IF(RTD("tos.rtd",,AW$2,"."&amp;$D$134&amp;$AW$134&amp;"C"&amp;$A144)="N/A",0,RTD("tos.rtd",,AW$2,"."&amp;$D$134&amp;$AW$134&amp;"C"&amp;$A144))</f>
        <v>43</v>
      </c>
      <c r="AX144" s="3">
        <f>-IF(RTD("tos.rtd",,AX$2,"."&amp;$D$134&amp;$AW$134&amp;"P"&amp;$A144)="N/A",0,RTD("tos.rtd",,AX$2,"."&amp;$D$134&amp;$AW$134&amp;"P"&amp;$A144))</f>
        <v>-25</v>
      </c>
      <c r="AY144" s="76">
        <f t="shared" si="589"/>
        <v>100</v>
      </c>
      <c r="AZ144" s="8">
        <f t="shared" si="539"/>
        <v>20300</v>
      </c>
      <c r="BA144" s="54">
        <f>IF(RTD("tos.rtd",,BA$43,"."&amp;$B$134&amp;$AS$82&amp;"C"&amp;$A144)="N/A",0,RTD("tos.rtd",,BA$43,"."&amp;$B$134&amp;$AS$82&amp;"C"&amp;$A144))</f>
        <v>1112</v>
      </c>
      <c r="BB144" s="3">
        <f>-IF(RTD("tos.rtd",,BB$43,"."&amp;$B$134&amp;$AS$82&amp;"P"&amp;$A144)="N/A",0,RTD("tos.rtd",,BB$43,"."&amp;$B$134&amp;$AS$82&amp;"P"&amp;$A144))</f>
        <v>-8</v>
      </c>
      <c r="BC144" s="54">
        <f>IF(RTD("tos.rtd",,BC$2,"."&amp;$C$134&amp;$AU$82&amp;"C"&amp;$A144)="N/A",0,RTD("tos.rtd",,BC$2,"."&amp;$C$134&amp;$AU$82&amp;"C"&amp;$A144))</f>
        <v>2</v>
      </c>
      <c r="BD144" s="3">
        <f>-IF(RTD("tos.rtd",,BD$2,"."&amp;$C$134&amp;$AU$82&amp;"P"&amp;$A144)="N/A",0,RTD("tos.rtd",,BD$2,"."&amp;$C$134&amp;$AU$82&amp;"P"&amp;$A144))</f>
        <v>-1</v>
      </c>
      <c r="BE144" s="54">
        <f>IF(RTD("tos.rtd",,BE$2,"."&amp;$D$134&amp;$AW$82&amp;"C"&amp;$A144)="N/A",0,RTD("tos.rtd",,BE$2,"."&amp;$D$134&amp;$AW$82&amp;"C"&amp;$A144))</f>
        <v>3</v>
      </c>
      <c r="BF144" s="3">
        <f>-IF(RTD("tos.rtd",,BF$2,"."&amp;$D$134&amp;$AW$82&amp;"P"&amp;$A144)="N/A",0,RTD("tos.rtd",,BF$2,"."&amp;$D$134&amp;$AW$82&amp;"P"&amp;$A144))</f>
        <v>-3</v>
      </c>
      <c r="BG144" s="3" t="e">
        <f ca="1">+Hoja2!Y145</f>
        <v>#N/A</v>
      </c>
      <c r="BH144" s="7" t="e">
        <f t="shared" ca="1" si="540"/>
        <v>#N/A</v>
      </c>
      <c r="BI144" s="32" t="e">
        <f t="shared" ca="1" si="597"/>
        <v>#N/A</v>
      </c>
      <c r="BJ144" s="3" t="e">
        <f ca="1">IF($BP$1=1,DX144,IF(RTD("tos.rtd",,BJ$43,"."&amp;$B$134&amp;$AS$82&amp;"C"&amp;$A144)="N/A",0,RTD("tos.rtd",,BJ$43,"."&amp;$B$134&amp;$AS$82&amp;"C"&amp;$A144)))</f>
        <v>#NUM!</v>
      </c>
      <c r="BK144" s="3" t="e">
        <f ca="1">IF($BP$1=1,DY144,-IF(RTD("tos.rtd",,BK$43,"."&amp;$B$134&amp;$AS$82&amp;"P"&amp;$A144)="N/A",0,RTD("tos.rtd",,BK$43,"."&amp;$B$134&amp;$AS$82&amp;"P"&amp;$A144)))</f>
        <v>#NUM!</v>
      </c>
      <c r="BL144" s="3">
        <f ca="1">IF($BP$1=1,DZ144,IF(RTD("tos.rtd",,BL$2,"."&amp;$C$134&amp;$AU$82&amp;"C"&amp;$A144)="N/A",0,RTD("tos.rtd",,BL$2,"."&amp;$C$134&amp;$AU$82&amp;"C"&amp;$A144)))</f>
        <v>5.6770265018039369E-4</v>
      </c>
      <c r="BM144" s="3">
        <f ca="1">IF($BP$1=1,EA144,-IF(RTD("tos.rtd",,BM$2,"."&amp;$C$134&amp;$AU$82&amp;"P"&amp;$A144)="N/A",0,RTD("tos.rtd",,BM$2,"."&amp;$C$134&amp;$AU$82&amp;"P"&amp;$A144)))</f>
        <v>-5.4468624520865607E-4</v>
      </c>
      <c r="BN144" s="3">
        <f ca="1">IF($BP$1=1,EB144,IF(RTD("tos.rtd",,BN$2,"."&amp;$D$134&amp;$AW$82&amp;"C"&amp;$A144)="N/A",0,RTD("tos.rtd",,BN$2,"."&amp;$D$134&amp;$AW$82&amp;"C"&amp;$A144)))</f>
        <v>5.7253027944899836E-4</v>
      </c>
      <c r="BO144" s="3">
        <f ca="1">IF($BP$1=1,EC144,-IF(RTD("tos.rtd",,BO$2,"."&amp;$D$134&amp;$AW$82&amp;"P"&amp;$A144)="N/A",0,RTD("tos.rtd",,BO$2,"."&amp;$D$134&amp;$AW$82&amp;"P"&amp;$A144)))</f>
        <v>-5.3846756565052744E-4</v>
      </c>
      <c r="BQ144" s="3" t="e">
        <f t="shared" ca="1" si="590"/>
        <v>#NUM!</v>
      </c>
      <c r="BR144" s="3" t="e">
        <f t="shared" ca="1" si="541"/>
        <v>#NUM!</v>
      </c>
      <c r="BS144" s="3">
        <f t="shared" ca="1" si="591"/>
        <v>55801.721920188604</v>
      </c>
      <c r="BT144" s="3" t="str">
        <f t="shared" ca="1" si="542"/>
        <v/>
      </c>
      <c r="BU144" s="3">
        <f t="shared" ca="1" si="592"/>
        <v>360684.38991485356</v>
      </c>
      <c r="BV144" s="3" t="str">
        <f t="shared" ca="1" si="542"/>
        <v/>
      </c>
      <c r="BX144" s="3" t="e">
        <f t="shared" ca="1" si="575"/>
        <v>#NUM!</v>
      </c>
      <c r="BY144" s="3" t="e">
        <f t="shared" ca="1" si="576"/>
        <v>#NUM!</v>
      </c>
      <c r="BZ144" s="3">
        <f t="shared" ca="1" si="577"/>
        <v>141.23022320274572</v>
      </c>
      <c r="CA144" s="3" t="str">
        <f t="shared" ca="1" si="576"/>
        <v/>
      </c>
      <c r="CB144" s="3">
        <f t="shared" ca="1" si="578"/>
        <v>24.431333122022124</v>
      </c>
      <c r="CC144" s="3" t="str">
        <f t="shared" ca="1" si="576"/>
        <v/>
      </c>
      <c r="CD144" s="3">
        <f>IF(RTD("tos.rtd",,CD$43,"."&amp;$B$134&amp;$AS$82&amp;"C"&amp;$A144)="N/A",0,RTD("tos.rtd",,CD$43,"."&amp;$B$134&amp;$AS$82&amp;"C"&amp;$A144))</f>
        <v>0.01</v>
      </c>
      <c r="CE144" s="3">
        <f>-IF(RTD("tos.rtd",,CE$43,"."&amp;$B$134&amp;$AS$82&amp;"P"&amp;$A144)="N/A",0,RTD("tos.rtd",,CE$43,"."&amp;$B$134&amp;$AS$82&amp;"P"&amp;$A144))</f>
        <v>0.86</v>
      </c>
      <c r="CF144" s="3">
        <f>IF(RTD("tos.rtd",,CF$2,"."&amp;$C$134&amp;$AU$82&amp;"C"&amp;$A144)="N/A",0,RTD("tos.rtd",,CF$2,"."&amp;$C$134&amp;$AU$82&amp;"C"&amp;$A144))</f>
        <v>0.38</v>
      </c>
      <c r="CG144" s="3">
        <f>-IF(RTD("tos.rtd",,CG$2,"."&amp;$C$134&amp;$AU$82&amp;"P"&amp;$A144)="N/A",0,RTD("tos.rtd",,CG$2,"."&amp;$C$134&amp;$AU$82&amp;"P"&amp;$A144))</f>
        <v>0.61</v>
      </c>
      <c r="CH144" s="3">
        <f>IF(RTD("tos.rtd",,CH$2,"."&amp;$D$134&amp;$AW$82&amp;"C"&amp;$A144)="N/A",0,RTD("tos.rtd",,CH$2,"."&amp;$D$134&amp;$AW$82&amp;"C"&amp;$A144))</f>
        <v>0.43</v>
      </c>
      <c r="CI144" s="3">
        <f>-IF(RTD("tos.rtd",,CI$2,"."&amp;$D$134&amp;$AW$82&amp;"P"&amp;$A144)="N/A",0,RTD("tos.rtd",,CI$2,"."&amp;$D$134&amp;$AW$82&amp;"P"&amp;$A144))</f>
        <v>0.56999999999999995</v>
      </c>
      <c r="CK144" s="3">
        <f t="shared" si="593"/>
        <v>-176</v>
      </c>
      <c r="CL144" s="3"/>
      <c r="CM144" s="3">
        <f t="shared" si="594"/>
        <v>91</v>
      </c>
      <c r="CN144" s="3"/>
      <c r="CO144" s="3">
        <f t="shared" si="595"/>
        <v>424</v>
      </c>
      <c r="CP144" s="3">
        <f t="shared" si="533"/>
        <v>339</v>
      </c>
      <c r="CQ144" s="3">
        <f t="shared" si="543"/>
        <v>1104</v>
      </c>
      <c r="CR144" s="3"/>
      <c r="CS144" s="3">
        <f t="shared" si="544"/>
        <v>1</v>
      </c>
      <c r="CT144" s="3"/>
      <c r="CU144" s="3">
        <f t="shared" si="545"/>
        <v>0</v>
      </c>
      <c r="CV144" s="3"/>
      <c r="CW144" s="3" t="e">
        <f t="shared" ca="1" si="546"/>
        <v>#NUM!</v>
      </c>
      <c r="CY144" s="3" t="e">
        <f t="shared" ca="1" si="547"/>
        <v>#NUM!</v>
      </c>
      <c r="CZ144" s="70" t="e">
        <f t="shared" ca="1" si="579"/>
        <v>#NUM!</v>
      </c>
      <c r="DA144" s="3">
        <f>IF(RTD("tos.rtd",,DA$43,"."&amp;$B$134&amp;$AS$82&amp;"C"&amp;$A144)="N/A",0,RTD("tos.rtd",,DA$43,"."&amp;$B$134&amp;$AS$82&amp;"C"&amp;$A144))</f>
        <v>0.15</v>
      </c>
      <c r="DB144" s="3">
        <f>IF(RTD("tos.rtd",,DB$43,"."&amp;$B$134&amp;$AS$82&amp;"P"&amp;$A144)="N/A",0,RTD("tos.rtd",,DB$43,"."&amp;$B$134&amp;$AS$82&amp;"P"&amp;$A144))</f>
        <v>144</v>
      </c>
      <c r="DC144" s="3">
        <f>IF(RTD("tos.rtd",,DC$43,"."&amp;$B$134&amp;$AS$82&amp;"C"&amp;$A144)="N/A",0,RTD("tos.rtd",,DC$43,"."&amp;$B$134&amp;$AS$82&amp;"C"&amp;$A144))</f>
        <v>0.3</v>
      </c>
      <c r="DD144" s="3">
        <f>IF(RTD("tos.rtd",,DD$43,"."&amp;$B$134&amp;$AS$82&amp;"P"&amp;$A144)="N/A",0,RTD("tos.rtd",,DD$43,"."&amp;$B$134&amp;$AS$82&amp;"P"&amp;$A144))</f>
        <v>219.5</v>
      </c>
      <c r="DE144" s="3">
        <f>IF(RTD("tos.rtd",,DE$43,"."&amp;$B$134&amp;$AS$82&amp;"C"&amp;$A144)="N/A",0,RTD("tos.rtd",,DE$43,"."&amp;$B$134&amp;$AS$82&amp;"C"&amp;$A144))</f>
        <v>0</v>
      </c>
      <c r="DF144" s="3">
        <f>IF(RTD("tos.rtd",,DF$43,"."&amp;$B$134&amp;$AS$82&amp;"P"&amp;$A144)="N/A",0,RTD("tos.rtd",,DF$43,"."&amp;$B$134&amp;$AS$82&amp;"P"&amp;$A144))</f>
        <v>201.9</v>
      </c>
      <c r="DG144" s="86">
        <f t="shared" si="580"/>
        <v>208</v>
      </c>
      <c r="DH144" s="3">
        <f t="shared" si="548"/>
        <v>0</v>
      </c>
      <c r="DI144" s="3">
        <f t="shared" si="549"/>
        <v>0</v>
      </c>
      <c r="DJ144" s="3">
        <f t="shared" si="550"/>
        <v>0</v>
      </c>
      <c r="DK144" s="3">
        <f t="shared" si="551"/>
        <v>0</v>
      </c>
      <c r="DL144" s="3">
        <f t="shared" si="552"/>
        <v>0</v>
      </c>
      <c r="DM144" s="3">
        <f t="shared" si="553"/>
        <v>0</v>
      </c>
      <c r="DN144" s="64" t="str">
        <f t="shared" si="554"/>
        <v>UNKNOWN</v>
      </c>
      <c r="DO144" s="64" t="str">
        <f t="shared" si="555"/>
        <v>UNKNOWN</v>
      </c>
      <c r="DP144" s="3">
        <f t="shared" si="556"/>
        <v>0</v>
      </c>
      <c r="DQ144" s="3">
        <f t="shared" si="557"/>
        <v>0</v>
      </c>
      <c r="DR144" s="3" t="e">
        <f t="shared" ca="1" si="558"/>
        <v>#NUM!</v>
      </c>
      <c r="DS144" s="3">
        <f t="shared" si="559"/>
        <v>0</v>
      </c>
      <c r="DT144" s="3">
        <f t="shared" si="581"/>
        <v>0</v>
      </c>
      <c r="DU144" s="3">
        <f t="shared" si="582"/>
        <v>0</v>
      </c>
      <c r="DV144" s="3">
        <f t="shared" si="560"/>
        <v>15</v>
      </c>
      <c r="DW144" s="3">
        <f t="shared" si="561"/>
        <v>0</v>
      </c>
      <c r="DX144" s="3" t="e">
        <f t="shared" ca="1" si="562"/>
        <v>#NUM!</v>
      </c>
      <c r="DY144" s="3" t="e">
        <f t="shared" ca="1" si="563"/>
        <v>#NUM!</v>
      </c>
      <c r="DZ144" s="3">
        <f t="shared" ca="1" si="564"/>
        <v>5.6770265018039369E-4</v>
      </c>
      <c r="EA144" s="3">
        <f t="shared" ca="1" si="565"/>
        <v>-5.4468624520865607E-4</v>
      </c>
      <c r="EB144" s="3">
        <f t="shared" ca="1" si="566"/>
        <v>5.7253027944899836E-4</v>
      </c>
      <c r="EC144" s="3">
        <f t="shared" ca="1" si="567"/>
        <v>-5.3846756565052744E-4</v>
      </c>
      <c r="EE144" s="59">
        <f t="shared" si="568"/>
        <v>0.51419999999999999</v>
      </c>
      <c r="EF144" s="59">
        <f t="shared" si="569"/>
        <v>1.2071000000000001</v>
      </c>
      <c r="EG144" s="59">
        <f t="shared" si="570"/>
        <v>0.2087</v>
      </c>
      <c r="EH144" s="59">
        <f t="shared" si="571"/>
        <v>0.21820000000000001</v>
      </c>
      <c r="EI144" s="59">
        <f t="shared" si="572"/>
        <v>0.20680000000000001</v>
      </c>
      <c r="EJ144" s="59">
        <f t="shared" si="573"/>
        <v>0.22090000000000001</v>
      </c>
      <c r="EL144" s="3" t="str">
        <f>RTD("tos.rtd",,EL$43,"."&amp;$B$134&amp;$AS$82&amp;"C"&amp;$A144)</f>
        <v>51.42%</v>
      </c>
      <c r="EM144" s="3" t="str">
        <f>RTD("tos.rtd",,EM$43,"."&amp;$B$134&amp;$AS$82&amp;"P"&amp;$A144)</f>
        <v>120.71%</v>
      </c>
      <c r="EN144" s="3" t="str">
        <f>RTD("tos.rtd",,EN$2,"."&amp;$C$134&amp;$AU$82&amp;"C"&amp;$A144)</f>
        <v>20.87%</v>
      </c>
      <c r="EO144" s="3" t="str">
        <f>RTD("tos.rtd",,EO$2,"."&amp;$C$134&amp;$AU$82&amp;"P"&amp;$A144)</f>
        <v>21.82%</v>
      </c>
      <c r="EP144" s="3" t="str">
        <f>RTD("tos.rtd",,EP$2,"."&amp;$D$134&amp;$AW$82&amp;"C"&amp;$A144)</f>
        <v>20.68%</v>
      </c>
      <c r="EQ144" s="3" t="str">
        <f>RTD("tos.rtd",,EQ$2,"."&amp;$D$134&amp;$AW$82&amp;"P"&amp;$A144)</f>
        <v>22.09%</v>
      </c>
      <c r="ET144" s="64" t="str">
        <f t="shared" ca="1" si="574"/>
        <v>20300,00.00</v>
      </c>
      <c r="EU144" s="67">
        <v>564.71</v>
      </c>
      <c r="EV144" s="67" t="s">
        <v>1172</v>
      </c>
      <c r="EW144" s="67">
        <v>486.5</v>
      </c>
      <c r="EX144" s="67" t="s">
        <v>1173</v>
      </c>
      <c r="EY144" s="67">
        <v>5662.75</v>
      </c>
      <c r="EZ144" s="67" t="s">
        <v>1174</v>
      </c>
      <c r="FA144" s="67">
        <v>19990</v>
      </c>
      <c r="FB144" s="67" t="s">
        <v>1175</v>
      </c>
      <c r="FC144" s="67" t="s">
        <v>1176</v>
      </c>
      <c r="FD144" s="67" t="s">
        <v>1177</v>
      </c>
      <c r="FE144" s="68" t="s">
        <v>1178</v>
      </c>
      <c r="FF144" s="68" t="s">
        <v>1179</v>
      </c>
    </row>
    <row r="145" spans="1:162" ht="11.1" customHeight="1" thickBot="1" x14ac:dyDescent="0.25">
      <c r="A145" s="2">
        <f t="shared" si="583"/>
        <v>20280</v>
      </c>
      <c r="B145" s="3">
        <f t="shared" ref="B145:B154" si="598">+IF($A$1="ABS",AS145-AT145,AS145+AT145)</f>
        <v>3</v>
      </c>
      <c r="C145" s="3">
        <f t="shared" ref="C145:C154" si="599">+IF($A$1="ABS",AU145-AV145,AU145+AV145)</f>
        <v>0</v>
      </c>
      <c r="D145" s="3">
        <f t="shared" ref="D145:D154" si="600">+IF($A$1="ABS",AW145-AX145,AW145+AX145)</f>
        <v>0</v>
      </c>
      <c r="E145" s="3">
        <f t="shared" si="586"/>
        <v>3</v>
      </c>
      <c r="F145" s="4">
        <f t="shared" si="587"/>
        <v>20380.935695799322</v>
      </c>
      <c r="G145" s="5">
        <f t="shared" si="588"/>
        <v>493.53517818037028</v>
      </c>
      <c r="AM145" s="1">
        <v>52</v>
      </c>
      <c r="AN145" s="1">
        <v>-1</v>
      </c>
      <c r="AO145" s="1">
        <v>20280</v>
      </c>
      <c r="AP145" s="1">
        <v>193</v>
      </c>
      <c r="AQ145" s="1">
        <v>-1</v>
      </c>
      <c r="AS145" s="54">
        <f>IF(RTD("tos.rtd",,AS$83,"."&amp;$B$134&amp;$AS$82&amp;"C"&amp;$A145)="N/A",0,RTD("tos.rtd",,AS$83,"."&amp;$B$134&amp;$AS$82&amp;"C"&amp;$A145))</f>
        <v>3</v>
      </c>
      <c r="AT145" s="3">
        <f>-IF(RTD("tos.rtd",,AT$83,"."&amp;$B$134&amp;$AS$82&amp;"P"&amp;$A145)="N/A",0,RTD("tos.rtd",,AT$83,"."&amp;$B$134&amp;$AS$82&amp;"P"&amp;$A145))</f>
        <v>0</v>
      </c>
      <c r="AU145" s="54">
        <f>IF(RTD("tos.rtd",,AU$2,"."&amp;$C$134&amp;$AU$134&amp;"C"&amp;$A145)="N/A",0,RTD("tos.rtd",,AU$2,"."&amp;$C$134&amp;$AU$134&amp;"C"&amp;$A145))</f>
        <v>0</v>
      </c>
      <c r="AV145" s="3">
        <f>-IF(RTD("tos.rtd",,AV$2,"."&amp;$C$134&amp;$AU$134&amp;"P"&amp;$A145)="N/A",0,RTD("tos.rtd",,AV$2,"."&amp;$C$134&amp;$AU$134&amp;"P"&amp;$A145))</f>
        <v>0</v>
      </c>
      <c r="AW145" s="54">
        <f>IF(RTD("tos.rtd",,AW$2,"."&amp;$D$134&amp;$AW$134&amp;"C"&amp;$A145)="N/A",0,RTD("tos.rtd",,AW$2,"."&amp;$D$134&amp;$AW$134&amp;"C"&amp;$A145))</f>
        <v>0</v>
      </c>
      <c r="AX145" s="3">
        <f>-IF(RTD("tos.rtd",,AX$2,"."&amp;$D$134&amp;$AW$134&amp;"P"&amp;$A145)="N/A",0,RTD("tos.rtd",,AX$2,"."&amp;$D$134&amp;$AW$134&amp;"P"&amp;$A145))</f>
        <v>0</v>
      </c>
      <c r="AY145" s="76">
        <f t="shared" si="589"/>
        <v>3</v>
      </c>
      <c r="AZ145" s="8">
        <f t="shared" si="539"/>
        <v>20280</v>
      </c>
      <c r="BA145" s="54">
        <f>IF(RTD("tos.rtd",,BA$43,"."&amp;$B$134&amp;$AS$82&amp;"C"&amp;$A145)="N/A",0,RTD("tos.rtd",,BA$43,"."&amp;$B$134&amp;$AS$82&amp;"C"&amp;$A145))</f>
        <v>193</v>
      </c>
      <c r="BB145" s="3">
        <f>-IF(RTD("tos.rtd",,BB$43,"."&amp;$B$134&amp;$AS$82&amp;"P"&amp;$A145)="N/A",0,RTD("tos.rtd",,BB$43,"."&amp;$B$134&amp;$AS$82&amp;"P"&amp;$A145))</f>
        <v>-1</v>
      </c>
      <c r="BC145" s="54">
        <f>IF(RTD("tos.rtd",,BC$2,"."&amp;$C$134&amp;$AU$82&amp;"C"&amp;$A145)="N/A",0,RTD("tos.rtd",,BC$2,"."&amp;$C$134&amp;$AU$82&amp;"C"&amp;$A145))</f>
        <v>0</v>
      </c>
      <c r="BD145" s="3">
        <f>-IF(RTD("tos.rtd",,BD$2,"."&amp;$C$134&amp;$AU$82&amp;"P"&amp;$A145)="N/A",0,RTD("tos.rtd",,BD$2,"."&amp;$C$134&amp;$AU$82&amp;"P"&amp;$A145))</f>
        <v>0</v>
      </c>
      <c r="BE145" s="54">
        <f>IF(RTD("tos.rtd",,BE$2,"."&amp;$D$134&amp;$AW$82&amp;"C"&amp;$A145)="N/A",0,RTD("tos.rtd",,BE$2,"."&amp;$D$134&amp;$AW$82&amp;"C"&amp;$A145))</f>
        <v>0</v>
      </c>
      <c r="BF145" s="3">
        <f>-IF(RTD("tos.rtd",,BF$2,"."&amp;$D$134&amp;$AW$82&amp;"P"&amp;$A145)="N/A",0,RTD("tos.rtd",,BF$2,"."&amp;$D$134&amp;$AW$82&amp;"P"&amp;$A145))</f>
        <v>0</v>
      </c>
      <c r="BG145" s="3" t="e">
        <f ca="1">+Hoja2!Y146</f>
        <v>#N/A</v>
      </c>
      <c r="BH145" s="7" t="e">
        <f t="shared" ca="1" si="540"/>
        <v>#N/A</v>
      </c>
      <c r="BI145" s="32" t="e">
        <f t="shared" ca="1" si="597"/>
        <v>#N/A</v>
      </c>
      <c r="BJ145" s="3" t="e">
        <f ca="1">IF($BP$1=1,DX145,IF(RTD("tos.rtd",,BJ$43,"."&amp;$B$134&amp;$AS$82&amp;"C"&amp;$A145)="N/A",0,RTD("tos.rtd",,BJ$43,"."&amp;$B$134&amp;$AS$82&amp;"C"&amp;$A145)))</f>
        <v>#NUM!</v>
      </c>
      <c r="BK145" s="3" t="e">
        <f ca="1">IF($BP$1=1,DY145,-IF(RTD("tos.rtd",,BK$43,"."&amp;$B$134&amp;$AS$82&amp;"P"&amp;$A145)="N/A",0,RTD("tos.rtd",,BK$43,"."&amp;$B$134&amp;$AS$82&amp;"P"&amp;$A145)))</f>
        <v>#NUM!</v>
      </c>
      <c r="BL145" s="3">
        <f ca="1">IF($BP$1=1,DZ145,IF(RTD("tos.rtd",,BL$2,"."&amp;$C$134&amp;$AU$82&amp;"C"&amp;$A145)="N/A",0,RTD("tos.rtd",,BL$2,"."&amp;$C$134&amp;$AU$82&amp;"C"&amp;$A145)))</f>
        <v>4.8148017560180469E-4</v>
      </c>
      <c r="BM145" s="3">
        <f ca="1">IF($BP$1=1,EA145,-IF(RTD("tos.rtd",,BM$2,"."&amp;$C$134&amp;$AU$82&amp;"P"&amp;$A145)="N/A",0,RTD("tos.rtd",,BM$2,"."&amp;$C$134&amp;$AU$82&amp;"P"&amp;$A145)))</f>
        <v>-4.8148017560180469E-4</v>
      </c>
      <c r="BN145" s="3">
        <f ca="1">IF($BP$1=1,EB145,IF(RTD("tos.rtd",,BN$2,"."&amp;$D$134&amp;$AW$82&amp;"C"&amp;$A145)="N/A",0,RTD("tos.rtd",,BN$2,"."&amp;$D$134&amp;$AW$82&amp;"C"&amp;$A145)))</f>
        <v>4.8148017560180469E-4</v>
      </c>
      <c r="BO145" s="3">
        <f ca="1">IF($BP$1=1,EC145,-IF(RTD("tos.rtd",,BO$2,"."&amp;$D$134&amp;$AW$82&amp;"P"&amp;$A145)="N/A",0,RTD("tos.rtd",,BO$2,"."&amp;$D$134&amp;$AW$82&amp;"P"&amp;$A145)))</f>
        <v>-4.8148017560180469E-4</v>
      </c>
      <c r="BQ145" s="3" t="e">
        <f t="shared" ca="1" si="590"/>
        <v>#NUM!</v>
      </c>
      <c r="BR145" s="3" t="e">
        <f t="shared" ca="1" si="541"/>
        <v>#NUM!</v>
      </c>
      <c r="BS145" s="3">
        <f t="shared" ca="1" si="591"/>
        <v>0</v>
      </c>
      <c r="BT145" s="3" t="str">
        <f t="shared" ca="1" si="542"/>
        <v/>
      </c>
      <c r="BU145" s="3">
        <f t="shared" ca="1" si="592"/>
        <v>0</v>
      </c>
      <c r="BV145" s="3" t="str">
        <f t="shared" ca="1" si="542"/>
        <v/>
      </c>
      <c r="BX145" s="3" t="e">
        <f t="shared" ca="1" si="575"/>
        <v>#NUM!</v>
      </c>
      <c r="BY145" s="3" t="e">
        <f t="shared" ca="1" si="576"/>
        <v>#NUM!</v>
      </c>
      <c r="BZ145" s="3">
        <f t="shared" ca="1" si="577"/>
        <v>0</v>
      </c>
      <c r="CA145" s="3" t="str">
        <f t="shared" ca="1" si="576"/>
        <v/>
      </c>
      <c r="CB145" s="3">
        <f t="shared" ca="1" si="578"/>
        <v>0</v>
      </c>
      <c r="CC145" s="3" t="str">
        <f t="shared" ca="1" si="576"/>
        <v/>
      </c>
      <c r="CD145" s="3">
        <f>IF(RTD("tos.rtd",,CD$43,"."&amp;$B$134&amp;$AS$82&amp;"C"&amp;$A145)="N/A",0,RTD("tos.rtd",,CD$43,"."&amp;$B$134&amp;$AS$82&amp;"C"&amp;$A145))</f>
        <v>0.13</v>
      </c>
      <c r="CE145" s="3">
        <f>-IF(RTD("tos.rtd",,CE$43,"."&amp;$B$134&amp;$AS$82&amp;"P"&amp;$A145)="N/A",0,RTD("tos.rtd",,CE$43,"."&amp;$B$134&amp;$AS$82&amp;"P"&amp;$A145))</f>
        <v>0.85</v>
      </c>
      <c r="CF145" s="3">
        <f>IF(RTD("tos.rtd",,CF$2,"."&amp;$C$134&amp;$AU$82&amp;"C"&amp;$A145)="N/A",0,RTD("tos.rtd",,CF$2,"."&amp;$C$134&amp;$AU$82&amp;"C"&amp;$A145))</f>
        <v>0</v>
      </c>
      <c r="CG145" s="3">
        <f>-IF(RTD("tos.rtd",,CG$2,"."&amp;$C$134&amp;$AU$82&amp;"P"&amp;$A145)="N/A",0,RTD("tos.rtd",,CG$2,"."&amp;$C$134&amp;$AU$82&amp;"P"&amp;$A145))</f>
        <v>0</v>
      </c>
      <c r="CH145" s="3">
        <f>IF(RTD("tos.rtd",,CH$2,"."&amp;$D$134&amp;$AW$82&amp;"C"&amp;$A145)="N/A",0,RTD("tos.rtd",,CH$2,"."&amp;$D$134&amp;$AW$82&amp;"C"&amp;$A145))</f>
        <v>0</v>
      </c>
      <c r="CI145" s="3">
        <f>-IF(RTD("tos.rtd",,CI$2,"."&amp;$D$134&amp;$AW$82&amp;"P"&amp;$A145)="N/A",0,RTD("tos.rtd",,CI$2,"."&amp;$D$134&amp;$AW$82&amp;"P"&amp;$A145))</f>
        <v>0</v>
      </c>
      <c r="CK145" s="3">
        <f t="shared" si="593"/>
        <v>39</v>
      </c>
      <c r="CL145" s="3"/>
      <c r="CM145" s="3">
        <f t="shared" si="594"/>
        <v>0</v>
      </c>
      <c r="CN145" s="3"/>
      <c r="CO145" s="3">
        <f t="shared" si="595"/>
        <v>0</v>
      </c>
      <c r="CP145" s="3">
        <f t="shared" si="533"/>
        <v>39</v>
      </c>
      <c r="CQ145" s="3">
        <f t="shared" si="543"/>
        <v>192</v>
      </c>
      <c r="CR145" s="3"/>
      <c r="CS145" s="3">
        <f t="shared" si="544"/>
        <v>0</v>
      </c>
      <c r="CT145" s="3"/>
      <c r="CU145" s="3">
        <f t="shared" si="545"/>
        <v>0</v>
      </c>
      <c r="CV145" s="3"/>
      <c r="CW145" s="3" t="e">
        <f t="shared" ca="1" si="546"/>
        <v>#NUM!</v>
      </c>
      <c r="CY145" s="3" t="e">
        <f t="shared" ca="1" si="547"/>
        <v>#NUM!</v>
      </c>
      <c r="CZ145" s="70" t="e">
        <f t="shared" ca="1" si="579"/>
        <v>#NUM!</v>
      </c>
      <c r="DA145" s="3">
        <f>IF(RTD("tos.rtd",,DA$43,"."&amp;$B$134&amp;$AS$82&amp;"C"&amp;$A145)="N/A",0,RTD("tos.rtd",,DA$43,"."&amp;$B$134&amp;$AS$82&amp;"C"&amp;$A145))</f>
        <v>0.1</v>
      </c>
      <c r="DB145" s="3">
        <f>IF(RTD("tos.rtd",,DB$43,"."&amp;$B$134&amp;$AS$82&amp;"P"&amp;$A145)="N/A",0,RTD("tos.rtd",,DB$43,"."&amp;$B$134&amp;$AS$82&amp;"P"&amp;$A145))</f>
        <v>219.42</v>
      </c>
      <c r="DC145" s="3">
        <f>IF(RTD("tos.rtd",,DC$43,"."&amp;$B$134&amp;$AS$82&amp;"C"&amp;$A145)="N/A",0,RTD("tos.rtd",,DC$43,"."&amp;$B$134&amp;$AS$82&amp;"C"&amp;$A145))</f>
        <v>19.8</v>
      </c>
      <c r="DD145" s="3">
        <f>IF(RTD("tos.rtd",,DD$43,"."&amp;$B$134&amp;$AS$82&amp;"P"&amp;$A145)="N/A",0,RTD("tos.rtd",,DD$43,"."&amp;$B$134&amp;$AS$82&amp;"P"&amp;$A145))</f>
        <v>199.5</v>
      </c>
      <c r="DE145" s="3">
        <f>IF(RTD("tos.rtd",,DE$43,"."&amp;$B$134&amp;$AS$82&amp;"C"&amp;$A145)="N/A",0,RTD("tos.rtd",,DE$43,"."&amp;$B$134&amp;$AS$82&amp;"C"&amp;$A145))</f>
        <v>0</v>
      </c>
      <c r="DF145" s="3">
        <f>IF(RTD("tos.rtd",,DF$43,"."&amp;$B$134&amp;$AS$82&amp;"P"&amp;$A145)="N/A",0,RTD("tos.rtd",,DF$43,"."&amp;$B$134&amp;$AS$82&amp;"P"&amp;$A145))</f>
        <v>182</v>
      </c>
      <c r="DG145" s="86">
        <f t="shared" si="580"/>
        <v>188</v>
      </c>
      <c r="DH145" s="3">
        <f t="shared" si="548"/>
        <v>0</v>
      </c>
      <c r="DI145" s="3">
        <f t="shared" si="549"/>
        <v>0</v>
      </c>
      <c r="DJ145" s="3">
        <f t="shared" si="550"/>
        <v>0</v>
      </c>
      <c r="DK145" s="3">
        <f t="shared" si="551"/>
        <v>0</v>
      </c>
      <c r="DL145" s="3">
        <f t="shared" si="552"/>
        <v>0</v>
      </c>
      <c r="DM145" s="3">
        <f t="shared" si="553"/>
        <v>0</v>
      </c>
      <c r="DN145" s="64" t="str">
        <f t="shared" si="554"/>
        <v>UNKNOWN</v>
      </c>
      <c r="DO145" s="64" t="str">
        <f t="shared" si="555"/>
        <v>UNKNOWN</v>
      </c>
      <c r="DP145" s="3">
        <f t="shared" si="556"/>
        <v>0</v>
      </c>
      <c r="DQ145" s="3">
        <f t="shared" si="557"/>
        <v>0</v>
      </c>
      <c r="DR145" s="3" t="e">
        <f t="shared" ca="1" si="558"/>
        <v>#NUM!</v>
      </c>
      <c r="DS145" s="3">
        <f t="shared" si="559"/>
        <v>0</v>
      </c>
      <c r="DT145" s="3">
        <f t="shared" si="581"/>
        <v>0</v>
      </c>
      <c r="DU145" s="3">
        <f t="shared" si="582"/>
        <v>0</v>
      </c>
      <c r="DV145" s="3">
        <f t="shared" si="560"/>
        <v>52</v>
      </c>
      <c r="DW145" s="3">
        <f t="shared" si="561"/>
        <v>-1</v>
      </c>
      <c r="DX145" s="3" t="e">
        <f t="shared" ca="1" si="562"/>
        <v>#NUM!</v>
      </c>
      <c r="DY145" s="3" t="e">
        <f t="shared" ca="1" si="563"/>
        <v>#NUM!</v>
      </c>
      <c r="DZ145" s="3">
        <f t="shared" ca="1" si="564"/>
        <v>4.8148017560180469E-4</v>
      </c>
      <c r="EA145" s="3">
        <f t="shared" ca="1" si="565"/>
        <v>-4.8148017560180469E-4</v>
      </c>
      <c r="EB145" s="3">
        <f t="shared" ca="1" si="566"/>
        <v>4.8148017560180469E-4</v>
      </c>
      <c r="EC145" s="3">
        <f t="shared" ca="1" si="567"/>
        <v>-4.8148017560180469E-4</v>
      </c>
      <c r="EE145" s="59">
        <f t="shared" si="568"/>
        <v>1.0214000000000001</v>
      </c>
      <c r="EF145" s="59">
        <f t="shared" si="569"/>
        <v>1.1254999999999999</v>
      </c>
      <c r="EG145" s="59">
        <f t="shared" si="570"/>
        <v>0.25</v>
      </c>
      <c r="EH145" s="59">
        <f t="shared" si="571"/>
        <v>0.25</v>
      </c>
      <c r="EI145" s="59">
        <f t="shared" si="572"/>
        <v>0.25</v>
      </c>
      <c r="EJ145" s="59">
        <f t="shared" si="573"/>
        <v>0.25</v>
      </c>
      <c r="EL145" s="3" t="str">
        <f>RTD("tos.rtd",,EL$43,"."&amp;$B$134&amp;$AS$82&amp;"C"&amp;$A145)</f>
        <v>102.14%</v>
      </c>
      <c r="EM145" s="3" t="str">
        <f>RTD("tos.rtd",,EM$43,"."&amp;$B$134&amp;$AS$82&amp;"P"&amp;$A145)</f>
        <v>112.55%</v>
      </c>
      <c r="EN145" s="3" t="str">
        <f>RTD("tos.rtd",,EN$2,"."&amp;$C$134&amp;$AU$82&amp;"C"&amp;$A145)</f>
        <v>N/A</v>
      </c>
      <c r="EO145" s="3" t="str">
        <f>RTD("tos.rtd",,EO$2,"."&amp;$C$134&amp;$AU$82&amp;"P"&amp;$A145)</f>
        <v>N/A</v>
      </c>
      <c r="EP145" s="3" t="str">
        <f>RTD("tos.rtd",,EP$2,"."&amp;$D$134&amp;$AW$82&amp;"C"&amp;$A145)</f>
        <v>N/A</v>
      </c>
      <c r="EQ145" s="3" t="str">
        <f>RTD("tos.rtd",,EQ$2,"."&amp;$D$134&amp;$AW$82&amp;"P"&amp;$A145)</f>
        <v>N/A</v>
      </c>
      <c r="ET145" s="64" t="str">
        <f t="shared" ca="1" si="574"/>
        <v>20280,00.00</v>
      </c>
      <c r="EU145" s="68">
        <v>565.19000000000005</v>
      </c>
      <c r="EV145" s="68" t="s">
        <v>1180</v>
      </c>
      <c r="EW145" s="68">
        <v>486.95</v>
      </c>
      <c r="EX145" s="68" t="s">
        <v>1181</v>
      </c>
      <c r="EY145" s="68">
        <v>5667.75</v>
      </c>
      <c r="EZ145" s="68" t="s">
        <v>1182</v>
      </c>
      <c r="FA145" s="68">
        <v>20008.25</v>
      </c>
      <c r="FB145" s="68" t="s">
        <v>1183</v>
      </c>
      <c r="FC145" s="68" t="s">
        <v>1184</v>
      </c>
      <c r="FD145" s="68" t="s">
        <v>1185</v>
      </c>
      <c r="FE145" s="68" t="s">
        <v>1186</v>
      </c>
      <c r="FF145" s="68" t="s">
        <v>1187</v>
      </c>
    </row>
    <row r="146" spans="1:162" ht="11.1" customHeight="1" thickBot="1" x14ac:dyDescent="0.25">
      <c r="A146" s="2">
        <f t="shared" si="583"/>
        <v>20260</v>
      </c>
      <c r="B146" s="3">
        <f t="shared" si="598"/>
        <v>1</v>
      </c>
      <c r="C146" s="3">
        <f t="shared" si="599"/>
        <v>0</v>
      </c>
      <c r="D146" s="3">
        <f t="shared" si="600"/>
        <v>0</v>
      </c>
      <c r="E146" s="3">
        <f t="shared" si="586"/>
        <v>1</v>
      </c>
      <c r="F146" s="4">
        <f t="shared" si="587"/>
        <v>20360.836153693013</v>
      </c>
      <c r="G146" s="5">
        <f t="shared" si="588"/>
        <v>493.04845709735218</v>
      </c>
      <c r="AM146" s="1" t="e">
        <v>#N/A</v>
      </c>
      <c r="AN146" s="1" t="e">
        <v>#N/A</v>
      </c>
      <c r="AO146" s="1">
        <v>20260</v>
      </c>
      <c r="AP146" s="1">
        <v>212</v>
      </c>
      <c r="AQ146" s="1">
        <v>-8</v>
      </c>
      <c r="AS146" s="54">
        <f>IF(RTD("tos.rtd",,AS$83,"."&amp;$B$134&amp;$AS$82&amp;"C"&amp;$A146)="N/A",0,RTD("tos.rtd",,AS$83,"."&amp;$B$134&amp;$AS$82&amp;"C"&amp;$A146))</f>
        <v>1</v>
      </c>
      <c r="AT146" s="3">
        <f>-IF(RTD("tos.rtd",,AT$83,"."&amp;$B$134&amp;$AS$82&amp;"P"&amp;$A146)="N/A",0,RTD("tos.rtd",,AT$83,"."&amp;$B$134&amp;$AS$82&amp;"P"&amp;$A146))</f>
        <v>0</v>
      </c>
      <c r="AU146" s="54">
        <f>IF(RTD("tos.rtd",,AU$2,"."&amp;$C$134&amp;$AU$134&amp;"C"&amp;$A146)="N/A",0,RTD("tos.rtd",,AU$2,"."&amp;$C$134&amp;$AU$134&amp;"C"&amp;$A146))</f>
        <v>0</v>
      </c>
      <c r="AV146" s="3">
        <f>-IF(RTD("tos.rtd",,AV$2,"."&amp;$C$134&amp;$AU$134&amp;"P"&amp;$A146)="N/A",0,RTD("tos.rtd",,AV$2,"."&amp;$C$134&amp;$AU$134&amp;"P"&amp;$A146))</f>
        <v>0</v>
      </c>
      <c r="AW146" s="54">
        <f>IF(RTD("tos.rtd",,AW$2,"."&amp;$D$134&amp;$AW$134&amp;"C"&amp;$A146)="N/A",0,RTD("tos.rtd",,AW$2,"."&amp;$D$134&amp;$AW$134&amp;"C"&amp;$A146))</f>
        <v>0</v>
      </c>
      <c r="AX146" s="3">
        <f>-IF(RTD("tos.rtd",,AX$2,"."&amp;$D$134&amp;$AW$134&amp;"P"&amp;$A146)="N/A",0,RTD("tos.rtd",,AX$2,"."&amp;$D$134&amp;$AW$134&amp;"P"&amp;$A146))</f>
        <v>0</v>
      </c>
      <c r="AY146" s="76">
        <f t="shared" si="589"/>
        <v>1</v>
      </c>
      <c r="AZ146" s="8">
        <f t="shared" si="539"/>
        <v>20260</v>
      </c>
      <c r="BA146" s="54">
        <f>IF(RTD("tos.rtd",,BA$43,"."&amp;$B$134&amp;$AS$82&amp;"C"&amp;$A146)="N/A",0,RTD("tos.rtd",,BA$43,"."&amp;$B$134&amp;$AS$82&amp;"C"&amp;$A146))</f>
        <v>212</v>
      </c>
      <c r="BB146" s="3">
        <f>-IF(RTD("tos.rtd",,BB$43,"."&amp;$B$134&amp;$AS$82&amp;"P"&amp;$A146)="N/A",0,RTD("tos.rtd",,BB$43,"."&amp;$B$134&amp;$AS$82&amp;"P"&amp;$A146))</f>
        <v>-8</v>
      </c>
      <c r="BC146" s="54">
        <f>IF(RTD("tos.rtd",,BC$2,"."&amp;$C$134&amp;$AU$82&amp;"C"&amp;$A146)="N/A",0,RTD("tos.rtd",,BC$2,"."&amp;$C$134&amp;$AU$82&amp;"C"&amp;$A146))</f>
        <v>0</v>
      </c>
      <c r="BD146" s="3">
        <f>-IF(RTD("tos.rtd",,BD$2,"."&amp;$C$134&amp;$AU$82&amp;"P"&amp;$A146)="N/A",0,RTD("tos.rtd",,BD$2,"."&amp;$C$134&amp;$AU$82&amp;"P"&amp;$A146))</f>
        <v>0</v>
      </c>
      <c r="BE146" s="54">
        <f>IF(RTD("tos.rtd",,BE$2,"."&amp;$D$134&amp;$AW$82&amp;"C"&amp;$A146)="N/A",0,RTD("tos.rtd",,BE$2,"."&amp;$D$134&amp;$AW$82&amp;"C"&amp;$A146))</f>
        <v>0</v>
      </c>
      <c r="BF146" s="3">
        <f>-IF(RTD("tos.rtd",,BF$2,"."&amp;$D$134&amp;$AW$82&amp;"P"&amp;$A146)="N/A",0,RTD("tos.rtd",,BF$2,"."&amp;$D$134&amp;$AW$82&amp;"P"&amp;$A146))</f>
        <v>0</v>
      </c>
      <c r="BG146" s="3" t="e">
        <f ca="1">+Hoja2!Y147</f>
        <v>#N/A</v>
      </c>
      <c r="BH146" s="7" t="e">
        <f t="shared" ca="1" si="540"/>
        <v>#N/A</v>
      </c>
      <c r="BI146" s="32" t="e">
        <f t="shared" ca="1" si="597"/>
        <v>#N/A</v>
      </c>
      <c r="BJ146" s="3" t="e">
        <f ca="1">IF($BP$1=1,DX146,IF(RTD("tos.rtd",,BJ$43,"."&amp;$B$134&amp;$AS$82&amp;"C"&amp;$A146)="N/A",0,RTD("tos.rtd",,BJ$43,"."&amp;$B$134&amp;$AS$82&amp;"C"&amp;$A146)))</f>
        <v>#NUM!</v>
      </c>
      <c r="BK146" s="3" t="e">
        <f ca="1">IF($BP$1=1,DY146,-IF(RTD("tos.rtd",,BK$43,"."&amp;$B$134&amp;$AS$82&amp;"P"&amp;$A146)="N/A",0,RTD("tos.rtd",,BK$43,"."&amp;$B$134&amp;$AS$82&amp;"P"&amp;$A146)))</f>
        <v>#NUM!</v>
      </c>
      <c r="BL146" s="3">
        <f ca="1">IF($BP$1=1,DZ146,IF(RTD("tos.rtd",,BL$2,"."&amp;$C$134&amp;$AU$82&amp;"C"&amp;$A146)="N/A",0,RTD("tos.rtd",,BL$2,"."&amp;$C$134&amp;$AU$82&amp;"C"&amp;$A146)))</f>
        <v>4.8347440328043499E-4</v>
      </c>
      <c r="BM146" s="3">
        <f ca="1">IF($BP$1=1,EA146,-IF(RTD("tos.rtd",,BM$2,"."&amp;$C$134&amp;$AU$82&amp;"P"&amp;$A146)="N/A",0,RTD("tos.rtd",,BM$2,"."&amp;$C$134&amp;$AU$82&amp;"P"&amp;$A146)))</f>
        <v>-4.8347440328043499E-4</v>
      </c>
      <c r="BN146" s="3">
        <f ca="1">IF($BP$1=1,EB146,IF(RTD("tos.rtd",,BN$2,"."&amp;$D$134&amp;$AW$82&amp;"C"&amp;$A146)="N/A",0,RTD("tos.rtd",,BN$2,"."&amp;$D$134&amp;$AW$82&amp;"C"&amp;$A146)))</f>
        <v>4.8347440328043499E-4</v>
      </c>
      <c r="BO146" s="3">
        <f ca="1">IF($BP$1=1,EC146,-IF(RTD("tos.rtd",,BO$2,"."&amp;$D$134&amp;$AW$82&amp;"P"&amp;$A146)="N/A",0,RTD("tos.rtd",,BO$2,"."&amp;$D$134&amp;$AW$82&amp;"P"&amp;$A146)))</f>
        <v>-4.8347440328043499E-4</v>
      </c>
      <c r="BQ146" s="3" t="e">
        <f t="shared" ca="1" si="590"/>
        <v>#NUM!</v>
      </c>
      <c r="BR146" s="3" t="e">
        <f t="shared" ca="1" si="541"/>
        <v>#NUM!</v>
      </c>
      <c r="BS146" s="3">
        <f t="shared" ca="1" si="591"/>
        <v>0</v>
      </c>
      <c r="BT146" s="3" t="str">
        <f t="shared" ca="1" si="542"/>
        <v/>
      </c>
      <c r="BU146" s="3">
        <f t="shared" ca="1" si="592"/>
        <v>0</v>
      </c>
      <c r="BV146" s="3" t="str">
        <f t="shared" ca="1" si="542"/>
        <v/>
      </c>
      <c r="BX146" s="3" t="e">
        <f t="shared" ca="1" si="575"/>
        <v>#NUM!</v>
      </c>
      <c r="BY146" s="3" t="e">
        <f t="shared" ca="1" si="576"/>
        <v>#NUM!</v>
      </c>
      <c r="BZ146" s="3">
        <f t="shared" ca="1" si="577"/>
        <v>0</v>
      </c>
      <c r="CA146" s="3" t="str">
        <f t="shared" ca="1" si="576"/>
        <v/>
      </c>
      <c r="CB146" s="3">
        <f t="shared" ca="1" si="578"/>
        <v>0</v>
      </c>
      <c r="CC146" s="3" t="str">
        <f t="shared" ca="1" si="576"/>
        <v/>
      </c>
      <c r="CD146" s="3">
        <f>IF(RTD("tos.rtd",,CD$43,"."&amp;$B$134&amp;$AS$82&amp;"C"&amp;$A146)="N/A",0,RTD("tos.rtd",,CD$43,"."&amp;$B$134&amp;$AS$82&amp;"C"&amp;$A146))</f>
        <v>0.14000000000000001</v>
      </c>
      <c r="CE146" s="3">
        <f>-IF(RTD("tos.rtd",,CE$43,"."&amp;$B$134&amp;$AS$82&amp;"P"&amp;$A146)="N/A",0,RTD("tos.rtd",,CE$43,"."&amp;$B$134&amp;$AS$82&amp;"P"&amp;$A146))</f>
        <v>0.85</v>
      </c>
      <c r="CF146" s="3">
        <f>IF(RTD("tos.rtd",,CF$2,"."&amp;$C$134&amp;$AU$82&amp;"C"&amp;$A146)="N/A",0,RTD("tos.rtd",,CF$2,"."&amp;$C$134&amp;$AU$82&amp;"C"&amp;$A146))</f>
        <v>0</v>
      </c>
      <c r="CG146" s="3">
        <f>-IF(RTD("tos.rtd",,CG$2,"."&amp;$C$134&amp;$AU$82&amp;"P"&amp;$A146)="N/A",0,RTD("tos.rtd",,CG$2,"."&amp;$C$134&amp;$AU$82&amp;"P"&amp;$A146))</f>
        <v>0</v>
      </c>
      <c r="CH146" s="3">
        <f>IF(RTD("tos.rtd",,CH$2,"."&amp;$D$134&amp;$AW$82&amp;"C"&amp;$A146)="N/A",0,RTD("tos.rtd",,CH$2,"."&amp;$D$134&amp;$AW$82&amp;"C"&amp;$A146))</f>
        <v>0</v>
      </c>
      <c r="CI146" s="3">
        <f>-IF(RTD("tos.rtd",,CI$2,"."&amp;$D$134&amp;$AW$82&amp;"P"&amp;$A146)="N/A",0,RTD("tos.rtd",,CI$2,"."&amp;$D$134&amp;$AW$82&amp;"P"&amp;$A146))</f>
        <v>0</v>
      </c>
      <c r="CK146" s="3">
        <f t="shared" si="593"/>
        <v>14.000000000000002</v>
      </c>
      <c r="CL146" s="3"/>
      <c r="CM146" s="3">
        <f t="shared" si="594"/>
        <v>0</v>
      </c>
      <c r="CN146" s="3"/>
      <c r="CO146" s="3">
        <f t="shared" si="595"/>
        <v>0</v>
      </c>
      <c r="CP146" s="3">
        <f t="shared" si="533"/>
        <v>14.000000000000002</v>
      </c>
      <c r="CQ146" s="3">
        <f t="shared" si="543"/>
        <v>204</v>
      </c>
      <c r="CR146" s="3"/>
      <c r="CS146" s="3">
        <f t="shared" si="544"/>
        <v>0</v>
      </c>
      <c r="CT146" s="3"/>
      <c r="CU146" s="3">
        <f t="shared" si="545"/>
        <v>0</v>
      </c>
      <c r="CV146" s="3"/>
      <c r="CW146" s="3" t="e">
        <f t="shared" ca="1" si="546"/>
        <v>#NUM!</v>
      </c>
      <c r="CY146" s="3" t="e">
        <f t="shared" ca="1" si="547"/>
        <v>#NUM!</v>
      </c>
      <c r="CZ146" s="70" t="e">
        <f t="shared" ca="1" si="579"/>
        <v>#NUM!</v>
      </c>
      <c r="DA146" s="3">
        <f>IF(RTD("tos.rtd",,DA$43,"."&amp;$B$134&amp;$AS$82&amp;"C"&amp;$A146)="N/A",0,RTD("tos.rtd",,DA$43,"."&amp;$B$134&amp;$AS$82&amp;"C"&amp;$A146))</f>
        <v>0.17</v>
      </c>
      <c r="DB146" s="3">
        <f>IF(RTD("tos.rtd",,DB$43,"."&amp;$B$134&amp;$AS$82&amp;"P"&amp;$A146)="N/A",0,RTD("tos.rtd",,DB$43,"."&amp;$B$134&amp;$AS$82&amp;"P"&amp;$A146))</f>
        <v>102</v>
      </c>
      <c r="DC146" s="3">
        <f>IF(RTD("tos.rtd",,DC$43,"."&amp;$B$134&amp;$AS$82&amp;"C"&amp;$A146)="N/A",0,RTD("tos.rtd",,DC$43,"."&amp;$B$134&amp;$AS$82&amp;"C"&amp;$A146))</f>
        <v>19.8</v>
      </c>
      <c r="DD146" s="3">
        <f>IF(RTD("tos.rtd",,DD$43,"."&amp;$B$134&amp;$AS$82&amp;"P"&amp;$A146)="N/A",0,RTD("tos.rtd",,DD$43,"."&amp;$B$134&amp;$AS$82&amp;"P"&amp;$A146))</f>
        <v>177.4</v>
      </c>
      <c r="DE146" s="3">
        <f>IF(RTD("tos.rtd",,DE$43,"."&amp;$B$134&amp;$AS$82&amp;"C"&amp;$A146)="N/A",0,RTD("tos.rtd",,DE$43,"."&amp;$B$134&amp;$AS$82&amp;"C"&amp;$A146))</f>
        <v>0</v>
      </c>
      <c r="DF146" s="3">
        <f>IF(RTD("tos.rtd",,DF$43,"."&amp;$B$134&amp;$AS$82&amp;"P"&amp;$A146)="N/A",0,RTD("tos.rtd",,DF$43,"."&amp;$B$134&amp;$AS$82&amp;"P"&amp;$A146))</f>
        <v>162</v>
      </c>
      <c r="DG146" s="86">
        <f t="shared" si="580"/>
        <v>168</v>
      </c>
      <c r="DH146" s="3">
        <f t="shared" si="548"/>
        <v>0</v>
      </c>
      <c r="DI146" s="3">
        <f t="shared" si="549"/>
        <v>0</v>
      </c>
      <c r="DJ146" s="3">
        <f t="shared" si="550"/>
        <v>0</v>
      </c>
      <c r="DK146" s="3">
        <f t="shared" si="551"/>
        <v>0</v>
      </c>
      <c r="DL146" s="3">
        <f t="shared" si="552"/>
        <v>0</v>
      </c>
      <c r="DM146" s="3">
        <f t="shared" si="553"/>
        <v>0</v>
      </c>
      <c r="DN146" s="64" t="str">
        <f t="shared" si="554"/>
        <v>UNKNOWN</v>
      </c>
      <c r="DO146" s="64" t="str">
        <f t="shared" si="555"/>
        <v>UNKNOWN</v>
      </c>
      <c r="DP146" s="3">
        <f t="shared" si="556"/>
        <v>0</v>
      </c>
      <c r="DQ146" s="3">
        <f t="shared" si="557"/>
        <v>0</v>
      </c>
      <c r="DR146" s="3" t="e">
        <f t="shared" ca="1" si="558"/>
        <v>#NUM!</v>
      </c>
      <c r="DS146" s="3">
        <f t="shared" si="559"/>
        <v>0</v>
      </c>
      <c r="DT146" s="3">
        <f t="shared" si="581"/>
        <v>0</v>
      </c>
      <c r="DU146" s="3">
        <f t="shared" si="582"/>
        <v>0</v>
      </c>
      <c r="DV146" s="3" t="e">
        <f t="shared" si="560"/>
        <v>#N/A</v>
      </c>
      <c r="DW146" s="3" t="e">
        <f t="shared" si="561"/>
        <v>#N/A</v>
      </c>
      <c r="DX146" s="3" t="e">
        <f t="shared" ca="1" si="562"/>
        <v>#NUM!</v>
      </c>
      <c r="DY146" s="3" t="e">
        <f t="shared" ca="1" si="563"/>
        <v>#NUM!</v>
      </c>
      <c r="DZ146" s="3">
        <f t="shared" ca="1" si="564"/>
        <v>4.8347440328043499E-4</v>
      </c>
      <c r="EA146" s="3">
        <f t="shared" ca="1" si="565"/>
        <v>-4.8347440328043499E-4</v>
      </c>
      <c r="EB146" s="3">
        <f t="shared" ca="1" si="566"/>
        <v>4.8347440328043499E-4</v>
      </c>
      <c r="EC146" s="3">
        <f t="shared" ca="1" si="567"/>
        <v>-4.8347440328043499E-4</v>
      </c>
      <c r="EE146" s="59">
        <f t="shared" si="568"/>
        <v>0.94099999999999995</v>
      </c>
      <c r="EF146" s="59">
        <f t="shared" si="569"/>
        <v>1.0119</v>
      </c>
      <c r="EG146" s="59">
        <f t="shared" si="570"/>
        <v>0.25</v>
      </c>
      <c r="EH146" s="59">
        <f t="shared" si="571"/>
        <v>0.25</v>
      </c>
      <c r="EI146" s="59">
        <f t="shared" si="572"/>
        <v>0.25</v>
      </c>
      <c r="EJ146" s="59">
        <f t="shared" si="573"/>
        <v>0.25</v>
      </c>
      <c r="EL146" s="3" t="str">
        <f>RTD("tos.rtd",,EL$43,"."&amp;$B$134&amp;$AS$82&amp;"C"&amp;$A146)</f>
        <v>94.10%</v>
      </c>
      <c r="EM146" s="3" t="str">
        <f>RTD("tos.rtd",,EM$43,"."&amp;$B$134&amp;$AS$82&amp;"P"&amp;$A146)</f>
        <v>101.19%</v>
      </c>
      <c r="EN146" s="3" t="str">
        <f>RTD("tos.rtd",,EN$2,"."&amp;$C$134&amp;$AU$82&amp;"C"&amp;$A146)</f>
        <v>N/A</v>
      </c>
      <c r="EO146" s="3" t="str">
        <f>RTD("tos.rtd",,EO$2,"."&amp;$C$134&amp;$AU$82&amp;"P"&amp;$A146)</f>
        <v>N/A</v>
      </c>
      <c r="EP146" s="3" t="str">
        <f>RTD("tos.rtd",,EP$2,"."&amp;$D$134&amp;$AW$82&amp;"C"&amp;$A146)</f>
        <v>N/A</v>
      </c>
      <c r="EQ146" s="3" t="str">
        <f>RTD("tos.rtd",,EQ$2,"."&amp;$D$134&amp;$AW$82&amp;"P"&amp;$A146)</f>
        <v>N/A</v>
      </c>
      <c r="ET146" s="64" t="str">
        <f t="shared" ca="1" si="574"/>
        <v>20260,00.00</v>
      </c>
      <c r="EU146" s="68">
        <v>565.41</v>
      </c>
      <c r="EV146" s="68" t="s">
        <v>1188</v>
      </c>
      <c r="EW146" s="68">
        <v>487.13</v>
      </c>
      <c r="EX146" s="68" t="s">
        <v>1189</v>
      </c>
      <c r="EY146" s="68">
        <v>5668.5</v>
      </c>
      <c r="EZ146" s="68" t="s">
        <v>1190</v>
      </c>
      <c r="FA146" s="68">
        <v>20020.25</v>
      </c>
      <c r="FB146" s="68" t="s">
        <v>1191</v>
      </c>
      <c r="FC146" s="68" t="s">
        <v>1192</v>
      </c>
      <c r="FD146" s="68" t="s">
        <v>1193</v>
      </c>
      <c r="FE146" s="68" t="s">
        <v>1194</v>
      </c>
      <c r="FF146" s="68" t="s">
        <v>1195</v>
      </c>
    </row>
    <row r="147" spans="1:162" ht="11.1" customHeight="1" thickBot="1" x14ac:dyDescent="0.25">
      <c r="A147" s="2">
        <f t="shared" si="583"/>
        <v>20240</v>
      </c>
      <c r="B147" s="3">
        <f t="shared" si="598"/>
        <v>1</v>
      </c>
      <c r="C147" s="3">
        <f t="shared" si="599"/>
        <v>0</v>
      </c>
      <c r="D147" s="3">
        <f t="shared" si="600"/>
        <v>0</v>
      </c>
      <c r="E147" s="3">
        <f t="shared" si="586"/>
        <v>1</v>
      </c>
      <c r="F147" s="4">
        <f t="shared" si="587"/>
        <v>20340.736611586701</v>
      </c>
      <c r="G147" s="5">
        <f t="shared" si="588"/>
        <v>492.56173601433403</v>
      </c>
      <c r="AM147" s="1">
        <v>-531</v>
      </c>
      <c r="AN147" s="1">
        <v>-4</v>
      </c>
      <c r="AO147" s="1">
        <v>20240</v>
      </c>
      <c r="AP147" s="1">
        <v>242</v>
      </c>
      <c r="AQ147" s="1">
        <v>-6</v>
      </c>
      <c r="AS147" s="54">
        <f>IF(RTD("tos.rtd",,AS$83,"."&amp;$B$134&amp;$AS$82&amp;"C"&amp;$A147)="N/A",0,RTD("tos.rtd",,AS$83,"."&amp;$B$134&amp;$AS$82&amp;"C"&amp;$A147))</f>
        <v>1</v>
      </c>
      <c r="AT147" s="3">
        <f>-IF(RTD("tos.rtd",,AT$83,"."&amp;$B$134&amp;$AS$82&amp;"P"&amp;$A147)="N/A",0,RTD("tos.rtd",,AT$83,"."&amp;$B$134&amp;$AS$82&amp;"P"&amp;$A147))</f>
        <v>0</v>
      </c>
      <c r="AU147" s="54">
        <f>IF(RTD("tos.rtd",,AU$2,"."&amp;$C$134&amp;$AU$134&amp;"C"&amp;$A147)="N/A",0,RTD("tos.rtd",,AU$2,"."&amp;$C$134&amp;$AU$134&amp;"C"&amp;$A147))</f>
        <v>0</v>
      </c>
      <c r="AV147" s="3">
        <f>-IF(RTD("tos.rtd",,AV$2,"."&amp;$C$134&amp;$AU$134&amp;"P"&amp;$A147)="N/A",0,RTD("tos.rtd",,AV$2,"."&amp;$C$134&amp;$AU$134&amp;"P"&amp;$A147))</f>
        <v>0</v>
      </c>
      <c r="AW147" s="54">
        <f>IF(RTD("tos.rtd",,AW$2,"."&amp;$D$134&amp;$AW$134&amp;"C"&amp;$A147)="N/A",0,RTD("tos.rtd",,AW$2,"."&amp;$D$134&amp;$AW$134&amp;"C"&amp;$A147))</f>
        <v>0</v>
      </c>
      <c r="AX147" s="3">
        <f>-IF(RTD("tos.rtd",,AX$2,"."&amp;$D$134&amp;$AW$134&amp;"P"&amp;$A147)="N/A",0,RTD("tos.rtd",,AX$2,"."&amp;$D$134&amp;$AW$134&amp;"P"&amp;$A147))</f>
        <v>0</v>
      </c>
      <c r="AY147" s="76">
        <f t="shared" si="589"/>
        <v>1</v>
      </c>
      <c r="AZ147" s="8">
        <f t="shared" si="539"/>
        <v>20240</v>
      </c>
      <c r="BA147" s="54">
        <f>IF(RTD("tos.rtd",,BA$43,"."&amp;$B$134&amp;$AS$82&amp;"C"&amp;$A147)="N/A",0,RTD("tos.rtd",,BA$43,"."&amp;$B$134&amp;$AS$82&amp;"C"&amp;$A147))</f>
        <v>242</v>
      </c>
      <c r="BB147" s="3">
        <f>-IF(RTD("tos.rtd",,BB$43,"."&amp;$B$134&amp;$AS$82&amp;"P"&amp;$A147)="N/A",0,RTD("tos.rtd",,BB$43,"."&amp;$B$134&amp;$AS$82&amp;"P"&amp;$A147))</f>
        <v>-6</v>
      </c>
      <c r="BC147" s="54">
        <f>IF(RTD("tos.rtd",,BC$2,"."&amp;$C$134&amp;$AU$82&amp;"C"&amp;$A147)="N/A",0,RTD("tos.rtd",,BC$2,"."&amp;$C$134&amp;$AU$82&amp;"C"&amp;$A147))</f>
        <v>0</v>
      </c>
      <c r="BD147" s="3">
        <f>-IF(RTD("tos.rtd",,BD$2,"."&amp;$C$134&amp;$AU$82&amp;"P"&amp;$A147)="N/A",0,RTD("tos.rtd",,BD$2,"."&amp;$C$134&amp;$AU$82&amp;"P"&amp;$A147))</f>
        <v>0</v>
      </c>
      <c r="BE147" s="54">
        <f>IF(RTD("tos.rtd",,BE$2,"."&amp;$D$134&amp;$AW$82&amp;"C"&amp;$A147)="N/A",0,RTD("tos.rtd",,BE$2,"."&amp;$D$134&amp;$AW$82&amp;"C"&amp;$A147))</f>
        <v>0</v>
      </c>
      <c r="BF147" s="3">
        <f>-IF(RTD("tos.rtd",,BF$2,"."&amp;$D$134&amp;$AW$82&amp;"P"&amp;$A147)="N/A",0,RTD("tos.rtd",,BF$2,"."&amp;$D$134&amp;$AW$82&amp;"P"&amp;$A147))</f>
        <v>0</v>
      </c>
      <c r="BG147" s="3" t="e">
        <f ca="1">+Hoja2!Y148</f>
        <v>#N/A</v>
      </c>
      <c r="BH147" s="7" t="e">
        <f t="shared" ca="1" si="540"/>
        <v>#N/A</v>
      </c>
      <c r="BI147" s="32" t="e">
        <f t="shared" ca="1" si="597"/>
        <v>#N/A</v>
      </c>
      <c r="BJ147" s="3" t="e">
        <f ca="1">IF($BP$1=1,DX147,IF(RTD("tos.rtd",,BJ$43,"."&amp;$B$134&amp;$AS$82&amp;"C"&amp;$A147)="N/A",0,RTD("tos.rtd",,BJ$43,"."&amp;$B$134&amp;$AS$82&amp;"C"&amp;$A147)))</f>
        <v>#NUM!</v>
      </c>
      <c r="BK147" s="3" t="e">
        <f ca="1">IF($BP$1=1,DY147,-IF(RTD("tos.rtd",,BK$43,"."&amp;$B$134&amp;$AS$82&amp;"P"&amp;$A147)="N/A",0,RTD("tos.rtd",,BK$43,"."&amp;$B$134&amp;$AS$82&amp;"P"&amp;$A147)))</f>
        <v>#NUM!</v>
      </c>
      <c r="BL147" s="3">
        <f ca="1">IF($BP$1=1,DZ147,IF(RTD("tos.rtd",,BL$2,"."&amp;$C$134&amp;$AU$82&amp;"C"&amp;$A147)="N/A",0,RTD("tos.rtd",,BL$2,"."&amp;$C$134&amp;$AU$82&amp;"C"&amp;$A147)))</f>
        <v>4.8519125318628303E-4</v>
      </c>
      <c r="BM147" s="3">
        <f ca="1">IF($BP$1=1,EA147,-IF(RTD("tos.rtd",,BM$2,"."&amp;$C$134&amp;$AU$82&amp;"P"&amp;$A147)="N/A",0,RTD("tos.rtd",,BM$2,"."&amp;$C$134&amp;$AU$82&amp;"P"&amp;$A147)))</f>
        <v>-4.8519125318628303E-4</v>
      </c>
      <c r="BN147" s="3">
        <f ca="1">IF($BP$1=1,EB147,IF(RTD("tos.rtd",,BN$2,"."&amp;$D$134&amp;$AW$82&amp;"C"&amp;$A147)="N/A",0,RTD("tos.rtd",,BN$2,"."&amp;$D$134&amp;$AW$82&amp;"C"&amp;$A147)))</f>
        <v>4.8519125318628303E-4</v>
      </c>
      <c r="BO147" s="3">
        <f ca="1">IF($BP$1=1,EC147,-IF(RTD("tos.rtd",,BO$2,"."&amp;$D$134&amp;$AW$82&amp;"P"&amp;$A147)="N/A",0,RTD("tos.rtd",,BO$2,"."&amp;$D$134&amp;$AW$82&amp;"P"&amp;$A147)))</f>
        <v>-4.8519125318628303E-4</v>
      </c>
      <c r="BQ147" s="3" t="e">
        <f t="shared" ca="1" si="590"/>
        <v>#NUM!</v>
      </c>
      <c r="BR147" s="3" t="e">
        <f t="shared" ca="1" si="541"/>
        <v>#NUM!</v>
      </c>
      <c r="BS147" s="3">
        <f t="shared" ca="1" si="591"/>
        <v>0</v>
      </c>
      <c r="BT147" s="3" t="str">
        <f t="shared" ca="1" si="542"/>
        <v/>
      </c>
      <c r="BU147" s="3">
        <f t="shared" ca="1" si="592"/>
        <v>0</v>
      </c>
      <c r="BV147" s="3" t="str">
        <f t="shared" ca="1" si="542"/>
        <v/>
      </c>
      <c r="BX147" s="3" t="e">
        <f t="shared" ca="1" si="575"/>
        <v>#NUM!</v>
      </c>
      <c r="BY147" s="3" t="e">
        <f t="shared" ca="1" si="576"/>
        <v>#NUM!</v>
      </c>
      <c r="BZ147" s="3">
        <f t="shared" ca="1" si="577"/>
        <v>0</v>
      </c>
      <c r="CA147" s="3" t="str">
        <f t="shared" ca="1" si="576"/>
        <v/>
      </c>
      <c r="CB147" s="3">
        <f t="shared" ca="1" si="578"/>
        <v>0</v>
      </c>
      <c r="CC147" s="3" t="str">
        <f t="shared" ca="1" si="576"/>
        <v/>
      </c>
      <c r="CD147" s="3">
        <f>IF(RTD("tos.rtd",,CD$43,"."&amp;$B$134&amp;$AS$82&amp;"C"&amp;$A147)="N/A",0,RTD("tos.rtd",,CD$43,"."&amp;$B$134&amp;$AS$82&amp;"C"&amp;$A147))</f>
        <v>0</v>
      </c>
      <c r="CE147" s="3">
        <f>-IF(RTD("tos.rtd",,CE$43,"."&amp;$B$134&amp;$AS$82&amp;"P"&amp;$A147)="N/A",0,RTD("tos.rtd",,CE$43,"."&amp;$B$134&amp;$AS$82&amp;"P"&amp;$A147))</f>
        <v>0.83</v>
      </c>
      <c r="CF147" s="3">
        <f>IF(RTD("tos.rtd",,CF$2,"."&amp;$C$134&amp;$AU$82&amp;"C"&amp;$A147)="N/A",0,RTD("tos.rtd",,CF$2,"."&amp;$C$134&amp;$AU$82&amp;"C"&amp;$A147))</f>
        <v>0</v>
      </c>
      <c r="CG147" s="3">
        <f>-IF(RTD("tos.rtd",,CG$2,"."&amp;$C$134&amp;$AU$82&amp;"P"&amp;$A147)="N/A",0,RTD("tos.rtd",,CG$2,"."&amp;$C$134&amp;$AU$82&amp;"P"&amp;$A147))</f>
        <v>0</v>
      </c>
      <c r="CH147" s="3">
        <f>IF(RTD("tos.rtd",,CH$2,"."&amp;$D$134&amp;$AW$82&amp;"C"&amp;$A147)="N/A",0,RTD("tos.rtd",,CH$2,"."&amp;$D$134&amp;$AW$82&amp;"C"&amp;$A147))</f>
        <v>0</v>
      </c>
      <c r="CI147" s="3">
        <f>-IF(RTD("tos.rtd",,CI$2,"."&amp;$D$134&amp;$AW$82&amp;"P"&amp;$A147)="N/A",0,RTD("tos.rtd",,CI$2,"."&amp;$D$134&amp;$AW$82&amp;"P"&amp;$A147))</f>
        <v>0</v>
      </c>
      <c r="CK147" s="3">
        <f t="shared" si="593"/>
        <v>0</v>
      </c>
      <c r="CL147" s="3"/>
      <c r="CM147" s="3">
        <f t="shared" si="594"/>
        <v>0</v>
      </c>
      <c r="CN147" s="3"/>
      <c r="CO147" s="3">
        <f t="shared" si="595"/>
        <v>0</v>
      </c>
      <c r="CP147" s="3">
        <f t="shared" si="533"/>
        <v>0</v>
      </c>
      <c r="CQ147" s="3">
        <f t="shared" si="543"/>
        <v>236</v>
      </c>
      <c r="CR147" s="3"/>
      <c r="CS147" s="3">
        <f t="shared" si="544"/>
        <v>0</v>
      </c>
      <c r="CT147" s="3"/>
      <c r="CU147" s="3">
        <f t="shared" si="545"/>
        <v>0</v>
      </c>
      <c r="CV147" s="3"/>
      <c r="CW147" s="3" t="e">
        <f t="shared" ca="1" si="546"/>
        <v>#NUM!</v>
      </c>
      <c r="CY147" s="3" t="e">
        <f t="shared" ca="1" si="547"/>
        <v>#NUM!</v>
      </c>
      <c r="CZ147" s="70" t="e">
        <f t="shared" ca="1" si="579"/>
        <v>#NUM!</v>
      </c>
      <c r="DA147" s="3">
        <f>IF(RTD("tos.rtd",,DA$43,"."&amp;$B$134&amp;$AS$82&amp;"C"&amp;$A147)="N/A",0,RTD("tos.rtd",,DA$43,"."&amp;$B$134&amp;$AS$82&amp;"C"&amp;$A147))</f>
        <v>0.05</v>
      </c>
      <c r="DB147" s="3">
        <f>IF(RTD("tos.rtd",,DB$43,"."&amp;$B$134&amp;$AS$82&amp;"P"&amp;$A147)="N/A",0,RTD("tos.rtd",,DB$43,"."&amp;$B$134&amp;$AS$82&amp;"P"&amp;$A147))</f>
        <v>128.19999999999999</v>
      </c>
      <c r="DC147" s="3">
        <f>IF(RTD("tos.rtd",,DC$43,"."&amp;$B$134&amp;$AS$82&amp;"C"&amp;$A147)="N/A",0,RTD("tos.rtd",,DC$43,"."&amp;$B$134&amp;$AS$82&amp;"C"&amp;$A147))</f>
        <v>0.05</v>
      </c>
      <c r="DD147" s="3">
        <f>IF(RTD("tos.rtd",,DD$43,"."&amp;$B$134&amp;$AS$82&amp;"P"&amp;$A147)="N/A",0,RTD("tos.rtd",,DD$43,"."&amp;$B$134&amp;$AS$82&amp;"P"&amp;$A147))</f>
        <v>159.5</v>
      </c>
      <c r="DE147" s="3">
        <f>IF(RTD("tos.rtd",,DE$43,"."&amp;$B$134&amp;$AS$82&amp;"C"&amp;$A147)="N/A",0,RTD("tos.rtd",,DE$43,"."&amp;$B$134&amp;$AS$82&amp;"C"&amp;$A147))</f>
        <v>0</v>
      </c>
      <c r="DF147" s="3">
        <f>IF(RTD("tos.rtd",,DF$43,"."&amp;$B$134&amp;$AS$82&amp;"P"&amp;$A147)="N/A",0,RTD("tos.rtd",,DF$43,"."&amp;$B$134&amp;$AS$82&amp;"P"&amp;$A147))</f>
        <v>142</v>
      </c>
      <c r="DG147" s="86">
        <f t="shared" si="580"/>
        <v>148</v>
      </c>
      <c r="DH147" s="3">
        <f t="shared" si="548"/>
        <v>0</v>
      </c>
      <c r="DI147" s="3">
        <f t="shared" si="549"/>
        <v>0</v>
      </c>
      <c r="DJ147" s="3">
        <f t="shared" si="550"/>
        <v>0</v>
      </c>
      <c r="DK147" s="3">
        <f t="shared" si="551"/>
        <v>0</v>
      </c>
      <c r="DL147" s="3">
        <f t="shared" si="552"/>
        <v>0</v>
      </c>
      <c r="DM147" s="3">
        <f t="shared" si="553"/>
        <v>0</v>
      </c>
      <c r="DN147" s="64" t="str">
        <f t="shared" si="554"/>
        <v>UNKNOWN</v>
      </c>
      <c r="DO147" s="64" t="str">
        <f t="shared" si="555"/>
        <v>UNKNOWN</v>
      </c>
      <c r="DP147" s="3">
        <f t="shared" si="556"/>
        <v>0</v>
      </c>
      <c r="DQ147" s="3">
        <f t="shared" si="557"/>
        <v>0</v>
      </c>
      <c r="DR147" s="3" t="e">
        <f t="shared" ca="1" si="558"/>
        <v>#NUM!</v>
      </c>
      <c r="DS147" s="3">
        <f t="shared" si="559"/>
        <v>0</v>
      </c>
      <c r="DT147" s="3">
        <f t="shared" si="581"/>
        <v>0</v>
      </c>
      <c r="DU147" s="3">
        <f t="shared" si="582"/>
        <v>0</v>
      </c>
      <c r="DV147" s="3">
        <f t="shared" si="560"/>
        <v>-531</v>
      </c>
      <c r="DW147" s="3">
        <f t="shared" si="561"/>
        <v>-4</v>
      </c>
      <c r="DX147" s="3" t="e">
        <f t="shared" ca="1" si="562"/>
        <v>#NUM!</v>
      </c>
      <c r="DY147" s="3" t="e">
        <f t="shared" ca="1" si="563"/>
        <v>#NUM!</v>
      </c>
      <c r="DZ147" s="3">
        <f t="shared" ca="1" si="564"/>
        <v>4.8519125318628303E-4</v>
      </c>
      <c r="EA147" s="3">
        <f t="shared" ca="1" si="565"/>
        <v>-4.8519125318628303E-4</v>
      </c>
      <c r="EB147" s="3">
        <f t="shared" ca="1" si="566"/>
        <v>4.8519125318628303E-4</v>
      </c>
      <c r="EC147" s="3">
        <f t="shared" ca="1" si="567"/>
        <v>-4.8519125318628303E-4</v>
      </c>
      <c r="EE147" s="59">
        <f t="shared" si="568"/>
        <v>0.31019999999999998</v>
      </c>
      <c r="EF147" s="59">
        <f t="shared" si="569"/>
        <v>0.9536</v>
      </c>
      <c r="EG147" s="59">
        <f t="shared" si="570"/>
        <v>0.25</v>
      </c>
      <c r="EH147" s="59">
        <f t="shared" si="571"/>
        <v>0.25</v>
      </c>
      <c r="EI147" s="59">
        <f t="shared" si="572"/>
        <v>0.25</v>
      </c>
      <c r="EJ147" s="59">
        <f t="shared" si="573"/>
        <v>0.25</v>
      </c>
      <c r="EL147" s="3" t="str">
        <f>RTD("tos.rtd",,EL$43,"."&amp;$B$134&amp;$AS$82&amp;"C"&amp;$A147)</f>
        <v>31.02%</v>
      </c>
      <c r="EM147" s="3" t="str">
        <f>RTD("tos.rtd",,EM$43,"."&amp;$B$134&amp;$AS$82&amp;"P"&amp;$A147)</f>
        <v>95.36%</v>
      </c>
      <c r="EN147" s="3" t="str">
        <f>RTD("tos.rtd",,EN$2,"."&amp;$C$134&amp;$AU$82&amp;"C"&amp;$A147)</f>
        <v>N/A</v>
      </c>
      <c r="EO147" s="3" t="str">
        <f>RTD("tos.rtd",,EO$2,"."&amp;$C$134&amp;$AU$82&amp;"P"&amp;$A147)</f>
        <v>N/A</v>
      </c>
      <c r="EP147" s="3" t="str">
        <f>RTD("tos.rtd",,EP$2,"."&amp;$D$134&amp;$AW$82&amp;"C"&amp;$A147)</f>
        <v>N/A</v>
      </c>
      <c r="EQ147" s="3" t="str">
        <f>RTD("tos.rtd",,EQ$2,"."&amp;$D$134&amp;$AW$82&amp;"P"&amp;$A147)</f>
        <v>N/A</v>
      </c>
      <c r="ET147" s="64" t="str">
        <f t="shared" ca="1" si="574"/>
        <v>20240,00.00</v>
      </c>
      <c r="EU147" s="68">
        <v>565.14</v>
      </c>
      <c r="EV147" s="68" t="s">
        <v>1196</v>
      </c>
      <c r="EW147" s="68">
        <v>486.73399999999998</v>
      </c>
      <c r="EX147" s="68" t="s">
        <v>1197</v>
      </c>
      <c r="EY147" s="68">
        <v>5666.75</v>
      </c>
      <c r="EZ147" s="68" t="s">
        <v>1198</v>
      </c>
      <c r="FA147" s="68">
        <v>19999.75</v>
      </c>
      <c r="FB147" s="68" t="s">
        <v>1199</v>
      </c>
      <c r="FC147" s="68" t="s">
        <v>1200</v>
      </c>
      <c r="FD147" s="68" t="s">
        <v>1201</v>
      </c>
      <c r="FE147" s="68" t="s">
        <v>1202</v>
      </c>
      <c r="FF147" s="68" t="s">
        <v>1203</v>
      </c>
    </row>
    <row r="148" spans="1:162" ht="11.1" customHeight="1" thickBot="1" x14ac:dyDescent="0.25">
      <c r="A148" s="2">
        <f t="shared" si="583"/>
        <v>20220</v>
      </c>
      <c r="B148" s="3">
        <f t="shared" si="598"/>
        <v>16</v>
      </c>
      <c r="C148" s="3">
        <f t="shared" si="599"/>
        <v>0</v>
      </c>
      <c r="D148" s="3">
        <f t="shared" si="600"/>
        <v>0</v>
      </c>
      <c r="E148" s="3">
        <f t="shared" ref="E148:E166" si="601">SUM(B148:D148)</f>
        <v>16</v>
      </c>
      <c r="F148" s="4">
        <f t="shared" ref="F148:F153" si="602">+$F$136/$A$136*A148</f>
        <v>20320.637069480392</v>
      </c>
      <c r="G148" s="5">
        <f t="shared" ref="G148:G166" si="603">+$G$136/$A$136*A148</f>
        <v>492.07501493131593</v>
      </c>
      <c r="AM148" s="1" t="e">
        <v>#N/A</v>
      </c>
      <c r="AN148" s="1">
        <v>0</v>
      </c>
      <c r="AO148" s="1">
        <v>20220</v>
      </c>
      <c r="AP148" s="1">
        <v>351</v>
      </c>
      <c r="AQ148" s="1">
        <v>-6</v>
      </c>
      <c r="AS148" s="54">
        <f>IF(RTD("tos.rtd",,AS$83,"."&amp;$B$134&amp;$AS$82&amp;"C"&amp;$A148)="N/A",0,RTD("tos.rtd",,AS$83,"."&amp;$B$134&amp;$AS$82&amp;"C"&amp;$A148))</f>
        <v>16</v>
      </c>
      <c r="AT148" s="3">
        <f>-IF(RTD("tos.rtd",,AT$83,"."&amp;$B$134&amp;$AS$82&amp;"P"&amp;$A148)="N/A",0,RTD("tos.rtd",,AT$83,"."&amp;$B$134&amp;$AS$82&amp;"P"&amp;$A148))</f>
        <v>0</v>
      </c>
      <c r="AU148" s="54">
        <f>IF(RTD("tos.rtd",,AU$2,"."&amp;$C$134&amp;$AU$134&amp;"C"&amp;$A148)="N/A",0,RTD("tos.rtd",,AU$2,"."&amp;$C$134&amp;$AU$134&amp;"C"&amp;$A148))</f>
        <v>0</v>
      </c>
      <c r="AV148" s="3">
        <f>-IF(RTD("tos.rtd",,AV$2,"."&amp;$C$134&amp;$AU$134&amp;"P"&amp;$A148)="N/A",0,RTD("tos.rtd",,AV$2,"."&amp;$C$134&amp;$AU$134&amp;"P"&amp;$A148))</f>
        <v>0</v>
      </c>
      <c r="AW148" s="54">
        <f>IF(RTD("tos.rtd",,AW$2,"."&amp;$D$134&amp;$AW$134&amp;"C"&amp;$A148)="N/A",0,RTD("tos.rtd",,AW$2,"."&amp;$D$134&amp;$AW$134&amp;"C"&amp;$A148))</f>
        <v>0</v>
      </c>
      <c r="AX148" s="3">
        <f>-IF(RTD("tos.rtd",,AX$2,"."&amp;$D$134&amp;$AW$134&amp;"P"&amp;$A148)="N/A",0,RTD("tos.rtd",,AX$2,"."&amp;$D$134&amp;$AW$134&amp;"P"&amp;$A148))</f>
        <v>0</v>
      </c>
      <c r="AY148" s="76">
        <f t="shared" ref="AY148:AY153" si="604">SUM(AS148:AX148)</f>
        <v>16</v>
      </c>
      <c r="AZ148" s="8">
        <f t="shared" si="539"/>
        <v>20220</v>
      </c>
      <c r="BA148" s="54">
        <f>IF(RTD("tos.rtd",,BA$43,"."&amp;$B$134&amp;$AS$82&amp;"C"&amp;$A148)="N/A",0,RTD("tos.rtd",,BA$43,"."&amp;$B$134&amp;$AS$82&amp;"C"&amp;$A148))</f>
        <v>351</v>
      </c>
      <c r="BB148" s="3">
        <f>-IF(RTD("tos.rtd",,BB$43,"."&amp;$B$134&amp;$AS$82&amp;"P"&amp;$A148)="N/A",0,RTD("tos.rtd",,BB$43,"."&amp;$B$134&amp;$AS$82&amp;"P"&amp;$A148))</f>
        <v>-6</v>
      </c>
      <c r="BC148" s="54">
        <f>IF(RTD("tos.rtd",,BC$2,"."&amp;$C$134&amp;$AU$82&amp;"C"&amp;$A148)="N/A",0,RTD("tos.rtd",,BC$2,"."&amp;$C$134&amp;$AU$82&amp;"C"&amp;$A148))</f>
        <v>0</v>
      </c>
      <c r="BD148" s="3">
        <f>-IF(RTD("tos.rtd",,BD$2,"."&amp;$C$134&amp;$AU$82&amp;"P"&amp;$A148)="N/A",0,RTD("tos.rtd",,BD$2,"."&amp;$C$134&amp;$AU$82&amp;"P"&amp;$A148))</f>
        <v>0</v>
      </c>
      <c r="BE148" s="54">
        <f>IF(RTD("tos.rtd",,BE$2,"."&amp;$D$134&amp;$AW$82&amp;"C"&amp;$A148)="N/A",0,RTD("tos.rtd",,BE$2,"."&amp;$D$134&amp;$AW$82&amp;"C"&amp;$A148))</f>
        <v>0</v>
      </c>
      <c r="BF148" s="3">
        <f>-IF(RTD("tos.rtd",,BF$2,"."&amp;$D$134&amp;$AW$82&amp;"P"&amp;$A148)="N/A",0,RTD("tos.rtd",,BF$2,"."&amp;$D$134&amp;$AW$82&amp;"P"&amp;$A148))</f>
        <v>0</v>
      </c>
      <c r="BG148" s="3" t="e">
        <f ca="1">+Hoja2!Y149</f>
        <v>#N/A</v>
      </c>
      <c r="BH148" s="7" t="e">
        <f t="shared" ca="1" si="540"/>
        <v>#N/A</v>
      </c>
      <c r="BI148" s="32" t="e">
        <f t="shared" ca="1" si="597"/>
        <v>#N/A</v>
      </c>
      <c r="BJ148" s="3" t="e">
        <f ca="1">IF($BP$1=1,DX148,IF(RTD("tos.rtd",,BJ$43,"."&amp;$B$134&amp;$AS$82&amp;"C"&amp;$A148)="N/A",0,RTD("tos.rtd",,BJ$43,"."&amp;$B$134&amp;$AS$82&amp;"C"&amp;$A148)))</f>
        <v>#NUM!</v>
      </c>
      <c r="BK148" s="3" t="e">
        <f ca="1">IF($BP$1=1,DY148,-IF(RTD("tos.rtd",,BK$43,"."&amp;$B$134&amp;$AS$82&amp;"P"&amp;$A148)="N/A",0,RTD("tos.rtd",,BK$43,"."&amp;$B$134&amp;$AS$82&amp;"P"&amp;$A148)))</f>
        <v>#NUM!</v>
      </c>
      <c r="BL148" s="3">
        <f ca="1">IF($BP$1=1,DZ148,IF(RTD("tos.rtd",,BL$2,"."&amp;$C$134&amp;$AU$82&amp;"C"&amp;$A148)="N/A",0,RTD("tos.rtd",,BL$2,"."&amp;$C$134&amp;$AU$82&amp;"C"&amp;$A148)))</f>
        <v>4.8662686494372026E-4</v>
      </c>
      <c r="BM148" s="3">
        <f ca="1">IF($BP$1=1,EA148,-IF(RTD("tos.rtd",,BM$2,"."&amp;$C$134&amp;$AU$82&amp;"P"&amp;$A148)="N/A",0,RTD("tos.rtd",,BM$2,"."&amp;$C$134&amp;$AU$82&amp;"P"&amp;$A148)))</f>
        <v>-4.8662686494372026E-4</v>
      </c>
      <c r="BN148" s="3">
        <f ca="1">IF($BP$1=1,EB148,IF(RTD("tos.rtd",,BN$2,"."&amp;$D$134&amp;$AW$82&amp;"C"&amp;$A148)="N/A",0,RTD("tos.rtd",,BN$2,"."&amp;$D$134&amp;$AW$82&amp;"C"&amp;$A148)))</f>
        <v>4.8662686494372026E-4</v>
      </c>
      <c r="BO148" s="3">
        <f ca="1">IF($BP$1=1,EC148,-IF(RTD("tos.rtd",,BO$2,"."&amp;$D$134&amp;$AW$82&amp;"P"&amp;$A148)="N/A",0,RTD("tos.rtd",,BO$2,"."&amp;$D$134&amp;$AW$82&amp;"P"&amp;$A148)))</f>
        <v>-4.8662686494372026E-4</v>
      </c>
      <c r="BQ148" s="3" t="e">
        <f t="shared" ref="BQ148:BQ153" ca="1" si="605">+$A$84*$A$84*AS148*BJ148-$A$84*$A$84*AT148*BK148</f>
        <v>#NUM!</v>
      </c>
      <c r="BR148" s="3" t="e">
        <f t="shared" ca="1" si="541"/>
        <v>#NUM!</v>
      </c>
      <c r="BS148" s="3">
        <f t="shared" ref="BS148:BS153" ca="1" si="606">+$A$84*$A$84*AU148*BL148-$A$84*$A$84*AV148*BM148</f>
        <v>0</v>
      </c>
      <c r="BT148" s="3" t="str">
        <f t="shared" ca="1" si="542"/>
        <v/>
      </c>
      <c r="BU148" s="3">
        <f t="shared" ref="BU148:BU153" ca="1" si="607">+$A$84*$A$84*AW148*BN148-$A$84*$A$84*AX148*BO148</f>
        <v>0</v>
      </c>
      <c r="BV148" s="3" t="str">
        <f t="shared" ca="1" si="542"/>
        <v/>
      </c>
      <c r="BX148" s="3" t="e">
        <f t="shared" ca="1" si="575"/>
        <v>#NUM!</v>
      </c>
      <c r="BY148" s="3" t="e">
        <f t="shared" ca="1" si="576"/>
        <v>#NUM!</v>
      </c>
      <c r="BZ148" s="3">
        <f t="shared" ca="1" si="577"/>
        <v>0</v>
      </c>
      <c r="CA148" s="3" t="str">
        <f t="shared" ca="1" si="576"/>
        <v/>
      </c>
      <c r="CB148" s="3">
        <f t="shared" ca="1" si="578"/>
        <v>0</v>
      </c>
      <c r="CC148" s="3" t="str">
        <f t="shared" ca="1" si="576"/>
        <v/>
      </c>
      <c r="CD148" s="3">
        <f>IF(RTD("tos.rtd",,CD$43,"."&amp;$B$134&amp;$AS$82&amp;"C"&amp;$A148)="N/A",0,RTD("tos.rtd",,CD$43,"."&amp;$B$134&amp;$AS$82&amp;"C"&amp;$A148))</f>
        <v>0</v>
      </c>
      <c r="CE148" s="3">
        <f>-IF(RTD("tos.rtd",,CE$43,"."&amp;$B$134&amp;$AS$82&amp;"P"&amp;$A148)="N/A",0,RTD("tos.rtd",,CE$43,"."&amp;$B$134&amp;$AS$82&amp;"P"&amp;$A148))</f>
        <v>0.81</v>
      </c>
      <c r="CF148" s="3">
        <f>IF(RTD("tos.rtd",,CF$2,"."&amp;$C$134&amp;$AU$82&amp;"C"&amp;$A148)="N/A",0,RTD("tos.rtd",,CF$2,"."&amp;$C$134&amp;$AU$82&amp;"C"&amp;$A148))</f>
        <v>0</v>
      </c>
      <c r="CG148" s="3">
        <f>-IF(RTD("tos.rtd",,CG$2,"."&amp;$C$134&amp;$AU$82&amp;"P"&amp;$A148)="N/A",0,RTD("tos.rtd",,CG$2,"."&amp;$C$134&amp;$AU$82&amp;"P"&amp;$A148))</f>
        <v>0</v>
      </c>
      <c r="CH148" s="3">
        <f>IF(RTD("tos.rtd",,CH$2,"."&amp;$D$134&amp;$AW$82&amp;"C"&amp;$A148)="N/A",0,RTD("tos.rtd",,CH$2,"."&amp;$D$134&amp;$AW$82&amp;"C"&amp;$A148))</f>
        <v>0</v>
      </c>
      <c r="CI148" s="3">
        <f>-IF(RTD("tos.rtd",,CI$2,"."&amp;$D$134&amp;$AW$82&amp;"P"&amp;$A148)="N/A",0,RTD("tos.rtd",,CI$2,"."&amp;$D$134&amp;$AW$82&amp;"P"&amp;$A148))</f>
        <v>0</v>
      </c>
      <c r="CK148" s="3">
        <f t="shared" ref="CK148:CK167" si="608">+AS148*CD148*100+AT148*CE148*100</f>
        <v>0</v>
      </c>
      <c r="CL148" s="3"/>
      <c r="CM148" s="3">
        <f t="shared" ref="CM148:CM167" si="609">+AU148*CF148*100+AV148*CG148*100</f>
        <v>0</v>
      </c>
      <c r="CN148" s="3"/>
      <c r="CO148" s="3">
        <f t="shared" ref="CO148:CO167" si="610">+AW148*CH148*100+AX148*CI148*100</f>
        <v>0</v>
      </c>
      <c r="CP148" s="3">
        <f t="shared" si="533"/>
        <v>0</v>
      </c>
      <c r="CQ148" s="3">
        <f t="shared" si="543"/>
        <v>345</v>
      </c>
      <c r="CR148" s="3"/>
      <c r="CS148" s="3">
        <f t="shared" si="544"/>
        <v>0</v>
      </c>
      <c r="CT148" s="3"/>
      <c r="CU148" s="3">
        <f t="shared" si="545"/>
        <v>0</v>
      </c>
      <c r="CV148" s="3"/>
      <c r="CW148" s="3" t="e">
        <f t="shared" ca="1" si="546"/>
        <v>#NUM!</v>
      </c>
      <c r="CY148" s="3" t="e">
        <f t="shared" ca="1" si="547"/>
        <v>#NUM!</v>
      </c>
      <c r="CZ148" s="70" t="e">
        <f t="shared" ca="1" si="579"/>
        <v>#NUM!</v>
      </c>
      <c r="DA148" s="3">
        <f>IF(RTD("tos.rtd",,DA$43,"."&amp;$B$134&amp;$AS$82&amp;"C"&amp;$A148)="N/A",0,RTD("tos.rtd",,DA$43,"."&amp;$B$134&amp;$AS$82&amp;"C"&amp;$A148))</f>
        <v>0.05</v>
      </c>
      <c r="DB148" s="3">
        <f>IF(RTD("tos.rtd",,DB$43,"."&amp;$B$134&amp;$AS$82&amp;"P"&amp;$A148)="N/A",0,RTD("tos.rtd",,DB$43,"."&amp;$B$134&amp;$AS$82&amp;"P"&amp;$A148))</f>
        <v>130.1</v>
      </c>
      <c r="DC148" s="3">
        <f>IF(RTD("tos.rtd",,DC$43,"."&amp;$B$134&amp;$AS$82&amp;"C"&amp;$A148)="N/A",0,RTD("tos.rtd",,DC$43,"."&amp;$B$134&amp;$AS$82&amp;"C"&amp;$A148))</f>
        <v>0.1</v>
      </c>
      <c r="DD148" s="3">
        <f>IF(RTD("tos.rtd",,DD$43,"."&amp;$B$134&amp;$AS$82&amp;"P"&amp;$A148)="N/A",0,RTD("tos.rtd",,DD$43,"."&amp;$B$134&amp;$AS$82&amp;"P"&amp;$A148))</f>
        <v>139.5</v>
      </c>
      <c r="DE148" s="3">
        <f>IF(RTD("tos.rtd",,DE$43,"."&amp;$B$134&amp;$AS$82&amp;"C"&amp;$A148)="N/A",0,RTD("tos.rtd",,DE$43,"."&amp;$B$134&amp;$AS$82&amp;"C"&amp;$A148))</f>
        <v>0</v>
      </c>
      <c r="DF148" s="3">
        <f>IF(RTD("tos.rtd",,DF$43,"."&amp;$B$134&amp;$AS$82&amp;"P"&amp;$A148)="N/A",0,RTD("tos.rtd",,DF$43,"."&amp;$B$134&amp;$AS$82&amp;"P"&amp;$A148))</f>
        <v>122</v>
      </c>
      <c r="DG148" s="86">
        <f t="shared" si="580"/>
        <v>128</v>
      </c>
      <c r="DH148" s="3">
        <f t="shared" si="548"/>
        <v>0</v>
      </c>
      <c r="DI148" s="3">
        <f t="shared" si="549"/>
        <v>0</v>
      </c>
      <c r="DJ148" s="3">
        <f t="shared" si="550"/>
        <v>0</v>
      </c>
      <c r="DK148" s="3">
        <f t="shared" si="551"/>
        <v>0</v>
      </c>
      <c r="DL148" s="3">
        <f t="shared" si="552"/>
        <v>0</v>
      </c>
      <c r="DM148" s="3">
        <f t="shared" si="553"/>
        <v>0</v>
      </c>
      <c r="DN148" s="64" t="str">
        <f t="shared" si="554"/>
        <v>UNKNOWN</v>
      </c>
      <c r="DO148" s="64" t="str">
        <f t="shared" si="555"/>
        <v>UNKNOWN</v>
      </c>
      <c r="DP148" s="3">
        <f t="shared" si="556"/>
        <v>0</v>
      </c>
      <c r="DQ148" s="3">
        <f t="shared" si="557"/>
        <v>0</v>
      </c>
      <c r="DR148" s="3" t="e">
        <f t="shared" ca="1" si="558"/>
        <v>#NUM!</v>
      </c>
      <c r="DS148" s="3">
        <f t="shared" si="559"/>
        <v>0</v>
      </c>
      <c r="DT148" s="3">
        <f t="shared" si="581"/>
        <v>0</v>
      </c>
      <c r="DU148" s="3">
        <f t="shared" si="582"/>
        <v>0</v>
      </c>
      <c r="DV148" s="3" t="e">
        <f t="shared" si="560"/>
        <v>#N/A</v>
      </c>
      <c r="DW148" s="3">
        <f t="shared" si="561"/>
        <v>0</v>
      </c>
      <c r="DX148" s="3" t="e">
        <f t="shared" ca="1" si="562"/>
        <v>#NUM!</v>
      </c>
      <c r="DY148" s="3" t="e">
        <f t="shared" ca="1" si="563"/>
        <v>#NUM!</v>
      </c>
      <c r="DZ148" s="3">
        <f t="shared" ca="1" si="564"/>
        <v>4.8662686494372026E-4</v>
      </c>
      <c r="EA148" s="3">
        <f t="shared" ca="1" si="565"/>
        <v>-4.8662686494372026E-4</v>
      </c>
      <c r="EB148" s="3">
        <f t="shared" ca="1" si="566"/>
        <v>4.8662686494372026E-4</v>
      </c>
      <c r="EC148" s="3">
        <f t="shared" ca="1" si="567"/>
        <v>-4.8662686494372026E-4</v>
      </c>
      <c r="EE148" s="59">
        <f t="shared" si="568"/>
        <v>0.28799999999999998</v>
      </c>
      <c r="EF148" s="59">
        <f t="shared" si="569"/>
        <v>0.86409999999999998</v>
      </c>
      <c r="EG148" s="59">
        <f t="shared" si="570"/>
        <v>0.25</v>
      </c>
      <c r="EH148" s="59">
        <f t="shared" si="571"/>
        <v>0.25</v>
      </c>
      <c r="EI148" s="59">
        <f t="shared" si="572"/>
        <v>0.25</v>
      </c>
      <c r="EJ148" s="59">
        <f t="shared" si="573"/>
        <v>0.25</v>
      </c>
      <c r="EL148" s="3" t="str">
        <f>RTD("tos.rtd",,EL$43,"."&amp;$B$134&amp;$AS$82&amp;"C"&amp;$A148)</f>
        <v>28.80%</v>
      </c>
      <c r="EM148" s="3" t="str">
        <f>RTD("tos.rtd",,EM$43,"."&amp;$B$134&amp;$AS$82&amp;"P"&amp;$A148)</f>
        <v>86.41%</v>
      </c>
      <c r="EN148" s="3" t="str">
        <f>RTD("tos.rtd",,EN$2,"."&amp;$C$134&amp;$AU$82&amp;"C"&amp;$A148)</f>
        <v>N/A</v>
      </c>
      <c r="EO148" s="3" t="str">
        <f>RTD("tos.rtd",,EO$2,"."&amp;$C$134&amp;$AU$82&amp;"P"&amp;$A148)</f>
        <v>N/A</v>
      </c>
      <c r="EP148" s="3" t="str">
        <f>RTD("tos.rtd",,EP$2,"."&amp;$D$134&amp;$AW$82&amp;"C"&amp;$A148)</f>
        <v>N/A</v>
      </c>
      <c r="EQ148" s="3" t="str">
        <f>RTD("tos.rtd",,EQ$2,"."&amp;$D$134&amp;$AW$82&amp;"P"&amp;$A148)</f>
        <v>N/A</v>
      </c>
      <c r="ET148" s="64" t="str">
        <f t="shared" ca="1" si="574"/>
        <v>20220,00.00</v>
      </c>
      <c r="EU148" s="68">
        <v>564.65</v>
      </c>
      <c r="EV148" s="68" t="s">
        <v>1204</v>
      </c>
      <c r="EW148" s="68">
        <v>486.31</v>
      </c>
      <c r="EX148" s="68" t="s">
        <v>1205</v>
      </c>
      <c r="EY148" s="68">
        <v>5662.25</v>
      </c>
      <c r="EZ148" s="68" t="s">
        <v>1206</v>
      </c>
      <c r="FA148" s="68">
        <v>19981.5</v>
      </c>
      <c r="FB148" s="68" t="s">
        <v>1207</v>
      </c>
      <c r="FC148" s="68" t="s">
        <v>1208</v>
      </c>
      <c r="FD148" s="68" t="s">
        <v>1209</v>
      </c>
      <c r="FE148" s="68" t="s">
        <v>1210</v>
      </c>
      <c r="FF148" s="68" t="s">
        <v>1211</v>
      </c>
    </row>
    <row r="149" spans="1:162" ht="11.1" customHeight="1" thickBot="1" x14ac:dyDescent="0.25">
      <c r="A149" s="2">
        <f t="shared" si="583"/>
        <v>20200</v>
      </c>
      <c r="B149" s="3">
        <f t="shared" si="598"/>
        <v>50</v>
      </c>
      <c r="C149" s="3">
        <f t="shared" si="599"/>
        <v>5</v>
      </c>
      <c r="D149" s="3">
        <f t="shared" si="600"/>
        <v>72</v>
      </c>
      <c r="E149" s="3">
        <f t="shared" si="601"/>
        <v>127</v>
      </c>
      <c r="F149" s="4">
        <f t="shared" si="602"/>
        <v>20300.537527374079</v>
      </c>
      <c r="G149" s="5">
        <f t="shared" si="603"/>
        <v>491.58829384829784</v>
      </c>
      <c r="AM149" s="1">
        <v>-2</v>
      </c>
      <c r="AN149" s="1">
        <v>-3</v>
      </c>
      <c r="AO149" s="1">
        <v>20200</v>
      </c>
      <c r="AP149" s="1">
        <v>1944</v>
      </c>
      <c r="AQ149" s="1">
        <v>-42</v>
      </c>
      <c r="AS149" s="54">
        <f>IF(RTD("tos.rtd",,AS$83,"."&amp;$B$134&amp;$AS$82&amp;"C"&amp;$A149)="N/A",0,RTD("tos.rtd",,AS$83,"."&amp;$B$134&amp;$AS$82&amp;"C"&amp;$A149))</f>
        <v>45</v>
      </c>
      <c r="AT149" s="3">
        <f>-IF(RTD("tos.rtd",,AT$83,"."&amp;$B$134&amp;$AS$82&amp;"P"&amp;$A149)="N/A",0,RTD("tos.rtd",,AT$83,"."&amp;$B$134&amp;$AS$82&amp;"P"&amp;$A149))</f>
        <v>-5</v>
      </c>
      <c r="AU149" s="54">
        <f>IF(RTD("tos.rtd",,AU$2,"."&amp;$C$134&amp;$AU$134&amp;"C"&amp;$A149)="N/A",0,RTD("tos.rtd",,AU$2,"."&amp;$C$134&amp;$AU$134&amp;"C"&amp;$A149))</f>
        <v>4</v>
      </c>
      <c r="AV149" s="3">
        <f>-IF(RTD("tos.rtd",,AV$2,"."&amp;$C$134&amp;$AU$134&amp;"P"&amp;$A149)="N/A",0,RTD("tos.rtd",,AV$2,"."&amp;$C$134&amp;$AU$134&amp;"P"&amp;$A149))</f>
        <v>-1</v>
      </c>
      <c r="AW149" s="54">
        <f>IF(RTD("tos.rtd",,AW$2,"."&amp;$D$134&amp;$AW$134&amp;"C"&amp;$A149)="N/A",0,RTD("tos.rtd",,AW$2,"."&amp;$D$134&amp;$AW$134&amp;"C"&amp;$A149))</f>
        <v>55</v>
      </c>
      <c r="AX149" s="3">
        <f>-IF(RTD("tos.rtd",,AX$2,"."&amp;$D$134&amp;$AW$134&amp;"P"&amp;$A149)="N/A",0,RTD("tos.rtd",,AX$2,"."&amp;$D$134&amp;$AW$134&amp;"P"&amp;$A149))</f>
        <v>-17</v>
      </c>
      <c r="AY149" s="76">
        <f t="shared" si="604"/>
        <v>81</v>
      </c>
      <c r="AZ149" s="8">
        <f t="shared" si="539"/>
        <v>20200</v>
      </c>
      <c r="BA149" s="54">
        <f>IF(RTD("tos.rtd",,BA$43,"."&amp;$B$134&amp;$AS$82&amp;"C"&amp;$A149)="N/A",0,RTD("tos.rtd",,BA$43,"."&amp;$B$134&amp;$AS$82&amp;"C"&amp;$A149))</f>
        <v>1944</v>
      </c>
      <c r="BB149" s="3">
        <f>-IF(RTD("tos.rtd",,BB$43,"."&amp;$B$134&amp;$AS$82&amp;"P"&amp;$A149)="N/A",0,RTD("tos.rtd",,BB$43,"."&amp;$B$134&amp;$AS$82&amp;"P"&amp;$A149))</f>
        <v>-42</v>
      </c>
      <c r="BC149" s="54">
        <f>IF(RTD("tos.rtd",,BC$2,"."&amp;$C$134&amp;$AU$82&amp;"C"&amp;$A149)="N/A",0,RTD("tos.rtd",,BC$2,"."&amp;$C$134&amp;$AU$82&amp;"C"&amp;$A149))</f>
        <v>23</v>
      </c>
      <c r="BD149" s="3">
        <f>-IF(RTD("tos.rtd",,BD$2,"."&amp;$C$134&amp;$AU$82&amp;"P"&amp;$A149)="N/A",0,RTD("tos.rtd",,BD$2,"."&amp;$C$134&amp;$AU$82&amp;"P"&amp;$A149))</f>
        <v>-3</v>
      </c>
      <c r="BE149" s="54">
        <f>IF(RTD("tos.rtd",,BE$2,"."&amp;$D$134&amp;$AW$82&amp;"C"&amp;$A149)="N/A",0,RTD("tos.rtd",,BE$2,"."&amp;$D$134&amp;$AW$82&amp;"C"&amp;$A149))</f>
        <v>2</v>
      </c>
      <c r="BF149" s="3">
        <f>-IF(RTD("tos.rtd",,BF$2,"."&amp;$D$134&amp;$AW$82&amp;"P"&amp;$A149)="N/A",0,RTD("tos.rtd",,BF$2,"."&amp;$D$134&amp;$AW$82&amp;"P"&amp;$A149))</f>
        <v>-2</v>
      </c>
      <c r="BG149" s="3" t="e">
        <f ca="1">+Hoja2!Y150</f>
        <v>#N/A</v>
      </c>
      <c r="BH149" s="7" t="e">
        <f t="shared" ca="1" si="540"/>
        <v>#N/A</v>
      </c>
      <c r="BI149" s="32" t="e">
        <f t="shared" ca="1" si="597"/>
        <v>#N/A</v>
      </c>
      <c r="BJ149" s="3" t="e">
        <f ca="1">IF($BP$1=1,DX149,IF(RTD("tos.rtd",,BJ$43,"."&amp;$B$134&amp;$AS$82&amp;"C"&amp;$A149)="N/A",0,RTD("tos.rtd",,BJ$43,"."&amp;$B$134&amp;$AS$82&amp;"C"&amp;$A149)))</f>
        <v>#NUM!</v>
      </c>
      <c r="BK149" s="3" t="e">
        <f ca="1">IF($BP$1=1,DY149,-IF(RTD("tos.rtd",,BK$43,"."&amp;$B$134&amp;$AS$82&amp;"P"&amp;$A149)="N/A",0,RTD("tos.rtd",,BK$43,"."&amp;$B$134&amp;$AS$82&amp;"P"&amp;$A149)))</f>
        <v>#NUM!</v>
      </c>
      <c r="BL149" s="3">
        <f ca="1">IF($BP$1=1,DZ149,IF(RTD("tos.rtd",,BL$2,"."&amp;$C$134&amp;$AU$82&amp;"C"&amp;$A149)="N/A",0,RTD("tos.rtd",,BL$2,"."&amp;$C$134&amp;$AU$82&amp;"C"&amp;$A149)))</f>
        <v>5.702979311099721E-4</v>
      </c>
      <c r="BM149" s="3">
        <f ca="1">IF($BP$1=1,EA149,-IF(RTD("tos.rtd",,BM$2,"."&amp;$C$134&amp;$AU$82&amp;"P"&amp;$A149)="N/A",0,RTD("tos.rtd",,BM$2,"."&amp;$C$134&amp;$AU$82&amp;"P"&amp;$A149)))</f>
        <v>-5.4826961582817003E-4</v>
      </c>
      <c r="BN149" s="3">
        <f ca="1">IF($BP$1=1,EB149,IF(RTD("tos.rtd",,BN$2,"."&amp;$D$134&amp;$AW$82&amp;"C"&amp;$A149)="N/A",0,RTD("tos.rtd",,BN$2,"."&amp;$D$134&amp;$AW$82&amp;"C"&amp;$A149)))</f>
        <v>5.7722584525719378E-4</v>
      </c>
      <c r="BO149" s="3">
        <f ca="1">IF($BP$1=1,EC149,-IF(RTD("tos.rtd",,BO$2,"."&amp;$D$134&amp;$AW$82&amp;"P"&amp;$A149)="N/A",0,RTD("tos.rtd",,BO$2,"."&amp;$D$134&amp;$AW$82&amp;"P"&amp;$A149)))</f>
        <v>-5.417725661324977E-4</v>
      </c>
      <c r="BQ149" s="3" t="e">
        <f t="shared" ca="1" si="605"/>
        <v>#NUM!</v>
      </c>
      <c r="BR149" s="3" t="e">
        <f t="shared" ca="1" si="541"/>
        <v>#NUM!</v>
      </c>
      <c r="BS149" s="3">
        <f t="shared" ca="1" si="606"/>
        <v>56021.47800374643</v>
      </c>
      <c r="BT149" s="3" t="str">
        <f t="shared" ca="1" si="542"/>
        <v/>
      </c>
      <c r="BU149" s="3">
        <f t="shared" ca="1" si="607"/>
        <v>728579.87679474521</v>
      </c>
      <c r="BV149" s="3" t="str">
        <f t="shared" ca="1" si="542"/>
        <v/>
      </c>
      <c r="BX149" s="3" t="e">
        <f t="shared" ca="1" si="575"/>
        <v>#NUM!</v>
      </c>
      <c r="BY149" s="3" t="e">
        <f t="shared" ca="1" si="576"/>
        <v>#NUM!</v>
      </c>
      <c r="BZ149" s="3">
        <f t="shared" ca="1" si="577"/>
        <v>2742.7577620453403</v>
      </c>
      <c r="CA149" s="3" t="str">
        <f t="shared" ca="1" si="576"/>
        <v/>
      </c>
      <c r="CB149" s="3">
        <f t="shared" ca="1" si="578"/>
        <v>16.952473364044693</v>
      </c>
      <c r="CC149" s="3" t="str">
        <f t="shared" ca="1" si="576"/>
        <v/>
      </c>
      <c r="CD149" s="3">
        <f>IF(RTD("tos.rtd",,CD$43,"."&amp;$B$134&amp;$AS$82&amp;"C"&amp;$A149)="N/A",0,RTD("tos.rtd",,CD$43,"."&amp;$B$134&amp;$AS$82&amp;"C"&amp;$A149))</f>
        <v>0</v>
      </c>
      <c r="CE149" s="3">
        <f>-IF(RTD("tos.rtd",,CE$43,"."&amp;$B$134&amp;$AS$82&amp;"P"&amp;$A149)="N/A",0,RTD("tos.rtd",,CE$43,"."&amp;$B$134&amp;$AS$82&amp;"P"&amp;$A149))</f>
        <v>0.8</v>
      </c>
      <c r="CF149" s="3">
        <f>IF(RTD("tos.rtd",,CF$2,"."&amp;$C$134&amp;$AU$82&amp;"C"&amp;$A149)="N/A",0,RTD("tos.rtd",,CF$2,"."&amp;$C$134&amp;$AU$82&amp;"C"&amp;$A149))</f>
        <v>0.45</v>
      </c>
      <c r="CG149" s="3">
        <f>-IF(RTD("tos.rtd",,CG$2,"."&amp;$C$134&amp;$AU$82&amp;"P"&amp;$A149)="N/A",0,RTD("tos.rtd",,CG$2,"."&amp;$C$134&amp;$AU$82&amp;"P"&amp;$A149))</f>
        <v>0.55000000000000004</v>
      </c>
      <c r="CH149" s="3">
        <f>IF(RTD("tos.rtd",,CH$2,"."&amp;$D$134&amp;$AW$82&amp;"C"&amp;$A149)="N/A",0,RTD("tos.rtd",,CH$2,"."&amp;$D$134&amp;$AW$82&amp;"C"&amp;$A149))</f>
        <v>0.48</v>
      </c>
      <c r="CI149" s="3">
        <f>-IF(RTD("tos.rtd",,CI$2,"."&amp;$D$134&amp;$AW$82&amp;"P"&amp;$A149)="N/A",0,RTD("tos.rtd",,CI$2,"."&amp;$D$134&amp;$AW$82&amp;"P"&amp;$A149))</f>
        <v>0.52</v>
      </c>
      <c r="CK149" s="3">
        <f t="shared" si="608"/>
        <v>-400</v>
      </c>
      <c r="CL149" s="3"/>
      <c r="CM149" s="3">
        <f t="shared" si="609"/>
        <v>125</v>
      </c>
      <c r="CN149" s="3"/>
      <c r="CO149" s="3">
        <f t="shared" si="610"/>
        <v>1756</v>
      </c>
      <c r="CP149" s="3">
        <f t="shared" si="533"/>
        <v>1481</v>
      </c>
      <c r="CQ149" s="3">
        <f t="shared" si="543"/>
        <v>1902</v>
      </c>
      <c r="CR149" s="3"/>
      <c r="CS149" s="3">
        <f t="shared" si="544"/>
        <v>20</v>
      </c>
      <c r="CT149" s="3"/>
      <c r="CU149" s="3">
        <f t="shared" si="545"/>
        <v>0</v>
      </c>
      <c r="CV149" s="3"/>
      <c r="CW149" s="3" t="e">
        <f t="shared" ca="1" si="546"/>
        <v>#NUM!</v>
      </c>
      <c r="CY149" s="3" t="e">
        <f t="shared" ca="1" si="547"/>
        <v>#NUM!</v>
      </c>
      <c r="CZ149" s="70" t="e">
        <f t="shared" ca="1" si="579"/>
        <v>#NUM!</v>
      </c>
      <c r="DA149" s="3">
        <f>IF(RTD("tos.rtd",,DA$43,"."&amp;$B$134&amp;$AS$82&amp;"C"&amp;$A149)="N/A",0,RTD("tos.rtd",,DA$43,"."&amp;$B$134&amp;$AS$82&amp;"C"&amp;$A149))</f>
        <v>0.05</v>
      </c>
      <c r="DB149" s="3">
        <f>IF(RTD("tos.rtd",,DB$43,"."&amp;$B$134&amp;$AS$82&amp;"P"&amp;$A149)="N/A",0,RTD("tos.rtd",,DB$43,"."&amp;$B$134&amp;$AS$82&amp;"P"&amp;$A149))</f>
        <v>103.2</v>
      </c>
      <c r="DC149" s="3">
        <f>IF(RTD("tos.rtd",,DC$43,"."&amp;$B$134&amp;$AS$82&amp;"C"&amp;$A149)="N/A",0,RTD("tos.rtd",,DC$43,"."&amp;$B$134&amp;$AS$82&amp;"C"&amp;$A149))</f>
        <v>0.1</v>
      </c>
      <c r="DD149" s="3">
        <f>IF(RTD("tos.rtd",,DD$43,"."&amp;$B$134&amp;$AS$82&amp;"P"&amp;$A149)="N/A",0,RTD("tos.rtd",,DD$43,"."&amp;$B$134&amp;$AS$82&amp;"P"&amp;$A149))</f>
        <v>119.5</v>
      </c>
      <c r="DE149" s="3">
        <f>IF(RTD("tos.rtd",,DE$43,"."&amp;$B$134&amp;$AS$82&amp;"C"&amp;$A149)="N/A",0,RTD("tos.rtd",,DE$43,"."&amp;$B$134&amp;$AS$82&amp;"C"&amp;$A149))</f>
        <v>0</v>
      </c>
      <c r="DF149" s="3">
        <f>IF(RTD("tos.rtd",,DF$43,"."&amp;$B$134&amp;$AS$82&amp;"P"&amp;$A149)="N/A",0,RTD("tos.rtd",,DF$43,"."&amp;$B$134&amp;$AS$82&amp;"P"&amp;$A149))</f>
        <v>102</v>
      </c>
      <c r="DG149" s="86">
        <f t="shared" si="580"/>
        <v>108</v>
      </c>
      <c r="DH149" s="3">
        <f t="shared" si="548"/>
        <v>0</v>
      </c>
      <c r="DI149" s="3">
        <f t="shared" si="549"/>
        <v>0</v>
      </c>
      <c r="DJ149" s="3">
        <f t="shared" si="550"/>
        <v>0</v>
      </c>
      <c r="DK149" s="3">
        <f t="shared" si="551"/>
        <v>0</v>
      </c>
      <c r="DL149" s="3">
        <f t="shared" si="552"/>
        <v>0</v>
      </c>
      <c r="DM149" s="3">
        <f t="shared" si="553"/>
        <v>0</v>
      </c>
      <c r="DN149" s="64" t="str">
        <f t="shared" si="554"/>
        <v>UNKNOWN</v>
      </c>
      <c r="DO149" s="64" t="str">
        <f t="shared" si="555"/>
        <v>UNKNOWN</v>
      </c>
      <c r="DP149" s="3">
        <f t="shared" si="556"/>
        <v>0</v>
      </c>
      <c r="DQ149" s="3">
        <f t="shared" si="557"/>
        <v>0</v>
      </c>
      <c r="DR149" s="3" t="e">
        <f t="shared" ca="1" si="558"/>
        <v>#NUM!</v>
      </c>
      <c r="DS149" s="3">
        <f t="shared" si="559"/>
        <v>0</v>
      </c>
      <c r="DT149" s="3">
        <f t="shared" si="581"/>
        <v>0</v>
      </c>
      <c r="DU149" s="3">
        <f t="shared" si="582"/>
        <v>0</v>
      </c>
      <c r="DV149" s="3">
        <f t="shared" si="560"/>
        <v>-2</v>
      </c>
      <c r="DW149" s="3">
        <f t="shared" si="561"/>
        <v>-3</v>
      </c>
      <c r="DX149" s="3" t="e">
        <f t="shared" ca="1" si="562"/>
        <v>#NUM!</v>
      </c>
      <c r="DY149" s="3" t="e">
        <f t="shared" ca="1" si="563"/>
        <v>#NUM!</v>
      </c>
      <c r="DZ149" s="3">
        <f t="shared" ca="1" si="564"/>
        <v>5.702979311099721E-4</v>
      </c>
      <c r="EA149" s="3">
        <f t="shared" ca="1" si="565"/>
        <v>-5.4826961582817003E-4</v>
      </c>
      <c r="EB149" s="3">
        <f t="shared" ca="1" si="566"/>
        <v>5.7722584525719378E-4</v>
      </c>
      <c r="EC149" s="3">
        <f t="shared" ca="1" si="567"/>
        <v>-5.417725661324977E-4</v>
      </c>
      <c r="EE149" s="59">
        <f t="shared" si="568"/>
        <v>0.24360000000000001</v>
      </c>
      <c r="EF149" s="59">
        <f t="shared" si="569"/>
        <v>0.77170000000000005</v>
      </c>
      <c r="EG149" s="59">
        <f t="shared" si="570"/>
        <v>0.21340000000000001</v>
      </c>
      <c r="EH149" s="59">
        <f t="shared" si="571"/>
        <v>0.22209999999999999</v>
      </c>
      <c r="EI149" s="59">
        <f t="shared" si="572"/>
        <v>0.21079999999999999</v>
      </c>
      <c r="EJ149" s="59">
        <f t="shared" si="573"/>
        <v>0.2248</v>
      </c>
      <c r="EL149" s="3" t="str">
        <f>RTD("tos.rtd",,EL$43,"."&amp;$B$134&amp;$AS$82&amp;"C"&amp;$A149)</f>
        <v>24.36%</v>
      </c>
      <c r="EM149" s="3" t="str">
        <f>RTD("tos.rtd",,EM$43,"."&amp;$B$134&amp;$AS$82&amp;"P"&amp;$A149)</f>
        <v>77.17%</v>
      </c>
      <c r="EN149" s="3" t="str">
        <f>RTD("tos.rtd",,EN$2,"."&amp;$C$134&amp;$AU$82&amp;"C"&amp;$A149)</f>
        <v>21.34%</v>
      </c>
      <c r="EO149" s="3" t="str">
        <f>RTD("tos.rtd",,EO$2,"."&amp;$C$134&amp;$AU$82&amp;"P"&amp;$A149)</f>
        <v>22.21%</v>
      </c>
      <c r="EP149" s="3" t="str">
        <f>RTD("tos.rtd",,EP$2,"."&amp;$D$134&amp;$AW$82&amp;"C"&amp;$A149)</f>
        <v>21.08%</v>
      </c>
      <c r="EQ149" s="3" t="str">
        <f>RTD("tos.rtd",,EQ$2,"."&amp;$D$134&amp;$AW$82&amp;"P"&amp;$A149)</f>
        <v>22.48%</v>
      </c>
      <c r="ET149" s="64" t="str">
        <f t="shared" ca="1" si="574"/>
        <v>20200,00.00</v>
      </c>
      <c r="EU149" s="68">
        <v>564.52</v>
      </c>
      <c r="EV149" s="68" t="s">
        <v>1212</v>
      </c>
      <c r="EW149" s="68">
        <v>485.90100000000001</v>
      </c>
      <c r="EX149" s="68" t="s">
        <v>1213</v>
      </c>
      <c r="EY149" s="68">
        <v>5660.75</v>
      </c>
      <c r="EZ149" s="68" t="s">
        <v>1214</v>
      </c>
      <c r="FA149" s="68">
        <v>19965</v>
      </c>
      <c r="FB149" s="68" t="s">
        <v>1215</v>
      </c>
      <c r="FC149" s="68" t="s">
        <v>1216</v>
      </c>
      <c r="FD149" s="68" t="s">
        <v>1217</v>
      </c>
      <c r="FE149" s="68" t="s">
        <v>1218</v>
      </c>
      <c r="FF149" s="68" t="s">
        <v>1219</v>
      </c>
    </row>
    <row r="150" spans="1:162" ht="11.1" customHeight="1" thickBot="1" x14ac:dyDescent="0.25">
      <c r="A150" s="2">
        <f t="shared" si="583"/>
        <v>20180</v>
      </c>
      <c r="B150" s="3">
        <f t="shared" si="598"/>
        <v>4</v>
      </c>
      <c r="C150" s="3">
        <f t="shared" si="599"/>
        <v>0</v>
      </c>
      <c r="D150" s="3">
        <f t="shared" si="600"/>
        <v>0</v>
      </c>
      <c r="E150" s="3">
        <f t="shared" si="601"/>
        <v>4</v>
      </c>
      <c r="F150" s="4">
        <f t="shared" si="602"/>
        <v>20280.43798526777</v>
      </c>
      <c r="G150" s="5">
        <f t="shared" si="603"/>
        <v>491.10157276527968</v>
      </c>
      <c r="AM150" s="1">
        <v>29</v>
      </c>
      <c r="AN150" s="1" t="e">
        <v>#N/A</v>
      </c>
      <c r="AO150" s="1">
        <v>20180</v>
      </c>
      <c r="AP150" s="1">
        <v>340</v>
      </c>
      <c r="AQ150" s="1">
        <v>-14</v>
      </c>
      <c r="AS150" s="54">
        <f>IF(RTD("tos.rtd",,AS$83,"."&amp;$B$134&amp;$AS$82&amp;"C"&amp;$A150)="N/A",0,RTD("tos.rtd",,AS$83,"."&amp;$B$134&amp;$AS$82&amp;"C"&amp;$A150))</f>
        <v>4</v>
      </c>
      <c r="AT150" s="3">
        <f>-IF(RTD("tos.rtd",,AT$83,"."&amp;$B$134&amp;$AS$82&amp;"P"&amp;$A150)="N/A",0,RTD("tos.rtd",,AT$83,"."&amp;$B$134&amp;$AS$82&amp;"P"&amp;$A150))</f>
        <v>0</v>
      </c>
      <c r="AU150" s="54">
        <f>IF(RTD("tos.rtd",,AU$2,"."&amp;$C$134&amp;$AU$134&amp;"C"&amp;$A150)="N/A",0,RTD("tos.rtd",,AU$2,"."&amp;$C$134&amp;$AU$134&amp;"C"&amp;$A150))</f>
        <v>0</v>
      </c>
      <c r="AV150" s="3">
        <f>-IF(RTD("tos.rtd",,AV$2,"."&amp;$C$134&amp;$AU$134&amp;"P"&amp;$A150)="N/A",0,RTD("tos.rtd",,AV$2,"."&amp;$C$134&amp;$AU$134&amp;"P"&amp;$A150))</f>
        <v>0</v>
      </c>
      <c r="AW150" s="54">
        <f>IF(RTD("tos.rtd",,AW$2,"."&amp;$D$134&amp;$AW$134&amp;"C"&amp;$A150)="N/A",0,RTD("tos.rtd",,AW$2,"."&amp;$D$134&amp;$AW$134&amp;"C"&amp;$A150))</f>
        <v>0</v>
      </c>
      <c r="AX150" s="3">
        <f>-IF(RTD("tos.rtd",,AX$2,"."&amp;$D$134&amp;$AW$134&amp;"P"&amp;$A150)="N/A",0,RTD("tos.rtd",,AX$2,"."&amp;$D$134&amp;$AW$134&amp;"P"&amp;$A150))</f>
        <v>0</v>
      </c>
      <c r="AY150" s="76">
        <f t="shared" si="604"/>
        <v>4</v>
      </c>
      <c r="AZ150" s="8">
        <f t="shared" si="539"/>
        <v>20180</v>
      </c>
      <c r="BA150" s="54">
        <f>IF(RTD("tos.rtd",,BA$43,"."&amp;$B$134&amp;$AS$82&amp;"C"&amp;$A150)="N/A",0,RTD("tos.rtd",,BA$43,"."&amp;$B$134&amp;$AS$82&amp;"C"&amp;$A150))</f>
        <v>340</v>
      </c>
      <c r="BB150" s="3">
        <f>-IF(RTD("tos.rtd",,BB$43,"."&amp;$B$134&amp;$AS$82&amp;"P"&amp;$A150)="N/A",0,RTD("tos.rtd",,BB$43,"."&amp;$B$134&amp;$AS$82&amp;"P"&amp;$A150))</f>
        <v>-14</v>
      </c>
      <c r="BC150" s="54">
        <f>IF(RTD("tos.rtd",,BC$2,"."&amp;$C$134&amp;$AU$82&amp;"C"&amp;$A150)="N/A",0,RTD("tos.rtd",,BC$2,"."&amp;$C$134&amp;$AU$82&amp;"C"&amp;$A150))</f>
        <v>0</v>
      </c>
      <c r="BD150" s="3">
        <f>-IF(RTD("tos.rtd",,BD$2,"."&amp;$C$134&amp;$AU$82&amp;"P"&amp;$A150)="N/A",0,RTD("tos.rtd",,BD$2,"."&amp;$C$134&amp;$AU$82&amp;"P"&amp;$A150))</f>
        <v>0</v>
      </c>
      <c r="BE150" s="54">
        <f>IF(RTD("tos.rtd",,BE$2,"."&amp;$D$134&amp;$AW$82&amp;"C"&amp;$A150)="N/A",0,RTD("tos.rtd",,BE$2,"."&amp;$D$134&amp;$AW$82&amp;"C"&amp;$A150))</f>
        <v>0</v>
      </c>
      <c r="BF150" s="3">
        <f>-IF(RTD("tos.rtd",,BF$2,"."&amp;$D$134&amp;$AW$82&amp;"P"&amp;$A150)="N/A",0,RTD("tos.rtd",,BF$2,"."&amp;$D$134&amp;$AW$82&amp;"P"&amp;$A150))</f>
        <v>0</v>
      </c>
      <c r="BG150" s="3" t="e">
        <f ca="1">+Hoja2!Y151</f>
        <v>#N/A</v>
      </c>
      <c r="BH150" s="7" t="e">
        <f t="shared" ca="1" si="540"/>
        <v>#N/A</v>
      </c>
      <c r="BI150" s="32" t="e">
        <f t="shared" ca="1" si="597"/>
        <v>#N/A</v>
      </c>
      <c r="BJ150" s="3" t="e">
        <f ca="1">IF($BP$1=1,DX150,IF(RTD("tos.rtd",,BJ$43,"."&amp;$B$134&amp;$AS$82&amp;"C"&amp;$A150)="N/A",0,RTD("tos.rtd",,BJ$43,"."&amp;$B$134&amp;$AS$82&amp;"C"&amp;$A150)))</f>
        <v>#NUM!</v>
      </c>
      <c r="BK150" s="3" t="e">
        <f ca="1">IF($BP$1=1,DY150,-IF(RTD("tos.rtd",,BK$43,"."&amp;$B$134&amp;$AS$82&amp;"P"&amp;$A150)="N/A",0,RTD("tos.rtd",,BK$43,"."&amp;$B$134&amp;$AS$82&amp;"P"&amp;$A150)))</f>
        <v>#NUM!</v>
      </c>
      <c r="BL150" s="3">
        <f ca="1">IF($BP$1=1,DZ150,IF(RTD("tos.rtd",,BL$2,"."&amp;$C$134&amp;$AU$82&amp;"C"&amp;$A150)="N/A",0,RTD("tos.rtd",,BL$2,"."&amp;$C$134&amp;$AU$82&amp;"C"&amp;$A150)))</f>
        <v>4.8864131850960991E-4</v>
      </c>
      <c r="BM150" s="3">
        <f ca="1">IF($BP$1=1,EA150,-IF(RTD("tos.rtd",,BM$2,"."&amp;$C$134&amp;$AU$82&amp;"P"&amp;$A150)="N/A",0,RTD("tos.rtd",,BM$2,"."&amp;$C$134&amp;$AU$82&amp;"P"&amp;$A150)))</f>
        <v>-4.8864131850960991E-4</v>
      </c>
      <c r="BN150" s="3">
        <f ca="1">IF($BP$1=1,EB150,IF(RTD("tos.rtd",,BN$2,"."&amp;$D$134&amp;$AW$82&amp;"C"&amp;$A150)="N/A",0,RTD("tos.rtd",,BN$2,"."&amp;$D$134&amp;$AW$82&amp;"C"&amp;$A150)))</f>
        <v>4.8864131850960991E-4</v>
      </c>
      <c r="BO150" s="3">
        <f ca="1">IF($BP$1=1,EC150,-IF(RTD("tos.rtd",,BO$2,"."&amp;$D$134&amp;$AW$82&amp;"P"&amp;$A150)="N/A",0,RTD("tos.rtd",,BO$2,"."&amp;$D$134&amp;$AW$82&amp;"P"&amp;$A150)))</f>
        <v>-4.8864131850960991E-4</v>
      </c>
      <c r="BQ150" s="3" t="e">
        <f t="shared" ca="1" si="605"/>
        <v>#NUM!</v>
      </c>
      <c r="BR150" s="3" t="e">
        <f t="shared" ca="1" si="541"/>
        <v>#NUM!</v>
      </c>
      <c r="BS150" s="3">
        <f t="shared" ca="1" si="606"/>
        <v>0</v>
      </c>
      <c r="BT150" s="3" t="str">
        <f t="shared" ca="1" si="542"/>
        <v/>
      </c>
      <c r="BU150" s="3">
        <f t="shared" ca="1" si="607"/>
        <v>0</v>
      </c>
      <c r="BV150" s="3" t="str">
        <f t="shared" ca="1" si="542"/>
        <v/>
      </c>
      <c r="BX150" s="3" t="e">
        <f t="shared" ca="1" si="575"/>
        <v>#NUM!</v>
      </c>
      <c r="BY150" s="3" t="e">
        <f t="shared" ca="1" si="576"/>
        <v>#NUM!</v>
      </c>
      <c r="BZ150" s="3">
        <f t="shared" ca="1" si="577"/>
        <v>0</v>
      </c>
      <c r="CA150" s="3" t="str">
        <f t="shared" ca="1" si="576"/>
        <v/>
      </c>
      <c r="CB150" s="3">
        <f t="shared" ca="1" si="578"/>
        <v>0</v>
      </c>
      <c r="CC150" s="3" t="str">
        <f t="shared" ca="1" si="576"/>
        <v/>
      </c>
      <c r="CD150" s="3">
        <f>IF(RTD("tos.rtd",,CD$43,"."&amp;$B$134&amp;$AS$82&amp;"C"&amp;$A150)="N/A",0,RTD("tos.rtd",,CD$43,"."&amp;$B$134&amp;$AS$82&amp;"C"&amp;$A150))</f>
        <v>0.02</v>
      </c>
      <c r="CE150" s="3">
        <f>-IF(RTD("tos.rtd",,CE$43,"."&amp;$B$134&amp;$AS$82&amp;"P"&amp;$A150)="N/A",0,RTD("tos.rtd",,CE$43,"."&amp;$B$134&amp;$AS$82&amp;"P"&amp;$A150))</f>
        <v>0.83</v>
      </c>
      <c r="CF150" s="3">
        <f>IF(RTD("tos.rtd",,CF$2,"."&amp;$C$134&amp;$AU$82&amp;"C"&amp;$A150)="N/A",0,RTD("tos.rtd",,CF$2,"."&amp;$C$134&amp;$AU$82&amp;"C"&amp;$A150))</f>
        <v>0</v>
      </c>
      <c r="CG150" s="3">
        <f>-IF(RTD("tos.rtd",,CG$2,"."&amp;$C$134&amp;$AU$82&amp;"P"&amp;$A150)="N/A",0,RTD("tos.rtd",,CG$2,"."&amp;$C$134&amp;$AU$82&amp;"P"&amp;$A150))</f>
        <v>0</v>
      </c>
      <c r="CH150" s="3">
        <f>IF(RTD("tos.rtd",,CH$2,"."&amp;$D$134&amp;$AW$82&amp;"C"&amp;$A150)="N/A",0,RTD("tos.rtd",,CH$2,"."&amp;$D$134&amp;$AW$82&amp;"C"&amp;$A150))</f>
        <v>0</v>
      </c>
      <c r="CI150" s="3">
        <f>-IF(RTD("tos.rtd",,CI$2,"."&amp;$D$134&amp;$AW$82&amp;"P"&amp;$A150)="N/A",0,RTD("tos.rtd",,CI$2,"."&amp;$D$134&amp;$AW$82&amp;"P"&amp;$A150))</f>
        <v>0</v>
      </c>
      <c r="CK150" s="3">
        <f t="shared" si="608"/>
        <v>8</v>
      </c>
      <c r="CL150" s="3"/>
      <c r="CM150" s="3">
        <f t="shared" si="609"/>
        <v>0</v>
      </c>
      <c r="CN150" s="3"/>
      <c r="CO150" s="3">
        <f t="shared" si="610"/>
        <v>0</v>
      </c>
      <c r="CP150" s="3">
        <f t="shared" si="533"/>
        <v>8</v>
      </c>
      <c r="CQ150" s="3">
        <f t="shared" si="543"/>
        <v>326</v>
      </c>
      <c r="CR150" s="3"/>
      <c r="CS150" s="3">
        <f t="shared" si="544"/>
        <v>0</v>
      </c>
      <c r="CT150" s="3"/>
      <c r="CU150" s="3">
        <f t="shared" si="545"/>
        <v>0</v>
      </c>
      <c r="CV150" s="3"/>
      <c r="CW150" s="3" t="e">
        <f t="shared" ca="1" si="546"/>
        <v>#NUM!</v>
      </c>
      <c r="CY150" s="3" t="e">
        <f t="shared" ca="1" si="547"/>
        <v>#NUM!</v>
      </c>
      <c r="CZ150" s="70" t="e">
        <f t="shared" ca="1" si="579"/>
        <v>#NUM!</v>
      </c>
      <c r="DA150" s="3">
        <f>IF(RTD("tos.rtd",,DA$43,"."&amp;$B$134&amp;$AS$82&amp;"C"&amp;$A150)="N/A",0,RTD("tos.rtd",,DA$43,"."&amp;$B$134&amp;$AS$82&amp;"C"&amp;$A150))</f>
        <v>0.05</v>
      </c>
      <c r="DB150" s="3">
        <f>IF(RTD("tos.rtd",,DB$43,"."&amp;$B$134&amp;$AS$82&amp;"P"&amp;$A150)="N/A",0,RTD("tos.rtd",,DB$43,"."&amp;$B$134&amp;$AS$82&amp;"P"&amp;$A150))</f>
        <v>61.2</v>
      </c>
      <c r="DC150" s="3">
        <f>IF(RTD("tos.rtd",,DC$43,"."&amp;$B$134&amp;$AS$82&amp;"C"&amp;$A150)="N/A",0,RTD("tos.rtd",,DC$43,"."&amp;$B$134&amp;$AS$82&amp;"C"&amp;$A150))</f>
        <v>0.4</v>
      </c>
      <c r="DD150" s="3">
        <f>IF(RTD("tos.rtd",,DD$43,"."&amp;$B$134&amp;$AS$82&amp;"P"&amp;$A150)="N/A",0,RTD("tos.rtd",,DD$43,"."&amp;$B$134&amp;$AS$82&amp;"P"&amp;$A150))</f>
        <v>87.2</v>
      </c>
      <c r="DE150" s="3">
        <f>IF(RTD("tos.rtd",,DE$43,"."&amp;$B$134&amp;$AS$82&amp;"C"&amp;$A150)="N/A",0,RTD("tos.rtd",,DE$43,"."&amp;$B$134&amp;$AS$82&amp;"C"&amp;$A150))</f>
        <v>0</v>
      </c>
      <c r="DF150" s="3">
        <f>IF(RTD("tos.rtd",,DF$43,"."&amp;$B$134&amp;$AS$82&amp;"P"&amp;$A150)="N/A",0,RTD("tos.rtd",,DF$43,"."&amp;$B$134&amp;$AS$82&amp;"P"&amp;$A150))</f>
        <v>82</v>
      </c>
      <c r="DG150" s="86">
        <f t="shared" si="580"/>
        <v>88</v>
      </c>
      <c r="DH150" s="3">
        <f t="shared" si="548"/>
        <v>0</v>
      </c>
      <c r="DI150" s="3">
        <f t="shared" si="549"/>
        <v>0</v>
      </c>
      <c r="DJ150" s="3">
        <f t="shared" si="550"/>
        <v>0</v>
      </c>
      <c r="DK150" s="3">
        <f t="shared" si="551"/>
        <v>0</v>
      </c>
      <c r="DL150" s="3">
        <f t="shared" si="552"/>
        <v>0</v>
      </c>
      <c r="DM150" s="3">
        <f t="shared" si="553"/>
        <v>0</v>
      </c>
      <c r="DN150" s="64" t="str">
        <f t="shared" si="554"/>
        <v>UNKNOWN</v>
      </c>
      <c r="DO150" s="64" t="str">
        <f t="shared" si="555"/>
        <v>UNKNOWN</v>
      </c>
      <c r="DP150" s="3">
        <f t="shared" si="556"/>
        <v>0</v>
      </c>
      <c r="DQ150" s="3">
        <f t="shared" si="557"/>
        <v>0</v>
      </c>
      <c r="DR150" s="3" t="e">
        <f t="shared" ca="1" si="558"/>
        <v>#NUM!</v>
      </c>
      <c r="DS150" s="3">
        <f t="shared" si="559"/>
        <v>0</v>
      </c>
      <c r="DT150" s="3">
        <f t="shared" si="581"/>
        <v>0</v>
      </c>
      <c r="DU150" s="3">
        <f t="shared" si="582"/>
        <v>0</v>
      </c>
      <c r="DV150" s="3">
        <f t="shared" si="560"/>
        <v>29</v>
      </c>
      <c r="DW150" s="3" t="e">
        <f t="shared" si="561"/>
        <v>#N/A</v>
      </c>
      <c r="DX150" s="3" t="e">
        <f t="shared" ca="1" si="562"/>
        <v>#NUM!</v>
      </c>
      <c r="DY150" s="3" t="e">
        <f t="shared" ca="1" si="563"/>
        <v>#NUM!</v>
      </c>
      <c r="DZ150" s="3">
        <f t="shared" ca="1" si="564"/>
        <v>4.8864131850960991E-4</v>
      </c>
      <c r="EA150" s="3">
        <f t="shared" ca="1" si="565"/>
        <v>-4.8864131850960991E-4</v>
      </c>
      <c r="EB150" s="3">
        <f t="shared" ca="1" si="566"/>
        <v>4.8864131850960991E-4</v>
      </c>
      <c r="EC150" s="3">
        <f t="shared" ca="1" si="567"/>
        <v>-4.8864131850960991E-4</v>
      </c>
      <c r="EE150" s="59">
        <f t="shared" si="568"/>
        <v>0.2361</v>
      </c>
      <c r="EF150" s="59">
        <f t="shared" si="569"/>
        <v>0.53029999999999999</v>
      </c>
      <c r="EG150" s="59">
        <f t="shared" si="570"/>
        <v>0.25</v>
      </c>
      <c r="EH150" s="59">
        <f t="shared" si="571"/>
        <v>0.25</v>
      </c>
      <c r="EI150" s="59">
        <f t="shared" si="572"/>
        <v>0.25</v>
      </c>
      <c r="EJ150" s="59">
        <f t="shared" si="573"/>
        <v>0.25</v>
      </c>
      <c r="EL150" s="3" t="str">
        <f>RTD("tos.rtd",,EL$43,"."&amp;$B$134&amp;$AS$82&amp;"C"&amp;$A150)</f>
        <v>23.61%</v>
      </c>
      <c r="EM150" s="3" t="str">
        <f>RTD("tos.rtd",,EM$43,"."&amp;$B$134&amp;$AS$82&amp;"P"&amp;$A150)</f>
        <v>53.03%</v>
      </c>
      <c r="EN150" s="3" t="str">
        <f>RTD("tos.rtd",,EN$2,"."&amp;$C$134&amp;$AU$82&amp;"C"&amp;$A150)</f>
        <v>N/A</v>
      </c>
      <c r="EO150" s="3" t="str">
        <f>RTD("tos.rtd",,EO$2,"."&amp;$C$134&amp;$AU$82&amp;"P"&amp;$A150)</f>
        <v>N/A</v>
      </c>
      <c r="EP150" s="3" t="str">
        <f>RTD("tos.rtd",,EP$2,"."&amp;$D$134&amp;$AW$82&amp;"C"&amp;$A150)</f>
        <v>N/A</v>
      </c>
      <c r="EQ150" s="3" t="str">
        <f>RTD("tos.rtd",,EQ$2,"."&amp;$D$134&amp;$AW$82&amp;"P"&amp;$A150)</f>
        <v>N/A</v>
      </c>
      <c r="ET150" s="64" t="str">
        <f t="shared" ca="1" si="574"/>
        <v>20180,00.00</v>
      </c>
      <c r="EU150" s="68">
        <v>564.20000000000005</v>
      </c>
      <c r="EV150" s="68" t="s">
        <v>1220</v>
      </c>
      <c r="EW150" s="68">
        <v>485.29</v>
      </c>
      <c r="EX150" s="68" t="s">
        <v>1221</v>
      </c>
      <c r="EY150" s="68">
        <v>5657.5</v>
      </c>
      <c r="EZ150" s="68" t="s">
        <v>1222</v>
      </c>
      <c r="FA150" s="68">
        <v>19940</v>
      </c>
      <c r="FB150" s="68" t="s">
        <v>1223</v>
      </c>
      <c r="FC150" s="68" t="s">
        <v>1224</v>
      </c>
      <c r="FD150" s="68" t="s">
        <v>1225</v>
      </c>
      <c r="FE150" s="68" t="s">
        <v>1226</v>
      </c>
      <c r="FF150" s="68" t="s">
        <v>1227</v>
      </c>
    </row>
    <row r="151" spans="1:162" ht="11.1" customHeight="1" thickBot="1" x14ac:dyDescent="0.25">
      <c r="A151" s="2">
        <f t="shared" si="583"/>
        <v>20160</v>
      </c>
      <c r="B151" s="3">
        <f t="shared" si="598"/>
        <v>1</v>
      </c>
      <c r="C151" s="3">
        <f t="shared" si="599"/>
        <v>0</v>
      </c>
      <c r="D151" s="3">
        <f t="shared" si="600"/>
        <v>0</v>
      </c>
      <c r="E151" s="3">
        <f t="shared" si="601"/>
        <v>1</v>
      </c>
      <c r="F151" s="4">
        <f t="shared" si="602"/>
        <v>20260.338443161458</v>
      </c>
      <c r="G151" s="5">
        <f t="shared" si="603"/>
        <v>490.61485168226159</v>
      </c>
      <c r="AM151" s="1">
        <v>38</v>
      </c>
      <c r="AN151" s="1" t="e">
        <v>#N/A</v>
      </c>
      <c r="AO151" s="1">
        <v>20160</v>
      </c>
      <c r="AP151" s="1">
        <v>712</v>
      </c>
      <c r="AQ151" s="1">
        <v>-87</v>
      </c>
      <c r="AS151" s="54">
        <f>IF(RTD("tos.rtd",,AS$83,"."&amp;$B$134&amp;$AS$82&amp;"C"&amp;$A151)="N/A",0,RTD("tos.rtd",,AS$83,"."&amp;$B$134&amp;$AS$82&amp;"C"&amp;$A151))</f>
        <v>1</v>
      </c>
      <c r="AT151" s="3">
        <f>-IF(RTD("tos.rtd",,AT$83,"."&amp;$B$134&amp;$AS$82&amp;"P"&amp;$A151)="N/A",0,RTD("tos.rtd",,AT$83,"."&amp;$B$134&amp;$AS$82&amp;"P"&amp;$A151))</f>
        <v>0</v>
      </c>
      <c r="AU151" s="54">
        <f>IF(RTD("tos.rtd",,AU$2,"."&amp;$C$134&amp;$AU$134&amp;"C"&amp;$A151)="N/A",0,RTD("tos.rtd",,AU$2,"."&amp;$C$134&amp;$AU$134&amp;"C"&amp;$A151))</f>
        <v>0</v>
      </c>
      <c r="AV151" s="3">
        <f>-IF(RTD("tos.rtd",,AV$2,"."&amp;$C$134&amp;$AU$134&amp;"P"&amp;$A151)="N/A",0,RTD("tos.rtd",,AV$2,"."&amp;$C$134&amp;$AU$134&amp;"P"&amp;$A151))</f>
        <v>0</v>
      </c>
      <c r="AW151" s="54">
        <f>IF(RTD("tos.rtd",,AW$2,"."&amp;$D$134&amp;$AW$134&amp;"C"&amp;$A151)="N/A",0,RTD("tos.rtd",,AW$2,"."&amp;$D$134&amp;$AW$134&amp;"C"&amp;$A151))</f>
        <v>0</v>
      </c>
      <c r="AX151" s="3">
        <f>-IF(RTD("tos.rtd",,AX$2,"."&amp;$D$134&amp;$AW$134&amp;"P"&amp;$A151)="N/A",0,RTD("tos.rtd",,AX$2,"."&amp;$D$134&amp;$AW$134&amp;"P"&amp;$A151))</f>
        <v>0</v>
      </c>
      <c r="AY151" s="76">
        <f t="shared" si="604"/>
        <v>1</v>
      </c>
      <c r="AZ151" s="8">
        <f t="shared" si="539"/>
        <v>20160</v>
      </c>
      <c r="BA151" s="54">
        <f>IF(RTD("tos.rtd",,BA$43,"."&amp;$B$134&amp;$AS$82&amp;"C"&amp;$A151)="N/A",0,RTD("tos.rtd",,BA$43,"."&amp;$B$134&amp;$AS$82&amp;"C"&amp;$A151))</f>
        <v>712</v>
      </c>
      <c r="BB151" s="3">
        <f>-IF(RTD("tos.rtd",,BB$43,"."&amp;$B$134&amp;$AS$82&amp;"P"&amp;$A151)="N/A",0,RTD("tos.rtd",,BB$43,"."&amp;$B$134&amp;$AS$82&amp;"P"&amp;$A151))</f>
        <v>-87</v>
      </c>
      <c r="BC151" s="54">
        <f>IF(RTD("tos.rtd",,BC$2,"."&amp;$C$134&amp;$AU$82&amp;"C"&amp;$A151)="N/A",0,RTD("tos.rtd",,BC$2,"."&amp;$C$134&amp;$AU$82&amp;"C"&amp;$A151))</f>
        <v>0</v>
      </c>
      <c r="BD151" s="3">
        <f>-IF(RTD("tos.rtd",,BD$2,"."&amp;$C$134&amp;$AU$82&amp;"P"&amp;$A151)="N/A",0,RTD("tos.rtd",,BD$2,"."&amp;$C$134&amp;$AU$82&amp;"P"&amp;$A151))</f>
        <v>0</v>
      </c>
      <c r="BE151" s="54">
        <f>IF(RTD("tos.rtd",,BE$2,"."&amp;$D$134&amp;$AW$82&amp;"C"&amp;$A151)="N/A",0,RTD("tos.rtd",,BE$2,"."&amp;$D$134&amp;$AW$82&amp;"C"&amp;$A151))</f>
        <v>0</v>
      </c>
      <c r="BF151" s="3">
        <f>-IF(RTD("tos.rtd",,BF$2,"."&amp;$D$134&amp;$AW$82&amp;"P"&amp;$A151)="N/A",0,RTD("tos.rtd",,BF$2,"."&amp;$D$134&amp;$AW$82&amp;"P"&amp;$A151))</f>
        <v>0</v>
      </c>
      <c r="BG151" s="3" t="e">
        <f ca="1">+Hoja2!Y152</f>
        <v>#N/A</v>
      </c>
      <c r="BH151" s="7" t="e">
        <f t="shared" ca="1" si="540"/>
        <v>#N/A</v>
      </c>
      <c r="BI151" s="32" t="e">
        <f t="shared" ca="1" si="597"/>
        <v>#N/A</v>
      </c>
      <c r="BJ151" s="3" t="e">
        <f ca="1">IF($BP$1=1,DX151,IF(RTD("tos.rtd",,BJ$43,"."&amp;$B$134&amp;$AS$82&amp;"C"&amp;$A151)="N/A",0,RTD("tos.rtd",,BJ$43,"."&amp;$B$134&amp;$AS$82&amp;"C"&amp;$A151)))</f>
        <v>#NUM!</v>
      </c>
      <c r="BK151" s="3" t="e">
        <f ca="1">IF($BP$1=1,DY151,-IF(RTD("tos.rtd",,BK$43,"."&amp;$B$134&amp;$AS$82&amp;"P"&amp;$A151)="N/A",0,RTD("tos.rtd",,BK$43,"."&amp;$B$134&amp;$AS$82&amp;"P"&amp;$A151)))</f>
        <v>#NUM!</v>
      </c>
      <c r="BL151" s="3">
        <f ca="1">IF($BP$1=1,DZ151,IF(RTD("tos.rtd",,BL$2,"."&amp;$C$134&amp;$AU$82&amp;"C"&amp;$A151)="N/A",0,RTD("tos.rtd",,BL$2,"."&amp;$C$134&amp;$AU$82&amp;"C"&amp;$A151)))</f>
        <v>4.8921486128153131E-4</v>
      </c>
      <c r="BM151" s="3">
        <f ca="1">IF($BP$1=1,EA151,-IF(RTD("tos.rtd",,BM$2,"."&amp;$C$134&amp;$AU$82&amp;"P"&amp;$A151)="N/A",0,RTD("tos.rtd",,BM$2,"."&amp;$C$134&amp;$AU$82&amp;"P"&amp;$A151)))</f>
        <v>-4.8921486128153131E-4</v>
      </c>
      <c r="BN151" s="3">
        <f ca="1">IF($BP$1=1,EB151,IF(RTD("tos.rtd",,BN$2,"."&amp;$D$134&amp;$AW$82&amp;"C"&amp;$A151)="N/A",0,RTD("tos.rtd",,BN$2,"."&amp;$D$134&amp;$AW$82&amp;"C"&amp;$A151)))</f>
        <v>4.8921486128153131E-4</v>
      </c>
      <c r="BO151" s="3">
        <f ca="1">IF($BP$1=1,EC151,-IF(RTD("tos.rtd",,BO$2,"."&amp;$D$134&amp;$AW$82&amp;"P"&amp;$A151)="N/A",0,RTD("tos.rtd",,BO$2,"."&amp;$D$134&amp;$AW$82&amp;"P"&amp;$A151)))</f>
        <v>-4.8921486128153131E-4</v>
      </c>
      <c r="BQ151" s="3" t="e">
        <f t="shared" ca="1" si="605"/>
        <v>#NUM!</v>
      </c>
      <c r="BR151" s="3" t="e">
        <f t="shared" ca="1" si="541"/>
        <v>#NUM!</v>
      </c>
      <c r="BS151" s="3">
        <f t="shared" ca="1" si="606"/>
        <v>0</v>
      </c>
      <c r="BT151" s="3" t="str">
        <f t="shared" ca="1" si="542"/>
        <v/>
      </c>
      <c r="BU151" s="3">
        <f t="shared" ca="1" si="607"/>
        <v>0</v>
      </c>
      <c r="BV151" s="3" t="str">
        <f t="shared" ca="1" si="542"/>
        <v/>
      </c>
      <c r="BX151" s="3" t="e">
        <f t="shared" ca="1" si="575"/>
        <v>#NUM!</v>
      </c>
      <c r="BY151" s="3" t="e">
        <f t="shared" ca="1" si="576"/>
        <v>#NUM!</v>
      </c>
      <c r="BZ151" s="3">
        <f t="shared" ca="1" si="577"/>
        <v>0</v>
      </c>
      <c r="CA151" s="3" t="str">
        <f t="shared" ca="1" si="576"/>
        <v/>
      </c>
      <c r="CB151" s="3">
        <f t="shared" ca="1" si="578"/>
        <v>0</v>
      </c>
      <c r="CC151" s="3" t="str">
        <f t="shared" ca="1" si="576"/>
        <v/>
      </c>
      <c r="CD151" s="3">
        <f>IF(RTD("tos.rtd",,CD$43,"."&amp;$B$134&amp;$AS$82&amp;"C"&amp;$A151)="N/A",0,RTD("tos.rtd",,CD$43,"."&amp;$B$134&amp;$AS$82&amp;"C"&amp;$A151))</f>
        <v>0.01</v>
      </c>
      <c r="CE151" s="3">
        <f>-IF(RTD("tos.rtd",,CE$43,"."&amp;$B$134&amp;$AS$82&amp;"P"&amp;$A151)="N/A",0,RTD("tos.rtd",,CE$43,"."&amp;$B$134&amp;$AS$82&amp;"P"&amp;$A151))</f>
        <v>0.8</v>
      </c>
      <c r="CF151" s="3">
        <f>IF(RTD("tos.rtd",,CF$2,"."&amp;$C$134&amp;$AU$82&amp;"C"&amp;$A151)="N/A",0,RTD("tos.rtd",,CF$2,"."&amp;$C$134&amp;$AU$82&amp;"C"&amp;$A151))</f>
        <v>0</v>
      </c>
      <c r="CG151" s="3">
        <f>-IF(RTD("tos.rtd",,CG$2,"."&amp;$C$134&amp;$AU$82&amp;"P"&amp;$A151)="N/A",0,RTD("tos.rtd",,CG$2,"."&amp;$C$134&amp;$AU$82&amp;"P"&amp;$A151))</f>
        <v>0</v>
      </c>
      <c r="CH151" s="3">
        <f>IF(RTD("tos.rtd",,CH$2,"."&amp;$D$134&amp;$AW$82&amp;"C"&amp;$A151)="N/A",0,RTD("tos.rtd",,CH$2,"."&amp;$D$134&amp;$AW$82&amp;"C"&amp;$A151))</f>
        <v>0</v>
      </c>
      <c r="CI151" s="3">
        <f>-IF(RTD("tos.rtd",,CI$2,"."&amp;$D$134&amp;$AW$82&amp;"P"&amp;$A151)="N/A",0,RTD("tos.rtd",,CI$2,"."&amp;$D$134&amp;$AW$82&amp;"P"&amp;$A151))</f>
        <v>0</v>
      </c>
      <c r="CK151" s="3">
        <f t="shared" si="608"/>
        <v>1</v>
      </c>
      <c r="CL151" s="3"/>
      <c r="CM151" s="3">
        <f t="shared" si="609"/>
        <v>0</v>
      </c>
      <c r="CN151" s="3"/>
      <c r="CO151" s="3">
        <f t="shared" si="610"/>
        <v>0</v>
      </c>
      <c r="CP151" s="3">
        <f t="shared" si="533"/>
        <v>1</v>
      </c>
      <c r="CQ151" s="3">
        <f t="shared" si="543"/>
        <v>625</v>
      </c>
      <c r="CR151" s="3"/>
      <c r="CS151" s="3">
        <f t="shared" si="544"/>
        <v>0</v>
      </c>
      <c r="CT151" s="3"/>
      <c r="CU151" s="3">
        <f t="shared" si="545"/>
        <v>0</v>
      </c>
      <c r="CV151" s="3"/>
      <c r="CW151" s="3" t="e">
        <f t="shared" ca="1" si="546"/>
        <v>#NUM!</v>
      </c>
      <c r="CY151" s="3" t="e">
        <f t="shared" ca="1" si="547"/>
        <v>#NUM!</v>
      </c>
      <c r="CZ151" s="70" t="e">
        <f t="shared" ca="1" si="579"/>
        <v>#NUM!</v>
      </c>
      <c r="DA151" s="3">
        <f>IF(RTD("tos.rtd",,DA$43,"."&amp;$B$134&amp;$AS$82&amp;"C"&amp;$A151)="N/A",0,RTD("tos.rtd",,DA$43,"."&amp;$B$134&amp;$AS$82&amp;"C"&amp;$A151))</f>
        <v>0.2</v>
      </c>
      <c r="DB151" s="3">
        <f>IF(RTD("tos.rtd",,DB$43,"."&amp;$B$134&amp;$AS$82&amp;"P"&amp;$A151)="N/A",0,RTD("tos.rtd",,DB$43,"."&amp;$B$134&amp;$AS$82&amp;"P"&amp;$A151))</f>
        <v>49</v>
      </c>
      <c r="DC151" s="3">
        <f>IF(RTD("tos.rtd",,DC$43,"."&amp;$B$134&amp;$AS$82&amp;"C"&amp;$A151)="N/A",0,RTD("tos.rtd",,DC$43,"."&amp;$B$134&amp;$AS$82&amp;"C"&amp;$A151))</f>
        <v>0.25</v>
      </c>
      <c r="DD151" s="3">
        <f>IF(RTD("tos.rtd",,DD$43,"."&amp;$B$134&amp;$AS$82&amp;"P"&amp;$A151)="N/A",0,RTD("tos.rtd",,DD$43,"."&amp;$B$134&amp;$AS$82&amp;"P"&amp;$A151))</f>
        <v>67.2</v>
      </c>
      <c r="DE151" s="3">
        <f>IF(RTD("tos.rtd",,DE$43,"."&amp;$B$134&amp;$AS$82&amp;"C"&amp;$A151)="N/A",0,RTD("tos.rtd",,DE$43,"."&amp;$B$134&amp;$AS$82&amp;"C"&amp;$A151))</f>
        <v>0</v>
      </c>
      <c r="DF151" s="3">
        <f>IF(RTD("tos.rtd",,DF$43,"."&amp;$B$134&amp;$AS$82&amp;"P"&amp;$A151)="N/A",0,RTD("tos.rtd",,DF$43,"."&amp;$B$134&amp;$AS$82&amp;"P"&amp;$A151))</f>
        <v>62</v>
      </c>
      <c r="DG151" s="86">
        <f t="shared" si="580"/>
        <v>68</v>
      </c>
      <c r="DH151" s="3">
        <f t="shared" si="548"/>
        <v>0</v>
      </c>
      <c r="DI151" s="3">
        <f t="shared" si="549"/>
        <v>0</v>
      </c>
      <c r="DJ151" s="3">
        <f t="shared" si="550"/>
        <v>0</v>
      </c>
      <c r="DK151" s="3">
        <f t="shared" si="551"/>
        <v>0</v>
      </c>
      <c r="DL151" s="3">
        <f t="shared" si="552"/>
        <v>0</v>
      </c>
      <c r="DM151" s="3">
        <f t="shared" si="553"/>
        <v>0</v>
      </c>
      <c r="DN151" s="64" t="str">
        <f t="shared" si="554"/>
        <v>UNKNOWN</v>
      </c>
      <c r="DO151" s="64" t="str">
        <f t="shared" si="555"/>
        <v>UNKNOWN</v>
      </c>
      <c r="DP151" s="3">
        <f t="shared" si="556"/>
        <v>0</v>
      </c>
      <c r="DQ151" s="3">
        <f t="shared" si="557"/>
        <v>0</v>
      </c>
      <c r="DR151" s="3" t="e">
        <f t="shared" ca="1" si="558"/>
        <v>#NUM!</v>
      </c>
      <c r="DS151" s="3">
        <f t="shared" si="559"/>
        <v>0</v>
      </c>
      <c r="DT151" s="3">
        <f t="shared" si="581"/>
        <v>0</v>
      </c>
      <c r="DU151" s="3">
        <f t="shared" si="582"/>
        <v>0</v>
      </c>
      <c r="DV151" s="3">
        <f t="shared" si="560"/>
        <v>38</v>
      </c>
      <c r="DW151" s="3" t="e">
        <f t="shared" si="561"/>
        <v>#N/A</v>
      </c>
      <c r="DX151" s="3" t="e">
        <f t="shared" ca="1" si="562"/>
        <v>#NUM!</v>
      </c>
      <c r="DY151" s="3" t="e">
        <f t="shared" ca="1" si="563"/>
        <v>#NUM!</v>
      </c>
      <c r="DZ151" s="3">
        <f t="shared" ca="1" si="564"/>
        <v>4.8921486128153131E-4</v>
      </c>
      <c r="EA151" s="3">
        <f t="shared" ca="1" si="565"/>
        <v>-4.8921486128153131E-4</v>
      </c>
      <c r="EB151" s="3">
        <f t="shared" ca="1" si="566"/>
        <v>4.8921486128153131E-4</v>
      </c>
      <c r="EC151" s="3">
        <f t="shared" ca="1" si="567"/>
        <v>-4.8921486128153131E-4</v>
      </c>
      <c r="EE151" s="59">
        <f t="shared" si="568"/>
        <v>0.17100000000000001</v>
      </c>
      <c r="EF151" s="59">
        <f t="shared" si="569"/>
        <v>0.44</v>
      </c>
      <c r="EG151" s="59">
        <f t="shared" si="570"/>
        <v>0.25</v>
      </c>
      <c r="EH151" s="59">
        <f t="shared" si="571"/>
        <v>0.25</v>
      </c>
      <c r="EI151" s="59">
        <f t="shared" si="572"/>
        <v>0.25</v>
      </c>
      <c r="EJ151" s="59">
        <f t="shared" si="573"/>
        <v>0.25</v>
      </c>
      <c r="EL151" s="3" t="str">
        <f>RTD("tos.rtd",,EL$43,"."&amp;$B$134&amp;$AS$82&amp;"C"&amp;$A151)</f>
        <v>17.10%</v>
      </c>
      <c r="EM151" s="3" t="str">
        <f>RTD("tos.rtd",,EM$43,"."&amp;$B$134&amp;$AS$82&amp;"P"&amp;$A151)</f>
        <v>44.00%</v>
      </c>
      <c r="EN151" s="3" t="str">
        <f>RTD("tos.rtd",,EN$2,"."&amp;$C$134&amp;$AU$82&amp;"C"&amp;$A151)</f>
        <v>N/A</v>
      </c>
      <c r="EO151" s="3" t="str">
        <f>RTD("tos.rtd",,EO$2,"."&amp;$C$134&amp;$AU$82&amp;"P"&amp;$A151)</f>
        <v>N/A</v>
      </c>
      <c r="EP151" s="3" t="str">
        <f>RTD("tos.rtd",,EP$2,"."&amp;$D$134&amp;$AW$82&amp;"C"&amp;$A151)</f>
        <v>N/A</v>
      </c>
      <c r="EQ151" s="3" t="str">
        <f>RTD("tos.rtd",,EQ$2,"."&amp;$D$134&amp;$AW$82&amp;"P"&amp;$A151)</f>
        <v>N/A</v>
      </c>
      <c r="ET151" s="64" t="str">
        <f t="shared" ca="1" si="574"/>
        <v>20160,00.00</v>
      </c>
      <c r="EU151" s="68">
        <v>564.46</v>
      </c>
      <c r="EV151" s="68" t="s">
        <v>1228</v>
      </c>
      <c r="EW151" s="68">
        <v>485.89</v>
      </c>
      <c r="EX151" s="68" t="s">
        <v>1229</v>
      </c>
      <c r="EY151" s="68">
        <v>5660.5</v>
      </c>
      <c r="EZ151" s="68" t="s">
        <v>1230</v>
      </c>
      <c r="FA151" s="68">
        <v>19964</v>
      </c>
      <c r="FB151" s="68" t="s">
        <v>1231</v>
      </c>
      <c r="FC151" s="68" t="s">
        <v>1232</v>
      </c>
      <c r="FD151" s="68" t="s">
        <v>1233</v>
      </c>
      <c r="FE151" s="68" t="s">
        <v>1234</v>
      </c>
      <c r="FF151" s="68" t="s">
        <v>1235</v>
      </c>
    </row>
    <row r="152" spans="1:162" ht="11.1" customHeight="1" thickBot="1" x14ac:dyDescent="0.25">
      <c r="A152" s="2">
        <f t="shared" si="583"/>
        <v>20140</v>
      </c>
      <c r="B152" s="3">
        <f t="shared" si="598"/>
        <v>19</v>
      </c>
      <c r="C152" s="3">
        <f t="shared" si="599"/>
        <v>0</v>
      </c>
      <c r="D152" s="3">
        <f t="shared" si="600"/>
        <v>0</v>
      </c>
      <c r="E152" s="3">
        <f t="shared" si="601"/>
        <v>19</v>
      </c>
      <c r="F152" s="4">
        <f t="shared" si="602"/>
        <v>20240.238901055149</v>
      </c>
      <c r="G152" s="5">
        <f t="shared" si="603"/>
        <v>490.12813059924343</v>
      </c>
      <c r="AM152" s="1" t="e">
        <v>#N/A</v>
      </c>
      <c r="AN152" s="1" t="e">
        <v>#N/A</v>
      </c>
      <c r="AO152" s="1">
        <v>20140</v>
      </c>
      <c r="AP152" s="1">
        <v>509</v>
      </c>
      <c r="AQ152" s="1">
        <v>-258</v>
      </c>
      <c r="AS152" s="54">
        <f>IF(RTD("tos.rtd",,AS$83,"."&amp;$B$134&amp;$AS$82&amp;"C"&amp;$A152)="N/A",0,RTD("tos.rtd",,AS$83,"."&amp;$B$134&amp;$AS$82&amp;"C"&amp;$A152))</f>
        <v>19</v>
      </c>
      <c r="AT152" s="3">
        <f>-IF(RTD("tos.rtd",,AT$83,"."&amp;$B$134&amp;$AS$82&amp;"P"&amp;$A152)="N/A",0,RTD("tos.rtd",,AT$83,"."&amp;$B$134&amp;$AS$82&amp;"P"&amp;$A152))</f>
        <v>0</v>
      </c>
      <c r="AU152" s="54">
        <f>IF(RTD("tos.rtd",,AU$2,"."&amp;$C$134&amp;$AU$134&amp;"C"&amp;$A152)="N/A",0,RTD("tos.rtd",,AU$2,"."&amp;$C$134&amp;$AU$134&amp;"C"&amp;$A152))</f>
        <v>0</v>
      </c>
      <c r="AV152" s="3">
        <f>-IF(RTD("tos.rtd",,AV$2,"."&amp;$C$134&amp;$AU$134&amp;"P"&amp;$A152)="N/A",0,RTD("tos.rtd",,AV$2,"."&amp;$C$134&amp;$AU$134&amp;"P"&amp;$A152))</f>
        <v>0</v>
      </c>
      <c r="AW152" s="54">
        <f>IF(RTD("tos.rtd",,AW$2,"."&amp;$D$134&amp;$AW$134&amp;"C"&amp;$A152)="N/A",0,RTD("tos.rtd",,AW$2,"."&amp;$D$134&amp;$AW$134&amp;"C"&amp;$A152))</f>
        <v>0</v>
      </c>
      <c r="AX152" s="3">
        <f>-IF(RTD("tos.rtd",,AX$2,"."&amp;$D$134&amp;$AW$134&amp;"P"&amp;$A152)="N/A",0,RTD("tos.rtd",,AX$2,"."&amp;$D$134&amp;$AW$134&amp;"P"&amp;$A152))</f>
        <v>0</v>
      </c>
      <c r="AY152" s="76">
        <f t="shared" si="604"/>
        <v>19</v>
      </c>
      <c r="AZ152" s="8">
        <f t="shared" si="539"/>
        <v>20140</v>
      </c>
      <c r="BA152" s="54">
        <f>IF(RTD("tos.rtd",,BA$43,"."&amp;$B$134&amp;$AS$82&amp;"C"&amp;$A152)="N/A",0,RTD("tos.rtd",,BA$43,"."&amp;$B$134&amp;$AS$82&amp;"C"&amp;$A152))</f>
        <v>509</v>
      </c>
      <c r="BB152" s="3">
        <f>-IF(RTD("tos.rtd",,BB$43,"."&amp;$B$134&amp;$AS$82&amp;"P"&amp;$A152)="N/A",0,RTD("tos.rtd",,BB$43,"."&amp;$B$134&amp;$AS$82&amp;"P"&amp;$A152))</f>
        <v>-258</v>
      </c>
      <c r="BC152" s="54">
        <f>IF(RTD("tos.rtd",,BC$2,"."&amp;$C$134&amp;$AU$82&amp;"C"&amp;$A152)="N/A",0,RTD("tos.rtd",,BC$2,"."&amp;$C$134&amp;$AU$82&amp;"C"&amp;$A152))</f>
        <v>0</v>
      </c>
      <c r="BD152" s="3">
        <f>-IF(RTD("tos.rtd",,BD$2,"."&amp;$C$134&amp;$AU$82&amp;"P"&amp;$A152)="N/A",0,RTD("tos.rtd",,BD$2,"."&amp;$C$134&amp;$AU$82&amp;"P"&amp;$A152))</f>
        <v>0</v>
      </c>
      <c r="BE152" s="54">
        <f>IF(RTD("tos.rtd",,BE$2,"."&amp;$D$134&amp;$AW$82&amp;"C"&amp;$A152)="N/A",0,RTD("tos.rtd",,BE$2,"."&amp;$D$134&amp;$AW$82&amp;"C"&amp;$A152))</f>
        <v>0</v>
      </c>
      <c r="BF152" s="3">
        <f>-IF(RTD("tos.rtd",,BF$2,"."&amp;$D$134&amp;$AW$82&amp;"P"&amp;$A152)="N/A",0,RTD("tos.rtd",,BF$2,"."&amp;$D$134&amp;$AW$82&amp;"P"&amp;$A152))</f>
        <v>0</v>
      </c>
      <c r="BG152" s="3" t="e">
        <f ca="1">+Hoja2!Y153</f>
        <v>#N/A</v>
      </c>
      <c r="BH152" s="7" t="e">
        <f t="shared" ca="1" si="540"/>
        <v>#N/A</v>
      </c>
      <c r="BI152" s="32" t="e">
        <f t="shared" ca="1" si="597"/>
        <v>#N/A</v>
      </c>
      <c r="BJ152" s="3" t="e">
        <f ca="1">IF($BP$1=1,DX152,IF(RTD("tos.rtd",,BJ$43,"."&amp;$B$134&amp;$AS$82&amp;"C"&amp;$A152)="N/A",0,RTD("tos.rtd",,BJ$43,"."&amp;$B$134&amp;$AS$82&amp;"C"&amp;$A152)))</f>
        <v>#NUM!</v>
      </c>
      <c r="BK152" s="3" t="e">
        <f ca="1">IF($BP$1=1,DY152,-IF(RTD("tos.rtd",,BK$43,"."&amp;$B$134&amp;$AS$82&amp;"P"&amp;$A152)="N/A",0,RTD("tos.rtd",,BK$43,"."&amp;$B$134&amp;$AS$82&amp;"P"&amp;$A152)))</f>
        <v>#NUM!</v>
      </c>
      <c r="BL152" s="3">
        <f ca="1">IF($BP$1=1,DZ152,IF(RTD("tos.rtd",,BL$2,"."&amp;$C$134&amp;$AU$82&amp;"C"&amp;$A152)="N/A",0,RTD("tos.rtd",,BL$2,"."&amp;$C$134&amp;$AU$82&amp;"C"&amp;$A152)))</f>
        <v>4.8949658846817097E-4</v>
      </c>
      <c r="BM152" s="3">
        <f ca="1">IF($BP$1=1,EA152,-IF(RTD("tos.rtd",,BM$2,"."&amp;$C$134&amp;$AU$82&amp;"P"&amp;$A152)="N/A",0,RTD("tos.rtd",,BM$2,"."&amp;$C$134&amp;$AU$82&amp;"P"&amp;$A152)))</f>
        <v>-4.8949658846817097E-4</v>
      </c>
      <c r="BN152" s="3">
        <f ca="1">IF($BP$1=1,EB152,IF(RTD("tos.rtd",,BN$2,"."&amp;$D$134&amp;$AW$82&amp;"C"&amp;$A152)="N/A",0,RTD("tos.rtd",,BN$2,"."&amp;$D$134&amp;$AW$82&amp;"C"&amp;$A152)))</f>
        <v>4.8949658846817097E-4</v>
      </c>
      <c r="BO152" s="3">
        <f ca="1">IF($BP$1=1,EC152,-IF(RTD("tos.rtd",,BO$2,"."&amp;$D$134&amp;$AW$82&amp;"P"&amp;$A152)="N/A",0,RTD("tos.rtd",,BO$2,"."&amp;$D$134&amp;$AW$82&amp;"P"&amp;$A152)))</f>
        <v>-4.8949658846817097E-4</v>
      </c>
      <c r="BQ152" s="3" t="e">
        <f t="shared" ca="1" si="605"/>
        <v>#NUM!</v>
      </c>
      <c r="BR152" s="3" t="e">
        <f t="shared" ca="1" si="541"/>
        <v>#NUM!</v>
      </c>
      <c r="BS152" s="3">
        <f t="shared" ca="1" si="606"/>
        <v>0</v>
      </c>
      <c r="BT152" s="3" t="str">
        <f t="shared" ca="1" si="542"/>
        <v/>
      </c>
      <c r="BU152" s="3">
        <f t="shared" ca="1" si="607"/>
        <v>0</v>
      </c>
      <c r="BV152" s="3" t="str">
        <f t="shared" ca="1" si="542"/>
        <v/>
      </c>
      <c r="BX152" s="3" t="e">
        <f t="shared" ca="1" si="575"/>
        <v>#NUM!</v>
      </c>
      <c r="BY152" s="3" t="e">
        <f t="shared" ca="1" si="576"/>
        <v>#NUM!</v>
      </c>
      <c r="BZ152" s="3">
        <f t="shared" ca="1" si="577"/>
        <v>0</v>
      </c>
      <c r="CA152" s="3" t="str">
        <f t="shared" ca="1" si="576"/>
        <v/>
      </c>
      <c r="CB152" s="3">
        <f t="shared" ca="1" si="578"/>
        <v>0</v>
      </c>
      <c r="CC152" s="3" t="str">
        <f t="shared" ca="1" si="576"/>
        <v/>
      </c>
      <c r="CD152" s="3">
        <f>IF(RTD("tos.rtd",,CD$43,"."&amp;$B$134&amp;$AS$82&amp;"C"&amp;$A152)="N/A",0,RTD("tos.rtd",,CD$43,"."&amp;$B$134&amp;$AS$82&amp;"C"&amp;$A152))</f>
        <v>0.11</v>
      </c>
      <c r="CE152" s="3">
        <f>-IF(RTD("tos.rtd",,CE$43,"."&amp;$B$134&amp;$AS$82&amp;"P"&amp;$A152)="N/A",0,RTD("tos.rtd",,CE$43,"."&amp;$B$134&amp;$AS$82&amp;"P"&amp;$A152))</f>
        <v>0.69</v>
      </c>
      <c r="CF152" s="3">
        <f>IF(RTD("tos.rtd",,CF$2,"."&amp;$C$134&amp;$AU$82&amp;"C"&amp;$A152)="N/A",0,RTD("tos.rtd",,CF$2,"."&amp;$C$134&amp;$AU$82&amp;"C"&amp;$A152))</f>
        <v>0</v>
      </c>
      <c r="CG152" s="3">
        <f>-IF(RTD("tos.rtd",,CG$2,"."&amp;$C$134&amp;$AU$82&amp;"P"&amp;$A152)="N/A",0,RTD("tos.rtd",,CG$2,"."&amp;$C$134&amp;$AU$82&amp;"P"&amp;$A152))</f>
        <v>0</v>
      </c>
      <c r="CH152" s="3">
        <f>IF(RTD("tos.rtd",,CH$2,"."&amp;$D$134&amp;$AW$82&amp;"C"&amp;$A152)="N/A",0,RTD("tos.rtd",,CH$2,"."&amp;$D$134&amp;$AW$82&amp;"C"&amp;$A152))</f>
        <v>0</v>
      </c>
      <c r="CI152" s="3">
        <f>-IF(RTD("tos.rtd",,CI$2,"."&amp;$D$134&amp;$AW$82&amp;"P"&amp;$A152)="N/A",0,RTD("tos.rtd",,CI$2,"."&amp;$D$134&amp;$AW$82&amp;"P"&amp;$A152))</f>
        <v>0</v>
      </c>
      <c r="CK152" s="3">
        <f t="shared" si="608"/>
        <v>209</v>
      </c>
      <c r="CL152" s="3"/>
      <c r="CM152" s="3">
        <f t="shared" si="609"/>
        <v>0</v>
      </c>
      <c r="CN152" s="3"/>
      <c r="CO152" s="3">
        <f t="shared" si="610"/>
        <v>0</v>
      </c>
      <c r="CP152" s="3">
        <f t="shared" si="533"/>
        <v>209</v>
      </c>
      <c r="CQ152" s="3">
        <f t="shared" si="543"/>
        <v>251</v>
      </c>
      <c r="CR152" s="3"/>
      <c r="CS152" s="3">
        <f t="shared" si="544"/>
        <v>0</v>
      </c>
      <c r="CT152" s="3"/>
      <c r="CU152" s="3">
        <f t="shared" si="545"/>
        <v>0</v>
      </c>
      <c r="CV152" s="3"/>
      <c r="CW152" s="3" t="e">
        <f t="shared" ca="1" si="546"/>
        <v>#NUM!</v>
      </c>
      <c r="CY152" s="3" t="e">
        <f t="shared" ca="1" si="547"/>
        <v>#NUM!</v>
      </c>
      <c r="CZ152" s="70" t="e">
        <f t="shared" ca="1" si="579"/>
        <v>#NUM!</v>
      </c>
      <c r="DA152" s="3">
        <f>IF(RTD("tos.rtd",,DA$43,"."&amp;$B$134&amp;$AS$82&amp;"C"&amp;$A152)="N/A",0,RTD("tos.rtd",,DA$43,"."&amp;$B$134&amp;$AS$82&amp;"C"&amp;$A152))</f>
        <v>1.28</v>
      </c>
      <c r="DB152" s="3">
        <f>IF(RTD("tos.rtd",,DB$43,"."&amp;$B$134&amp;$AS$82&amp;"P"&amp;$A152)="N/A",0,RTD("tos.rtd",,DB$43,"."&amp;$B$134&amp;$AS$82&amp;"P"&amp;$A152))</f>
        <v>50.4</v>
      </c>
      <c r="DC152" s="3">
        <f>IF(RTD("tos.rtd",,DC$43,"."&amp;$B$134&amp;$AS$82&amp;"C"&amp;$A152)="N/A",0,RTD("tos.rtd",,DC$43,"."&amp;$B$134&amp;$AS$82&amp;"C"&amp;$A152))</f>
        <v>3</v>
      </c>
      <c r="DD152" s="3">
        <f>IF(RTD("tos.rtd",,DD$43,"."&amp;$B$134&amp;$AS$82&amp;"P"&amp;$A152)="N/A",0,RTD("tos.rtd",,DD$43,"."&amp;$B$134&amp;$AS$82&amp;"P"&amp;$A152))</f>
        <v>61.5</v>
      </c>
      <c r="DE152" s="3">
        <f>IF(RTD("tos.rtd",,DE$43,"."&amp;$B$134&amp;$AS$82&amp;"C"&amp;$A152)="N/A",0,RTD("tos.rtd",,DE$43,"."&amp;$B$134&amp;$AS$82&amp;"C"&amp;$A152))</f>
        <v>0</v>
      </c>
      <c r="DF152" s="3">
        <f>IF(RTD("tos.rtd",,DF$43,"."&amp;$B$134&amp;$AS$82&amp;"P"&amp;$A152)="N/A",0,RTD("tos.rtd",,DF$43,"."&amp;$B$134&amp;$AS$82&amp;"P"&amp;$A152))</f>
        <v>42</v>
      </c>
      <c r="DG152" s="86">
        <f t="shared" si="580"/>
        <v>48</v>
      </c>
      <c r="DH152" s="3">
        <f t="shared" si="548"/>
        <v>0</v>
      </c>
      <c r="DI152" s="3">
        <f t="shared" si="549"/>
        <v>0</v>
      </c>
      <c r="DJ152" s="3">
        <f t="shared" si="550"/>
        <v>0</v>
      </c>
      <c r="DK152" s="3">
        <f t="shared" si="551"/>
        <v>0</v>
      </c>
      <c r="DL152" s="3">
        <f t="shared" si="552"/>
        <v>0</v>
      </c>
      <c r="DM152" s="3">
        <f t="shared" si="553"/>
        <v>0</v>
      </c>
      <c r="DN152" s="64" t="str">
        <f t="shared" si="554"/>
        <v>UNKNOWN</v>
      </c>
      <c r="DO152" s="64" t="str">
        <f t="shared" si="555"/>
        <v>UNKNOWN</v>
      </c>
      <c r="DP152" s="3">
        <f t="shared" si="556"/>
        <v>0</v>
      </c>
      <c r="DQ152" s="3">
        <f t="shared" si="557"/>
        <v>0</v>
      </c>
      <c r="DR152" s="3" t="e">
        <f t="shared" ca="1" si="558"/>
        <v>#NUM!</v>
      </c>
      <c r="DS152" s="3">
        <f t="shared" si="559"/>
        <v>0</v>
      </c>
      <c r="DT152" s="3">
        <f t="shared" si="581"/>
        <v>0</v>
      </c>
      <c r="DU152" s="3">
        <f t="shared" si="582"/>
        <v>0</v>
      </c>
      <c r="DV152" s="3" t="e">
        <f t="shared" si="560"/>
        <v>#N/A</v>
      </c>
      <c r="DW152" s="3" t="e">
        <f t="shared" si="561"/>
        <v>#N/A</v>
      </c>
      <c r="DX152" s="3" t="e">
        <f t="shared" ca="1" si="562"/>
        <v>#NUM!</v>
      </c>
      <c r="DY152" s="3" t="e">
        <f t="shared" ca="1" si="563"/>
        <v>#NUM!</v>
      </c>
      <c r="DZ152" s="3">
        <f t="shared" ca="1" si="564"/>
        <v>4.8949658846817097E-4</v>
      </c>
      <c r="EA152" s="3">
        <f t="shared" ca="1" si="565"/>
        <v>-4.8949658846817097E-4</v>
      </c>
      <c r="EB152" s="3">
        <f t="shared" ca="1" si="566"/>
        <v>4.8949658846817097E-4</v>
      </c>
      <c r="EC152" s="3">
        <f t="shared" ca="1" si="567"/>
        <v>-4.8949658846817097E-4</v>
      </c>
      <c r="EE152" s="59">
        <f t="shared" si="568"/>
        <v>0.1961</v>
      </c>
      <c r="EF152" s="59">
        <f t="shared" si="569"/>
        <v>0.48470000000000002</v>
      </c>
      <c r="EG152" s="59">
        <f t="shared" si="570"/>
        <v>0.25</v>
      </c>
      <c r="EH152" s="59">
        <f t="shared" si="571"/>
        <v>0.25</v>
      </c>
      <c r="EI152" s="59">
        <f t="shared" si="572"/>
        <v>0.25</v>
      </c>
      <c r="EJ152" s="59">
        <f t="shared" si="573"/>
        <v>0.25</v>
      </c>
      <c r="EL152" s="3" t="str">
        <f>RTD("tos.rtd",,EL$43,"."&amp;$B$134&amp;$AS$82&amp;"C"&amp;$A152)</f>
        <v>19.61%</v>
      </c>
      <c r="EM152" s="3" t="str">
        <f>RTD("tos.rtd",,EM$43,"."&amp;$B$134&amp;$AS$82&amp;"P"&amp;$A152)</f>
        <v>48.47%</v>
      </c>
      <c r="EN152" s="3" t="str">
        <f>RTD("tos.rtd",,EN$2,"."&amp;$C$134&amp;$AU$82&amp;"C"&amp;$A152)</f>
        <v>N/A</v>
      </c>
      <c r="EO152" s="3" t="str">
        <f>RTD("tos.rtd",,EO$2,"."&amp;$C$134&amp;$AU$82&amp;"P"&amp;$A152)</f>
        <v>N/A</v>
      </c>
      <c r="EP152" s="3" t="str">
        <f>RTD("tos.rtd",,EP$2,"."&amp;$D$134&amp;$AW$82&amp;"C"&amp;$A152)</f>
        <v>N/A</v>
      </c>
      <c r="EQ152" s="3" t="str">
        <f>RTD("tos.rtd",,EQ$2,"."&amp;$D$134&amp;$AW$82&amp;"P"&amp;$A152)</f>
        <v>N/A</v>
      </c>
      <c r="ET152" s="64" t="str">
        <f t="shared" ca="1" si="574"/>
        <v>20140,00.00</v>
      </c>
      <c r="EU152" s="68">
        <v>565.03</v>
      </c>
      <c r="EV152" s="68" t="s">
        <v>1236</v>
      </c>
      <c r="EW152" s="68">
        <v>486.55</v>
      </c>
      <c r="EX152" s="68" t="s">
        <v>1237</v>
      </c>
      <c r="EY152" s="68">
        <v>5666</v>
      </c>
      <c r="EZ152" s="68" t="s">
        <v>1238</v>
      </c>
      <c r="FA152" s="68">
        <v>19991.75</v>
      </c>
      <c r="FB152" s="68" t="s">
        <v>1239</v>
      </c>
      <c r="FC152" s="68" t="s">
        <v>1240</v>
      </c>
      <c r="FD152" s="68" t="s">
        <v>1241</v>
      </c>
      <c r="FE152" s="68" t="s">
        <v>1242</v>
      </c>
      <c r="FF152" s="68" t="s">
        <v>1243</v>
      </c>
    </row>
    <row r="153" spans="1:162" ht="11.1" customHeight="1" thickBot="1" x14ac:dyDescent="0.25">
      <c r="A153" s="2">
        <f t="shared" si="583"/>
        <v>20120</v>
      </c>
      <c r="B153" s="3">
        <f t="shared" si="598"/>
        <v>6</v>
      </c>
      <c r="C153" s="3">
        <f t="shared" si="599"/>
        <v>0</v>
      </c>
      <c r="D153" s="3">
        <f t="shared" si="600"/>
        <v>0</v>
      </c>
      <c r="E153" s="3">
        <f t="shared" si="601"/>
        <v>6</v>
      </c>
      <c r="F153" s="4">
        <f t="shared" si="602"/>
        <v>20220.139358948836</v>
      </c>
      <c r="G153" s="5">
        <f t="shared" si="603"/>
        <v>489.64140951622534</v>
      </c>
      <c r="AM153" s="1">
        <v>-2</v>
      </c>
      <c r="AN153" s="1">
        <v>-9</v>
      </c>
      <c r="AO153" s="1">
        <v>20120</v>
      </c>
      <c r="AP153" s="1">
        <v>232</v>
      </c>
      <c r="AQ153" s="1">
        <v>-122</v>
      </c>
      <c r="AS153" s="54">
        <f>IF(RTD("tos.rtd",,AS$83,"."&amp;$B$134&amp;$AS$82&amp;"C"&amp;$A153)="N/A",0,RTD("tos.rtd",,AS$83,"."&amp;$B$134&amp;$AS$82&amp;"C"&amp;$A153))</f>
        <v>3</v>
      </c>
      <c r="AT153" s="3">
        <f>-IF(RTD("tos.rtd",,AT$83,"."&amp;$B$134&amp;$AS$82&amp;"P"&amp;$A153)="N/A",0,RTD("tos.rtd",,AT$83,"."&amp;$B$134&amp;$AS$82&amp;"P"&amp;$A153))</f>
        <v>-3</v>
      </c>
      <c r="AU153" s="54">
        <f>IF(RTD("tos.rtd",,AU$2,"."&amp;$C$134&amp;$AU$134&amp;"C"&amp;$A153)="N/A",0,RTD("tos.rtd",,AU$2,"."&amp;$C$134&amp;$AU$134&amp;"C"&amp;$A153))</f>
        <v>0</v>
      </c>
      <c r="AV153" s="3">
        <f>-IF(RTD("tos.rtd",,AV$2,"."&amp;$C$134&amp;$AU$134&amp;"P"&amp;$A153)="N/A",0,RTD("tos.rtd",,AV$2,"."&amp;$C$134&amp;$AU$134&amp;"P"&amp;$A153))</f>
        <v>0</v>
      </c>
      <c r="AW153" s="54">
        <f>IF(RTD("tos.rtd",,AW$2,"."&amp;$D$134&amp;$AW$134&amp;"C"&amp;$A153)="N/A",0,RTD("tos.rtd",,AW$2,"."&amp;$D$134&amp;$AW$134&amp;"C"&amp;$A153))</f>
        <v>0</v>
      </c>
      <c r="AX153" s="3">
        <f>-IF(RTD("tos.rtd",,AX$2,"."&amp;$D$134&amp;$AW$134&amp;"P"&amp;$A153)="N/A",0,RTD("tos.rtd",,AX$2,"."&amp;$D$134&amp;$AW$134&amp;"P"&amp;$A153))</f>
        <v>0</v>
      </c>
      <c r="AY153" s="76">
        <f t="shared" si="604"/>
        <v>0</v>
      </c>
      <c r="AZ153" s="8">
        <f t="shared" si="539"/>
        <v>20120</v>
      </c>
      <c r="BA153" s="54">
        <f>IF(RTD("tos.rtd",,BA$43,"."&amp;$B$134&amp;$AS$82&amp;"C"&amp;$A153)="N/A",0,RTD("tos.rtd",,BA$43,"."&amp;$B$134&amp;$AS$82&amp;"C"&amp;$A153))</f>
        <v>232</v>
      </c>
      <c r="BB153" s="3">
        <f>-IF(RTD("tos.rtd",,BB$43,"."&amp;$B$134&amp;$AS$82&amp;"P"&amp;$A153)="N/A",0,RTD("tos.rtd",,BB$43,"."&amp;$B$134&amp;$AS$82&amp;"P"&amp;$A153))</f>
        <v>-122</v>
      </c>
      <c r="BC153" s="54">
        <f>IF(RTD("tos.rtd",,BC$2,"."&amp;$C$134&amp;$AU$82&amp;"C"&amp;$A153)="N/A",0,RTD("tos.rtd",,BC$2,"."&amp;$C$134&amp;$AU$82&amp;"C"&amp;$A153))</f>
        <v>0</v>
      </c>
      <c r="BD153" s="3">
        <f>-IF(RTD("tos.rtd",,BD$2,"."&amp;$C$134&amp;$AU$82&amp;"P"&amp;$A153)="N/A",0,RTD("tos.rtd",,BD$2,"."&amp;$C$134&amp;$AU$82&amp;"P"&amp;$A153))</f>
        <v>0</v>
      </c>
      <c r="BE153" s="54">
        <f>IF(RTD("tos.rtd",,BE$2,"."&amp;$D$134&amp;$AW$82&amp;"C"&amp;$A153)="N/A",0,RTD("tos.rtd",,BE$2,"."&amp;$D$134&amp;$AW$82&amp;"C"&amp;$A153))</f>
        <v>0</v>
      </c>
      <c r="BF153" s="3">
        <f>-IF(RTD("tos.rtd",,BF$2,"."&amp;$D$134&amp;$AW$82&amp;"P"&amp;$A153)="N/A",0,RTD("tos.rtd",,BF$2,"."&amp;$D$134&amp;$AW$82&amp;"P"&amp;$A153))</f>
        <v>0</v>
      </c>
      <c r="BG153" s="3" t="e">
        <f ca="1">+Hoja2!Y154</f>
        <v>#N/A</v>
      </c>
      <c r="BH153" s="7" t="e">
        <f t="shared" ca="1" si="540"/>
        <v>#N/A</v>
      </c>
      <c r="BI153" s="32" t="e">
        <f t="shared" ca="1" si="597"/>
        <v>#N/A</v>
      </c>
      <c r="BJ153" s="3" t="e">
        <f ca="1">IF($BP$1=1,DX153,IF(RTD("tos.rtd",,BJ$43,"."&amp;$B$134&amp;$AS$82&amp;"C"&amp;$A153)="N/A",0,RTD("tos.rtd",,BJ$43,"."&amp;$B$134&amp;$AS$82&amp;"C"&amp;$A153)))</f>
        <v>#NUM!</v>
      </c>
      <c r="BK153" s="3" t="e">
        <f ca="1">IF($BP$1=1,DY153,-IF(RTD("tos.rtd",,BK$43,"."&amp;$B$134&amp;$AS$82&amp;"P"&amp;$A153)="N/A",0,RTD("tos.rtd",,BK$43,"."&amp;$B$134&amp;$AS$82&amp;"P"&amp;$A153)))</f>
        <v>#NUM!</v>
      </c>
      <c r="BL153" s="3">
        <f ca="1">IF($BP$1=1,DZ153,IF(RTD("tos.rtd",,BL$2,"."&amp;$C$134&amp;$AU$82&amp;"C"&amp;$A153)="N/A",0,RTD("tos.rtd",,BL$2,"."&amp;$C$134&amp;$AU$82&amp;"C"&amp;$A153)))</f>
        <v>4.8948512321259346E-4</v>
      </c>
      <c r="BM153" s="3">
        <f ca="1">IF($BP$1=1,EA153,-IF(RTD("tos.rtd",,BM$2,"."&amp;$C$134&amp;$AU$82&amp;"P"&amp;$A153)="N/A",0,RTD("tos.rtd",,BM$2,"."&amp;$C$134&amp;$AU$82&amp;"P"&amp;$A153)))</f>
        <v>-4.8948512321259346E-4</v>
      </c>
      <c r="BN153" s="3">
        <f ca="1">IF($BP$1=1,EB153,IF(RTD("tos.rtd",,BN$2,"."&amp;$D$134&amp;$AW$82&amp;"C"&amp;$A153)="N/A",0,RTD("tos.rtd",,BN$2,"."&amp;$D$134&amp;$AW$82&amp;"C"&amp;$A153)))</f>
        <v>4.8948512321259346E-4</v>
      </c>
      <c r="BO153" s="3">
        <f ca="1">IF($BP$1=1,EC153,-IF(RTD("tos.rtd",,BO$2,"."&amp;$D$134&amp;$AW$82&amp;"P"&amp;$A153)="N/A",0,RTD("tos.rtd",,BO$2,"."&amp;$D$134&amp;$AW$82&amp;"P"&amp;$A153)))</f>
        <v>-4.8948512321259346E-4</v>
      </c>
      <c r="BQ153" s="3" t="e">
        <f t="shared" ca="1" si="605"/>
        <v>#NUM!</v>
      </c>
      <c r="BR153" s="3" t="e">
        <f t="shared" ca="1" si="541"/>
        <v>#NUM!</v>
      </c>
      <c r="BS153" s="3">
        <f t="shared" ca="1" si="606"/>
        <v>0</v>
      </c>
      <c r="BT153" s="3" t="str">
        <f t="shared" ca="1" si="542"/>
        <v/>
      </c>
      <c r="BU153" s="3">
        <f t="shared" ca="1" si="607"/>
        <v>0</v>
      </c>
      <c r="BV153" s="3" t="str">
        <f t="shared" ca="1" si="542"/>
        <v/>
      </c>
      <c r="BX153" s="3" t="e">
        <f t="shared" ca="1" si="575"/>
        <v>#NUM!</v>
      </c>
      <c r="BY153" s="3" t="e">
        <f t="shared" ca="1" si="576"/>
        <v>#NUM!</v>
      </c>
      <c r="BZ153" s="3">
        <f t="shared" ca="1" si="577"/>
        <v>0</v>
      </c>
      <c r="CA153" s="3" t="str">
        <f t="shared" ca="1" si="576"/>
        <v/>
      </c>
      <c r="CB153" s="3">
        <f t="shared" ca="1" si="578"/>
        <v>0</v>
      </c>
      <c r="CC153" s="3" t="str">
        <f t="shared" ca="1" si="576"/>
        <v/>
      </c>
      <c r="CD153" s="3">
        <f>IF(RTD("tos.rtd",,CD$43,"."&amp;$B$134&amp;$AS$82&amp;"C"&amp;$A153)="N/A",0,RTD("tos.rtd",,CD$43,"."&amp;$B$134&amp;$AS$82&amp;"C"&amp;$A153))</f>
        <v>0.21</v>
      </c>
      <c r="CE153" s="3">
        <f>-IF(RTD("tos.rtd",,CE$43,"."&amp;$B$134&amp;$AS$82&amp;"P"&amp;$A153)="N/A",0,RTD("tos.rtd",,CE$43,"."&amp;$B$134&amp;$AS$82&amp;"P"&amp;$A153))</f>
        <v>0.62</v>
      </c>
      <c r="CF153" s="3">
        <f>IF(RTD("tos.rtd",,CF$2,"."&amp;$C$134&amp;$AU$82&amp;"C"&amp;$A153)="N/A",0,RTD("tos.rtd",,CF$2,"."&amp;$C$134&amp;$AU$82&amp;"C"&amp;$A153))</f>
        <v>0</v>
      </c>
      <c r="CG153" s="3">
        <f>-IF(RTD("tos.rtd",,CG$2,"."&amp;$C$134&amp;$AU$82&amp;"P"&amp;$A153)="N/A",0,RTD("tos.rtd",,CG$2,"."&amp;$C$134&amp;$AU$82&amp;"P"&amp;$A153))</f>
        <v>0</v>
      </c>
      <c r="CH153" s="3">
        <f>IF(RTD("tos.rtd",,CH$2,"."&amp;$D$134&amp;$AW$82&amp;"C"&amp;$A153)="N/A",0,RTD("tos.rtd",,CH$2,"."&amp;$D$134&amp;$AW$82&amp;"C"&amp;$A153))</f>
        <v>0</v>
      </c>
      <c r="CI153" s="3">
        <f>-IF(RTD("tos.rtd",,CI$2,"."&amp;$D$134&amp;$AW$82&amp;"P"&amp;$A153)="N/A",0,RTD("tos.rtd",,CI$2,"."&amp;$D$134&amp;$AW$82&amp;"P"&amp;$A153))</f>
        <v>0</v>
      </c>
      <c r="CK153" s="3">
        <f t="shared" si="608"/>
        <v>-123</v>
      </c>
      <c r="CL153" s="3"/>
      <c r="CM153" s="3">
        <f t="shared" si="609"/>
        <v>0</v>
      </c>
      <c r="CN153" s="3"/>
      <c r="CO153" s="3">
        <f t="shared" si="610"/>
        <v>0</v>
      </c>
      <c r="CP153" s="3">
        <f t="shared" si="533"/>
        <v>-123</v>
      </c>
      <c r="CQ153" s="3">
        <f t="shared" si="543"/>
        <v>110</v>
      </c>
      <c r="CR153" s="3"/>
      <c r="CS153" s="3">
        <f t="shared" si="544"/>
        <v>0</v>
      </c>
      <c r="CT153" s="3"/>
      <c r="CU153" s="3">
        <f t="shared" si="545"/>
        <v>0</v>
      </c>
      <c r="CV153" s="3"/>
      <c r="CW153" s="3" t="e">
        <f t="shared" ca="1" si="546"/>
        <v>#NUM!</v>
      </c>
      <c r="CY153" s="3" t="e">
        <f t="shared" ca="1" si="547"/>
        <v>#NUM!</v>
      </c>
      <c r="CZ153" s="70" t="e">
        <f t="shared" ca="1" si="579"/>
        <v>#NUM!</v>
      </c>
      <c r="DA153" s="3">
        <f>IF(RTD("tos.rtd",,DA$43,"."&amp;$B$134&amp;$AS$82&amp;"C"&amp;$A153)="N/A",0,RTD("tos.rtd",,DA$43,"."&amp;$B$134&amp;$AS$82&amp;"C"&amp;$A153))</f>
        <v>1.5</v>
      </c>
      <c r="DB153" s="3">
        <f>IF(RTD("tos.rtd",,DB$43,"."&amp;$B$134&amp;$AS$82&amp;"P"&amp;$A153)="N/A",0,RTD("tos.rtd",,DB$43,"."&amp;$B$134&amp;$AS$82&amp;"P"&amp;$A153))</f>
        <v>26.95</v>
      </c>
      <c r="DC153" s="3">
        <f>IF(RTD("tos.rtd",,DC$43,"."&amp;$B$134&amp;$AS$82&amp;"C"&amp;$A153)="N/A",0,RTD("tos.rtd",,DC$43,"."&amp;$B$134&amp;$AS$82&amp;"C"&amp;$A153))</f>
        <v>5</v>
      </c>
      <c r="DD153" s="3">
        <f>IF(RTD("tos.rtd",,DD$43,"."&amp;$B$134&amp;$AS$82&amp;"P"&amp;$A153)="N/A",0,RTD("tos.rtd",,DD$43,"."&amp;$B$134&amp;$AS$82&amp;"P"&amp;$A153))</f>
        <v>42</v>
      </c>
      <c r="DE153" s="3">
        <f>IF(RTD("tos.rtd",,DE$43,"."&amp;$B$134&amp;$AS$82&amp;"C"&amp;$A153)="N/A",0,RTD("tos.rtd",,DE$43,"."&amp;$B$134&amp;$AS$82&amp;"C"&amp;$A153))</f>
        <v>0</v>
      </c>
      <c r="DF153" s="3">
        <f>IF(RTD("tos.rtd",,DF$43,"."&amp;$B$134&amp;$AS$82&amp;"P"&amp;$A153)="N/A",0,RTD("tos.rtd",,DF$43,"."&amp;$B$134&amp;$AS$82&amp;"P"&amp;$A153))</f>
        <v>22.5</v>
      </c>
      <c r="DG153" s="86">
        <f t="shared" si="580"/>
        <v>28</v>
      </c>
      <c r="DH153" s="3">
        <f t="shared" si="548"/>
        <v>0</v>
      </c>
      <c r="DI153" s="3">
        <f t="shared" si="549"/>
        <v>0</v>
      </c>
      <c r="DJ153" s="3">
        <f t="shared" si="550"/>
        <v>0</v>
      </c>
      <c r="DK153" s="3">
        <f t="shared" si="551"/>
        <v>0</v>
      </c>
      <c r="DL153" s="3">
        <f t="shared" si="552"/>
        <v>0</v>
      </c>
      <c r="DM153" s="3">
        <f t="shared" si="553"/>
        <v>0</v>
      </c>
      <c r="DN153" s="64" t="str">
        <f t="shared" si="554"/>
        <v>UNKNOWN</v>
      </c>
      <c r="DO153" s="64" t="str">
        <f t="shared" si="555"/>
        <v>UNKNOWN</v>
      </c>
      <c r="DP153" s="3">
        <f t="shared" si="556"/>
        <v>0</v>
      </c>
      <c r="DQ153" s="3">
        <f t="shared" si="557"/>
        <v>0</v>
      </c>
      <c r="DR153" s="3" t="e">
        <f t="shared" ca="1" si="558"/>
        <v>#NUM!</v>
      </c>
      <c r="DS153" s="3">
        <f t="shared" si="559"/>
        <v>0</v>
      </c>
      <c r="DT153" s="3">
        <f t="shared" si="581"/>
        <v>0</v>
      </c>
      <c r="DU153" s="3">
        <f t="shared" si="582"/>
        <v>0</v>
      </c>
      <c r="DV153" s="3">
        <f t="shared" si="560"/>
        <v>-2</v>
      </c>
      <c r="DW153" s="3">
        <f t="shared" si="561"/>
        <v>-9</v>
      </c>
      <c r="DX153" s="3" t="e">
        <f t="shared" ca="1" si="562"/>
        <v>#NUM!</v>
      </c>
      <c r="DY153" s="3" t="e">
        <f t="shared" ca="1" si="563"/>
        <v>#NUM!</v>
      </c>
      <c r="DZ153" s="3">
        <f t="shared" ca="1" si="564"/>
        <v>4.8948512321259346E-4</v>
      </c>
      <c r="EA153" s="3">
        <f t="shared" ca="1" si="565"/>
        <v>-4.8948512321259346E-4</v>
      </c>
      <c r="EB153" s="3">
        <f t="shared" ca="1" si="566"/>
        <v>4.8948512321259346E-4</v>
      </c>
      <c r="EC153" s="3">
        <f t="shared" ca="1" si="567"/>
        <v>-4.8948512321259346E-4</v>
      </c>
      <c r="EE153" s="59">
        <f t="shared" si="568"/>
        <v>0.14030000000000001</v>
      </c>
      <c r="EF153" s="59">
        <f t="shared" si="569"/>
        <v>0.37180000000000002</v>
      </c>
      <c r="EG153" s="59">
        <f t="shared" si="570"/>
        <v>0.25</v>
      </c>
      <c r="EH153" s="59">
        <f t="shared" si="571"/>
        <v>0.25</v>
      </c>
      <c r="EI153" s="59">
        <f t="shared" si="572"/>
        <v>0.25</v>
      </c>
      <c r="EJ153" s="59">
        <f t="shared" si="573"/>
        <v>0.25</v>
      </c>
      <c r="EL153" s="3" t="str">
        <f>RTD("tos.rtd",,EL$43,"."&amp;$B$134&amp;$AS$82&amp;"C"&amp;$A153)</f>
        <v>14.03%</v>
      </c>
      <c r="EM153" s="3" t="str">
        <f>RTD("tos.rtd",,EM$43,"."&amp;$B$134&amp;$AS$82&amp;"P"&amp;$A153)</f>
        <v>37.18%</v>
      </c>
      <c r="EN153" s="3" t="str">
        <f>RTD("tos.rtd",,EN$2,"."&amp;$C$134&amp;$AU$82&amp;"C"&amp;$A153)</f>
        <v>N/A</v>
      </c>
      <c r="EO153" s="3" t="str">
        <f>RTD("tos.rtd",,EO$2,"."&amp;$C$134&amp;$AU$82&amp;"P"&amp;$A153)</f>
        <v>N/A</v>
      </c>
      <c r="EP153" s="3" t="str">
        <f>RTD("tos.rtd",,EP$2,"."&amp;$D$134&amp;$AW$82&amp;"C"&amp;$A153)</f>
        <v>N/A</v>
      </c>
      <c r="EQ153" s="3" t="str">
        <f>RTD("tos.rtd",,EQ$2,"."&amp;$D$134&amp;$AW$82&amp;"P"&amp;$A153)</f>
        <v>N/A</v>
      </c>
      <c r="ET153" s="64" t="str">
        <f t="shared" ca="1" si="574"/>
        <v>20120,00.00</v>
      </c>
      <c r="EU153" s="68">
        <v>565.04</v>
      </c>
      <c r="EV153" s="68" t="s">
        <v>1244</v>
      </c>
      <c r="EW153" s="68">
        <v>486.82</v>
      </c>
      <c r="EX153" s="68" t="s">
        <v>1245</v>
      </c>
      <c r="EY153" s="68">
        <v>5666</v>
      </c>
      <c r="EZ153" s="68" t="s">
        <v>1246</v>
      </c>
      <c r="FA153" s="68">
        <v>20003.25</v>
      </c>
      <c r="FB153" s="68" t="s">
        <v>1247</v>
      </c>
      <c r="FC153" s="68" t="s">
        <v>1248</v>
      </c>
      <c r="FD153" s="68" t="s">
        <v>1249</v>
      </c>
      <c r="FE153" s="68" t="s">
        <v>1250</v>
      </c>
      <c r="FF153" s="68" t="s">
        <v>1251</v>
      </c>
    </row>
    <row r="154" spans="1:162" ht="11.1" customHeight="1" thickBot="1" x14ac:dyDescent="0.25">
      <c r="A154" s="2">
        <f t="shared" si="583"/>
        <v>20100</v>
      </c>
      <c r="B154" s="3">
        <f t="shared" si="598"/>
        <v>131</v>
      </c>
      <c r="C154" s="3">
        <f t="shared" si="599"/>
        <v>13</v>
      </c>
      <c r="D154" s="3">
        <f t="shared" si="600"/>
        <v>194</v>
      </c>
      <c r="E154" s="3">
        <f t="shared" si="601"/>
        <v>338</v>
      </c>
      <c r="F154" s="4">
        <f t="shared" ref="F154:F189" si="611">+$F$136/$A$136*A154</f>
        <v>20200.039816842524</v>
      </c>
      <c r="G154" s="5">
        <f t="shared" si="603"/>
        <v>489.15468843320724</v>
      </c>
      <c r="AM154" s="1">
        <v>-28</v>
      </c>
      <c r="AN154" s="1">
        <v>-50</v>
      </c>
      <c r="AO154" s="1">
        <v>20100</v>
      </c>
      <c r="AP154" s="1">
        <v>483</v>
      </c>
      <c r="AQ154" s="1">
        <v>-486</v>
      </c>
      <c r="AS154" s="54">
        <f>IF(RTD("tos.rtd",,AS$83,"."&amp;$B$134&amp;$AS$82&amp;"C"&amp;$A154)="N/A",0,RTD("tos.rtd",,AS$83,"."&amp;$B$134&amp;$AS$82&amp;"C"&amp;$A154))</f>
        <v>126</v>
      </c>
      <c r="AT154" s="3">
        <f>-IF(RTD("tos.rtd",,AT$83,"."&amp;$B$134&amp;$AS$82&amp;"P"&amp;$A154)="N/A",0,RTD("tos.rtd",,AT$83,"."&amp;$B$134&amp;$AS$82&amp;"P"&amp;$A154))</f>
        <v>-5</v>
      </c>
      <c r="AU154" s="54">
        <f>IF(RTD("tos.rtd",,AU$2,"."&amp;$C$134&amp;$AU$134&amp;"C"&amp;$A154)="N/A",0,RTD("tos.rtd",,AU$2,"."&amp;$C$134&amp;$AU$134&amp;"C"&amp;$A154))</f>
        <v>11</v>
      </c>
      <c r="AV154" s="3">
        <f>-IF(RTD("tos.rtd",,AV$2,"."&amp;$C$134&amp;$AU$134&amp;"P"&amp;$A154)="N/A",0,RTD("tos.rtd",,AV$2,"."&amp;$C$134&amp;$AU$134&amp;"P"&amp;$A154))</f>
        <v>-2</v>
      </c>
      <c r="AW154" s="54">
        <f>IF(RTD("tos.rtd",,AW$2,"."&amp;$D$134&amp;$AW$134&amp;"C"&amp;$A154)="N/A",0,RTD("tos.rtd",,AW$2,"."&amp;$D$134&amp;$AW$134&amp;"C"&amp;$A154))</f>
        <v>116</v>
      </c>
      <c r="AX154" s="3">
        <f>-IF(RTD("tos.rtd",,AX$2,"."&amp;$D$134&amp;$AW$134&amp;"P"&amp;$A154)="N/A",0,RTD("tos.rtd",,AX$2,"."&amp;$D$134&amp;$AW$134&amp;"P"&amp;$A154))</f>
        <v>-78</v>
      </c>
      <c r="AY154" s="76">
        <f t="shared" ref="AY154:AY189" si="612">SUM(AS154:AX154)</f>
        <v>168</v>
      </c>
      <c r="AZ154" s="8">
        <f t="shared" si="539"/>
        <v>20100</v>
      </c>
      <c r="BA154" s="54">
        <f>IF(RTD("tos.rtd",,BA$43,"."&amp;$B$134&amp;$AS$82&amp;"C"&amp;$A154)="N/A",0,RTD("tos.rtd",,BA$43,"."&amp;$B$134&amp;$AS$82&amp;"C"&amp;$A154))</f>
        <v>483</v>
      </c>
      <c r="BB154" s="3">
        <f>-IF(RTD("tos.rtd",,BB$43,"."&amp;$B$134&amp;$AS$82&amp;"P"&amp;$A154)="N/A",0,RTD("tos.rtd",,BB$43,"."&amp;$B$134&amp;$AS$82&amp;"P"&amp;$A154))</f>
        <v>-486</v>
      </c>
      <c r="BC154" s="54">
        <f>IF(RTD("tos.rtd",,BC$2,"."&amp;$C$134&amp;$AU$82&amp;"C"&amp;$A154)="N/A",0,RTD("tos.rtd",,BC$2,"."&amp;$C$134&amp;$AU$82&amp;"C"&amp;$A154))</f>
        <v>6</v>
      </c>
      <c r="BD154" s="3">
        <f>-IF(RTD("tos.rtd",,BD$2,"."&amp;$C$134&amp;$AU$82&amp;"P"&amp;$A154)="N/A",0,RTD("tos.rtd",,BD$2,"."&amp;$C$134&amp;$AU$82&amp;"P"&amp;$A154))</f>
        <v>0</v>
      </c>
      <c r="BE154" s="54">
        <f>IF(RTD("tos.rtd",,BE$2,"."&amp;$D$134&amp;$AW$82&amp;"C"&amp;$A154)="N/A",0,RTD("tos.rtd",,BE$2,"."&amp;$D$134&amp;$AW$82&amp;"C"&amp;$A154))</f>
        <v>11</v>
      </c>
      <c r="BF154" s="3">
        <f>-IF(RTD("tos.rtd",,BF$2,"."&amp;$D$134&amp;$AW$82&amp;"P"&amp;$A154)="N/A",0,RTD("tos.rtd",,BF$2,"."&amp;$D$134&amp;$AW$82&amp;"P"&amp;$A154))</f>
        <v>-7</v>
      </c>
      <c r="BG154" s="3" t="e">
        <f ca="1">+Hoja2!Y155</f>
        <v>#N/A</v>
      </c>
      <c r="BH154" s="7" t="e">
        <f t="shared" ca="1" si="540"/>
        <v>#N/A</v>
      </c>
      <c r="BI154" s="32" t="e">
        <f t="shared" ca="1" si="597"/>
        <v>#N/A</v>
      </c>
      <c r="BJ154" s="3" t="e">
        <f ca="1">IF($BP$1=1,DX154,IF(RTD("tos.rtd",,BJ$43,"."&amp;$B$134&amp;$AS$82&amp;"C"&amp;$A154)="N/A",0,RTD("tos.rtd",,BJ$43,"."&amp;$B$134&amp;$AS$82&amp;"C"&amp;$A154)))</f>
        <v>#NUM!</v>
      </c>
      <c r="BK154" s="3" t="e">
        <f ca="1">IF($BP$1=1,DY154,-IF(RTD("tos.rtd",,BK$43,"."&amp;$B$134&amp;$AS$82&amp;"P"&amp;$A154)="N/A",0,RTD("tos.rtd",,BK$43,"."&amp;$B$134&amp;$AS$82&amp;"P"&amp;$A154)))</f>
        <v>#NUM!</v>
      </c>
      <c r="BL154" s="3">
        <f ca="1">IF($BP$1=1,DZ154,IF(RTD("tos.rtd",,BL$2,"."&amp;$C$134&amp;$AU$82&amp;"C"&amp;$A154)="N/A",0,RTD("tos.rtd",,BL$2,"."&amp;$C$134&amp;$AU$82&amp;"C"&amp;$A154)))</f>
        <v>5.6072935164605585E-4</v>
      </c>
      <c r="BM154" s="3">
        <f ca="1">IF($BP$1=1,EA154,-IF(RTD("tos.rtd",,BM$2,"."&amp;$C$134&amp;$AU$82&amp;"P"&amp;$A154)="N/A",0,RTD("tos.rtd",,BM$2,"."&amp;$C$134&amp;$AU$82&amp;"P"&amp;$A154)))</f>
        <v>-5.3922113485154106E-4</v>
      </c>
      <c r="BN154" s="3">
        <f ca="1">IF($BP$1=1,EB154,IF(RTD("tos.rtd",,BN$2,"."&amp;$D$134&amp;$AW$82&amp;"C"&amp;$A154)="N/A",0,RTD("tos.rtd",,BN$2,"."&amp;$D$134&amp;$AW$82&amp;"C"&amp;$A154)))</f>
        <v>5.6907815625326747E-4</v>
      </c>
      <c r="BO154" s="3">
        <f ca="1">IF($BP$1=1,EC154,-IF(RTD("tos.rtd",,BO$2,"."&amp;$D$134&amp;$AW$82&amp;"P"&amp;$A154)="N/A",0,RTD("tos.rtd",,BO$2,"."&amp;$D$134&amp;$AW$82&amp;"P"&amp;$A154)))</f>
        <v>-5.3404096988899545E-4</v>
      </c>
      <c r="BQ154" s="3" t="e">
        <f t="shared" ref="BQ154:BQ189" ca="1" si="613">+$A$84*$A$84*AS154*BJ154-$A$84*$A$84*AT154*BK154</f>
        <v>#NUM!</v>
      </c>
      <c r="BR154" s="3" t="e">
        <f t="shared" ca="1" si="541"/>
        <v>#NUM!</v>
      </c>
      <c r="BS154" s="3">
        <f t="shared" ref="BS154:BS189" ca="1" si="614">+$A$84*$A$84*AU154*BL154-$A$84*$A$84*AV154*BM154</f>
        <v>164534.70477688039</v>
      </c>
      <c r="BT154" s="3" t="str">
        <f t="shared" ca="1" si="542"/>
        <v/>
      </c>
      <c r="BU154" s="3">
        <f t="shared" ref="BU154:BU189" ca="1" si="615">+$A$84*$A$84*AW154*BN154-$A$84*$A$84*AX154*BO154</f>
        <v>787435.22181304032</v>
      </c>
      <c r="BV154" s="3" t="str">
        <f t="shared" ca="1" si="542"/>
        <v/>
      </c>
      <c r="BX154" s="3" t="e">
        <f t="shared" ca="1" si="575"/>
        <v>#NUM!</v>
      </c>
      <c r="BY154" s="3" t="e">
        <f t="shared" ca="1" si="576"/>
        <v>#NUM!</v>
      </c>
      <c r="BZ154" s="3">
        <f t="shared" ca="1" si="577"/>
        <v>804.36137075932254</v>
      </c>
      <c r="CA154" s="3" t="str">
        <f t="shared" ca="1" si="576"/>
        <v/>
      </c>
      <c r="CB154" s="3">
        <f t="shared" ca="1" si="578"/>
        <v>602.86240059153999</v>
      </c>
      <c r="CC154" s="3" t="str">
        <f t="shared" ca="1" si="576"/>
        <v/>
      </c>
      <c r="CD154" s="3">
        <f>IF(RTD("tos.rtd",,CD$43,"."&amp;$B$134&amp;$AS$82&amp;"C"&amp;$A154)="N/A",0,RTD("tos.rtd",,CD$43,"."&amp;$B$134&amp;$AS$82&amp;"C"&amp;$A154))</f>
        <v>0.55000000000000004</v>
      </c>
      <c r="CE154" s="3">
        <f>-IF(RTD("tos.rtd",,CE$43,"."&amp;$B$134&amp;$AS$82&amp;"P"&amp;$A154)="N/A",0,RTD("tos.rtd",,CE$43,"."&amp;$B$134&amp;$AS$82&amp;"P"&amp;$A154))</f>
        <v>0.45</v>
      </c>
      <c r="CF154" s="3">
        <f>IF(RTD("tos.rtd",,CF$2,"."&amp;$C$134&amp;$AU$82&amp;"C"&amp;$A154)="N/A",0,RTD("tos.rtd",,CF$2,"."&amp;$C$134&amp;$AU$82&amp;"C"&amp;$A154))</f>
        <v>0.52</v>
      </c>
      <c r="CG154" s="3">
        <f>-IF(RTD("tos.rtd",,CG$2,"."&amp;$C$134&amp;$AU$82&amp;"P"&amp;$A154)="N/A",0,RTD("tos.rtd",,CG$2,"."&amp;$C$134&amp;$AU$82&amp;"P"&amp;$A154))</f>
        <v>0.48</v>
      </c>
      <c r="CH154" s="3">
        <f>IF(RTD("tos.rtd",,CH$2,"."&amp;$D$134&amp;$AW$82&amp;"C"&amp;$A154)="N/A",0,RTD("tos.rtd",,CH$2,"."&amp;$D$134&amp;$AW$82&amp;"C"&amp;$A154))</f>
        <v>0.53</v>
      </c>
      <c r="CI154" s="3">
        <f>-IF(RTD("tos.rtd",,CI$2,"."&amp;$D$134&amp;$AW$82&amp;"P"&amp;$A154)="N/A",0,RTD("tos.rtd",,CI$2,"."&amp;$D$134&amp;$AW$82&amp;"P"&amp;$A154))</f>
        <v>0.47</v>
      </c>
      <c r="CK154" s="3">
        <f t="shared" si="608"/>
        <v>6705.0000000000009</v>
      </c>
      <c r="CL154" s="3"/>
      <c r="CM154" s="3">
        <f t="shared" si="609"/>
        <v>476.00000000000011</v>
      </c>
      <c r="CN154" s="3"/>
      <c r="CO154" s="3">
        <f t="shared" si="610"/>
        <v>2482.0000000000005</v>
      </c>
      <c r="CP154" s="3">
        <f t="shared" si="533"/>
        <v>9663.0000000000018</v>
      </c>
      <c r="CQ154" s="3">
        <f t="shared" si="543"/>
        <v>-3</v>
      </c>
      <c r="CR154" s="3"/>
      <c r="CS154" s="3">
        <f t="shared" si="544"/>
        <v>6</v>
      </c>
      <c r="CT154" s="3"/>
      <c r="CU154" s="3">
        <f t="shared" si="545"/>
        <v>4</v>
      </c>
      <c r="CV154" s="3"/>
      <c r="CW154" s="3" t="e">
        <f t="shared" ca="1" si="546"/>
        <v>#NUM!</v>
      </c>
      <c r="CY154" s="3" t="e">
        <f t="shared" ca="1" si="547"/>
        <v>#NUM!</v>
      </c>
      <c r="CZ154" s="70" t="e">
        <f t="shared" ca="1" si="579"/>
        <v>#NUM!</v>
      </c>
      <c r="DA154" s="3">
        <f>IF(RTD("tos.rtd",,DA$43,"."&amp;$B$134&amp;$AS$82&amp;"C"&amp;$A154)="N/A",0,RTD("tos.rtd",,DA$43,"."&amp;$B$134&amp;$AS$82&amp;"C"&amp;$A154))</f>
        <v>9</v>
      </c>
      <c r="DB154" s="3">
        <f>IF(RTD("tos.rtd",,DB$43,"."&amp;$B$134&amp;$AS$82&amp;"P"&amp;$A154)="N/A",0,RTD("tos.rtd",,DB$43,"."&amp;$B$134&amp;$AS$82&amp;"P"&amp;$A154))</f>
        <v>5</v>
      </c>
      <c r="DC154" s="3">
        <f>IF(RTD("tos.rtd",,DC$43,"."&amp;$B$134&amp;$AS$82&amp;"C"&amp;$A154)="N/A",0,RTD("tos.rtd",,DC$43,"."&amp;$B$134&amp;$AS$82&amp;"C"&amp;$A154))</f>
        <v>13</v>
      </c>
      <c r="DD154" s="3">
        <f>IF(RTD("tos.rtd",,DD$43,"."&amp;$B$134&amp;$AS$82&amp;"P"&amp;$A154)="N/A",0,RTD("tos.rtd",,DD$43,"."&amp;$B$134&amp;$AS$82&amp;"P"&amp;$A154))</f>
        <v>10</v>
      </c>
      <c r="DE154" s="3">
        <f>IF(RTD("tos.rtd",,DE$43,"."&amp;$B$134&amp;$AS$82&amp;"C"&amp;$A154)="N/A",0,RTD("tos.rtd",,DE$43,"."&amp;$B$134&amp;$AS$82&amp;"C"&amp;$A154))</f>
        <v>6</v>
      </c>
      <c r="DF154" s="3">
        <f>IF(RTD("tos.rtd",,DF$43,"."&amp;$B$134&amp;$AS$82&amp;"P"&amp;$A154)="N/A",0,RTD("tos.rtd",,DF$43,"."&amp;$B$134&amp;$AS$82&amp;"P"&amp;$A154))</f>
        <v>4</v>
      </c>
      <c r="DG154" s="86">
        <f t="shared" si="580"/>
        <v>8</v>
      </c>
      <c r="DH154" s="3">
        <f t="shared" si="548"/>
        <v>0</v>
      </c>
      <c r="DI154" s="3">
        <f t="shared" si="549"/>
        <v>0</v>
      </c>
      <c r="DJ154" s="3">
        <f t="shared" si="550"/>
        <v>0</v>
      </c>
      <c r="DK154" s="3">
        <f t="shared" si="551"/>
        <v>0</v>
      </c>
      <c r="DL154" s="3">
        <f t="shared" si="552"/>
        <v>0</v>
      </c>
      <c r="DM154" s="3">
        <f t="shared" si="553"/>
        <v>0</v>
      </c>
      <c r="DN154" s="64" t="str">
        <f t="shared" si="554"/>
        <v>UNKNOWN</v>
      </c>
      <c r="DO154" s="64" t="str">
        <f t="shared" si="555"/>
        <v>UNKNOWN</v>
      </c>
      <c r="DP154" s="3">
        <f t="shared" si="556"/>
        <v>0</v>
      </c>
      <c r="DQ154" s="3">
        <f t="shared" si="557"/>
        <v>0</v>
      </c>
      <c r="DR154" s="3" t="e">
        <f t="shared" ca="1" si="558"/>
        <v>#NUM!</v>
      </c>
      <c r="DS154" s="3">
        <f t="shared" si="559"/>
        <v>0</v>
      </c>
      <c r="DT154" s="3">
        <f t="shared" si="581"/>
        <v>0</v>
      </c>
      <c r="DU154" s="3">
        <f t="shared" si="582"/>
        <v>0</v>
      </c>
      <c r="DV154" s="3">
        <f t="shared" si="560"/>
        <v>-28</v>
      </c>
      <c r="DW154" s="3">
        <f t="shared" si="561"/>
        <v>-50</v>
      </c>
      <c r="DX154" s="3" t="e">
        <f t="shared" ca="1" si="562"/>
        <v>#NUM!</v>
      </c>
      <c r="DY154" s="3" t="e">
        <f t="shared" ca="1" si="563"/>
        <v>#NUM!</v>
      </c>
      <c r="DZ154" s="3">
        <f t="shared" ca="1" si="564"/>
        <v>5.6072935164605585E-4</v>
      </c>
      <c r="EA154" s="3">
        <f t="shared" ca="1" si="565"/>
        <v>-5.3922113485154106E-4</v>
      </c>
      <c r="EB154" s="3">
        <f t="shared" ca="1" si="566"/>
        <v>5.6907815625326747E-4</v>
      </c>
      <c r="EC154" s="3">
        <f t="shared" ca="1" si="567"/>
        <v>-5.3404096988899545E-4</v>
      </c>
      <c r="EE154" s="59">
        <f t="shared" si="568"/>
        <v>0.13370000000000001</v>
      </c>
      <c r="EF154" s="59">
        <f t="shared" si="569"/>
        <v>0.13639999999999999</v>
      </c>
      <c r="EG154" s="59">
        <f t="shared" si="570"/>
        <v>0.21809999999999999</v>
      </c>
      <c r="EH154" s="59">
        <f t="shared" si="571"/>
        <v>0.2268</v>
      </c>
      <c r="EI154" s="59">
        <f t="shared" si="572"/>
        <v>0.21490000000000001</v>
      </c>
      <c r="EJ154" s="59">
        <f t="shared" si="573"/>
        <v>0.22900000000000001</v>
      </c>
      <c r="EL154" s="3" t="str">
        <f>RTD("tos.rtd",,EL$43,"."&amp;$B$134&amp;$AS$82&amp;"C"&amp;$A154)</f>
        <v>13.37%</v>
      </c>
      <c r="EM154" s="3" t="str">
        <f>RTD("tos.rtd",,EM$43,"."&amp;$B$134&amp;$AS$82&amp;"P"&amp;$A154)</f>
        <v>13.64%</v>
      </c>
      <c r="EN154" s="3" t="str">
        <f>RTD("tos.rtd",,EN$2,"."&amp;$C$134&amp;$AU$82&amp;"C"&amp;$A154)</f>
        <v>21.81%</v>
      </c>
      <c r="EO154" s="3" t="str">
        <f>RTD("tos.rtd",,EO$2,"."&amp;$C$134&amp;$AU$82&amp;"P"&amp;$A154)</f>
        <v>22.68%</v>
      </c>
      <c r="EP154" s="3" t="str">
        <f>RTD("tos.rtd",,EP$2,"."&amp;$D$134&amp;$AW$82&amp;"C"&amp;$A154)</f>
        <v>21.49%</v>
      </c>
      <c r="EQ154" s="3" t="str">
        <f>RTD("tos.rtd",,EQ$2,"."&amp;$D$134&amp;$AW$82&amp;"P"&amp;$A154)</f>
        <v>22.90%</v>
      </c>
      <c r="ET154" s="64" t="str">
        <f t="shared" ca="1" si="574"/>
        <v>20100,00.00</v>
      </c>
      <c r="EU154" s="68">
        <v>564.73</v>
      </c>
      <c r="EV154" s="68" t="s">
        <v>1252</v>
      </c>
      <c r="EW154" s="68">
        <v>486.58</v>
      </c>
      <c r="EX154" s="68" t="s">
        <v>1253</v>
      </c>
      <c r="EY154" s="68">
        <v>5662.25</v>
      </c>
      <c r="EZ154" s="68" t="s">
        <v>1254</v>
      </c>
      <c r="FA154" s="68">
        <v>19994.25</v>
      </c>
      <c r="FB154" s="68" t="s">
        <v>1255</v>
      </c>
      <c r="FC154" s="68" t="s">
        <v>1256</v>
      </c>
      <c r="FD154" s="68" t="s">
        <v>1257</v>
      </c>
      <c r="FE154" s="68" t="s">
        <v>1258</v>
      </c>
      <c r="FF154" s="68" t="s">
        <v>1259</v>
      </c>
    </row>
    <row r="155" spans="1:162" ht="11.1" customHeight="1" thickBot="1" x14ac:dyDescent="0.25">
      <c r="A155" s="2">
        <f t="shared" si="583"/>
        <v>20080</v>
      </c>
      <c r="B155" s="3">
        <f t="shared" ref="B155:B189" si="616">+IF($A$1="ABS",AS155-AT155,AS155+AT155)</f>
        <v>2</v>
      </c>
      <c r="C155" s="3">
        <f t="shared" ref="C155:C189" si="617">+IF($A$1="ABS",AU155-AV155,AU155+AV155)</f>
        <v>0</v>
      </c>
      <c r="D155" s="3">
        <f t="shared" ref="D155:D189" si="618">+IF($A$1="ABS",AW155-AX155,AW155+AX155)</f>
        <v>0</v>
      </c>
      <c r="E155" s="3">
        <f t="shared" si="601"/>
        <v>2</v>
      </c>
      <c r="F155" s="4">
        <f t="shared" si="611"/>
        <v>20179.940274736215</v>
      </c>
      <c r="G155" s="5">
        <f t="shared" si="603"/>
        <v>488.66796735018909</v>
      </c>
      <c r="AM155" s="1">
        <v>-80</v>
      </c>
      <c r="AN155" s="1">
        <v>-37</v>
      </c>
      <c r="AO155" s="1">
        <v>20080</v>
      </c>
      <c r="AP155" s="1">
        <v>96</v>
      </c>
      <c r="AQ155" s="1">
        <v>-250</v>
      </c>
      <c r="AS155" s="54">
        <f>IF(RTD("tos.rtd",,AS$83,"."&amp;$B$134&amp;$AS$82&amp;"C"&amp;$A155)="N/A",0,RTD("tos.rtd",,AS$83,"."&amp;$B$134&amp;$AS$82&amp;"C"&amp;$A155))</f>
        <v>2</v>
      </c>
      <c r="AT155" s="3">
        <f>-IF(RTD("tos.rtd",,AT$83,"."&amp;$B$134&amp;$AS$82&amp;"P"&amp;$A155)="N/A",0,RTD("tos.rtd",,AT$83,"."&amp;$B$134&amp;$AS$82&amp;"P"&amp;$A155))</f>
        <v>0</v>
      </c>
      <c r="AU155" s="54">
        <f>IF(RTD("tos.rtd",,AU$2,"."&amp;$C$134&amp;$AU$134&amp;"C"&amp;$A155)="N/A",0,RTD("tos.rtd",,AU$2,"."&amp;$C$134&amp;$AU$134&amp;"C"&amp;$A155))</f>
        <v>0</v>
      </c>
      <c r="AV155" s="3">
        <f>-IF(RTD("tos.rtd",,AV$2,"."&amp;$C$134&amp;$AU$134&amp;"P"&amp;$A155)="N/A",0,RTD("tos.rtd",,AV$2,"."&amp;$C$134&amp;$AU$134&amp;"P"&amp;$A155))</f>
        <v>0</v>
      </c>
      <c r="AW155" s="54">
        <f>IF(RTD("tos.rtd",,AW$2,"."&amp;$D$134&amp;$AW$134&amp;"C"&amp;$A155)="N/A",0,RTD("tos.rtd",,AW$2,"."&amp;$D$134&amp;$AW$134&amp;"C"&amp;$A155))</f>
        <v>0</v>
      </c>
      <c r="AX155" s="3">
        <f>-IF(RTD("tos.rtd",,AX$2,"."&amp;$D$134&amp;$AW$134&amp;"P"&amp;$A155)="N/A",0,RTD("tos.rtd",,AX$2,"."&amp;$D$134&amp;$AW$134&amp;"P"&amp;$A155))</f>
        <v>0</v>
      </c>
      <c r="AY155" s="76">
        <f t="shared" si="612"/>
        <v>2</v>
      </c>
      <c r="AZ155" s="8">
        <f t="shared" si="539"/>
        <v>20080</v>
      </c>
      <c r="BA155" s="54">
        <f>IF(RTD("tos.rtd",,BA$43,"."&amp;$B$134&amp;$AS$82&amp;"C"&amp;$A155)="N/A",0,RTD("tos.rtd",,BA$43,"."&amp;$B$134&amp;$AS$82&amp;"C"&amp;$A155))</f>
        <v>96</v>
      </c>
      <c r="BB155" s="3">
        <f>-IF(RTD("tos.rtd",,BB$43,"."&amp;$B$134&amp;$AS$82&amp;"P"&amp;$A155)="N/A",0,RTD("tos.rtd",,BB$43,"."&amp;$B$134&amp;$AS$82&amp;"P"&amp;$A155))</f>
        <v>-250</v>
      </c>
      <c r="BC155" s="54">
        <f>IF(RTD("tos.rtd",,BC$2,"."&amp;$C$134&amp;$AU$82&amp;"C"&amp;$A155)="N/A",0,RTD("tos.rtd",,BC$2,"."&amp;$C$134&amp;$AU$82&amp;"C"&amp;$A155))</f>
        <v>0</v>
      </c>
      <c r="BD155" s="3">
        <f>-IF(RTD("tos.rtd",,BD$2,"."&amp;$C$134&amp;$AU$82&amp;"P"&amp;$A155)="N/A",0,RTD("tos.rtd",,BD$2,"."&amp;$C$134&amp;$AU$82&amp;"P"&amp;$A155))</f>
        <v>0</v>
      </c>
      <c r="BE155" s="54">
        <f>IF(RTD("tos.rtd",,BE$2,"."&amp;$D$134&amp;$AW$82&amp;"C"&amp;$A155)="N/A",0,RTD("tos.rtd",,BE$2,"."&amp;$D$134&amp;$AW$82&amp;"C"&amp;$A155))</f>
        <v>0</v>
      </c>
      <c r="BF155" s="3">
        <f>-IF(RTD("tos.rtd",,BF$2,"."&amp;$D$134&amp;$AW$82&amp;"P"&amp;$A155)="N/A",0,RTD("tos.rtd",,BF$2,"."&amp;$D$134&amp;$AW$82&amp;"P"&amp;$A155))</f>
        <v>0</v>
      </c>
      <c r="BG155" s="3" t="e">
        <f ca="1">+Hoja2!Y156</f>
        <v>#N/A</v>
      </c>
      <c r="BH155" s="7" t="e">
        <f t="shared" ca="1" si="540"/>
        <v>#N/A</v>
      </c>
      <c r="BI155" s="32" t="e">
        <f t="shared" ca="1" si="597"/>
        <v>#N/A</v>
      </c>
      <c r="BJ155" s="3" t="e">
        <f ca="1">IF($BP$1=1,DX155,IF(RTD("tos.rtd",,BJ$43,"."&amp;$B$134&amp;$AS$82&amp;"C"&amp;$A155)="N/A",0,RTD("tos.rtd",,BJ$43,"."&amp;$B$134&amp;$AS$82&amp;"C"&amp;$A155)))</f>
        <v>#NUM!</v>
      </c>
      <c r="BK155" s="3" t="e">
        <f ca="1">IF($BP$1=1,DY155,-IF(RTD("tos.rtd",,BK$43,"."&amp;$B$134&amp;$AS$82&amp;"P"&amp;$A155)="N/A",0,RTD("tos.rtd",,BK$43,"."&amp;$B$134&amp;$AS$82&amp;"P"&amp;$A155)))</f>
        <v>#NUM!</v>
      </c>
      <c r="BL155" s="3">
        <f ca="1">IF($BP$1=1,DZ155,IF(RTD("tos.rtd",,BL$2,"."&amp;$C$134&amp;$AU$82&amp;"C"&amp;$A155)="N/A",0,RTD("tos.rtd",,BL$2,"."&amp;$C$134&amp;$AU$82&amp;"C"&amp;$A155)))</f>
        <v>4.8857972607852147E-4</v>
      </c>
      <c r="BM155" s="3">
        <f ca="1">IF($BP$1=1,EA155,-IF(RTD("tos.rtd",,BM$2,"."&amp;$C$134&amp;$AU$82&amp;"P"&amp;$A155)="N/A",0,RTD("tos.rtd",,BM$2,"."&amp;$C$134&amp;$AU$82&amp;"P"&amp;$A155)))</f>
        <v>-4.8857972607852147E-4</v>
      </c>
      <c r="BN155" s="3">
        <f ca="1">IF($BP$1=1,EB155,IF(RTD("tos.rtd",,BN$2,"."&amp;$D$134&amp;$AW$82&amp;"C"&amp;$A155)="N/A",0,RTD("tos.rtd",,BN$2,"."&amp;$D$134&amp;$AW$82&amp;"C"&amp;$A155)))</f>
        <v>4.8857972607852147E-4</v>
      </c>
      <c r="BO155" s="3">
        <f ca="1">IF($BP$1=1,EC155,-IF(RTD("tos.rtd",,BO$2,"."&amp;$D$134&amp;$AW$82&amp;"P"&amp;$A155)="N/A",0,RTD("tos.rtd",,BO$2,"."&amp;$D$134&amp;$AW$82&amp;"P"&amp;$A155)))</f>
        <v>-4.8857972607852147E-4</v>
      </c>
      <c r="BQ155" s="3" t="e">
        <f t="shared" ca="1" si="613"/>
        <v>#NUM!</v>
      </c>
      <c r="BR155" s="3" t="e">
        <f t="shared" ca="1" si="541"/>
        <v>#NUM!</v>
      </c>
      <c r="BS155" s="3">
        <f t="shared" ca="1" si="614"/>
        <v>0</v>
      </c>
      <c r="BT155" s="3" t="str">
        <f t="shared" ca="1" si="542"/>
        <v/>
      </c>
      <c r="BU155" s="3">
        <f t="shared" ca="1" si="615"/>
        <v>0</v>
      </c>
      <c r="BV155" s="3" t="str">
        <f t="shared" ca="1" si="542"/>
        <v/>
      </c>
      <c r="BX155" s="3" t="e">
        <f t="shared" ca="1" si="575"/>
        <v>#NUM!</v>
      </c>
      <c r="BY155" s="3" t="e">
        <f t="shared" ca="1" si="576"/>
        <v>#NUM!</v>
      </c>
      <c r="BZ155" s="3">
        <f t="shared" ca="1" si="577"/>
        <v>0</v>
      </c>
      <c r="CA155" s="3" t="str">
        <f t="shared" ca="1" si="576"/>
        <v/>
      </c>
      <c r="CB155" s="3">
        <f t="shared" ca="1" si="578"/>
        <v>0</v>
      </c>
      <c r="CC155" s="3" t="str">
        <f t="shared" ca="1" si="576"/>
        <v/>
      </c>
      <c r="CD155" s="3">
        <f>IF(RTD("tos.rtd",,CD$43,"."&amp;$B$134&amp;$AS$82&amp;"C"&amp;$A155)="N/A",0,RTD("tos.rtd",,CD$43,"."&amp;$B$134&amp;$AS$82&amp;"C"&amp;$A155))</f>
        <v>1</v>
      </c>
      <c r="CE155" s="3">
        <f>-IF(RTD("tos.rtd",,CE$43,"."&amp;$B$134&amp;$AS$82&amp;"P"&amp;$A155)="N/A",0,RTD("tos.rtd",,CE$43,"."&amp;$B$134&amp;$AS$82&amp;"P"&amp;$A155))</f>
        <v>0.05</v>
      </c>
      <c r="CF155" s="3">
        <f>IF(RTD("tos.rtd",,CF$2,"."&amp;$C$134&amp;$AU$82&amp;"C"&amp;$A155)="N/A",0,RTD("tos.rtd",,CF$2,"."&amp;$C$134&amp;$AU$82&amp;"C"&amp;$A155))</f>
        <v>0</v>
      </c>
      <c r="CG155" s="3">
        <f>-IF(RTD("tos.rtd",,CG$2,"."&amp;$C$134&amp;$AU$82&amp;"P"&amp;$A155)="N/A",0,RTD("tos.rtd",,CG$2,"."&amp;$C$134&amp;$AU$82&amp;"P"&amp;$A155))</f>
        <v>0</v>
      </c>
      <c r="CH155" s="3">
        <f>IF(RTD("tos.rtd",,CH$2,"."&amp;$D$134&amp;$AW$82&amp;"C"&amp;$A155)="N/A",0,RTD("tos.rtd",,CH$2,"."&amp;$D$134&amp;$AW$82&amp;"C"&amp;$A155))</f>
        <v>0</v>
      </c>
      <c r="CI155" s="3">
        <f>-IF(RTD("tos.rtd",,CI$2,"."&amp;$D$134&amp;$AW$82&amp;"P"&amp;$A155)="N/A",0,RTD("tos.rtd",,CI$2,"."&amp;$D$134&amp;$AW$82&amp;"P"&amp;$A155))</f>
        <v>0</v>
      </c>
      <c r="CK155" s="3">
        <f t="shared" si="608"/>
        <v>200</v>
      </c>
      <c r="CL155" s="3"/>
      <c r="CM155" s="3">
        <f t="shared" si="609"/>
        <v>0</v>
      </c>
      <c r="CN155" s="3"/>
      <c r="CO155" s="3">
        <f t="shared" si="610"/>
        <v>0</v>
      </c>
      <c r="CP155" s="3">
        <f t="shared" si="533"/>
        <v>200</v>
      </c>
      <c r="CQ155" s="3">
        <f t="shared" si="543"/>
        <v>-154</v>
      </c>
      <c r="CR155" s="3"/>
      <c r="CS155" s="3">
        <f t="shared" si="544"/>
        <v>0</v>
      </c>
      <c r="CT155" s="3"/>
      <c r="CU155" s="3">
        <f t="shared" si="545"/>
        <v>0</v>
      </c>
      <c r="CV155" s="3"/>
      <c r="CW155" s="3" t="e">
        <f t="shared" ca="1" si="546"/>
        <v>#NUM!</v>
      </c>
      <c r="CY155" s="3" t="e">
        <f t="shared" ca="1" si="547"/>
        <v>#NUM!</v>
      </c>
      <c r="CZ155" s="70" t="e">
        <f t="shared" ca="1" si="579"/>
        <v>#NUM!</v>
      </c>
      <c r="DA155" s="3">
        <f>IF(RTD("tos.rtd",,DA$43,"."&amp;$B$134&amp;$AS$82&amp;"C"&amp;$A155)="N/A",0,RTD("tos.rtd",,DA$43,"."&amp;$B$134&amp;$AS$82&amp;"C"&amp;$A155))</f>
        <v>20.5</v>
      </c>
      <c r="DB155" s="3">
        <f>IF(RTD("tos.rtd",,DB$43,"."&amp;$B$134&amp;$AS$82&amp;"P"&amp;$A155)="N/A",0,RTD("tos.rtd",,DB$43,"."&amp;$B$134&amp;$AS$82&amp;"P"&amp;$A155))</f>
        <v>6.3</v>
      </c>
      <c r="DC155" s="3">
        <f>IF(RTD("tos.rtd",,DC$43,"."&amp;$B$134&amp;$AS$82&amp;"C"&amp;$A155)="N/A",0,RTD("tos.rtd",,DC$43,"."&amp;$B$134&amp;$AS$82&amp;"C"&amp;$A155))</f>
        <v>19.8</v>
      </c>
      <c r="DD155" s="3">
        <f>IF(RTD("tos.rtd",,DD$43,"."&amp;$B$134&amp;$AS$82&amp;"P"&amp;$A155)="N/A",0,RTD("tos.rtd",,DD$43,"."&amp;$B$134&amp;$AS$82&amp;"P"&amp;$A155))</f>
        <v>0.55000000000000004</v>
      </c>
      <c r="DE155" s="3">
        <f>IF(RTD("tos.rtd",,DE$43,"."&amp;$B$134&amp;$AS$82&amp;"C"&amp;$A155)="N/A",0,RTD("tos.rtd",,DE$43,"."&amp;$B$134&amp;$AS$82&amp;"C"&amp;$A155))</f>
        <v>16.2</v>
      </c>
      <c r="DF155" s="3">
        <f>IF(RTD("tos.rtd",,DF$43,"."&amp;$B$134&amp;$AS$82&amp;"P"&amp;$A155)="N/A",0,RTD("tos.rtd",,DF$43,"."&amp;$B$134&amp;$AS$82&amp;"P"&amp;$A155))</f>
        <v>0</v>
      </c>
      <c r="DG155" s="86">
        <f t="shared" si="580"/>
        <v>-12</v>
      </c>
      <c r="DH155" s="3">
        <f t="shared" si="548"/>
        <v>0</v>
      </c>
      <c r="DI155" s="3">
        <f t="shared" si="549"/>
        <v>0</v>
      </c>
      <c r="DJ155" s="3">
        <f t="shared" si="550"/>
        <v>0</v>
      </c>
      <c r="DK155" s="3">
        <f t="shared" si="551"/>
        <v>0</v>
      </c>
      <c r="DL155" s="3">
        <f t="shared" si="552"/>
        <v>0</v>
      </c>
      <c r="DM155" s="3">
        <f t="shared" si="553"/>
        <v>0</v>
      </c>
      <c r="DN155" s="64" t="str">
        <f t="shared" si="554"/>
        <v>UNKNOWN</v>
      </c>
      <c r="DO155" s="64" t="str">
        <f t="shared" si="555"/>
        <v>UNKNOWN</v>
      </c>
      <c r="DP155" s="3">
        <f t="shared" si="556"/>
        <v>0</v>
      </c>
      <c r="DQ155" s="3">
        <f t="shared" si="557"/>
        <v>0</v>
      </c>
      <c r="DR155" s="3" t="e">
        <f t="shared" ca="1" si="558"/>
        <v>#NUM!</v>
      </c>
      <c r="DS155" s="3">
        <f t="shared" si="559"/>
        <v>0</v>
      </c>
      <c r="DT155" s="3">
        <f t="shared" si="581"/>
        <v>0</v>
      </c>
      <c r="DU155" s="3">
        <f t="shared" si="582"/>
        <v>0</v>
      </c>
      <c r="DV155" s="3">
        <f t="shared" si="560"/>
        <v>-80</v>
      </c>
      <c r="DW155" s="3">
        <f t="shared" si="561"/>
        <v>-37</v>
      </c>
      <c r="DX155" s="3" t="e">
        <f t="shared" ca="1" si="562"/>
        <v>#NUM!</v>
      </c>
      <c r="DY155" s="3" t="e">
        <f t="shared" ca="1" si="563"/>
        <v>#NUM!</v>
      </c>
      <c r="DZ155" s="3">
        <f t="shared" ca="1" si="564"/>
        <v>4.8857972607852147E-4</v>
      </c>
      <c r="EA155" s="3">
        <f t="shared" ca="1" si="565"/>
        <v>-4.8857972607852147E-4</v>
      </c>
      <c r="EB155" s="3">
        <f t="shared" ca="1" si="566"/>
        <v>4.8857972607852147E-4</v>
      </c>
      <c r="EC155" s="3">
        <f t="shared" ca="1" si="567"/>
        <v>-4.8857972607852147E-4</v>
      </c>
      <c r="EE155" s="59">
        <f t="shared" si="568"/>
        <v>0.25</v>
      </c>
      <c r="EF155" s="59">
        <f t="shared" si="569"/>
        <v>0.09</v>
      </c>
      <c r="EG155" s="59">
        <f t="shared" si="570"/>
        <v>0.25</v>
      </c>
      <c r="EH155" s="59">
        <f t="shared" si="571"/>
        <v>0.25</v>
      </c>
      <c r="EI155" s="59">
        <f t="shared" si="572"/>
        <v>0.25</v>
      </c>
      <c r="EJ155" s="59">
        <f t="shared" si="573"/>
        <v>0.25</v>
      </c>
      <c r="EL155" s="3" t="str">
        <f>RTD("tos.rtd",,EL$43,"."&amp;$B$134&amp;$AS$82&amp;"C"&amp;$A155)</f>
        <v>--</v>
      </c>
      <c r="EM155" s="3" t="str">
        <f>RTD("tos.rtd",,EM$43,"."&amp;$B$134&amp;$AS$82&amp;"P"&amp;$A155)</f>
        <v>9.00%</v>
      </c>
      <c r="EN155" s="3" t="str">
        <f>RTD("tos.rtd",,EN$2,"."&amp;$C$134&amp;$AU$82&amp;"C"&amp;$A155)</f>
        <v>N/A</v>
      </c>
      <c r="EO155" s="3" t="str">
        <f>RTD("tos.rtd",,EO$2,"."&amp;$C$134&amp;$AU$82&amp;"P"&amp;$A155)</f>
        <v>N/A</v>
      </c>
      <c r="EP155" s="3" t="str">
        <f>RTD("tos.rtd",,EP$2,"."&amp;$D$134&amp;$AW$82&amp;"C"&amp;$A155)</f>
        <v>N/A</v>
      </c>
      <c r="EQ155" s="3" t="str">
        <f>RTD("tos.rtd",,EQ$2,"."&amp;$D$134&amp;$AW$82&amp;"P"&amp;$A155)</f>
        <v>N/A</v>
      </c>
      <c r="ET155" s="64" t="str">
        <f t="shared" ca="1" si="574"/>
        <v>20080,00.00</v>
      </c>
      <c r="EU155" s="68">
        <v>564.35</v>
      </c>
      <c r="EV155" s="68" t="s">
        <v>1260</v>
      </c>
      <c r="EW155" s="68">
        <v>486.46</v>
      </c>
      <c r="EX155" s="68" t="s">
        <v>1261</v>
      </c>
      <c r="EY155" s="68">
        <v>5658.75</v>
      </c>
      <c r="EZ155" s="68" t="s">
        <v>1262</v>
      </c>
      <c r="FA155" s="68">
        <v>19988.75</v>
      </c>
      <c r="FB155" s="68" t="s">
        <v>1263</v>
      </c>
      <c r="FC155" s="68" t="s">
        <v>1264</v>
      </c>
      <c r="FD155" s="68" t="s">
        <v>1265</v>
      </c>
      <c r="FE155" s="68" t="s">
        <v>1266</v>
      </c>
      <c r="FF155" s="68" t="s">
        <v>1267</v>
      </c>
    </row>
    <row r="156" spans="1:162" ht="11.1" customHeight="1" thickBot="1" x14ac:dyDescent="0.25">
      <c r="A156" s="2">
        <f t="shared" si="583"/>
        <v>20060</v>
      </c>
      <c r="B156" s="3">
        <f t="shared" si="616"/>
        <v>2</v>
      </c>
      <c r="C156" s="3">
        <f t="shared" si="617"/>
        <v>0</v>
      </c>
      <c r="D156" s="3">
        <f t="shared" si="618"/>
        <v>0</v>
      </c>
      <c r="E156" s="3">
        <f t="shared" si="601"/>
        <v>2</v>
      </c>
      <c r="F156" s="4">
        <f t="shared" si="611"/>
        <v>20159.840732629902</v>
      </c>
      <c r="G156" s="5">
        <f t="shared" si="603"/>
        <v>488.18124626717099</v>
      </c>
      <c r="AM156" s="1" t="e">
        <v>#N/A</v>
      </c>
      <c r="AN156" s="1">
        <v>-51</v>
      </c>
      <c r="AO156" s="1">
        <v>20060</v>
      </c>
      <c r="AP156" s="1">
        <v>117</v>
      </c>
      <c r="AQ156" s="1">
        <v>-287</v>
      </c>
      <c r="AS156" s="54">
        <f>IF(RTD("tos.rtd",,AS$83,"."&amp;$B$134&amp;$AS$82&amp;"C"&amp;$A156)="N/A",0,RTD("tos.rtd",,AS$83,"."&amp;$B$134&amp;$AS$82&amp;"C"&amp;$A156))</f>
        <v>2</v>
      </c>
      <c r="AT156" s="3">
        <f>-IF(RTD("tos.rtd",,AT$83,"."&amp;$B$134&amp;$AS$82&amp;"P"&amp;$A156)="N/A",0,RTD("tos.rtd",,AT$83,"."&amp;$B$134&amp;$AS$82&amp;"P"&amp;$A156))</f>
        <v>0</v>
      </c>
      <c r="AU156" s="54">
        <f>IF(RTD("tos.rtd",,AU$2,"."&amp;$C$134&amp;$AU$134&amp;"C"&amp;$A156)="N/A",0,RTD("tos.rtd",,AU$2,"."&amp;$C$134&amp;$AU$134&amp;"C"&amp;$A156))</f>
        <v>0</v>
      </c>
      <c r="AV156" s="3">
        <f>-IF(RTD("tos.rtd",,AV$2,"."&amp;$C$134&amp;$AU$134&amp;"P"&amp;$A156)="N/A",0,RTD("tos.rtd",,AV$2,"."&amp;$C$134&amp;$AU$134&amp;"P"&amp;$A156))</f>
        <v>0</v>
      </c>
      <c r="AW156" s="54">
        <f>IF(RTD("tos.rtd",,AW$2,"."&amp;$D$134&amp;$AW$134&amp;"C"&amp;$A156)="N/A",0,RTD("tos.rtd",,AW$2,"."&amp;$D$134&amp;$AW$134&amp;"C"&amp;$A156))</f>
        <v>0</v>
      </c>
      <c r="AX156" s="3">
        <f>-IF(RTD("tos.rtd",,AX$2,"."&amp;$D$134&amp;$AW$134&amp;"P"&amp;$A156)="N/A",0,RTD("tos.rtd",,AX$2,"."&amp;$D$134&amp;$AW$134&amp;"P"&amp;$A156))</f>
        <v>0</v>
      </c>
      <c r="AY156" s="76">
        <f t="shared" si="612"/>
        <v>2</v>
      </c>
      <c r="AZ156" s="8">
        <f t="shared" si="539"/>
        <v>20060</v>
      </c>
      <c r="BA156" s="54">
        <f>IF(RTD("tos.rtd",,BA$43,"."&amp;$B$134&amp;$AS$82&amp;"C"&amp;$A156)="N/A",0,RTD("tos.rtd",,BA$43,"."&amp;$B$134&amp;$AS$82&amp;"C"&amp;$A156))</f>
        <v>117</v>
      </c>
      <c r="BB156" s="3">
        <f>-IF(RTD("tos.rtd",,BB$43,"."&amp;$B$134&amp;$AS$82&amp;"P"&amp;$A156)="N/A",0,RTD("tos.rtd",,BB$43,"."&amp;$B$134&amp;$AS$82&amp;"P"&amp;$A156))</f>
        <v>-287</v>
      </c>
      <c r="BC156" s="54">
        <f>IF(RTD("tos.rtd",,BC$2,"."&amp;$C$134&amp;$AU$82&amp;"C"&amp;$A156)="N/A",0,RTD("tos.rtd",,BC$2,"."&amp;$C$134&amp;$AU$82&amp;"C"&amp;$A156))</f>
        <v>0</v>
      </c>
      <c r="BD156" s="3">
        <f>-IF(RTD("tos.rtd",,BD$2,"."&amp;$C$134&amp;$AU$82&amp;"P"&amp;$A156)="N/A",0,RTD("tos.rtd",,BD$2,"."&amp;$C$134&amp;$AU$82&amp;"P"&amp;$A156))</f>
        <v>0</v>
      </c>
      <c r="BE156" s="54">
        <f>IF(RTD("tos.rtd",,BE$2,"."&amp;$D$134&amp;$AW$82&amp;"C"&amp;$A156)="N/A",0,RTD("tos.rtd",,BE$2,"."&amp;$D$134&amp;$AW$82&amp;"C"&amp;$A156))</f>
        <v>0</v>
      </c>
      <c r="BF156" s="3">
        <f>-IF(RTD("tos.rtd",,BF$2,"."&amp;$D$134&amp;$AW$82&amp;"P"&amp;$A156)="N/A",0,RTD("tos.rtd",,BF$2,"."&amp;$D$134&amp;$AW$82&amp;"P"&amp;$A156))</f>
        <v>0</v>
      </c>
      <c r="BG156" s="3" t="e">
        <f ca="1">+Hoja2!Y157</f>
        <v>#N/A</v>
      </c>
      <c r="BH156" s="7" t="e">
        <f t="shared" ca="1" si="540"/>
        <v>#N/A</v>
      </c>
      <c r="BI156" s="32" t="e">
        <f t="shared" ca="1" si="597"/>
        <v>#N/A</v>
      </c>
      <c r="BJ156" s="3" t="e">
        <f ca="1">IF($BP$1=1,DX156,IF(RTD("tos.rtd",,BJ$43,"."&amp;$B$134&amp;$AS$82&amp;"C"&amp;$A156)="N/A",0,RTD("tos.rtd",,BJ$43,"."&amp;$B$134&amp;$AS$82&amp;"C"&amp;$A156)))</f>
        <v>#NUM!</v>
      </c>
      <c r="BK156" s="3" t="e">
        <f ca="1">IF($BP$1=1,DY156,-IF(RTD("tos.rtd",,BK$43,"."&amp;$B$134&amp;$AS$82&amp;"P"&amp;$A156)="N/A",0,RTD("tos.rtd",,BK$43,"."&amp;$B$134&amp;$AS$82&amp;"P"&amp;$A156)))</f>
        <v>#NUM!</v>
      </c>
      <c r="BL156" s="3">
        <f ca="1">IF($BP$1=1,DZ156,IF(RTD("tos.rtd",,BL$2,"."&amp;$C$134&amp;$AU$82&amp;"C"&amp;$A156)="N/A",0,RTD("tos.rtd",,BL$2,"."&amp;$C$134&amp;$AU$82&amp;"C"&amp;$A156)))</f>
        <v>4.876856725728961E-4</v>
      </c>
      <c r="BM156" s="3">
        <f ca="1">IF($BP$1=1,EA156,-IF(RTD("tos.rtd",,BM$2,"."&amp;$C$134&amp;$AU$82&amp;"P"&amp;$A156)="N/A",0,RTD("tos.rtd",,BM$2,"."&amp;$C$134&amp;$AU$82&amp;"P"&amp;$A156)))</f>
        <v>-4.876856725728961E-4</v>
      </c>
      <c r="BN156" s="3">
        <f ca="1">IF($BP$1=1,EB156,IF(RTD("tos.rtd",,BN$2,"."&amp;$D$134&amp;$AW$82&amp;"C"&amp;$A156)="N/A",0,RTD("tos.rtd",,BN$2,"."&amp;$D$134&amp;$AW$82&amp;"C"&amp;$A156)))</f>
        <v>4.876856725728961E-4</v>
      </c>
      <c r="BO156" s="3">
        <f ca="1">IF($BP$1=1,EC156,-IF(RTD("tos.rtd",,BO$2,"."&amp;$D$134&amp;$AW$82&amp;"P"&amp;$A156)="N/A",0,RTD("tos.rtd",,BO$2,"."&amp;$D$134&amp;$AW$82&amp;"P"&amp;$A156)))</f>
        <v>-4.876856725728961E-4</v>
      </c>
      <c r="BQ156" s="3" t="e">
        <f t="shared" ca="1" si="613"/>
        <v>#NUM!</v>
      </c>
      <c r="BR156" s="3" t="e">
        <f t="shared" ca="1" si="541"/>
        <v>#NUM!</v>
      </c>
      <c r="BS156" s="3">
        <f t="shared" ca="1" si="614"/>
        <v>0</v>
      </c>
      <c r="BT156" s="3" t="str">
        <f t="shared" ca="1" si="542"/>
        <v/>
      </c>
      <c r="BU156" s="3">
        <f t="shared" ca="1" si="615"/>
        <v>0</v>
      </c>
      <c r="BV156" s="3" t="str">
        <f t="shared" ca="1" si="542"/>
        <v/>
      </c>
      <c r="BX156" s="3" t="e">
        <f t="shared" ca="1" si="575"/>
        <v>#NUM!</v>
      </c>
      <c r="BY156" s="3" t="e">
        <f t="shared" ca="1" si="576"/>
        <v>#NUM!</v>
      </c>
      <c r="BZ156" s="3">
        <f t="shared" ca="1" si="577"/>
        <v>0</v>
      </c>
      <c r="CA156" s="3" t="str">
        <f t="shared" ca="1" si="576"/>
        <v/>
      </c>
      <c r="CB156" s="3">
        <f t="shared" ca="1" si="578"/>
        <v>0</v>
      </c>
      <c r="CC156" s="3" t="str">
        <f t="shared" ca="1" si="576"/>
        <v/>
      </c>
      <c r="CD156" s="3">
        <f>IF(RTD("tos.rtd",,CD$43,"."&amp;$B$134&amp;$AS$82&amp;"C"&amp;$A156)="N/A",0,RTD("tos.rtd",,CD$43,"."&amp;$B$134&amp;$AS$82&amp;"C"&amp;$A156))</f>
        <v>1</v>
      </c>
      <c r="CE156" s="3">
        <f>-IF(RTD("tos.rtd",,CE$43,"."&amp;$B$134&amp;$AS$82&amp;"P"&amp;$A156)="N/A",0,RTD("tos.rtd",,CE$43,"."&amp;$B$134&amp;$AS$82&amp;"P"&amp;$A156))</f>
        <v>0.05</v>
      </c>
      <c r="CF156" s="3">
        <f>IF(RTD("tos.rtd",,CF$2,"."&amp;$C$134&amp;$AU$82&amp;"C"&amp;$A156)="N/A",0,RTD("tos.rtd",,CF$2,"."&amp;$C$134&amp;$AU$82&amp;"C"&amp;$A156))</f>
        <v>0</v>
      </c>
      <c r="CG156" s="3">
        <f>-IF(RTD("tos.rtd",,CG$2,"."&amp;$C$134&amp;$AU$82&amp;"P"&amp;$A156)="N/A",0,RTD("tos.rtd",,CG$2,"."&amp;$C$134&amp;$AU$82&amp;"P"&amp;$A156))</f>
        <v>0</v>
      </c>
      <c r="CH156" s="3">
        <f>IF(RTD("tos.rtd",,CH$2,"."&amp;$D$134&amp;$AW$82&amp;"C"&amp;$A156)="N/A",0,RTD("tos.rtd",,CH$2,"."&amp;$D$134&amp;$AW$82&amp;"C"&amp;$A156))</f>
        <v>0</v>
      </c>
      <c r="CI156" s="3">
        <f>-IF(RTD("tos.rtd",,CI$2,"."&amp;$D$134&amp;$AW$82&amp;"P"&amp;$A156)="N/A",0,RTD("tos.rtd",,CI$2,"."&amp;$D$134&amp;$AW$82&amp;"P"&amp;$A156))</f>
        <v>0</v>
      </c>
      <c r="CK156" s="3">
        <f t="shared" si="608"/>
        <v>200</v>
      </c>
      <c r="CL156" s="3"/>
      <c r="CM156" s="3">
        <f t="shared" si="609"/>
        <v>0</v>
      </c>
      <c r="CN156" s="3"/>
      <c r="CO156" s="3">
        <f t="shared" si="610"/>
        <v>0</v>
      </c>
      <c r="CP156" s="3">
        <f t="shared" si="533"/>
        <v>200</v>
      </c>
      <c r="CQ156" s="3">
        <f t="shared" si="543"/>
        <v>-170</v>
      </c>
      <c r="CR156" s="3"/>
      <c r="CS156" s="3">
        <f t="shared" si="544"/>
        <v>0</v>
      </c>
      <c r="CT156" s="3"/>
      <c r="CU156" s="3">
        <f t="shared" si="545"/>
        <v>0</v>
      </c>
      <c r="CV156" s="3"/>
      <c r="CW156" s="3" t="e">
        <f t="shared" ca="1" si="546"/>
        <v>#NUM!</v>
      </c>
      <c r="CY156" s="3" t="e">
        <f t="shared" ca="1" si="547"/>
        <v>#NUM!</v>
      </c>
      <c r="CZ156" s="70" t="e">
        <f t="shared" ca="1" si="579"/>
        <v>#NUM!</v>
      </c>
      <c r="DA156" s="3">
        <f>IF(RTD("tos.rtd",,DA$43,"."&amp;$B$134&amp;$AS$82&amp;"C"&amp;$A156)="N/A",0,RTD("tos.rtd",,DA$43,"."&amp;$B$134&amp;$AS$82&amp;"C"&amp;$A156))</f>
        <v>41.15</v>
      </c>
      <c r="DB156" s="3">
        <f>IF(RTD("tos.rtd",,DB$43,"."&amp;$B$134&amp;$AS$82&amp;"P"&amp;$A156)="N/A",0,RTD("tos.rtd",,DB$43,"."&amp;$B$134&amp;$AS$82&amp;"P"&amp;$A156))</f>
        <v>1.58</v>
      </c>
      <c r="DC156" s="3">
        <f>IF(RTD("tos.rtd",,DC$43,"."&amp;$B$134&amp;$AS$82&amp;"C"&amp;$A156)="N/A",0,RTD("tos.rtd",,DC$43,"."&amp;$B$134&amp;$AS$82&amp;"C"&amp;$A156))</f>
        <v>38</v>
      </c>
      <c r="DD156" s="3">
        <f>IF(RTD("tos.rtd",,DD$43,"."&amp;$B$134&amp;$AS$82&amp;"P"&amp;$A156)="N/A",0,RTD("tos.rtd",,DD$43,"."&amp;$B$134&amp;$AS$82&amp;"P"&amp;$A156))</f>
        <v>1</v>
      </c>
      <c r="DE156" s="3">
        <f>IF(RTD("tos.rtd",,DE$43,"."&amp;$B$134&amp;$AS$82&amp;"C"&amp;$A156)="N/A",0,RTD("tos.rtd",,DE$43,"."&amp;$B$134&amp;$AS$82&amp;"C"&amp;$A156))</f>
        <v>22</v>
      </c>
      <c r="DF156" s="3">
        <f>IF(RTD("tos.rtd",,DF$43,"."&amp;$B$134&amp;$AS$82&amp;"P"&amp;$A156)="N/A",0,RTD("tos.rtd",,DF$43,"."&amp;$B$134&amp;$AS$82&amp;"P"&amp;$A156))</f>
        <v>0</v>
      </c>
      <c r="DG156" s="86">
        <f t="shared" si="580"/>
        <v>-32</v>
      </c>
      <c r="DH156" s="3">
        <f t="shared" si="548"/>
        <v>0</v>
      </c>
      <c r="DI156" s="3">
        <f t="shared" si="549"/>
        <v>0</v>
      </c>
      <c r="DJ156" s="3">
        <f t="shared" si="550"/>
        <v>0</v>
      </c>
      <c r="DK156" s="3">
        <f t="shared" si="551"/>
        <v>0</v>
      </c>
      <c r="DL156" s="3">
        <f t="shared" si="552"/>
        <v>0</v>
      </c>
      <c r="DM156" s="3">
        <f t="shared" si="553"/>
        <v>0</v>
      </c>
      <c r="DN156" s="64" t="str">
        <f t="shared" si="554"/>
        <v>UNKNOWN</v>
      </c>
      <c r="DO156" s="64" t="str">
        <f t="shared" si="555"/>
        <v>UNKNOWN</v>
      </c>
      <c r="DP156" s="3">
        <f t="shared" si="556"/>
        <v>0</v>
      </c>
      <c r="DQ156" s="3">
        <f t="shared" si="557"/>
        <v>0</v>
      </c>
      <c r="DR156" s="3" t="e">
        <f t="shared" ca="1" si="558"/>
        <v>#NUM!</v>
      </c>
      <c r="DS156" s="3">
        <f t="shared" si="559"/>
        <v>0</v>
      </c>
      <c r="DT156" s="3">
        <f t="shared" si="581"/>
        <v>0</v>
      </c>
      <c r="DU156" s="3">
        <f t="shared" si="582"/>
        <v>0</v>
      </c>
      <c r="DV156" s="3" t="e">
        <f t="shared" si="560"/>
        <v>#N/A</v>
      </c>
      <c r="DW156" s="3">
        <f t="shared" si="561"/>
        <v>-51</v>
      </c>
      <c r="DX156" s="3" t="e">
        <f t="shared" ca="1" si="562"/>
        <v>#NUM!</v>
      </c>
      <c r="DY156" s="3" t="e">
        <f t="shared" ca="1" si="563"/>
        <v>#NUM!</v>
      </c>
      <c r="DZ156" s="3">
        <f t="shared" ca="1" si="564"/>
        <v>4.876856725728961E-4</v>
      </c>
      <c r="EA156" s="3">
        <f t="shared" ca="1" si="565"/>
        <v>-4.876856725728961E-4</v>
      </c>
      <c r="EB156" s="3">
        <f t="shared" ca="1" si="566"/>
        <v>4.876856725728961E-4</v>
      </c>
      <c r="EC156" s="3">
        <f t="shared" ca="1" si="567"/>
        <v>-4.876856725728961E-4</v>
      </c>
      <c r="EE156" s="59">
        <f t="shared" si="568"/>
        <v>0.25</v>
      </c>
      <c r="EF156" s="59">
        <f t="shared" si="569"/>
        <v>0.16830000000000001</v>
      </c>
      <c r="EG156" s="59">
        <f t="shared" si="570"/>
        <v>0.25</v>
      </c>
      <c r="EH156" s="59">
        <f t="shared" si="571"/>
        <v>0.25</v>
      </c>
      <c r="EI156" s="59">
        <f t="shared" si="572"/>
        <v>0.25</v>
      </c>
      <c r="EJ156" s="59">
        <f t="shared" si="573"/>
        <v>0.25</v>
      </c>
      <c r="EL156" s="3" t="str">
        <f>RTD("tos.rtd",,EL$43,"."&amp;$B$134&amp;$AS$82&amp;"C"&amp;$A156)</f>
        <v>--</v>
      </c>
      <c r="EM156" s="3" t="str">
        <f>RTD("tos.rtd",,EM$43,"."&amp;$B$134&amp;$AS$82&amp;"P"&amp;$A156)</f>
        <v>16.83%</v>
      </c>
      <c r="EN156" s="3" t="str">
        <f>RTD("tos.rtd",,EN$2,"."&amp;$C$134&amp;$AU$82&amp;"C"&amp;$A156)</f>
        <v>N/A</v>
      </c>
      <c r="EO156" s="3" t="str">
        <f>RTD("tos.rtd",,EO$2,"."&amp;$C$134&amp;$AU$82&amp;"P"&amp;$A156)</f>
        <v>N/A</v>
      </c>
      <c r="EP156" s="3" t="str">
        <f>RTD("tos.rtd",,EP$2,"."&amp;$D$134&amp;$AW$82&amp;"C"&amp;$A156)</f>
        <v>N/A</v>
      </c>
      <c r="EQ156" s="3" t="str">
        <f>RTD("tos.rtd",,EQ$2,"."&amp;$D$134&amp;$AW$82&amp;"P"&amp;$A156)</f>
        <v>N/A</v>
      </c>
      <c r="ET156" s="64" t="str">
        <f t="shared" ca="1" si="574"/>
        <v>20060,00.00</v>
      </c>
      <c r="EU156" s="68">
        <v>564.66499999999996</v>
      </c>
      <c r="EV156" s="68" t="s">
        <v>1268</v>
      </c>
      <c r="EW156" s="68">
        <v>486.7</v>
      </c>
      <c r="EX156" s="68" t="s">
        <v>1269</v>
      </c>
      <c r="EY156" s="68">
        <v>5662.5</v>
      </c>
      <c r="EZ156" s="68" t="s">
        <v>1270</v>
      </c>
      <c r="FA156" s="68">
        <v>19998.75</v>
      </c>
      <c r="FB156" s="68" t="s">
        <v>1271</v>
      </c>
      <c r="FC156" s="68" t="s">
        <v>1272</v>
      </c>
      <c r="FD156" s="68" t="s">
        <v>1273</v>
      </c>
      <c r="FE156" s="68" t="s">
        <v>1274</v>
      </c>
      <c r="FF156" s="68" t="s">
        <v>1275</v>
      </c>
    </row>
    <row r="157" spans="1:162" ht="11.1" customHeight="1" thickBot="1" x14ac:dyDescent="0.25">
      <c r="A157" s="2">
        <f t="shared" si="583"/>
        <v>20040</v>
      </c>
      <c r="B157" s="3">
        <f t="shared" si="616"/>
        <v>2</v>
      </c>
      <c r="C157" s="3">
        <f t="shared" si="617"/>
        <v>0</v>
      </c>
      <c r="D157" s="3">
        <f t="shared" si="618"/>
        <v>0</v>
      </c>
      <c r="E157" s="3">
        <f t="shared" si="601"/>
        <v>2</v>
      </c>
      <c r="F157" s="4">
        <f t="shared" si="611"/>
        <v>20139.741190523593</v>
      </c>
      <c r="G157" s="5">
        <f t="shared" si="603"/>
        <v>487.69452518415289</v>
      </c>
      <c r="AM157" s="1">
        <v>-7</v>
      </c>
      <c r="AN157" s="1" t="e">
        <v>#N/A</v>
      </c>
      <c r="AO157" s="1">
        <v>20040</v>
      </c>
      <c r="AP157" s="1">
        <v>51</v>
      </c>
      <c r="AQ157" s="1">
        <v>-492</v>
      </c>
      <c r="AS157" s="54">
        <f>IF(RTD("tos.rtd",,AS$83,"."&amp;$B$134&amp;$AS$82&amp;"C"&amp;$A157)="N/A",0,RTD("tos.rtd",,AS$83,"."&amp;$B$134&amp;$AS$82&amp;"C"&amp;$A157))</f>
        <v>2</v>
      </c>
      <c r="AT157" s="3">
        <f>-IF(RTD("tos.rtd",,AT$83,"."&amp;$B$134&amp;$AS$82&amp;"P"&amp;$A157)="N/A",0,RTD("tos.rtd",,AT$83,"."&amp;$B$134&amp;$AS$82&amp;"P"&amp;$A157))</f>
        <v>0</v>
      </c>
      <c r="AU157" s="54">
        <f>IF(RTD("tos.rtd",,AU$2,"."&amp;$C$134&amp;$AU$134&amp;"C"&amp;$A157)="N/A",0,RTD("tos.rtd",,AU$2,"."&amp;$C$134&amp;$AU$134&amp;"C"&amp;$A157))</f>
        <v>0</v>
      </c>
      <c r="AV157" s="3">
        <f>-IF(RTD("tos.rtd",,AV$2,"."&amp;$C$134&amp;$AU$134&amp;"P"&amp;$A157)="N/A",0,RTD("tos.rtd",,AV$2,"."&amp;$C$134&amp;$AU$134&amp;"P"&amp;$A157))</f>
        <v>0</v>
      </c>
      <c r="AW157" s="54">
        <f>IF(RTD("tos.rtd",,AW$2,"."&amp;$D$134&amp;$AW$134&amp;"C"&amp;$A157)="N/A",0,RTD("tos.rtd",,AW$2,"."&amp;$D$134&amp;$AW$134&amp;"C"&amp;$A157))</f>
        <v>0</v>
      </c>
      <c r="AX157" s="3">
        <f>-IF(RTD("tos.rtd",,AX$2,"."&amp;$D$134&amp;$AW$134&amp;"P"&amp;$A157)="N/A",0,RTD("tos.rtd",,AX$2,"."&amp;$D$134&amp;$AW$134&amp;"P"&amp;$A157))</f>
        <v>0</v>
      </c>
      <c r="AY157" s="76">
        <f t="shared" si="612"/>
        <v>2</v>
      </c>
      <c r="AZ157" s="8">
        <f t="shared" si="539"/>
        <v>20040</v>
      </c>
      <c r="BA157" s="54">
        <f>IF(RTD("tos.rtd",,BA$43,"."&amp;$B$134&amp;$AS$82&amp;"C"&amp;$A157)="N/A",0,RTD("tos.rtd",,BA$43,"."&amp;$B$134&amp;$AS$82&amp;"C"&amp;$A157))</f>
        <v>51</v>
      </c>
      <c r="BB157" s="3">
        <f>-IF(RTD("tos.rtd",,BB$43,"."&amp;$B$134&amp;$AS$82&amp;"P"&amp;$A157)="N/A",0,RTD("tos.rtd",,BB$43,"."&amp;$B$134&amp;$AS$82&amp;"P"&amp;$A157))</f>
        <v>-492</v>
      </c>
      <c r="BC157" s="54">
        <f>IF(RTD("tos.rtd",,BC$2,"."&amp;$C$134&amp;$AU$82&amp;"C"&amp;$A157)="N/A",0,RTD("tos.rtd",,BC$2,"."&amp;$C$134&amp;$AU$82&amp;"C"&amp;$A157))</f>
        <v>0</v>
      </c>
      <c r="BD157" s="3">
        <f>-IF(RTD("tos.rtd",,BD$2,"."&amp;$C$134&amp;$AU$82&amp;"P"&amp;$A157)="N/A",0,RTD("tos.rtd",,BD$2,"."&amp;$C$134&amp;$AU$82&amp;"P"&amp;$A157))</f>
        <v>0</v>
      </c>
      <c r="BE157" s="54">
        <f>IF(RTD("tos.rtd",,BE$2,"."&amp;$D$134&amp;$AW$82&amp;"C"&amp;$A157)="N/A",0,RTD("tos.rtd",,BE$2,"."&amp;$D$134&amp;$AW$82&amp;"C"&amp;$A157))</f>
        <v>0</v>
      </c>
      <c r="BF157" s="3">
        <f>-IF(RTD("tos.rtd",,BF$2,"."&amp;$D$134&amp;$AW$82&amp;"P"&amp;$A157)="N/A",0,RTD("tos.rtd",,BF$2,"."&amp;$D$134&amp;$AW$82&amp;"P"&amp;$A157))</f>
        <v>0</v>
      </c>
      <c r="BG157" s="3" t="e">
        <f ca="1">+Hoja2!Y158</f>
        <v>#N/A</v>
      </c>
      <c r="BH157" s="7" t="e">
        <f t="shared" ca="1" si="540"/>
        <v>#N/A</v>
      </c>
      <c r="BI157" s="32" t="e">
        <f t="shared" ca="1" si="597"/>
        <v>#N/A</v>
      </c>
      <c r="BJ157" s="3" t="e">
        <f ca="1">IF($BP$1=1,DX157,IF(RTD("tos.rtd",,BJ$43,"."&amp;$B$134&amp;$AS$82&amp;"C"&amp;$A157)="N/A",0,RTD("tos.rtd",,BJ$43,"."&amp;$B$134&amp;$AS$82&amp;"C"&amp;$A157)))</f>
        <v>#NUM!</v>
      </c>
      <c r="BK157" s="3" t="e">
        <f ca="1">IF($BP$1=1,DY157,-IF(RTD("tos.rtd",,BK$43,"."&amp;$B$134&amp;$AS$82&amp;"P"&amp;$A157)="N/A",0,RTD("tos.rtd",,BK$43,"."&amp;$B$134&amp;$AS$82&amp;"P"&amp;$A157)))</f>
        <v>#NUM!</v>
      </c>
      <c r="BL157" s="3">
        <f ca="1">IF($BP$1=1,DZ157,IF(RTD("tos.rtd",,BL$2,"."&amp;$C$134&amp;$AU$82&amp;"C"&amp;$A157)="N/A",0,RTD("tos.rtd",,BL$2,"."&amp;$C$134&amp;$AU$82&amp;"C"&amp;$A157)))</f>
        <v>4.8649818901608694E-4</v>
      </c>
      <c r="BM157" s="3">
        <f ca="1">IF($BP$1=1,EA157,-IF(RTD("tos.rtd",,BM$2,"."&amp;$C$134&amp;$AU$82&amp;"P"&amp;$A157)="N/A",0,RTD("tos.rtd",,BM$2,"."&amp;$C$134&amp;$AU$82&amp;"P"&amp;$A157)))</f>
        <v>-4.8649818901608694E-4</v>
      </c>
      <c r="BN157" s="3">
        <f ca="1">IF($BP$1=1,EB157,IF(RTD("tos.rtd",,BN$2,"."&amp;$D$134&amp;$AW$82&amp;"C"&amp;$A157)="N/A",0,RTD("tos.rtd",,BN$2,"."&amp;$D$134&amp;$AW$82&amp;"C"&amp;$A157)))</f>
        <v>4.8649818901608694E-4</v>
      </c>
      <c r="BO157" s="3">
        <f ca="1">IF($BP$1=1,EC157,-IF(RTD("tos.rtd",,BO$2,"."&amp;$D$134&amp;$AW$82&amp;"P"&amp;$A157)="N/A",0,RTD("tos.rtd",,BO$2,"."&amp;$D$134&amp;$AW$82&amp;"P"&amp;$A157)))</f>
        <v>-4.8649818901608694E-4</v>
      </c>
      <c r="BQ157" s="3" t="e">
        <f t="shared" ca="1" si="613"/>
        <v>#NUM!</v>
      </c>
      <c r="BR157" s="3" t="e">
        <f t="shared" ca="1" si="541"/>
        <v>#NUM!</v>
      </c>
      <c r="BS157" s="3">
        <f t="shared" ca="1" si="614"/>
        <v>0</v>
      </c>
      <c r="BT157" s="3" t="str">
        <f t="shared" ca="1" si="542"/>
        <v/>
      </c>
      <c r="BU157" s="3">
        <f t="shared" ca="1" si="615"/>
        <v>0</v>
      </c>
      <c r="BV157" s="3" t="str">
        <f t="shared" ca="1" si="542"/>
        <v/>
      </c>
      <c r="BX157" s="3" t="e">
        <f t="shared" ca="1" si="575"/>
        <v>#NUM!</v>
      </c>
      <c r="BY157" s="3" t="e">
        <f t="shared" ca="1" si="576"/>
        <v>#NUM!</v>
      </c>
      <c r="BZ157" s="3">
        <f t="shared" ca="1" si="577"/>
        <v>0</v>
      </c>
      <c r="CA157" s="3" t="str">
        <f t="shared" ca="1" si="576"/>
        <v/>
      </c>
      <c r="CB157" s="3">
        <f t="shared" ca="1" si="578"/>
        <v>0</v>
      </c>
      <c r="CC157" s="3" t="str">
        <f t="shared" ca="1" si="576"/>
        <v/>
      </c>
      <c r="CD157" s="3">
        <f>IF(RTD("tos.rtd",,CD$43,"."&amp;$B$134&amp;$AS$82&amp;"C"&amp;$A157)="N/A",0,RTD("tos.rtd",,CD$43,"."&amp;$B$134&amp;$AS$82&amp;"C"&amp;$A157))</f>
        <v>1</v>
      </c>
      <c r="CE157" s="3">
        <f>-IF(RTD("tos.rtd",,CE$43,"."&amp;$B$134&amp;$AS$82&amp;"P"&amp;$A157)="N/A",0,RTD("tos.rtd",,CE$43,"."&amp;$B$134&amp;$AS$82&amp;"P"&amp;$A157))</f>
        <v>0.02</v>
      </c>
      <c r="CF157" s="3">
        <f>IF(RTD("tos.rtd",,CF$2,"."&amp;$C$134&amp;$AU$82&amp;"C"&amp;$A157)="N/A",0,RTD("tos.rtd",,CF$2,"."&amp;$C$134&amp;$AU$82&amp;"C"&amp;$A157))</f>
        <v>0</v>
      </c>
      <c r="CG157" s="3">
        <f>-IF(RTD("tos.rtd",,CG$2,"."&amp;$C$134&amp;$AU$82&amp;"P"&amp;$A157)="N/A",0,RTD("tos.rtd",,CG$2,"."&amp;$C$134&amp;$AU$82&amp;"P"&amp;$A157))</f>
        <v>0</v>
      </c>
      <c r="CH157" s="3">
        <f>IF(RTD("tos.rtd",,CH$2,"."&amp;$D$134&amp;$AW$82&amp;"C"&amp;$A157)="N/A",0,RTD("tos.rtd",,CH$2,"."&amp;$D$134&amp;$AW$82&amp;"C"&amp;$A157))</f>
        <v>0</v>
      </c>
      <c r="CI157" s="3">
        <f>-IF(RTD("tos.rtd",,CI$2,"."&amp;$D$134&amp;$AW$82&amp;"P"&amp;$A157)="N/A",0,RTD("tos.rtd",,CI$2,"."&amp;$D$134&amp;$AW$82&amp;"P"&amp;$A157))</f>
        <v>0</v>
      </c>
      <c r="CK157" s="3">
        <f t="shared" si="608"/>
        <v>200</v>
      </c>
      <c r="CL157" s="3"/>
      <c r="CM157" s="3">
        <f t="shared" si="609"/>
        <v>0</v>
      </c>
      <c r="CN157" s="3"/>
      <c r="CO157" s="3">
        <f t="shared" si="610"/>
        <v>0</v>
      </c>
      <c r="CP157" s="3">
        <f t="shared" si="533"/>
        <v>200</v>
      </c>
      <c r="CQ157" s="3">
        <f t="shared" si="543"/>
        <v>-441</v>
      </c>
      <c r="CR157" s="3"/>
      <c r="CS157" s="3">
        <f t="shared" si="544"/>
        <v>0</v>
      </c>
      <c r="CT157" s="3"/>
      <c r="CU157" s="3">
        <f t="shared" si="545"/>
        <v>0</v>
      </c>
      <c r="CV157" s="3"/>
      <c r="CW157" s="3" t="e">
        <f t="shared" ca="1" si="546"/>
        <v>#NUM!</v>
      </c>
      <c r="CY157" s="3" t="e">
        <f t="shared" ca="1" si="547"/>
        <v>#NUM!</v>
      </c>
      <c r="CZ157" s="70" t="e">
        <f t="shared" ca="1" si="579"/>
        <v>#NUM!</v>
      </c>
      <c r="DA157" s="3">
        <f>IF(RTD("tos.rtd",,DA$43,"."&amp;$B$134&amp;$AS$82&amp;"C"&amp;$A157)="N/A",0,RTD("tos.rtd",,DA$43,"."&amp;$B$134&amp;$AS$82&amp;"C"&amp;$A157))</f>
        <v>80.5</v>
      </c>
      <c r="DB157" s="3">
        <f>IF(RTD("tos.rtd",,DB$43,"."&amp;$B$134&amp;$AS$82&amp;"P"&amp;$A157)="N/A",0,RTD("tos.rtd",,DB$43,"."&amp;$B$134&amp;$AS$82&amp;"P"&amp;$A157))</f>
        <v>0.3</v>
      </c>
      <c r="DC157" s="3">
        <f>IF(RTD("tos.rtd",,DC$43,"."&amp;$B$134&amp;$AS$82&amp;"C"&amp;$A157)="N/A",0,RTD("tos.rtd",,DC$43,"."&amp;$B$134&amp;$AS$82&amp;"C"&amp;$A157))</f>
        <v>58</v>
      </c>
      <c r="DD157" s="3">
        <f>IF(RTD("tos.rtd",,DD$43,"."&amp;$B$134&amp;$AS$82&amp;"P"&amp;$A157)="N/A",0,RTD("tos.rtd",,DD$43,"."&amp;$B$134&amp;$AS$82&amp;"P"&amp;$A157))</f>
        <v>0.3</v>
      </c>
      <c r="DE157" s="3">
        <f>IF(RTD("tos.rtd",,DE$43,"."&amp;$B$134&amp;$AS$82&amp;"C"&amp;$A157)="N/A",0,RTD("tos.rtd",,DE$43,"."&amp;$B$134&amp;$AS$82&amp;"C"&amp;$A157))</f>
        <v>52</v>
      </c>
      <c r="DF157" s="3">
        <f>IF(RTD("tos.rtd",,DF$43,"."&amp;$B$134&amp;$AS$82&amp;"P"&amp;$A157)="N/A",0,RTD("tos.rtd",,DF$43,"."&amp;$B$134&amp;$AS$82&amp;"P"&amp;$A157))</f>
        <v>0.05</v>
      </c>
      <c r="DG157" s="86">
        <f t="shared" si="580"/>
        <v>-52</v>
      </c>
      <c r="DH157" s="3">
        <f t="shared" si="548"/>
        <v>0</v>
      </c>
      <c r="DI157" s="3">
        <f t="shared" si="549"/>
        <v>0</v>
      </c>
      <c r="DJ157" s="3">
        <f t="shared" si="550"/>
        <v>0</v>
      </c>
      <c r="DK157" s="3">
        <f t="shared" si="551"/>
        <v>0</v>
      </c>
      <c r="DL157" s="3">
        <f t="shared" si="552"/>
        <v>0</v>
      </c>
      <c r="DM157" s="3">
        <f t="shared" si="553"/>
        <v>0</v>
      </c>
      <c r="DN157" s="64" t="str">
        <f t="shared" si="554"/>
        <v>UNKNOWN</v>
      </c>
      <c r="DO157" s="64" t="str">
        <f t="shared" si="555"/>
        <v>UNKNOWN</v>
      </c>
      <c r="DP157" s="3">
        <f t="shared" si="556"/>
        <v>0</v>
      </c>
      <c r="DQ157" s="3">
        <f t="shared" si="557"/>
        <v>0</v>
      </c>
      <c r="DR157" s="3" t="e">
        <f t="shared" ca="1" si="558"/>
        <v>#NUM!</v>
      </c>
      <c r="DS157" s="3">
        <f t="shared" si="559"/>
        <v>0</v>
      </c>
      <c r="DT157" s="3">
        <f t="shared" si="581"/>
        <v>0</v>
      </c>
      <c r="DU157" s="3">
        <f t="shared" si="582"/>
        <v>0</v>
      </c>
      <c r="DV157" s="3">
        <f t="shared" si="560"/>
        <v>-7</v>
      </c>
      <c r="DW157" s="3" t="e">
        <f t="shared" si="561"/>
        <v>#N/A</v>
      </c>
      <c r="DX157" s="3" t="e">
        <f t="shared" ca="1" si="562"/>
        <v>#NUM!</v>
      </c>
      <c r="DY157" s="3" t="e">
        <f t="shared" ca="1" si="563"/>
        <v>#NUM!</v>
      </c>
      <c r="DZ157" s="3">
        <f t="shared" ca="1" si="564"/>
        <v>4.8649818901608694E-4</v>
      </c>
      <c r="EA157" s="3">
        <f t="shared" ca="1" si="565"/>
        <v>-4.8649818901608694E-4</v>
      </c>
      <c r="EB157" s="3">
        <f t="shared" ca="1" si="566"/>
        <v>4.8649818901608694E-4</v>
      </c>
      <c r="EC157" s="3">
        <f t="shared" ca="1" si="567"/>
        <v>-4.8649818901608694E-4</v>
      </c>
      <c r="EE157" s="59">
        <f t="shared" si="568"/>
        <v>0.25</v>
      </c>
      <c r="EF157" s="59">
        <f t="shared" si="569"/>
        <v>0.19409999999999999</v>
      </c>
      <c r="EG157" s="59">
        <f t="shared" si="570"/>
        <v>0.25</v>
      </c>
      <c r="EH157" s="59">
        <f t="shared" si="571"/>
        <v>0.25</v>
      </c>
      <c r="EI157" s="59">
        <f t="shared" si="572"/>
        <v>0.25</v>
      </c>
      <c r="EJ157" s="59">
        <f t="shared" si="573"/>
        <v>0.25</v>
      </c>
      <c r="EL157" s="3" t="str">
        <f>RTD("tos.rtd",,EL$43,"."&amp;$B$134&amp;$AS$82&amp;"C"&amp;$A157)</f>
        <v>--</v>
      </c>
      <c r="EM157" s="3" t="str">
        <f>RTD("tos.rtd",,EM$43,"."&amp;$B$134&amp;$AS$82&amp;"P"&amp;$A157)</f>
        <v>19.41%</v>
      </c>
      <c r="EN157" s="3" t="str">
        <f>RTD("tos.rtd",,EN$2,"."&amp;$C$134&amp;$AU$82&amp;"C"&amp;$A157)</f>
        <v>N/A</v>
      </c>
      <c r="EO157" s="3" t="str">
        <f>RTD("tos.rtd",,EO$2,"."&amp;$C$134&amp;$AU$82&amp;"P"&amp;$A157)</f>
        <v>N/A</v>
      </c>
      <c r="EP157" s="3" t="str">
        <f>RTD("tos.rtd",,EP$2,"."&amp;$D$134&amp;$AW$82&amp;"C"&amp;$A157)</f>
        <v>N/A</v>
      </c>
      <c r="EQ157" s="3" t="str">
        <f>RTD("tos.rtd",,EQ$2,"."&amp;$D$134&amp;$AW$82&amp;"P"&amp;$A157)</f>
        <v>N/A</v>
      </c>
      <c r="ET157" s="64" t="str">
        <f t="shared" ca="1" si="574"/>
        <v>20040,00.00</v>
      </c>
      <c r="EU157" s="68">
        <v>564.66999999999996</v>
      </c>
      <c r="EV157" s="68" t="s">
        <v>1276</v>
      </c>
      <c r="EW157" s="68">
        <v>486.7</v>
      </c>
      <c r="EX157" s="68" t="s">
        <v>1277</v>
      </c>
      <c r="EY157" s="68">
        <v>5662.25</v>
      </c>
      <c r="EZ157" s="68" t="s">
        <v>1278</v>
      </c>
      <c r="FA157" s="68">
        <v>19998.5</v>
      </c>
      <c r="FB157" s="68" t="s">
        <v>1279</v>
      </c>
      <c r="FC157" s="68" t="s">
        <v>1280</v>
      </c>
      <c r="FD157" s="68" t="s">
        <v>1281</v>
      </c>
      <c r="FE157" s="68" t="s">
        <v>1282</v>
      </c>
      <c r="FF157" s="68" t="s">
        <v>1283</v>
      </c>
    </row>
    <row r="158" spans="1:162" ht="11.1" customHeight="1" thickBot="1" x14ac:dyDescent="0.25">
      <c r="A158" s="2">
        <f t="shared" si="583"/>
        <v>20020</v>
      </c>
      <c r="B158" s="3">
        <f t="shared" si="616"/>
        <v>17</v>
      </c>
      <c r="C158" s="3">
        <f t="shared" si="617"/>
        <v>0</v>
      </c>
      <c r="D158" s="3">
        <f t="shared" si="618"/>
        <v>0</v>
      </c>
      <c r="E158" s="3">
        <f t="shared" si="601"/>
        <v>17</v>
      </c>
      <c r="F158" s="4">
        <f t="shared" si="611"/>
        <v>20119.641648417281</v>
      </c>
      <c r="G158" s="5">
        <f t="shared" si="603"/>
        <v>487.20780410113474</v>
      </c>
      <c r="AM158" s="1" t="e">
        <v>#N/A</v>
      </c>
      <c r="AN158" s="1">
        <v>-44</v>
      </c>
      <c r="AO158" s="1">
        <v>20020</v>
      </c>
      <c r="AP158" s="1">
        <v>40</v>
      </c>
      <c r="AQ158" s="1">
        <v>-128</v>
      </c>
      <c r="AS158" s="54">
        <f>IF(RTD("tos.rtd",,AS$83,"."&amp;$B$134&amp;$AS$82&amp;"C"&amp;$A158)="N/A",0,RTD("tos.rtd",,AS$83,"."&amp;$B$134&amp;$AS$82&amp;"C"&amp;$A158))</f>
        <v>16</v>
      </c>
      <c r="AT158" s="3">
        <f>-IF(RTD("tos.rtd",,AT$83,"."&amp;$B$134&amp;$AS$82&amp;"P"&amp;$A158)="N/A",0,RTD("tos.rtd",,AT$83,"."&amp;$B$134&amp;$AS$82&amp;"P"&amp;$A158))</f>
        <v>-1</v>
      </c>
      <c r="AU158" s="54">
        <f>IF(RTD("tos.rtd",,AU$2,"."&amp;$C$134&amp;$AU$134&amp;"C"&amp;$A158)="N/A",0,RTD("tos.rtd",,AU$2,"."&amp;$C$134&amp;$AU$134&amp;"C"&amp;$A158))</f>
        <v>0</v>
      </c>
      <c r="AV158" s="3">
        <f>-IF(RTD("tos.rtd",,AV$2,"."&amp;$C$134&amp;$AU$134&amp;"P"&amp;$A158)="N/A",0,RTD("tos.rtd",,AV$2,"."&amp;$C$134&amp;$AU$134&amp;"P"&amp;$A158))</f>
        <v>0</v>
      </c>
      <c r="AW158" s="54">
        <f>IF(RTD("tos.rtd",,AW$2,"."&amp;$D$134&amp;$AW$134&amp;"C"&amp;$A158)="N/A",0,RTD("tos.rtd",,AW$2,"."&amp;$D$134&amp;$AW$134&amp;"C"&amp;$A158))</f>
        <v>0</v>
      </c>
      <c r="AX158" s="3">
        <f>-IF(RTD("tos.rtd",,AX$2,"."&amp;$D$134&amp;$AW$134&amp;"P"&amp;$A158)="N/A",0,RTD("tos.rtd",,AX$2,"."&amp;$D$134&amp;$AW$134&amp;"P"&amp;$A158))</f>
        <v>0</v>
      </c>
      <c r="AY158" s="76">
        <f t="shared" si="612"/>
        <v>15</v>
      </c>
      <c r="AZ158" s="8">
        <f t="shared" si="539"/>
        <v>20020</v>
      </c>
      <c r="BA158" s="54">
        <f>IF(RTD("tos.rtd",,BA$43,"."&amp;$B$134&amp;$AS$82&amp;"C"&amp;$A158)="N/A",0,RTD("tos.rtd",,BA$43,"."&amp;$B$134&amp;$AS$82&amp;"C"&amp;$A158))</f>
        <v>40</v>
      </c>
      <c r="BB158" s="3">
        <f>-IF(RTD("tos.rtd",,BB$43,"."&amp;$B$134&amp;$AS$82&amp;"P"&amp;$A158)="N/A",0,RTD("tos.rtd",,BB$43,"."&amp;$B$134&amp;$AS$82&amp;"P"&amp;$A158))</f>
        <v>-128</v>
      </c>
      <c r="BC158" s="54">
        <f>IF(RTD("tos.rtd",,BC$2,"."&amp;$C$134&amp;$AU$82&amp;"C"&amp;$A158)="N/A",0,RTD("tos.rtd",,BC$2,"."&amp;$C$134&amp;$AU$82&amp;"C"&amp;$A158))</f>
        <v>0</v>
      </c>
      <c r="BD158" s="3">
        <f>-IF(RTD("tos.rtd",,BD$2,"."&amp;$C$134&amp;$AU$82&amp;"P"&amp;$A158)="N/A",0,RTD("tos.rtd",,BD$2,"."&amp;$C$134&amp;$AU$82&amp;"P"&amp;$A158))</f>
        <v>0</v>
      </c>
      <c r="BE158" s="54">
        <f>IF(RTD("tos.rtd",,BE$2,"."&amp;$D$134&amp;$AW$82&amp;"C"&amp;$A158)="N/A",0,RTD("tos.rtd",,BE$2,"."&amp;$D$134&amp;$AW$82&amp;"C"&amp;$A158))</f>
        <v>0</v>
      </c>
      <c r="BF158" s="3">
        <f>-IF(RTD("tos.rtd",,BF$2,"."&amp;$D$134&amp;$AW$82&amp;"P"&amp;$A158)="N/A",0,RTD("tos.rtd",,BF$2,"."&amp;$D$134&amp;$AW$82&amp;"P"&amp;$A158))</f>
        <v>0</v>
      </c>
      <c r="BG158" s="3" t="e">
        <f ca="1">+Hoja2!Y159</f>
        <v>#N/A</v>
      </c>
      <c r="BH158" s="7" t="e">
        <f t="shared" ca="1" si="540"/>
        <v>#N/A</v>
      </c>
      <c r="BI158" s="32" t="e">
        <f t="shared" ca="1" si="597"/>
        <v>#N/A</v>
      </c>
      <c r="BJ158" s="3" t="e">
        <f ca="1">IF($BP$1=1,DX158,IF(RTD("tos.rtd",,BJ$43,"."&amp;$B$134&amp;$AS$82&amp;"C"&amp;$A158)="N/A",0,RTD("tos.rtd",,BJ$43,"."&amp;$B$134&amp;$AS$82&amp;"C"&amp;$A158)))</f>
        <v>#NUM!</v>
      </c>
      <c r="BK158" s="3" t="e">
        <f ca="1">IF($BP$1=1,DY158,-IF(RTD("tos.rtd",,BK$43,"."&amp;$B$134&amp;$AS$82&amp;"P"&amp;$A158)="N/A",0,RTD("tos.rtd",,BK$43,"."&amp;$B$134&amp;$AS$82&amp;"P"&amp;$A158)))</f>
        <v>#NUM!</v>
      </c>
      <c r="BL158" s="3">
        <f ca="1">IF($BP$1=1,DZ158,IF(RTD("tos.rtd",,BL$2,"."&amp;$C$134&amp;$AU$82&amp;"C"&amp;$A158)="N/A",0,RTD("tos.rtd",,BL$2,"."&amp;$C$134&amp;$AU$82&amp;"C"&amp;$A158)))</f>
        <v>4.8501854752799591E-4</v>
      </c>
      <c r="BM158" s="3">
        <f ca="1">IF($BP$1=1,EA158,-IF(RTD("tos.rtd",,BM$2,"."&amp;$C$134&amp;$AU$82&amp;"P"&amp;$A158)="N/A",0,RTD("tos.rtd",,BM$2,"."&amp;$C$134&amp;$AU$82&amp;"P"&amp;$A158)))</f>
        <v>-4.8501854752799591E-4</v>
      </c>
      <c r="BN158" s="3">
        <f ca="1">IF($BP$1=1,EB158,IF(RTD("tos.rtd",,BN$2,"."&amp;$D$134&amp;$AW$82&amp;"C"&amp;$A158)="N/A",0,RTD("tos.rtd",,BN$2,"."&amp;$D$134&amp;$AW$82&amp;"C"&amp;$A158)))</f>
        <v>4.8501854752799591E-4</v>
      </c>
      <c r="BO158" s="3">
        <f ca="1">IF($BP$1=1,EC158,-IF(RTD("tos.rtd",,BO$2,"."&amp;$D$134&amp;$AW$82&amp;"P"&amp;$A158)="N/A",0,RTD("tos.rtd",,BO$2,"."&amp;$D$134&amp;$AW$82&amp;"P"&amp;$A158)))</f>
        <v>-4.8501854752799591E-4</v>
      </c>
      <c r="BQ158" s="3" t="e">
        <f t="shared" ca="1" si="613"/>
        <v>#NUM!</v>
      </c>
      <c r="BR158" s="3" t="e">
        <f t="shared" ca="1" si="541"/>
        <v>#NUM!</v>
      </c>
      <c r="BS158" s="3">
        <f t="shared" ca="1" si="614"/>
        <v>0</v>
      </c>
      <c r="BT158" s="3" t="str">
        <f t="shared" ca="1" si="542"/>
        <v/>
      </c>
      <c r="BU158" s="3">
        <f t="shared" ca="1" si="615"/>
        <v>0</v>
      </c>
      <c r="BV158" s="3" t="str">
        <f t="shared" ca="1" si="542"/>
        <v/>
      </c>
      <c r="BX158" s="3" t="e">
        <f t="shared" ca="1" si="575"/>
        <v>#NUM!</v>
      </c>
      <c r="BY158" s="3" t="e">
        <f t="shared" ca="1" si="576"/>
        <v>#NUM!</v>
      </c>
      <c r="BZ158" s="3">
        <f t="shared" ca="1" si="577"/>
        <v>0</v>
      </c>
      <c r="CA158" s="3" t="str">
        <f t="shared" ca="1" si="576"/>
        <v/>
      </c>
      <c r="CB158" s="3">
        <f t="shared" ca="1" si="578"/>
        <v>0</v>
      </c>
      <c r="CC158" s="3" t="str">
        <f t="shared" ca="1" si="576"/>
        <v/>
      </c>
      <c r="CD158" s="3">
        <f>IF(RTD("tos.rtd",,CD$43,"."&amp;$B$134&amp;$AS$82&amp;"C"&amp;$A158)="N/A",0,RTD("tos.rtd",,CD$43,"."&amp;$B$134&amp;$AS$82&amp;"C"&amp;$A158))</f>
        <v>1</v>
      </c>
      <c r="CE158" s="3">
        <f>-IF(RTD("tos.rtd",,CE$43,"."&amp;$B$134&amp;$AS$82&amp;"P"&amp;$A158)="N/A",0,RTD("tos.rtd",,CE$43,"."&amp;$B$134&amp;$AS$82&amp;"P"&amp;$A158))</f>
        <v>0.19</v>
      </c>
      <c r="CF158" s="3">
        <f>IF(RTD("tos.rtd",,CF$2,"."&amp;$C$134&amp;$AU$82&amp;"C"&amp;$A158)="N/A",0,RTD("tos.rtd",,CF$2,"."&amp;$C$134&amp;$AU$82&amp;"C"&amp;$A158))</f>
        <v>0</v>
      </c>
      <c r="CG158" s="3">
        <f>-IF(RTD("tos.rtd",,CG$2,"."&amp;$C$134&amp;$AU$82&amp;"P"&amp;$A158)="N/A",0,RTD("tos.rtd",,CG$2,"."&amp;$C$134&amp;$AU$82&amp;"P"&amp;$A158))</f>
        <v>0</v>
      </c>
      <c r="CH158" s="3">
        <f>IF(RTD("tos.rtd",,CH$2,"."&amp;$D$134&amp;$AW$82&amp;"C"&amp;$A158)="N/A",0,RTD("tos.rtd",,CH$2,"."&amp;$D$134&amp;$AW$82&amp;"C"&amp;$A158))</f>
        <v>0</v>
      </c>
      <c r="CI158" s="3">
        <f>-IF(RTD("tos.rtd",,CI$2,"."&amp;$D$134&amp;$AW$82&amp;"P"&amp;$A158)="N/A",0,RTD("tos.rtd",,CI$2,"."&amp;$D$134&amp;$AW$82&amp;"P"&amp;$A158))</f>
        <v>0</v>
      </c>
      <c r="CK158" s="3">
        <f t="shared" si="608"/>
        <v>1581</v>
      </c>
      <c r="CL158" s="3"/>
      <c r="CM158" s="3">
        <f t="shared" si="609"/>
        <v>0</v>
      </c>
      <c r="CN158" s="3"/>
      <c r="CO158" s="3">
        <f t="shared" si="610"/>
        <v>0</v>
      </c>
      <c r="CP158" s="3">
        <f t="shared" si="533"/>
        <v>1581</v>
      </c>
      <c r="CQ158" s="3">
        <f t="shared" si="543"/>
        <v>-88</v>
      </c>
      <c r="CR158" s="3"/>
      <c r="CS158" s="3">
        <f t="shared" si="544"/>
        <v>0</v>
      </c>
      <c r="CT158" s="3"/>
      <c r="CU158" s="3">
        <f t="shared" si="545"/>
        <v>0</v>
      </c>
      <c r="CV158" s="3"/>
      <c r="CW158" s="3" t="e">
        <f t="shared" ca="1" si="546"/>
        <v>#NUM!</v>
      </c>
      <c r="CY158" s="3" t="e">
        <f t="shared" ca="1" si="547"/>
        <v>#NUM!</v>
      </c>
      <c r="CZ158" s="70" t="e">
        <f t="shared" ca="1" si="579"/>
        <v>#NUM!</v>
      </c>
      <c r="DA158" s="3">
        <f>IF(RTD("tos.rtd",,DA$43,"."&amp;$B$134&amp;$AS$82&amp;"C"&amp;$A158)="N/A",0,RTD("tos.rtd",,DA$43,"."&amp;$B$134&amp;$AS$82&amp;"C"&amp;$A158))</f>
        <v>94.8</v>
      </c>
      <c r="DB158" s="3">
        <f>IF(RTD("tos.rtd",,DB$43,"."&amp;$B$134&amp;$AS$82&amp;"P"&amp;$A158)="N/A",0,RTD("tos.rtd",,DB$43,"."&amp;$B$134&amp;$AS$82&amp;"P"&amp;$A158))</f>
        <v>0.05</v>
      </c>
      <c r="DC158" s="3">
        <f>IF(RTD("tos.rtd",,DC$43,"."&amp;$B$134&amp;$AS$82&amp;"C"&amp;$A158)="N/A",0,RTD("tos.rtd",,DC$43,"."&amp;$B$134&amp;$AS$82&amp;"C"&amp;$A158))</f>
        <v>77.900000000000006</v>
      </c>
      <c r="DD158" s="3">
        <f>IF(RTD("tos.rtd",,DD$43,"."&amp;$B$134&amp;$AS$82&amp;"P"&amp;$A158)="N/A",0,RTD("tos.rtd",,DD$43,"."&amp;$B$134&amp;$AS$82&amp;"P"&amp;$A158))</f>
        <v>19.8</v>
      </c>
      <c r="DE158" s="3">
        <f>IF(RTD("tos.rtd",,DE$43,"."&amp;$B$134&amp;$AS$82&amp;"C"&amp;$A158)="N/A",0,RTD("tos.rtd",,DE$43,"."&amp;$B$134&amp;$AS$82&amp;"C"&amp;$A158))</f>
        <v>73</v>
      </c>
      <c r="DF158" s="3">
        <f>IF(RTD("tos.rtd",,DF$43,"."&amp;$B$134&amp;$AS$82&amp;"P"&amp;$A158)="N/A",0,RTD("tos.rtd",,DF$43,"."&amp;$B$134&amp;$AS$82&amp;"P"&amp;$A158))</f>
        <v>0</v>
      </c>
      <c r="DG158" s="86">
        <f t="shared" si="580"/>
        <v>-72</v>
      </c>
      <c r="DH158" s="3">
        <f t="shared" si="548"/>
        <v>0</v>
      </c>
      <c r="DI158" s="3">
        <f t="shared" si="549"/>
        <v>0</v>
      </c>
      <c r="DJ158" s="3">
        <f t="shared" si="550"/>
        <v>0</v>
      </c>
      <c r="DK158" s="3">
        <f t="shared" si="551"/>
        <v>0</v>
      </c>
      <c r="DL158" s="3">
        <f t="shared" si="552"/>
        <v>0</v>
      </c>
      <c r="DM158" s="3">
        <f t="shared" si="553"/>
        <v>0</v>
      </c>
      <c r="DN158" s="64" t="str">
        <f t="shared" si="554"/>
        <v>UNKNOWN</v>
      </c>
      <c r="DO158" s="64" t="str">
        <f t="shared" si="555"/>
        <v>UNKNOWN</v>
      </c>
      <c r="DP158" s="3">
        <f t="shared" si="556"/>
        <v>0</v>
      </c>
      <c r="DQ158" s="3">
        <f t="shared" si="557"/>
        <v>0</v>
      </c>
      <c r="DR158" s="3" t="e">
        <f t="shared" ca="1" si="558"/>
        <v>#NUM!</v>
      </c>
      <c r="DS158" s="3">
        <f t="shared" si="559"/>
        <v>0</v>
      </c>
      <c r="DT158" s="3">
        <f t="shared" si="581"/>
        <v>0</v>
      </c>
      <c r="DU158" s="3">
        <f t="shared" si="582"/>
        <v>0</v>
      </c>
      <c r="DV158" s="3" t="e">
        <f t="shared" si="560"/>
        <v>#N/A</v>
      </c>
      <c r="DW158" s="3">
        <f t="shared" si="561"/>
        <v>-44</v>
      </c>
      <c r="DX158" s="3" t="e">
        <f t="shared" ca="1" si="562"/>
        <v>#NUM!</v>
      </c>
      <c r="DY158" s="3" t="e">
        <f t="shared" ca="1" si="563"/>
        <v>#NUM!</v>
      </c>
      <c r="DZ158" s="3">
        <f t="shared" ca="1" si="564"/>
        <v>4.8501854752799591E-4</v>
      </c>
      <c r="EA158" s="3">
        <f t="shared" ca="1" si="565"/>
        <v>-4.8501854752799591E-4</v>
      </c>
      <c r="EB158" s="3">
        <f t="shared" ca="1" si="566"/>
        <v>4.8501854752799591E-4</v>
      </c>
      <c r="EC158" s="3">
        <f t="shared" ca="1" si="567"/>
        <v>-4.8501854752799591E-4</v>
      </c>
      <c r="EE158" s="59">
        <f t="shared" si="568"/>
        <v>0.25</v>
      </c>
      <c r="EF158" s="59">
        <f t="shared" si="569"/>
        <v>0.62280000000000002</v>
      </c>
      <c r="EG158" s="59">
        <f t="shared" si="570"/>
        <v>0.25</v>
      </c>
      <c r="EH158" s="59">
        <f t="shared" si="571"/>
        <v>0.25</v>
      </c>
      <c r="EI158" s="59">
        <f t="shared" si="572"/>
        <v>0.25</v>
      </c>
      <c r="EJ158" s="59">
        <f t="shared" si="573"/>
        <v>0.25</v>
      </c>
      <c r="EL158" s="3" t="str">
        <f>RTD("tos.rtd",,EL$43,"."&amp;$B$134&amp;$AS$82&amp;"C"&amp;$A158)</f>
        <v>--</v>
      </c>
      <c r="EM158" s="3" t="str">
        <f>RTD("tos.rtd",,EM$43,"."&amp;$B$134&amp;$AS$82&amp;"P"&amp;$A158)</f>
        <v>62.28%</v>
      </c>
      <c r="EN158" s="3" t="str">
        <f>RTD("tos.rtd",,EN$2,"."&amp;$C$134&amp;$AU$82&amp;"C"&amp;$A158)</f>
        <v>N/A</v>
      </c>
      <c r="EO158" s="3" t="str">
        <f>RTD("tos.rtd",,EO$2,"."&amp;$C$134&amp;$AU$82&amp;"P"&amp;$A158)</f>
        <v>N/A</v>
      </c>
      <c r="EP158" s="3" t="str">
        <f>RTD("tos.rtd",,EP$2,"."&amp;$D$134&amp;$AW$82&amp;"C"&amp;$A158)</f>
        <v>N/A</v>
      </c>
      <c r="EQ158" s="3" t="str">
        <f>RTD("tos.rtd",,EQ$2,"."&amp;$D$134&amp;$AW$82&amp;"P"&amp;$A158)</f>
        <v>N/A</v>
      </c>
      <c r="ET158" s="64" t="str">
        <f t="shared" ca="1" si="574"/>
        <v>20020,00.00</v>
      </c>
      <c r="EU158" s="68">
        <v>564.86</v>
      </c>
      <c r="EV158" s="68" t="s">
        <v>1284</v>
      </c>
      <c r="EW158" s="68">
        <v>486.97500000000002</v>
      </c>
      <c r="EX158" s="68" t="s">
        <v>1285</v>
      </c>
      <c r="EY158" s="68">
        <v>5664</v>
      </c>
      <c r="EZ158" s="68" t="s">
        <v>1286</v>
      </c>
      <c r="FA158" s="68">
        <v>20009.75</v>
      </c>
      <c r="FB158" s="68" t="s">
        <v>1287</v>
      </c>
      <c r="FC158" s="68" t="s">
        <v>1288</v>
      </c>
      <c r="FD158" s="68" t="s">
        <v>1289</v>
      </c>
      <c r="FE158" s="68" t="s">
        <v>1290</v>
      </c>
      <c r="FF158" s="68" t="s">
        <v>1291</v>
      </c>
    </row>
    <row r="159" spans="1:162" ht="11.1" customHeight="1" thickBot="1" x14ac:dyDescent="0.25">
      <c r="A159" s="2">
        <f t="shared" si="583"/>
        <v>20000</v>
      </c>
      <c r="B159" s="3">
        <f t="shared" si="616"/>
        <v>92</v>
      </c>
      <c r="C159" s="3">
        <f t="shared" si="617"/>
        <v>31</v>
      </c>
      <c r="D159" s="3">
        <f t="shared" si="618"/>
        <v>273</v>
      </c>
      <c r="E159" s="3">
        <f t="shared" si="601"/>
        <v>396</v>
      </c>
      <c r="F159" s="4">
        <f t="shared" si="611"/>
        <v>20099.542106310972</v>
      </c>
      <c r="G159" s="5">
        <f t="shared" si="603"/>
        <v>486.72108301811664</v>
      </c>
      <c r="AM159" s="1">
        <v>-5</v>
      </c>
      <c r="AN159" s="1">
        <v>152</v>
      </c>
      <c r="AO159" s="1">
        <v>20000</v>
      </c>
      <c r="AP159" s="1">
        <v>222</v>
      </c>
      <c r="AQ159" s="1">
        <v>-1026</v>
      </c>
      <c r="AS159" s="54">
        <f>IF(RTD("tos.rtd",,AS$83,"."&amp;$B$134&amp;$AS$82&amp;"C"&amp;$A159)="N/A",0,RTD("tos.rtd",,AS$83,"."&amp;$B$134&amp;$AS$82&amp;"C"&amp;$A159))</f>
        <v>83</v>
      </c>
      <c r="AT159" s="3">
        <f>-IF(RTD("tos.rtd",,AT$83,"."&amp;$B$134&amp;$AS$82&amp;"P"&amp;$A159)="N/A",0,RTD("tos.rtd",,AT$83,"."&amp;$B$134&amp;$AS$82&amp;"P"&amp;$A159))</f>
        <v>-9</v>
      </c>
      <c r="AU159" s="54">
        <f>IF(RTD("tos.rtd",,AU$2,"."&amp;$C$134&amp;$AU$134&amp;"C"&amp;$A159)="N/A",0,RTD("tos.rtd",,AU$2,"."&amp;$C$134&amp;$AU$134&amp;"C"&amp;$A159))</f>
        <v>25</v>
      </c>
      <c r="AV159" s="3">
        <f>-IF(RTD("tos.rtd",,AV$2,"."&amp;$C$134&amp;$AU$134&amp;"P"&amp;$A159)="N/A",0,RTD("tos.rtd",,AV$2,"."&amp;$C$134&amp;$AU$134&amp;"P"&amp;$A159))</f>
        <v>-6</v>
      </c>
      <c r="AW159" s="54">
        <f>IF(RTD("tos.rtd",,AW$2,"."&amp;$D$134&amp;$AW$134&amp;"C"&amp;$A159)="N/A",0,RTD("tos.rtd",,AW$2,"."&amp;$D$134&amp;$AW$134&amp;"C"&amp;$A159))</f>
        <v>153</v>
      </c>
      <c r="AX159" s="3">
        <f>-IF(RTD("tos.rtd",,AX$2,"."&amp;$D$134&amp;$AW$134&amp;"P"&amp;$A159)="N/A",0,RTD("tos.rtd",,AX$2,"."&amp;$D$134&amp;$AW$134&amp;"P"&amp;$A159))</f>
        <v>-120</v>
      </c>
      <c r="AY159" s="76">
        <f t="shared" si="612"/>
        <v>126</v>
      </c>
      <c r="AZ159" s="8">
        <f t="shared" si="539"/>
        <v>20000</v>
      </c>
      <c r="BA159" s="54">
        <f>IF(RTD("tos.rtd",,BA$43,"."&amp;$B$134&amp;$AS$82&amp;"C"&amp;$A159)="N/A",0,RTD("tos.rtd",,BA$43,"."&amp;$B$134&amp;$AS$82&amp;"C"&amp;$A159))</f>
        <v>222</v>
      </c>
      <c r="BB159" s="3">
        <f>-IF(RTD("tos.rtd",,BB$43,"."&amp;$B$134&amp;$AS$82&amp;"P"&amp;$A159)="N/A",0,RTD("tos.rtd",,BB$43,"."&amp;$B$134&amp;$AS$82&amp;"P"&amp;$A159))</f>
        <v>-1026</v>
      </c>
      <c r="BC159" s="54">
        <f>IF(RTD("tos.rtd",,BC$2,"."&amp;$C$134&amp;$AU$82&amp;"C"&amp;$A159)="N/A",0,RTD("tos.rtd",,BC$2,"."&amp;$C$134&amp;$AU$82&amp;"C"&amp;$A159))</f>
        <v>7</v>
      </c>
      <c r="BD159" s="3">
        <f>-IF(RTD("tos.rtd",,BD$2,"."&amp;$C$134&amp;$AU$82&amp;"P"&amp;$A159)="N/A",0,RTD("tos.rtd",,BD$2,"."&amp;$C$134&amp;$AU$82&amp;"P"&amp;$A159))</f>
        <v>-6</v>
      </c>
      <c r="BE159" s="54">
        <f>IF(RTD("tos.rtd",,BE$2,"."&amp;$D$134&amp;$AW$82&amp;"C"&amp;$A159)="N/A",0,RTD("tos.rtd",,BE$2,"."&amp;$D$134&amp;$AW$82&amp;"C"&amp;$A159))</f>
        <v>3</v>
      </c>
      <c r="BF159" s="3">
        <f>-IF(RTD("tos.rtd",,BF$2,"."&amp;$D$134&amp;$AW$82&amp;"P"&amp;$A159)="N/A",0,RTD("tos.rtd",,BF$2,"."&amp;$D$134&amp;$AW$82&amp;"P"&amp;$A159))</f>
        <v>-3</v>
      </c>
      <c r="BG159" s="3" t="e">
        <f ca="1">+Hoja2!Y160</f>
        <v>#N/A</v>
      </c>
      <c r="BH159" s="7" t="e">
        <f t="shared" ca="1" si="540"/>
        <v>#N/A</v>
      </c>
      <c r="BI159" s="32" t="e">
        <f t="shared" ca="1" si="597"/>
        <v>#N/A</v>
      </c>
      <c r="BJ159" s="3" t="e">
        <f ca="1">IF($BP$1=1,DX159,IF(RTD("tos.rtd",,BJ$43,"."&amp;$B$134&amp;$AS$82&amp;"C"&amp;$A159)="N/A",0,RTD("tos.rtd",,BJ$43,"."&amp;$B$134&amp;$AS$82&amp;"C"&amp;$A159)))</f>
        <v>#NUM!</v>
      </c>
      <c r="BK159" s="3" t="e">
        <f ca="1">IF($BP$1=1,DY159,-IF(RTD("tos.rtd",,BK$43,"."&amp;$B$134&amp;$AS$82&amp;"P"&amp;$A159)="N/A",0,RTD("tos.rtd",,BK$43,"."&amp;$B$134&amp;$AS$82&amp;"P"&amp;$A159)))</f>
        <v>#NUM!</v>
      </c>
      <c r="BL159" s="3">
        <f ca="1">IF($BP$1=1,DZ159,IF(RTD("tos.rtd",,BL$2,"."&amp;$C$134&amp;$AU$82&amp;"C"&amp;$A159)="N/A",0,RTD("tos.rtd",,BL$2,"."&amp;$C$134&amp;$AU$82&amp;"C"&amp;$A159)))</f>
        <v>5.4064802631669992E-4</v>
      </c>
      <c r="BM159" s="3">
        <f ca="1">IF($BP$1=1,EA159,-IF(RTD("tos.rtd",,BM$2,"."&amp;$C$134&amp;$AU$82&amp;"P"&amp;$A159)="N/A",0,RTD("tos.rtd",,BM$2,"."&amp;$C$134&amp;$AU$82&amp;"P"&amp;$A159)))</f>
        <v>-5.1927373545987583E-4</v>
      </c>
      <c r="BN159" s="3">
        <f ca="1">IF($BP$1=1,EB159,IF(RTD("tos.rtd",,BN$2,"."&amp;$D$134&amp;$AW$82&amp;"C"&amp;$A159)="N/A",0,RTD("tos.rtd",,BN$2,"."&amp;$D$134&amp;$AW$82&amp;"C"&amp;$A159)))</f>
        <v>5.5027889099930978E-4</v>
      </c>
      <c r="BO159" s="3">
        <f ca="1">IF($BP$1=1,EC159,-IF(RTD("tos.rtd",,BO$2,"."&amp;$D$134&amp;$AW$82&amp;"P"&amp;$A159)="N/A",0,RTD("tos.rtd",,BO$2,"."&amp;$D$134&amp;$AW$82&amp;"P"&amp;$A159)))</f>
        <v>-5.1688104546515298E-4</v>
      </c>
      <c r="BQ159" s="3" t="e">
        <f t="shared" ca="1" si="613"/>
        <v>#NUM!</v>
      </c>
      <c r="BR159" s="3" t="e">
        <f t="shared" ca="1" si="541"/>
        <v>#NUM!</v>
      </c>
      <c r="BS159" s="3">
        <f t="shared" ca="1" si="614"/>
        <v>336226.67866162403</v>
      </c>
      <c r="BT159" s="3" t="str">
        <f t="shared" ca="1" si="542"/>
        <v/>
      </c>
      <c r="BU159" s="3">
        <f t="shared" ca="1" si="615"/>
        <v>716607.51981288614</v>
      </c>
      <c r="BV159" s="3" t="str">
        <f t="shared" ca="1" si="542"/>
        <v/>
      </c>
      <c r="BX159" s="3" t="e">
        <f t="shared" ca="1" si="575"/>
        <v>#NUM!</v>
      </c>
      <c r="BY159" s="3" t="e">
        <f t="shared" ca="1" si="576"/>
        <v>#NUM!</v>
      </c>
      <c r="BZ159" s="3">
        <f t="shared" ca="1" si="577"/>
        <v>159.92038147061407</v>
      </c>
      <c r="CA159" s="3" t="str">
        <f t="shared" ca="1" si="576"/>
        <v/>
      </c>
      <c r="CB159" s="3">
        <f t="shared" ca="1" si="578"/>
        <v>23.954459255077097</v>
      </c>
      <c r="CC159" s="3" t="str">
        <f t="shared" ca="1" si="576"/>
        <v/>
      </c>
      <c r="CD159" s="3">
        <f>IF(RTD("tos.rtd",,CD$43,"."&amp;$B$134&amp;$AS$82&amp;"C"&amp;$A159)="N/A",0,RTD("tos.rtd",,CD$43,"."&amp;$B$134&amp;$AS$82&amp;"C"&amp;$A159))</f>
        <v>1</v>
      </c>
      <c r="CE159" s="3">
        <f>-IF(RTD("tos.rtd",,CE$43,"."&amp;$B$134&amp;$AS$82&amp;"P"&amp;$A159)="N/A",0,RTD("tos.rtd",,CE$43,"."&amp;$B$134&amp;$AS$82&amp;"P"&amp;$A159))</f>
        <v>0.01</v>
      </c>
      <c r="CF159" s="3">
        <f>IF(RTD("tos.rtd",,CF$2,"."&amp;$C$134&amp;$AU$82&amp;"C"&amp;$A159)="N/A",0,RTD("tos.rtd",,CF$2,"."&amp;$C$134&amp;$AU$82&amp;"C"&amp;$A159))</f>
        <v>0.57999999999999996</v>
      </c>
      <c r="CG159" s="3">
        <f>-IF(RTD("tos.rtd",,CG$2,"."&amp;$C$134&amp;$AU$82&amp;"P"&amp;$A159)="N/A",0,RTD("tos.rtd",,CG$2,"."&amp;$C$134&amp;$AU$82&amp;"P"&amp;$A159))</f>
        <v>0.42</v>
      </c>
      <c r="CH159" s="3">
        <f>IF(RTD("tos.rtd",,CH$2,"."&amp;$D$134&amp;$AW$82&amp;"C"&amp;$A159)="N/A",0,RTD("tos.rtd",,CH$2,"."&amp;$D$134&amp;$AW$82&amp;"C"&amp;$A159))</f>
        <v>0.56999999999999995</v>
      </c>
      <c r="CI159" s="3">
        <f>-IF(RTD("tos.rtd",,CI$2,"."&amp;$D$134&amp;$AW$82&amp;"P"&amp;$A159)="N/A",0,RTD("tos.rtd",,CI$2,"."&amp;$D$134&amp;$AW$82&amp;"P"&amp;$A159))</f>
        <v>0.43</v>
      </c>
      <c r="CK159" s="3">
        <f t="shared" si="608"/>
        <v>8291</v>
      </c>
      <c r="CL159" s="3"/>
      <c r="CM159" s="3">
        <f t="shared" si="609"/>
        <v>1197.9999999999998</v>
      </c>
      <c r="CN159" s="3"/>
      <c r="CO159" s="3">
        <f t="shared" si="610"/>
        <v>3561</v>
      </c>
      <c r="CP159" s="3">
        <f t="shared" si="533"/>
        <v>13050</v>
      </c>
      <c r="CQ159" s="3">
        <f t="shared" si="543"/>
        <v>-804</v>
      </c>
      <c r="CR159" s="3"/>
      <c r="CS159" s="3">
        <f t="shared" si="544"/>
        <v>1</v>
      </c>
      <c r="CT159" s="3"/>
      <c r="CU159" s="3">
        <f t="shared" si="545"/>
        <v>0</v>
      </c>
      <c r="CV159" s="3"/>
      <c r="CW159" s="3" t="e">
        <f t="shared" ca="1" si="546"/>
        <v>#NUM!</v>
      </c>
      <c r="CY159" s="3" t="e">
        <f t="shared" ca="1" si="547"/>
        <v>#NUM!</v>
      </c>
      <c r="CZ159" s="70" t="e">
        <f t="shared" ca="1" si="579"/>
        <v>#NUM!</v>
      </c>
      <c r="DA159" s="3">
        <f>IF(RTD("tos.rtd",,DA$43,"."&amp;$B$134&amp;$AS$82&amp;"C"&amp;$A159)="N/A",0,RTD("tos.rtd",,DA$43,"."&amp;$B$134&amp;$AS$82&amp;"C"&amp;$A159))</f>
        <v>101.25</v>
      </c>
      <c r="DB159" s="3">
        <f>IF(RTD("tos.rtd",,DB$43,"."&amp;$B$134&amp;$AS$82&amp;"P"&amp;$A159)="N/A",0,RTD("tos.rtd",,DB$43,"."&amp;$B$134&amp;$AS$82&amp;"P"&amp;$A159))</f>
        <v>0.05</v>
      </c>
      <c r="DC159" s="3">
        <f>IF(RTD("tos.rtd",,DC$43,"."&amp;$B$134&amp;$AS$82&amp;"C"&amp;$A159)="N/A",0,RTD("tos.rtd",,DC$43,"."&amp;$B$134&amp;$AS$82&amp;"C"&amp;$A159))</f>
        <v>97.9</v>
      </c>
      <c r="DD159" s="3">
        <f>IF(RTD("tos.rtd",,DD$43,"."&amp;$B$134&amp;$AS$82&amp;"P"&amp;$A159)="N/A",0,RTD("tos.rtd",,DD$43,"."&amp;$B$134&amp;$AS$82&amp;"P"&amp;$A159))</f>
        <v>0.4</v>
      </c>
      <c r="DE159" s="3">
        <f>IF(RTD("tos.rtd",,DE$43,"."&amp;$B$134&amp;$AS$82&amp;"C"&amp;$A159)="N/A",0,RTD("tos.rtd",,DE$43,"."&amp;$B$134&amp;$AS$82&amp;"C"&amp;$A159))</f>
        <v>93</v>
      </c>
      <c r="DF159" s="3">
        <f>IF(RTD("tos.rtd",,DF$43,"."&amp;$B$134&amp;$AS$82&amp;"P"&amp;$A159)="N/A",0,RTD("tos.rtd",,DF$43,"."&amp;$B$134&amp;$AS$82&amp;"P"&amp;$A159))</f>
        <v>0</v>
      </c>
      <c r="DG159" s="86">
        <f t="shared" si="580"/>
        <v>-92</v>
      </c>
      <c r="DH159" s="3">
        <f t="shared" si="548"/>
        <v>0</v>
      </c>
      <c r="DI159" s="3">
        <f t="shared" si="549"/>
        <v>0</v>
      </c>
      <c r="DJ159" s="3">
        <f t="shared" si="550"/>
        <v>0</v>
      </c>
      <c r="DK159" s="3">
        <f t="shared" si="551"/>
        <v>0</v>
      </c>
      <c r="DL159" s="3">
        <f t="shared" si="552"/>
        <v>0</v>
      </c>
      <c r="DM159" s="3">
        <f t="shared" si="553"/>
        <v>0</v>
      </c>
      <c r="DN159" s="64" t="str">
        <f t="shared" si="554"/>
        <v>UNKNOWN</v>
      </c>
      <c r="DO159" s="64" t="str">
        <f t="shared" si="555"/>
        <v>UNKNOWN</v>
      </c>
      <c r="DP159" s="3">
        <f t="shared" si="556"/>
        <v>0</v>
      </c>
      <c r="DQ159" s="3">
        <f t="shared" si="557"/>
        <v>0</v>
      </c>
      <c r="DR159" s="3" t="e">
        <f t="shared" ca="1" si="558"/>
        <v>#NUM!</v>
      </c>
      <c r="DS159" s="3">
        <f t="shared" si="559"/>
        <v>0</v>
      </c>
      <c r="DT159" s="3">
        <f t="shared" si="581"/>
        <v>0</v>
      </c>
      <c r="DU159" s="3">
        <f t="shared" si="582"/>
        <v>0</v>
      </c>
      <c r="DV159" s="3">
        <f t="shared" si="560"/>
        <v>-5</v>
      </c>
      <c r="DW159" s="3">
        <f t="shared" si="561"/>
        <v>152</v>
      </c>
      <c r="DX159" s="3" t="e">
        <f t="shared" ca="1" si="562"/>
        <v>#NUM!</v>
      </c>
      <c r="DY159" s="3" t="e">
        <f t="shared" ca="1" si="563"/>
        <v>#NUM!</v>
      </c>
      <c r="DZ159" s="3">
        <f t="shared" ca="1" si="564"/>
        <v>5.4064802631669992E-4</v>
      </c>
      <c r="EA159" s="3">
        <f t="shared" ca="1" si="565"/>
        <v>-5.1927373545987583E-4</v>
      </c>
      <c r="EB159" s="3">
        <f t="shared" ca="1" si="566"/>
        <v>5.5027889099930978E-4</v>
      </c>
      <c r="EC159" s="3">
        <f t="shared" ca="1" si="567"/>
        <v>-5.1688104546515298E-4</v>
      </c>
      <c r="EE159" s="59">
        <f t="shared" si="568"/>
        <v>0.25</v>
      </c>
      <c r="EF159" s="59">
        <f t="shared" si="569"/>
        <v>0.30270000000000002</v>
      </c>
      <c r="EG159" s="59">
        <f t="shared" si="570"/>
        <v>0.22289999999999999</v>
      </c>
      <c r="EH159" s="59">
        <f t="shared" si="571"/>
        <v>0.23230000000000001</v>
      </c>
      <c r="EI159" s="59">
        <f t="shared" si="572"/>
        <v>0.21890000000000001</v>
      </c>
      <c r="EJ159" s="59">
        <f t="shared" si="573"/>
        <v>0.2334</v>
      </c>
      <c r="EL159" s="3" t="str">
        <f>RTD("tos.rtd",,EL$43,"."&amp;$B$134&amp;$AS$82&amp;"C"&amp;$A159)</f>
        <v>--</v>
      </c>
      <c r="EM159" s="3" t="str">
        <f>RTD("tos.rtd",,EM$43,"."&amp;$B$134&amp;$AS$82&amp;"P"&amp;$A159)</f>
        <v>30.27%</v>
      </c>
      <c r="EN159" s="3" t="str">
        <f>RTD("tos.rtd",,EN$2,"."&amp;$C$134&amp;$AU$82&amp;"C"&amp;$A159)</f>
        <v>22.29%</v>
      </c>
      <c r="EO159" s="3" t="str">
        <f>RTD("tos.rtd",,EO$2,"."&amp;$C$134&amp;$AU$82&amp;"P"&amp;$A159)</f>
        <v>23.23%</v>
      </c>
      <c r="EP159" s="3" t="str">
        <f>RTD("tos.rtd",,EP$2,"."&amp;$D$134&amp;$AW$82&amp;"C"&amp;$A159)</f>
        <v>21.89%</v>
      </c>
      <c r="EQ159" s="3" t="str">
        <f>RTD("tos.rtd",,EQ$2,"."&amp;$D$134&amp;$AW$82&amp;"P"&amp;$A159)</f>
        <v>23.34%</v>
      </c>
      <c r="ET159" s="64" t="str">
        <f t="shared" ca="1" si="574"/>
        <v>20000,00.00</v>
      </c>
      <c r="EU159" s="68">
        <v>564.53</v>
      </c>
      <c r="EV159" s="68" t="s">
        <v>1292</v>
      </c>
      <c r="EW159" s="68">
        <v>486.79</v>
      </c>
      <c r="EX159" s="68" t="s">
        <v>1293</v>
      </c>
      <c r="EY159" s="68">
        <v>5660.75</v>
      </c>
      <c r="EZ159" s="68" t="s">
        <v>1294</v>
      </c>
      <c r="FA159" s="68">
        <v>20001.5</v>
      </c>
      <c r="FB159" s="68" t="s">
        <v>1295</v>
      </c>
      <c r="FC159" s="68" t="s">
        <v>1296</v>
      </c>
      <c r="FD159" s="68" t="s">
        <v>1297</v>
      </c>
      <c r="FE159" s="68" t="s">
        <v>1298</v>
      </c>
      <c r="FF159" s="68" t="s">
        <v>1299</v>
      </c>
    </row>
    <row r="160" spans="1:162" ht="11.1" customHeight="1" thickBot="1" x14ac:dyDescent="0.25">
      <c r="A160" s="2">
        <f t="shared" si="583"/>
        <v>19980</v>
      </c>
      <c r="B160" s="3">
        <f t="shared" si="616"/>
        <v>47</v>
      </c>
      <c r="C160" s="3">
        <f t="shared" si="617"/>
        <v>0</v>
      </c>
      <c r="D160" s="3">
        <f t="shared" si="618"/>
        <v>0</v>
      </c>
      <c r="E160" s="3">
        <f t="shared" si="601"/>
        <v>47</v>
      </c>
      <c r="F160" s="4">
        <f t="shared" si="611"/>
        <v>20079.442564204659</v>
      </c>
      <c r="G160" s="5">
        <f t="shared" si="603"/>
        <v>486.23436193509855</v>
      </c>
      <c r="AM160" s="1" t="e">
        <v>#N/A</v>
      </c>
      <c r="AN160" s="1">
        <v>30</v>
      </c>
      <c r="AO160" s="1">
        <v>19980</v>
      </c>
      <c r="AP160" s="1">
        <v>26</v>
      </c>
      <c r="AQ160" s="1">
        <v>-100</v>
      </c>
      <c r="AS160" s="54">
        <f>IF(RTD("tos.rtd",,AS$83,"."&amp;$B$134&amp;$AS$82&amp;"C"&amp;$A160)="N/A",0,RTD("tos.rtd",,AS$83,"."&amp;$B$134&amp;$AS$82&amp;"C"&amp;$A160))</f>
        <v>31</v>
      </c>
      <c r="AT160" s="3">
        <f>-IF(RTD("tos.rtd",,AT$83,"."&amp;$B$134&amp;$AS$82&amp;"P"&amp;$A160)="N/A",0,RTD("tos.rtd",,AT$83,"."&amp;$B$134&amp;$AS$82&amp;"P"&amp;$A160))</f>
        <v>-16</v>
      </c>
      <c r="AU160" s="54">
        <f>IF(RTD("tos.rtd",,AU$2,"."&amp;$C$134&amp;$AU$134&amp;"C"&amp;$A160)="N/A",0,RTD("tos.rtd",,AU$2,"."&amp;$C$134&amp;$AU$134&amp;"C"&amp;$A160))</f>
        <v>0</v>
      </c>
      <c r="AV160" s="3">
        <f>-IF(RTD("tos.rtd",,AV$2,"."&amp;$C$134&amp;$AU$134&amp;"P"&amp;$A160)="N/A",0,RTD("tos.rtd",,AV$2,"."&amp;$C$134&amp;$AU$134&amp;"P"&amp;$A160))</f>
        <v>0</v>
      </c>
      <c r="AW160" s="54">
        <f>IF(RTD("tos.rtd",,AW$2,"."&amp;$D$134&amp;$AW$134&amp;"C"&amp;$A160)="N/A",0,RTD("tos.rtd",,AW$2,"."&amp;$D$134&amp;$AW$134&amp;"C"&amp;$A160))</f>
        <v>0</v>
      </c>
      <c r="AX160" s="3">
        <f>-IF(RTD("tos.rtd",,AX$2,"."&amp;$D$134&amp;$AW$134&amp;"P"&amp;$A160)="N/A",0,RTD("tos.rtd",,AX$2,"."&amp;$D$134&amp;$AW$134&amp;"P"&amp;$A160))</f>
        <v>0</v>
      </c>
      <c r="AY160" s="76">
        <f t="shared" si="612"/>
        <v>15</v>
      </c>
      <c r="AZ160" s="8">
        <f t="shared" si="539"/>
        <v>19980</v>
      </c>
      <c r="BA160" s="54">
        <f>IF(RTD("tos.rtd",,BA$43,"."&amp;$B$134&amp;$AS$82&amp;"C"&amp;$A160)="N/A",0,RTD("tos.rtd",,BA$43,"."&amp;$B$134&amp;$AS$82&amp;"C"&amp;$A160))</f>
        <v>26</v>
      </c>
      <c r="BB160" s="3">
        <f>-IF(RTD("tos.rtd",,BB$43,"."&amp;$B$134&amp;$AS$82&amp;"P"&amp;$A160)="N/A",0,RTD("tos.rtd",,BB$43,"."&amp;$B$134&amp;$AS$82&amp;"P"&amp;$A160))</f>
        <v>-100</v>
      </c>
      <c r="BC160" s="54">
        <f>IF(RTD("tos.rtd",,BC$2,"."&amp;$C$134&amp;$AU$82&amp;"C"&amp;$A160)="N/A",0,RTD("tos.rtd",,BC$2,"."&amp;$C$134&amp;$AU$82&amp;"C"&amp;$A160))</f>
        <v>0</v>
      </c>
      <c r="BD160" s="3">
        <f>-IF(RTD("tos.rtd",,BD$2,"."&amp;$C$134&amp;$AU$82&amp;"P"&amp;$A160)="N/A",0,RTD("tos.rtd",,BD$2,"."&amp;$C$134&amp;$AU$82&amp;"P"&amp;$A160))</f>
        <v>0</v>
      </c>
      <c r="BE160" s="54">
        <f>IF(RTD("tos.rtd",,BE$2,"."&amp;$D$134&amp;$AW$82&amp;"C"&amp;$A160)="N/A",0,RTD("tos.rtd",,BE$2,"."&amp;$D$134&amp;$AW$82&amp;"C"&amp;$A160))</f>
        <v>0</v>
      </c>
      <c r="BF160" s="3">
        <f>-IF(RTD("tos.rtd",,BF$2,"."&amp;$D$134&amp;$AW$82&amp;"P"&amp;$A160)="N/A",0,RTD("tos.rtd",,BF$2,"."&amp;$D$134&amp;$AW$82&amp;"P"&amp;$A160))</f>
        <v>0</v>
      </c>
      <c r="BG160" s="3" t="e">
        <f ca="1">+Hoja2!Y161</f>
        <v>#N/A</v>
      </c>
      <c r="BH160" s="7" t="e">
        <f t="shared" ca="1" si="540"/>
        <v>#N/A</v>
      </c>
      <c r="BI160" s="32" t="e">
        <f t="shared" ca="1" si="597"/>
        <v>#N/A</v>
      </c>
      <c r="BJ160" s="3" t="e">
        <f ca="1">IF($BP$1=1,DX160,IF(RTD("tos.rtd",,BJ$43,"."&amp;$B$134&amp;$AS$82&amp;"C"&amp;$A160)="N/A",0,RTD("tos.rtd",,BJ$43,"."&amp;$B$134&amp;$AS$82&amp;"C"&amp;$A160)))</f>
        <v>#NUM!</v>
      </c>
      <c r="BK160" s="3" t="e">
        <f ca="1">IF($BP$1=1,DY160,-IF(RTD("tos.rtd",,BK$43,"."&amp;$B$134&amp;$AS$82&amp;"P"&amp;$A160)="N/A",0,RTD("tos.rtd",,BK$43,"."&amp;$B$134&amp;$AS$82&amp;"P"&amp;$A160)))</f>
        <v>#NUM!</v>
      </c>
      <c r="BL160" s="3">
        <f ca="1">IF($BP$1=1,DZ160,IF(RTD("tos.rtd",,BL$2,"."&amp;$C$134&amp;$AU$82&amp;"C"&amp;$A160)="N/A",0,RTD("tos.rtd",,BL$2,"."&amp;$C$134&amp;$AU$82&amp;"C"&amp;$A160)))</f>
        <v>4.8119053968147799E-4</v>
      </c>
      <c r="BM160" s="3">
        <f ca="1">IF($BP$1=1,EA160,-IF(RTD("tos.rtd",,BM$2,"."&amp;$C$134&amp;$AU$82&amp;"P"&amp;$A160)="N/A",0,RTD("tos.rtd",,BM$2,"."&amp;$C$134&amp;$AU$82&amp;"P"&amp;$A160)))</f>
        <v>-4.8119053968147799E-4</v>
      </c>
      <c r="BN160" s="3">
        <f ca="1">IF($BP$1=1,EB160,IF(RTD("tos.rtd",,BN$2,"."&amp;$D$134&amp;$AW$82&amp;"C"&amp;$A160)="N/A",0,RTD("tos.rtd",,BN$2,"."&amp;$D$134&amp;$AW$82&amp;"C"&amp;$A160)))</f>
        <v>4.8119053968147799E-4</v>
      </c>
      <c r="BO160" s="3">
        <f ca="1">IF($BP$1=1,EC160,-IF(RTD("tos.rtd",,BO$2,"."&amp;$D$134&amp;$AW$82&amp;"P"&amp;$A160)="N/A",0,RTD("tos.rtd",,BO$2,"."&amp;$D$134&amp;$AW$82&amp;"P"&amp;$A160)))</f>
        <v>-4.8119053968147799E-4</v>
      </c>
      <c r="BQ160" s="3" t="e">
        <f t="shared" ca="1" si="613"/>
        <v>#NUM!</v>
      </c>
      <c r="BR160" s="3" t="e">
        <f t="shared" ca="1" si="541"/>
        <v>#NUM!</v>
      </c>
      <c r="BS160" s="3">
        <f t="shared" ca="1" si="614"/>
        <v>0</v>
      </c>
      <c r="BT160" s="3" t="str">
        <f t="shared" ca="1" si="542"/>
        <v/>
      </c>
      <c r="BU160" s="3">
        <f t="shared" ca="1" si="615"/>
        <v>0</v>
      </c>
      <c r="BV160" s="3" t="str">
        <f t="shared" ca="1" si="542"/>
        <v/>
      </c>
      <c r="BX160" s="3" t="e">
        <f t="shared" ca="1" si="575"/>
        <v>#NUM!</v>
      </c>
      <c r="BY160" s="3" t="e">
        <f t="shared" ca="1" si="576"/>
        <v>#NUM!</v>
      </c>
      <c r="BZ160" s="3">
        <f t="shared" ca="1" si="577"/>
        <v>0</v>
      </c>
      <c r="CA160" s="3" t="str">
        <f t="shared" ca="1" si="576"/>
        <v/>
      </c>
      <c r="CB160" s="3">
        <f t="shared" ca="1" si="578"/>
        <v>0</v>
      </c>
      <c r="CC160" s="3" t="str">
        <f t="shared" ca="1" si="576"/>
        <v/>
      </c>
      <c r="CD160" s="3">
        <f>IF(RTD("tos.rtd",,CD$43,"."&amp;$B$134&amp;$AS$82&amp;"C"&amp;$A160)="N/A",0,RTD("tos.rtd",,CD$43,"."&amp;$B$134&amp;$AS$82&amp;"C"&amp;$A160))</f>
        <v>1</v>
      </c>
      <c r="CE160" s="3">
        <f>-IF(RTD("tos.rtd",,CE$43,"."&amp;$B$134&amp;$AS$82&amp;"P"&amp;$A160)="N/A",0,RTD("tos.rtd",,CE$43,"."&amp;$B$134&amp;$AS$82&amp;"P"&amp;$A160))</f>
        <v>0</v>
      </c>
      <c r="CF160" s="3">
        <f>IF(RTD("tos.rtd",,CF$2,"."&amp;$C$134&amp;$AU$82&amp;"C"&amp;$A160)="N/A",0,RTD("tos.rtd",,CF$2,"."&amp;$C$134&amp;$AU$82&amp;"C"&amp;$A160))</f>
        <v>0</v>
      </c>
      <c r="CG160" s="3">
        <f>-IF(RTD("tos.rtd",,CG$2,"."&amp;$C$134&amp;$AU$82&amp;"P"&amp;$A160)="N/A",0,RTD("tos.rtd",,CG$2,"."&amp;$C$134&amp;$AU$82&amp;"P"&amp;$A160))</f>
        <v>0</v>
      </c>
      <c r="CH160" s="3">
        <f>IF(RTD("tos.rtd",,CH$2,"."&amp;$D$134&amp;$AW$82&amp;"C"&amp;$A160)="N/A",0,RTD("tos.rtd",,CH$2,"."&amp;$D$134&amp;$AW$82&amp;"C"&amp;$A160))</f>
        <v>0</v>
      </c>
      <c r="CI160" s="3">
        <f>-IF(RTD("tos.rtd",,CI$2,"."&amp;$D$134&amp;$AW$82&amp;"P"&amp;$A160)="N/A",0,RTD("tos.rtd",,CI$2,"."&amp;$D$134&amp;$AW$82&amp;"P"&amp;$A160))</f>
        <v>0</v>
      </c>
      <c r="CK160" s="3">
        <f t="shared" si="608"/>
        <v>3100</v>
      </c>
      <c r="CL160" s="3"/>
      <c r="CM160" s="3">
        <f t="shared" si="609"/>
        <v>0</v>
      </c>
      <c r="CN160" s="3"/>
      <c r="CO160" s="3">
        <f t="shared" si="610"/>
        <v>0</v>
      </c>
      <c r="CP160" s="3">
        <f t="shared" si="533"/>
        <v>3100</v>
      </c>
      <c r="CQ160" s="3">
        <f t="shared" si="543"/>
        <v>-74</v>
      </c>
      <c r="CR160" s="3"/>
      <c r="CS160" s="3">
        <f t="shared" si="544"/>
        <v>0</v>
      </c>
      <c r="CT160" s="3"/>
      <c r="CU160" s="3">
        <f t="shared" si="545"/>
        <v>0</v>
      </c>
      <c r="CV160" s="3"/>
      <c r="CW160" s="3" t="e">
        <f t="shared" ca="1" si="546"/>
        <v>#NUM!</v>
      </c>
      <c r="CY160" s="3" t="e">
        <f t="shared" ca="1" si="547"/>
        <v>#NUM!</v>
      </c>
      <c r="CZ160" s="70" t="e">
        <f t="shared" ca="1" si="579"/>
        <v>#NUM!</v>
      </c>
      <c r="DA160" s="3">
        <f>IF(RTD("tos.rtd",,DA$43,"."&amp;$B$134&amp;$AS$82&amp;"C"&amp;$A160)="N/A",0,RTD("tos.rtd",,DA$43,"."&amp;$B$134&amp;$AS$82&amp;"C"&amp;$A160))</f>
        <v>102</v>
      </c>
      <c r="DB160" s="3">
        <f>IF(RTD("tos.rtd",,DB$43,"."&amp;$B$134&amp;$AS$82&amp;"P"&amp;$A160)="N/A",0,RTD("tos.rtd",,DB$43,"."&amp;$B$134&amp;$AS$82&amp;"P"&amp;$A160))</f>
        <v>0.3</v>
      </c>
      <c r="DC160" s="3">
        <f>IF(RTD("tos.rtd",,DC$43,"."&amp;$B$134&amp;$AS$82&amp;"C"&amp;$A160)="N/A",0,RTD("tos.rtd",,DC$43,"."&amp;$B$134&amp;$AS$82&amp;"C"&amp;$A160))</f>
        <v>117.9</v>
      </c>
      <c r="DD160" s="3">
        <f>IF(RTD("tos.rtd",,DD$43,"."&amp;$B$134&amp;$AS$82&amp;"P"&amp;$A160)="N/A",0,RTD("tos.rtd",,DD$43,"."&amp;$B$134&amp;$AS$82&amp;"P"&amp;$A160))</f>
        <v>0.05</v>
      </c>
      <c r="DE160" s="3">
        <f>IF(RTD("tos.rtd",,DE$43,"."&amp;$B$134&amp;$AS$82&amp;"C"&amp;$A160)="N/A",0,RTD("tos.rtd",,DE$43,"."&amp;$B$134&amp;$AS$82&amp;"C"&amp;$A160))</f>
        <v>113</v>
      </c>
      <c r="DF160" s="3">
        <f>IF(RTD("tos.rtd",,DF$43,"."&amp;$B$134&amp;$AS$82&amp;"P"&amp;$A160)="N/A",0,RTD("tos.rtd",,DF$43,"."&amp;$B$134&amp;$AS$82&amp;"P"&amp;$A160))</f>
        <v>0</v>
      </c>
      <c r="DG160" s="86">
        <f t="shared" si="580"/>
        <v>-112</v>
      </c>
      <c r="DH160" s="3">
        <f t="shared" si="548"/>
        <v>0</v>
      </c>
      <c r="DI160" s="3">
        <f t="shared" si="549"/>
        <v>0</v>
      </c>
      <c r="DJ160" s="3">
        <f t="shared" si="550"/>
        <v>0</v>
      </c>
      <c r="DK160" s="3">
        <f t="shared" si="551"/>
        <v>0</v>
      </c>
      <c r="DL160" s="3">
        <f t="shared" si="552"/>
        <v>0</v>
      </c>
      <c r="DM160" s="3">
        <f t="shared" si="553"/>
        <v>0</v>
      </c>
      <c r="DN160" s="64" t="str">
        <f t="shared" si="554"/>
        <v>UNKNOWN</v>
      </c>
      <c r="DO160" s="64" t="str">
        <f t="shared" si="555"/>
        <v>UNKNOWN</v>
      </c>
      <c r="DP160" s="3">
        <f t="shared" si="556"/>
        <v>0</v>
      </c>
      <c r="DQ160" s="3">
        <f t="shared" si="557"/>
        <v>0</v>
      </c>
      <c r="DR160" s="3" t="e">
        <f t="shared" ca="1" si="558"/>
        <v>#NUM!</v>
      </c>
      <c r="DS160" s="3">
        <f t="shared" si="559"/>
        <v>0</v>
      </c>
      <c r="DT160" s="3">
        <f t="shared" si="581"/>
        <v>0</v>
      </c>
      <c r="DU160" s="3">
        <f t="shared" si="582"/>
        <v>0</v>
      </c>
      <c r="DV160" s="3" t="e">
        <f t="shared" si="560"/>
        <v>#N/A</v>
      </c>
      <c r="DW160" s="3">
        <f t="shared" si="561"/>
        <v>30</v>
      </c>
      <c r="DX160" s="3" t="e">
        <f t="shared" ca="1" si="562"/>
        <v>#NUM!</v>
      </c>
      <c r="DY160" s="3" t="e">
        <f t="shared" ca="1" si="563"/>
        <v>#NUM!</v>
      </c>
      <c r="DZ160" s="3">
        <f t="shared" ca="1" si="564"/>
        <v>4.8119053968147799E-4</v>
      </c>
      <c r="EA160" s="3">
        <f t="shared" ca="1" si="565"/>
        <v>-4.8119053968147799E-4</v>
      </c>
      <c r="EB160" s="3">
        <f t="shared" ca="1" si="566"/>
        <v>4.8119053968147799E-4</v>
      </c>
      <c r="EC160" s="3">
        <f t="shared" ca="1" si="567"/>
        <v>-4.8119053968147799E-4</v>
      </c>
      <c r="EE160" s="59">
        <f t="shared" si="568"/>
        <v>0.25</v>
      </c>
      <c r="EF160" s="59">
        <f t="shared" si="569"/>
        <v>0.28170000000000001</v>
      </c>
      <c r="EG160" s="59">
        <f t="shared" si="570"/>
        <v>0.25</v>
      </c>
      <c r="EH160" s="59">
        <f t="shared" si="571"/>
        <v>0.25</v>
      </c>
      <c r="EI160" s="59">
        <f t="shared" si="572"/>
        <v>0.25</v>
      </c>
      <c r="EJ160" s="59">
        <f t="shared" si="573"/>
        <v>0.25</v>
      </c>
      <c r="EL160" s="3" t="str">
        <f>RTD("tos.rtd",,EL$43,"."&amp;$B$134&amp;$AS$82&amp;"C"&amp;$A160)</f>
        <v>--</v>
      </c>
      <c r="EM160" s="3" t="str">
        <f>RTD("tos.rtd",,EM$43,"."&amp;$B$134&amp;$AS$82&amp;"P"&amp;$A160)</f>
        <v>28.17%</v>
      </c>
      <c r="EN160" s="3" t="str">
        <f>RTD("tos.rtd",,EN$2,"."&amp;$C$134&amp;$AU$82&amp;"C"&amp;$A160)</f>
        <v>N/A</v>
      </c>
      <c r="EO160" s="3" t="str">
        <f>RTD("tos.rtd",,EO$2,"."&amp;$C$134&amp;$AU$82&amp;"P"&amp;$A160)</f>
        <v>N/A</v>
      </c>
      <c r="EP160" s="3" t="str">
        <f>RTD("tos.rtd",,EP$2,"."&amp;$D$134&amp;$AW$82&amp;"C"&amp;$A160)</f>
        <v>N/A</v>
      </c>
      <c r="EQ160" s="3" t="str">
        <f>RTD("tos.rtd",,EQ$2,"."&amp;$D$134&amp;$AW$82&amp;"P"&amp;$A160)</f>
        <v>N/A</v>
      </c>
      <c r="ET160" s="64" t="str">
        <f t="shared" ca="1" si="574"/>
        <v>19980,00.00</v>
      </c>
      <c r="EU160" s="68">
        <v>563.84500000000003</v>
      </c>
      <c r="EV160" s="68" t="s">
        <v>1300</v>
      </c>
      <c r="EW160" s="68">
        <v>486.02</v>
      </c>
      <c r="EX160" s="68" t="s">
        <v>1301</v>
      </c>
      <c r="EY160" s="68">
        <v>5654</v>
      </c>
      <c r="EZ160" s="68" t="s">
        <v>1302</v>
      </c>
      <c r="FA160" s="68">
        <v>19970.25</v>
      </c>
      <c r="FB160" s="68" t="s">
        <v>1303</v>
      </c>
      <c r="FC160" s="68" t="s">
        <v>1304</v>
      </c>
      <c r="FD160" s="68" t="s">
        <v>1305</v>
      </c>
      <c r="FE160" s="68" t="s">
        <v>1306</v>
      </c>
      <c r="FF160" s="68" t="s">
        <v>1307</v>
      </c>
    </row>
    <row r="161" spans="1:162" ht="11.1" customHeight="1" thickBot="1" x14ac:dyDescent="0.25">
      <c r="A161" s="2">
        <f t="shared" si="583"/>
        <v>19960</v>
      </c>
      <c r="B161" s="3">
        <f t="shared" si="616"/>
        <v>10</v>
      </c>
      <c r="C161" s="3">
        <f t="shared" si="617"/>
        <v>0</v>
      </c>
      <c r="D161" s="3">
        <f t="shared" si="618"/>
        <v>0</v>
      </c>
      <c r="E161" s="3">
        <f t="shared" si="601"/>
        <v>10</v>
      </c>
      <c r="F161" s="4">
        <f t="shared" si="611"/>
        <v>20059.34302209835</v>
      </c>
      <c r="G161" s="5">
        <f t="shared" si="603"/>
        <v>485.74764085208039</v>
      </c>
      <c r="AM161" s="1">
        <v>1</v>
      </c>
      <c r="AN161" s="1">
        <v>13</v>
      </c>
      <c r="AO161" s="1">
        <v>19960</v>
      </c>
      <c r="AP161" s="1">
        <v>7</v>
      </c>
      <c r="AQ161" s="1">
        <v>-72</v>
      </c>
      <c r="AS161" s="54">
        <f>IF(RTD("tos.rtd",,AS$83,"."&amp;$B$134&amp;$AS$82&amp;"C"&amp;$A161)="N/A",0,RTD("tos.rtd",,AS$83,"."&amp;$B$134&amp;$AS$82&amp;"C"&amp;$A161))</f>
        <v>9</v>
      </c>
      <c r="AT161" s="3">
        <f>-IF(RTD("tos.rtd",,AT$83,"."&amp;$B$134&amp;$AS$82&amp;"P"&amp;$A161)="N/A",0,RTD("tos.rtd",,AT$83,"."&amp;$B$134&amp;$AS$82&amp;"P"&amp;$A161))</f>
        <v>-1</v>
      </c>
      <c r="AU161" s="54">
        <f>IF(RTD("tos.rtd",,AU$2,"."&amp;$C$134&amp;$AU$134&amp;"C"&amp;$A161)="N/A",0,RTD("tos.rtd",,AU$2,"."&amp;$C$134&amp;$AU$134&amp;"C"&amp;$A161))</f>
        <v>0</v>
      </c>
      <c r="AV161" s="3">
        <f>-IF(RTD("tos.rtd",,AV$2,"."&amp;$C$134&amp;$AU$134&amp;"P"&amp;$A161)="N/A",0,RTD("tos.rtd",,AV$2,"."&amp;$C$134&amp;$AU$134&amp;"P"&amp;$A161))</f>
        <v>0</v>
      </c>
      <c r="AW161" s="54">
        <f>IF(RTD("tos.rtd",,AW$2,"."&amp;$D$134&amp;$AW$134&amp;"C"&amp;$A161)="N/A",0,RTD("tos.rtd",,AW$2,"."&amp;$D$134&amp;$AW$134&amp;"C"&amp;$A161))</f>
        <v>0</v>
      </c>
      <c r="AX161" s="3">
        <f>-IF(RTD("tos.rtd",,AX$2,"."&amp;$D$134&amp;$AW$134&amp;"P"&amp;$A161)="N/A",0,RTD("tos.rtd",,AX$2,"."&amp;$D$134&amp;$AW$134&amp;"P"&amp;$A161))</f>
        <v>0</v>
      </c>
      <c r="AY161" s="76">
        <f t="shared" si="612"/>
        <v>8</v>
      </c>
      <c r="AZ161" s="8">
        <f t="shared" si="539"/>
        <v>19960</v>
      </c>
      <c r="BA161" s="54">
        <f>IF(RTD("tos.rtd",,BA$43,"."&amp;$B$134&amp;$AS$82&amp;"C"&amp;$A161)="N/A",0,RTD("tos.rtd",,BA$43,"."&amp;$B$134&amp;$AS$82&amp;"C"&amp;$A161))</f>
        <v>7</v>
      </c>
      <c r="BB161" s="3">
        <f>-IF(RTD("tos.rtd",,BB$43,"."&amp;$B$134&amp;$AS$82&amp;"P"&amp;$A161)="N/A",0,RTD("tos.rtd",,BB$43,"."&amp;$B$134&amp;$AS$82&amp;"P"&amp;$A161))</f>
        <v>-72</v>
      </c>
      <c r="BC161" s="54">
        <f>IF(RTD("tos.rtd",,BC$2,"."&amp;$C$134&amp;$AU$82&amp;"C"&amp;$A161)="N/A",0,RTD("tos.rtd",,BC$2,"."&amp;$C$134&amp;$AU$82&amp;"C"&amp;$A161))</f>
        <v>0</v>
      </c>
      <c r="BD161" s="3">
        <f>-IF(RTD("tos.rtd",,BD$2,"."&amp;$C$134&amp;$AU$82&amp;"P"&amp;$A161)="N/A",0,RTD("tos.rtd",,BD$2,"."&amp;$C$134&amp;$AU$82&amp;"P"&amp;$A161))</f>
        <v>0</v>
      </c>
      <c r="BE161" s="54">
        <f>IF(RTD("tos.rtd",,BE$2,"."&amp;$D$134&amp;$AW$82&amp;"C"&amp;$A161)="N/A",0,RTD("tos.rtd",,BE$2,"."&amp;$D$134&amp;$AW$82&amp;"C"&amp;$A161))</f>
        <v>0</v>
      </c>
      <c r="BF161" s="3">
        <f>-IF(RTD("tos.rtd",,BF$2,"."&amp;$D$134&amp;$AW$82&amp;"P"&amp;$A161)="N/A",0,RTD("tos.rtd",,BF$2,"."&amp;$D$134&amp;$AW$82&amp;"P"&amp;$A161))</f>
        <v>0</v>
      </c>
      <c r="BG161" s="3" t="e">
        <f ca="1">+Hoja2!Y162</f>
        <v>#N/A</v>
      </c>
      <c r="BH161" s="7" t="e">
        <f t="shared" ca="1" si="540"/>
        <v>#N/A</v>
      </c>
      <c r="BI161" s="32" t="e">
        <f t="shared" ca="1" si="597"/>
        <v>#N/A</v>
      </c>
      <c r="BJ161" s="3" t="e">
        <f ca="1">IF($BP$1=1,DX161,IF(RTD("tos.rtd",,BJ$43,"."&amp;$B$134&amp;$AS$82&amp;"C"&amp;$A161)="N/A",0,RTD("tos.rtd",,BJ$43,"."&amp;$B$134&amp;$AS$82&amp;"C"&amp;$A161)))</f>
        <v>#NUM!</v>
      </c>
      <c r="BK161" s="3" t="e">
        <f ca="1">IF($BP$1=1,DY161,-IF(RTD("tos.rtd",,BK$43,"."&amp;$B$134&amp;$AS$82&amp;"P"&amp;$A161)="N/A",0,RTD("tos.rtd",,BK$43,"."&amp;$B$134&amp;$AS$82&amp;"P"&amp;$A161)))</f>
        <v>#NUM!</v>
      </c>
      <c r="BL161" s="3">
        <f ca="1">IF($BP$1=1,DZ161,IF(RTD("tos.rtd",,BL$2,"."&amp;$C$134&amp;$AU$82&amp;"C"&amp;$A161)="N/A",0,RTD("tos.rtd",,BL$2,"."&amp;$C$134&amp;$AU$82&amp;"C"&amp;$A161)))</f>
        <v>4.7884736796094792E-4</v>
      </c>
      <c r="BM161" s="3">
        <f ca="1">IF($BP$1=1,EA161,-IF(RTD("tos.rtd",,BM$2,"."&amp;$C$134&amp;$AU$82&amp;"P"&amp;$A161)="N/A",0,RTD("tos.rtd",,BM$2,"."&amp;$C$134&amp;$AU$82&amp;"P"&amp;$A161)))</f>
        <v>-4.7884736796094792E-4</v>
      </c>
      <c r="BN161" s="3">
        <f ca="1">IF($BP$1=1,EB161,IF(RTD("tos.rtd",,BN$2,"."&amp;$D$134&amp;$AW$82&amp;"C"&amp;$A161)="N/A",0,RTD("tos.rtd",,BN$2,"."&amp;$D$134&amp;$AW$82&amp;"C"&amp;$A161)))</f>
        <v>4.7884736796094792E-4</v>
      </c>
      <c r="BO161" s="3">
        <f ca="1">IF($BP$1=1,EC161,-IF(RTD("tos.rtd",,BO$2,"."&amp;$D$134&amp;$AW$82&amp;"P"&amp;$A161)="N/A",0,RTD("tos.rtd",,BO$2,"."&amp;$D$134&amp;$AW$82&amp;"P"&amp;$A161)))</f>
        <v>-4.7884736796094792E-4</v>
      </c>
      <c r="BQ161" s="3" t="e">
        <f t="shared" ca="1" si="613"/>
        <v>#NUM!</v>
      </c>
      <c r="BR161" s="3" t="e">
        <f t="shared" ca="1" si="541"/>
        <v>#NUM!</v>
      </c>
      <c r="BS161" s="3">
        <f t="shared" ca="1" si="614"/>
        <v>0</v>
      </c>
      <c r="BT161" s="3" t="str">
        <f t="shared" ca="1" si="542"/>
        <v/>
      </c>
      <c r="BU161" s="3">
        <f t="shared" ca="1" si="615"/>
        <v>0</v>
      </c>
      <c r="BV161" s="3" t="str">
        <f t="shared" ca="1" si="542"/>
        <v/>
      </c>
      <c r="BX161" s="3" t="e">
        <f t="shared" ca="1" si="575"/>
        <v>#NUM!</v>
      </c>
      <c r="BY161" s="3" t="e">
        <f t="shared" ca="1" si="576"/>
        <v>#NUM!</v>
      </c>
      <c r="BZ161" s="3">
        <f t="shared" ca="1" si="577"/>
        <v>0</v>
      </c>
      <c r="CA161" s="3" t="str">
        <f t="shared" ca="1" si="576"/>
        <v/>
      </c>
      <c r="CB161" s="3">
        <f t="shared" ca="1" si="578"/>
        <v>0</v>
      </c>
      <c r="CC161" s="3" t="str">
        <f t="shared" ca="1" si="576"/>
        <v/>
      </c>
      <c r="CD161" s="3">
        <f>IF(RTD("tos.rtd",,CD$43,"."&amp;$B$134&amp;$AS$82&amp;"C"&amp;$A161)="N/A",0,RTD("tos.rtd",,CD$43,"."&amp;$B$134&amp;$AS$82&amp;"C"&amp;$A161))</f>
        <v>1</v>
      </c>
      <c r="CE161" s="3">
        <f>-IF(RTD("tos.rtd",,CE$43,"."&amp;$B$134&amp;$AS$82&amp;"P"&amp;$A161)="N/A",0,RTD("tos.rtd",,CE$43,"."&amp;$B$134&amp;$AS$82&amp;"P"&amp;$A161))</f>
        <v>0.14000000000000001</v>
      </c>
      <c r="CF161" s="3">
        <f>IF(RTD("tos.rtd",,CF$2,"."&amp;$C$134&amp;$AU$82&amp;"C"&amp;$A161)="N/A",0,RTD("tos.rtd",,CF$2,"."&amp;$C$134&amp;$AU$82&amp;"C"&amp;$A161))</f>
        <v>0</v>
      </c>
      <c r="CG161" s="3">
        <f>-IF(RTD("tos.rtd",,CG$2,"."&amp;$C$134&amp;$AU$82&amp;"P"&amp;$A161)="N/A",0,RTD("tos.rtd",,CG$2,"."&amp;$C$134&amp;$AU$82&amp;"P"&amp;$A161))</f>
        <v>0</v>
      </c>
      <c r="CH161" s="3">
        <f>IF(RTD("tos.rtd",,CH$2,"."&amp;$D$134&amp;$AW$82&amp;"C"&amp;$A161)="N/A",0,RTD("tos.rtd",,CH$2,"."&amp;$D$134&amp;$AW$82&amp;"C"&amp;$A161))</f>
        <v>0</v>
      </c>
      <c r="CI161" s="3">
        <f>-IF(RTD("tos.rtd",,CI$2,"."&amp;$D$134&amp;$AW$82&amp;"P"&amp;$A161)="N/A",0,RTD("tos.rtd",,CI$2,"."&amp;$D$134&amp;$AW$82&amp;"P"&amp;$A161))</f>
        <v>0</v>
      </c>
      <c r="CK161" s="3">
        <f t="shared" si="608"/>
        <v>886</v>
      </c>
      <c r="CL161" s="3"/>
      <c r="CM161" s="3">
        <f t="shared" si="609"/>
        <v>0</v>
      </c>
      <c r="CN161" s="3"/>
      <c r="CO161" s="3">
        <f t="shared" si="610"/>
        <v>0</v>
      </c>
      <c r="CP161" s="3">
        <f t="shared" si="533"/>
        <v>886</v>
      </c>
      <c r="CQ161" s="3">
        <f t="shared" si="543"/>
        <v>-65</v>
      </c>
      <c r="CR161" s="3"/>
      <c r="CS161" s="3">
        <f t="shared" si="544"/>
        <v>0</v>
      </c>
      <c r="CT161" s="3"/>
      <c r="CU161" s="3">
        <f t="shared" si="545"/>
        <v>0</v>
      </c>
      <c r="CV161" s="3"/>
      <c r="CW161" s="3" t="e">
        <f t="shared" ca="1" si="546"/>
        <v>#NUM!</v>
      </c>
      <c r="CY161" s="3" t="e">
        <f t="shared" ca="1" si="547"/>
        <v>#NUM!</v>
      </c>
      <c r="CZ161" s="70" t="e">
        <f t="shared" ca="1" si="579"/>
        <v>#NUM!</v>
      </c>
      <c r="DA161" s="3">
        <f>IF(RTD("tos.rtd",,DA$43,"."&amp;$B$134&amp;$AS$82&amp;"C"&amp;$A161)="N/A",0,RTD("tos.rtd",,DA$43,"."&amp;$B$134&amp;$AS$82&amp;"C"&amp;$A161))</f>
        <v>151.4</v>
      </c>
      <c r="DB161" s="3">
        <f>IF(RTD("tos.rtd",,DB$43,"."&amp;$B$134&amp;$AS$82&amp;"P"&amp;$A161)="N/A",0,RTD("tos.rtd",,DB$43,"."&amp;$B$134&amp;$AS$82&amp;"P"&amp;$A161))</f>
        <v>0.32</v>
      </c>
      <c r="DC161" s="3">
        <f>IF(RTD("tos.rtd",,DC$43,"."&amp;$B$134&amp;$AS$82&amp;"C"&amp;$A161)="N/A",0,RTD("tos.rtd",,DC$43,"."&amp;$B$134&amp;$AS$82&amp;"C"&amp;$A161))</f>
        <v>137.9</v>
      </c>
      <c r="DD161" s="3">
        <f>IF(RTD("tos.rtd",,DD$43,"."&amp;$B$134&amp;$AS$82&amp;"P"&amp;$A161)="N/A",0,RTD("tos.rtd",,DD$43,"."&amp;$B$134&amp;$AS$82&amp;"P"&amp;$A161))</f>
        <v>19.8</v>
      </c>
      <c r="DE161" s="3">
        <f>IF(RTD("tos.rtd",,DE$43,"."&amp;$B$134&amp;$AS$82&amp;"C"&amp;$A161)="N/A",0,RTD("tos.rtd",,DE$43,"."&amp;$B$134&amp;$AS$82&amp;"C"&amp;$A161))</f>
        <v>122</v>
      </c>
      <c r="DF161" s="3">
        <f>IF(RTD("tos.rtd",,DF$43,"."&amp;$B$134&amp;$AS$82&amp;"P"&amp;$A161)="N/A",0,RTD("tos.rtd",,DF$43,"."&amp;$B$134&amp;$AS$82&amp;"P"&amp;$A161))</f>
        <v>0</v>
      </c>
      <c r="DG161" s="86">
        <f t="shared" si="580"/>
        <v>-132</v>
      </c>
      <c r="DH161" s="3">
        <f t="shared" si="548"/>
        <v>0</v>
      </c>
      <c r="DI161" s="3">
        <f t="shared" si="549"/>
        <v>0</v>
      </c>
      <c r="DJ161" s="3">
        <f t="shared" si="550"/>
        <v>0</v>
      </c>
      <c r="DK161" s="3">
        <f t="shared" si="551"/>
        <v>0</v>
      </c>
      <c r="DL161" s="3">
        <f t="shared" si="552"/>
        <v>0</v>
      </c>
      <c r="DM161" s="3">
        <f t="shared" si="553"/>
        <v>0</v>
      </c>
      <c r="DN161" s="64" t="str">
        <f t="shared" si="554"/>
        <v>UNKNOWN</v>
      </c>
      <c r="DO161" s="64" t="str">
        <f t="shared" si="555"/>
        <v>UNKNOWN</v>
      </c>
      <c r="DP161" s="3">
        <f t="shared" si="556"/>
        <v>0</v>
      </c>
      <c r="DQ161" s="3">
        <f t="shared" si="557"/>
        <v>0</v>
      </c>
      <c r="DR161" s="3" t="e">
        <f t="shared" ca="1" si="558"/>
        <v>#NUM!</v>
      </c>
      <c r="DS161" s="3">
        <f t="shared" si="559"/>
        <v>0</v>
      </c>
      <c r="DT161" s="3">
        <f t="shared" si="581"/>
        <v>0</v>
      </c>
      <c r="DU161" s="3">
        <f t="shared" si="582"/>
        <v>0</v>
      </c>
      <c r="DV161" s="3">
        <f t="shared" si="560"/>
        <v>1</v>
      </c>
      <c r="DW161" s="3">
        <f t="shared" si="561"/>
        <v>13</v>
      </c>
      <c r="DX161" s="3" t="e">
        <f t="shared" ca="1" si="562"/>
        <v>#NUM!</v>
      </c>
      <c r="DY161" s="3" t="e">
        <f t="shared" ca="1" si="563"/>
        <v>#NUM!</v>
      </c>
      <c r="DZ161" s="3">
        <f t="shared" ca="1" si="564"/>
        <v>4.7884736796094792E-4</v>
      </c>
      <c r="EA161" s="3">
        <f t="shared" ca="1" si="565"/>
        <v>-4.7884736796094792E-4</v>
      </c>
      <c r="EB161" s="3">
        <f t="shared" ca="1" si="566"/>
        <v>4.7884736796094792E-4</v>
      </c>
      <c r="EC161" s="3">
        <f t="shared" ca="1" si="567"/>
        <v>-4.7884736796094792E-4</v>
      </c>
      <c r="EE161" s="59">
        <f t="shared" si="568"/>
        <v>0.25</v>
      </c>
      <c r="EF161" s="59">
        <f t="shared" si="569"/>
        <v>0.88700000000000001</v>
      </c>
      <c r="EG161" s="59">
        <f t="shared" si="570"/>
        <v>0.25</v>
      </c>
      <c r="EH161" s="59">
        <f t="shared" si="571"/>
        <v>0.25</v>
      </c>
      <c r="EI161" s="59">
        <f t="shared" si="572"/>
        <v>0.25</v>
      </c>
      <c r="EJ161" s="59">
        <f t="shared" si="573"/>
        <v>0.25</v>
      </c>
      <c r="EL161" s="3" t="str">
        <f>RTD("tos.rtd",,EL$43,"."&amp;$B$134&amp;$AS$82&amp;"C"&amp;$A161)</f>
        <v>--</v>
      </c>
      <c r="EM161" s="3" t="str">
        <f>RTD("tos.rtd",,EM$43,"."&amp;$B$134&amp;$AS$82&amp;"P"&amp;$A161)</f>
        <v>88.70%</v>
      </c>
      <c r="EN161" s="3" t="str">
        <f>RTD("tos.rtd",,EN$2,"."&amp;$C$134&amp;$AU$82&amp;"C"&amp;$A161)</f>
        <v>N/A</v>
      </c>
      <c r="EO161" s="3" t="str">
        <f>RTD("tos.rtd",,EO$2,"."&amp;$C$134&amp;$AU$82&amp;"P"&amp;$A161)</f>
        <v>N/A</v>
      </c>
      <c r="EP161" s="3" t="str">
        <f>RTD("tos.rtd",,EP$2,"."&amp;$D$134&amp;$AW$82&amp;"C"&amp;$A161)</f>
        <v>N/A</v>
      </c>
      <c r="EQ161" s="3" t="str">
        <f>RTD("tos.rtd",,EQ$2,"."&amp;$D$134&amp;$AW$82&amp;"P"&amp;$A161)</f>
        <v>N/A</v>
      </c>
      <c r="ET161" s="64" t="str">
        <f t="shared" ca="1" si="574"/>
        <v>19960,00.00</v>
      </c>
      <c r="EU161" s="68">
        <v>563.84</v>
      </c>
      <c r="EV161" s="68" t="s">
        <v>1308</v>
      </c>
      <c r="EW161" s="68">
        <v>485.91</v>
      </c>
      <c r="EX161" s="68" t="s">
        <v>1309</v>
      </c>
      <c r="EY161" s="68">
        <v>5653.75</v>
      </c>
      <c r="EZ161" s="68" t="s">
        <v>1310</v>
      </c>
      <c r="FA161" s="68">
        <v>19965.25</v>
      </c>
      <c r="FB161" s="68" t="s">
        <v>1311</v>
      </c>
      <c r="FC161" s="68" t="s">
        <v>1312</v>
      </c>
      <c r="FD161" s="68" t="s">
        <v>1313</v>
      </c>
      <c r="FE161" s="68" t="s">
        <v>1314</v>
      </c>
      <c r="FF161" s="68" t="s">
        <v>1315</v>
      </c>
    </row>
    <row r="162" spans="1:162" ht="11.1" customHeight="1" thickBot="1" x14ac:dyDescent="0.25">
      <c r="A162" s="2">
        <f t="shared" si="583"/>
        <v>19940</v>
      </c>
      <c r="B162" s="3">
        <f t="shared" si="616"/>
        <v>3</v>
      </c>
      <c r="C162" s="3">
        <f t="shared" si="617"/>
        <v>0</v>
      </c>
      <c r="D162" s="3">
        <f t="shared" si="618"/>
        <v>0</v>
      </c>
      <c r="E162" s="3">
        <f t="shared" si="601"/>
        <v>3</v>
      </c>
      <c r="F162" s="4">
        <f t="shared" si="611"/>
        <v>20039.243479992037</v>
      </c>
      <c r="G162" s="5">
        <f t="shared" si="603"/>
        <v>485.2609197690623</v>
      </c>
      <c r="AM162" s="1">
        <v>-4</v>
      </c>
      <c r="AN162" s="1">
        <v>-54</v>
      </c>
      <c r="AO162" s="1">
        <v>19940</v>
      </c>
      <c r="AP162" s="1">
        <v>9</v>
      </c>
      <c r="AQ162" s="1">
        <v>-114</v>
      </c>
      <c r="AS162" s="54">
        <f>IF(RTD("tos.rtd",,AS$83,"."&amp;$B$134&amp;$AS$82&amp;"C"&amp;$A162)="N/A",0,RTD("tos.rtd",,AS$83,"."&amp;$B$134&amp;$AS$82&amp;"C"&amp;$A162))</f>
        <v>3</v>
      </c>
      <c r="AT162" s="3">
        <f>-IF(RTD("tos.rtd",,AT$83,"."&amp;$B$134&amp;$AS$82&amp;"P"&amp;$A162)="N/A",0,RTD("tos.rtd",,AT$83,"."&amp;$B$134&amp;$AS$82&amp;"P"&amp;$A162))</f>
        <v>0</v>
      </c>
      <c r="AU162" s="54">
        <f>IF(RTD("tos.rtd",,AU$2,"."&amp;$C$134&amp;$AU$134&amp;"C"&amp;$A162)="N/A",0,RTD("tos.rtd",,AU$2,"."&amp;$C$134&amp;$AU$134&amp;"C"&amp;$A162))</f>
        <v>0</v>
      </c>
      <c r="AV162" s="3">
        <f>-IF(RTD("tos.rtd",,AV$2,"."&amp;$C$134&amp;$AU$134&amp;"P"&amp;$A162)="N/A",0,RTD("tos.rtd",,AV$2,"."&amp;$C$134&amp;$AU$134&amp;"P"&amp;$A162))</f>
        <v>0</v>
      </c>
      <c r="AW162" s="54">
        <f>IF(RTD("tos.rtd",,AW$2,"."&amp;$D$134&amp;$AW$134&amp;"C"&amp;$A162)="N/A",0,RTD("tos.rtd",,AW$2,"."&amp;$D$134&amp;$AW$134&amp;"C"&amp;$A162))</f>
        <v>0</v>
      </c>
      <c r="AX162" s="3">
        <f>-IF(RTD("tos.rtd",,AX$2,"."&amp;$D$134&amp;$AW$134&amp;"P"&amp;$A162)="N/A",0,RTD("tos.rtd",,AX$2,"."&amp;$D$134&amp;$AW$134&amp;"P"&amp;$A162))</f>
        <v>0</v>
      </c>
      <c r="AY162" s="76">
        <f t="shared" si="612"/>
        <v>3</v>
      </c>
      <c r="AZ162" s="8">
        <f t="shared" si="539"/>
        <v>19940</v>
      </c>
      <c r="BA162" s="54">
        <f>IF(RTD("tos.rtd",,BA$43,"."&amp;$B$134&amp;$AS$82&amp;"C"&amp;$A162)="N/A",0,RTD("tos.rtd",,BA$43,"."&amp;$B$134&amp;$AS$82&amp;"C"&amp;$A162))</f>
        <v>9</v>
      </c>
      <c r="BB162" s="3">
        <f>-IF(RTD("tos.rtd",,BB$43,"."&amp;$B$134&amp;$AS$82&amp;"P"&amp;$A162)="N/A",0,RTD("tos.rtd",,BB$43,"."&amp;$B$134&amp;$AS$82&amp;"P"&amp;$A162))</f>
        <v>-114</v>
      </c>
      <c r="BC162" s="54">
        <f>IF(RTD("tos.rtd",,BC$2,"."&amp;$C$134&amp;$AU$82&amp;"C"&amp;$A162)="N/A",0,RTD("tos.rtd",,BC$2,"."&amp;$C$134&amp;$AU$82&amp;"C"&amp;$A162))</f>
        <v>0</v>
      </c>
      <c r="BD162" s="3">
        <f>-IF(RTD("tos.rtd",,BD$2,"."&amp;$C$134&amp;$AU$82&amp;"P"&amp;$A162)="N/A",0,RTD("tos.rtd",,BD$2,"."&amp;$C$134&amp;$AU$82&amp;"P"&amp;$A162))</f>
        <v>0</v>
      </c>
      <c r="BE162" s="54">
        <f>IF(RTD("tos.rtd",,BE$2,"."&amp;$D$134&amp;$AW$82&amp;"C"&amp;$A162)="N/A",0,RTD("tos.rtd",,BE$2,"."&amp;$D$134&amp;$AW$82&amp;"C"&amp;$A162))</f>
        <v>0</v>
      </c>
      <c r="BF162" s="3">
        <f>-IF(RTD("tos.rtd",,BF$2,"."&amp;$D$134&amp;$AW$82&amp;"P"&amp;$A162)="N/A",0,RTD("tos.rtd",,BF$2,"."&amp;$D$134&amp;$AW$82&amp;"P"&amp;$A162))</f>
        <v>0</v>
      </c>
      <c r="BG162" s="3" t="e">
        <f ca="1">+Hoja2!Y163</f>
        <v>#N/A</v>
      </c>
      <c r="BH162" s="7" t="e">
        <f t="shared" ca="1" si="540"/>
        <v>#N/A</v>
      </c>
      <c r="BI162" s="32" t="e">
        <f t="shared" ca="1" si="597"/>
        <v>#N/A</v>
      </c>
      <c r="BJ162" s="3" t="e">
        <f ca="1">IF($BP$1=1,DX162,IF(RTD("tos.rtd",,BJ$43,"."&amp;$B$134&amp;$AS$82&amp;"C"&amp;$A162)="N/A",0,RTD("tos.rtd",,BJ$43,"."&amp;$B$134&amp;$AS$82&amp;"C"&amp;$A162)))</f>
        <v>#NUM!</v>
      </c>
      <c r="BK162" s="3" t="e">
        <f ca="1">IF($BP$1=1,DY162,-IF(RTD("tos.rtd",,BK$43,"."&amp;$B$134&amp;$AS$82&amp;"P"&amp;$A162)="N/A",0,RTD("tos.rtd",,BK$43,"."&amp;$B$134&amp;$AS$82&amp;"P"&amp;$A162)))</f>
        <v>#NUM!</v>
      </c>
      <c r="BL162" s="3">
        <f ca="1">IF($BP$1=1,DZ162,IF(RTD("tos.rtd",,BL$2,"."&amp;$C$134&amp;$AU$82&amp;"C"&amp;$A162)="N/A",0,RTD("tos.rtd",,BL$2,"."&amp;$C$134&amp;$AU$82&amp;"C"&amp;$A162)))</f>
        <v>4.7622241711266369E-4</v>
      </c>
      <c r="BM162" s="3">
        <f ca="1">IF($BP$1=1,EA162,-IF(RTD("tos.rtd",,BM$2,"."&amp;$C$134&amp;$AU$82&amp;"P"&amp;$A162)="N/A",0,RTD("tos.rtd",,BM$2,"."&amp;$C$134&amp;$AU$82&amp;"P"&amp;$A162)))</f>
        <v>-4.7622241711266369E-4</v>
      </c>
      <c r="BN162" s="3">
        <f ca="1">IF($BP$1=1,EB162,IF(RTD("tos.rtd",,BN$2,"."&amp;$D$134&amp;$AW$82&amp;"C"&amp;$A162)="N/A",0,RTD("tos.rtd",,BN$2,"."&amp;$D$134&amp;$AW$82&amp;"C"&amp;$A162)))</f>
        <v>4.7622241711266369E-4</v>
      </c>
      <c r="BO162" s="3">
        <f ca="1">IF($BP$1=1,EC162,-IF(RTD("tos.rtd",,BO$2,"."&amp;$D$134&amp;$AW$82&amp;"P"&amp;$A162)="N/A",0,RTD("tos.rtd",,BO$2,"."&amp;$D$134&amp;$AW$82&amp;"P"&amp;$A162)))</f>
        <v>-4.7622241711266369E-4</v>
      </c>
      <c r="BQ162" s="3" t="e">
        <f t="shared" ca="1" si="613"/>
        <v>#NUM!</v>
      </c>
      <c r="BR162" s="3" t="e">
        <f t="shared" ca="1" si="541"/>
        <v>#NUM!</v>
      </c>
      <c r="BS162" s="3">
        <f t="shared" ca="1" si="614"/>
        <v>0</v>
      </c>
      <c r="BT162" s="3" t="str">
        <f t="shared" ca="1" si="542"/>
        <v/>
      </c>
      <c r="BU162" s="3">
        <f t="shared" ca="1" si="615"/>
        <v>0</v>
      </c>
      <c r="BV162" s="3" t="str">
        <f t="shared" ca="1" si="542"/>
        <v/>
      </c>
      <c r="BX162" s="3" t="e">
        <f t="shared" ca="1" si="575"/>
        <v>#NUM!</v>
      </c>
      <c r="BY162" s="3" t="e">
        <f t="shared" ca="1" si="576"/>
        <v>#NUM!</v>
      </c>
      <c r="BZ162" s="3">
        <f t="shared" ca="1" si="577"/>
        <v>0</v>
      </c>
      <c r="CA162" s="3" t="str">
        <f t="shared" ca="1" si="576"/>
        <v/>
      </c>
      <c r="CB162" s="3">
        <f t="shared" ca="1" si="578"/>
        <v>0</v>
      </c>
      <c r="CC162" s="3" t="str">
        <f t="shared" ca="1" si="576"/>
        <v/>
      </c>
      <c r="CD162" s="3">
        <f>IF(RTD("tos.rtd",,CD$43,"."&amp;$B$134&amp;$AS$82&amp;"C"&amp;$A162)="N/A",0,RTD("tos.rtd",,CD$43,"."&amp;$B$134&amp;$AS$82&amp;"C"&amp;$A162))</f>
        <v>1</v>
      </c>
      <c r="CE162" s="3">
        <f>-IF(RTD("tos.rtd",,CE$43,"."&amp;$B$134&amp;$AS$82&amp;"P"&amp;$A162)="N/A",0,RTD("tos.rtd",,CE$43,"."&amp;$B$134&amp;$AS$82&amp;"P"&amp;$A162))</f>
        <v>0.13</v>
      </c>
      <c r="CF162" s="3">
        <f>IF(RTD("tos.rtd",,CF$2,"."&amp;$C$134&amp;$AU$82&amp;"C"&amp;$A162)="N/A",0,RTD("tos.rtd",,CF$2,"."&amp;$C$134&amp;$AU$82&amp;"C"&amp;$A162))</f>
        <v>0</v>
      </c>
      <c r="CG162" s="3">
        <f>-IF(RTD("tos.rtd",,CG$2,"."&amp;$C$134&amp;$AU$82&amp;"P"&amp;$A162)="N/A",0,RTD("tos.rtd",,CG$2,"."&amp;$C$134&amp;$AU$82&amp;"P"&amp;$A162))</f>
        <v>0</v>
      </c>
      <c r="CH162" s="3">
        <f>IF(RTD("tos.rtd",,CH$2,"."&amp;$D$134&amp;$AW$82&amp;"C"&amp;$A162)="N/A",0,RTD("tos.rtd",,CH$2,"."&amp;$D$134&amp;$AW$82&amp;"C"&amp;$A162))</f>
        <v>0</v>
      </c>
      <c r="CI162" s="3">
        <f>-IF(RTD("tos.rtd",,CI$2,"."&amp;$D$134&amp;$AW$82&amp;"P"&amp;$A162)="N/A",0,RTD("tos.rtd",,CI$2,"."&amp;$D$134&amp;$AW$82&amp;"P"&amp;$A162))</f>
        <v>0</v>
      </c>
      <c r="CK162" s="3">
        <f t="shared" si="608"/>
        <v>300</v>
      </c>
      <c r="CL162" s="3"/>
      <c r="CM162" s="3">
        <f t="shared" si="609"/>
        <v>0</v>
      </c>
      <c r="CN162" s="3"/>
      <c r="CO162" s="3">
        <f t="shared" si="610"/>
        <v>0</v>
      </c>
      <c r="CP162" s="3">
        <f t="shared" si="533"/>
        <v>300</v>
      </c>
      <c r="CQ162" s="3">
        <f t="shared" si="543"/>
        <v>-105</v>
      </c>
      <c r="CR162" s="3"/>
      <c r="CS162" s="3">
        <f t="shared" si="544"/>
        <v>0</v>
      </c>
      <c r="CT162" s="3"/>
      <c r="CU162" s="3">
        <f t="shared" si="545"/>
        <v>0</v>
      </c>
      <c r="CV162" s="3"/>
      <c r="CW162" s="3" t="e">
        <f t="shared" ca="1" si="546"/>
        <v>#NUM!</v>
      </c>
      <c r="CY162" s="3" t="e">
        <f t="shared" ca="1" si="547"/>
        <v>#NUM!</v>
      </c>
      <c r="CZ162" s="70" t="e">
        <f t="shared" ca="1" si="579"/>
        <v>#NUM!</v>
      </c>
      <c r="DA162" s="3">
        <f>IF(RTD("tos.rtd",,DA$43,"."&amp;$B$134&amp;$AS$82&amp;"C"&amp;$A162)="N/A",0,RTD("tos.rtd",,DA$43,"."&amp;$B$134&amp;$AS$82&amp;"C"&amp;$A162))</f>
        <v>170.45</v>
      </c>
      <c r="DB162" s="3">
        <f>IF(RTD("tos.rtd",,DB$43,"."&amp;$B$134&amp;$AS$82&amp;"P"&amp;$A162)="N/A",0,RTD("tos.rtd",,DB$43,"."&amp;$B$134&amp;$AS$82&amp;"P"&amp;$A162))</f>
        <v>0.45</v>
      </c>
      <c r="DC162" s="3">
        <f>IF(RTD("tos.rtd",,DC$43,"."&amp;$B$134&amp;$AS$82&amp;"C"&amp;$A162)="N/A",0,RTD("tos.rtd",,DC$43,"."&amp;$B$134&amp;$AS$82&amp;"C"&amp;$A162))</f>
        <v>157.9</v>
      </c>
      <c r="DD162" s="3">
        <f>IF(RTD("tos.rtd",,DD$43,"."&amp;$B$134&amp;$AS$82&amp;"P"&amp;$A162)="N/A",0,RTD("tos.rtd",,DD$43,"."&amp;$B$134&amp;$AS$82&amp;"P"&amp;$A162))</f>
        <v>19.8</v>
      </c>
      <c r="DE162" s="3">
        <f>IF(RTD("tos.rtd",,DE$43,"."&amp;$B$134&amp;$AS$82&amp;"C"&amp;$A162)="N/A",0,RTD("tos.rtd",,DE$43,"."&amp;$B$134&amp;$AS$82&amp;"C"&amp;$A162))</f>
        <v>142</v>
      </c>
      <c r="DF162" s="3">
        <f>IF(RTD("tos.rtd",,DF$43,"."&amp;$B$134&amp;$AS$82&amp;"P"&amp;$A162)="N/A",0,RTD("tos.rtd",,DF$43,"."&amp;$B$134&amp;$AS$82&amp;"P"&amp;$A162))</f>
        <v>0</v>
      </c>
      <c r="DG162" s="86">
        <f t="shared" si="580"/>
        <v>-152</v>
      </c>
      <c r="DH162" s="3">
        <f t="shared" si="548"/>
        <v>0</v>
      </c>
      <c r="DI162" s="3">
        <f t="shared" si="549"/>
        <v>0</v>
      </c>
      <c r="DJ162" s="3">
        <f t="shared" si="550"/>
        <v>0</v>
      </c>
      <c r="DK162" s="3">
        <f t="shared" si="551"/>
        <v>0</v>
      </c>
      <c r="DL162" s="3">
        <f t="shared" si="552"/>
        <v>0</v>
      </c>
      <c r="DM162" s="3">
        <f t="shared" si="553"/>
        <v>0</v>
      </c>
      <c r="DN162" s="64" t="str">
        <f t="shared" si="554"/>
        <v>UNKNOWN</v>
      </c>
      <c r="DO162" s="64" t="str">
        <f t="shared" si="555"/>
        <v>UNKNOWN</v>
      </c>
      <c r="DP162" s="3">
        <f t="shared" si="556"/>
        <v>0</v>
      </c>
      <c r="DQ162" s="3">
        <f t="shared" si="557"/>
        <v>0</v>
      </c>
      <c r="DR162" s="3" t="e">
        <f t="shared" ca="1" si="558"/>
        <v>#NUM!</v>
      </c>
      <c r="DS162" s="3">
        <f t="shared" si="559"/>
        <v>0</v>
      </c>
      <c r="DT162" s="3">
        <f t="shared" si="581"/>
        <v>0</v>
      </c>
      <c r="DU162" s="3">
        <f t="shared" si="582"/>
        <v>0</v>
      </c>
      <c r="DV162" s="3">
        <f t="shared" si="560"/>
        <v>-4</v>
      </c>
      <c r="DW162" s="3">
        <f t="shared" si="561"/>
        <v>-54</v>
      </c>
      <c r="DX162" s="3" t="e">
        <f t="shared" ca="1" si="562"/>
        <v>#NUM!</v>
      </c>
      <c r="DY162" s="3" t="e">
        <f t="shared" ca="1" si="563"/>
        <v>#NUM!</v>
      </c>
      <c r="DZ162" s="3">
        <f t="shared" ca="1" si="564"/>
        <v>4.7622241711266369E-4</v>
      </c>
      <c r="EA162" s="3">
        <f t="shared" ca="1" si="565"/>
        <v>-4.7622241711266369E-4</v>
      </c>
      <c r="EB162" s="3">
        <f t="shared" ca="1" si="566"/>
        <v>4.7622241711266369E-4</v>
      </c>
      <c r="EC162" s="3">
        <f t="shared" ca="1" si="567"/>
        <v>-4.7622241711266369E-4</v>
      </c>
      <c r="EE162" s="59">
        <f t="shared" si="568"/>
        <v>0.25</v>
      </c>
      <c r="EF162" s="59">
        <f t="shared" si="569"/>
        <v>0.97040000000000004</v>
      </c>
      <c r="EG162" s="59">
        <f t="shared" si="570"/>
        <v>0.25</v>
      </c>
      <c r="EH162" s="59">
        <f t="shared" si="571"/>
        <v>0.25</v>
      </c>
      <c r="EI162" s="59">
        <f t="shared" si="572"/>
        <v>0.25</v>
      </c>
      <c r="EJ162" s="59">
        <f t="shared" si="573"/>
        <v>0.25</v>
      </c>
      <c r="EL162" s="3" t="str">
        <f>RTD("tos.rtd",,EL$43,"."&amp;$B$134&amp;$AS$82&amp;"C"&amp;$A162)</f>
        <v>--</v>
      </c>
      <c r="EM162" s="3" t="str">
        <f>RTD("tos.rtd",,EM$43,"."&amp;$B$134&amp;$AS$82&amp;"P"&amp;$A162)</f>
        <v>97.04%</v>
      </c>
      <c r="EN162" s="3" t="str">
        <f>RTD("tos.rtd",,EN$2,"."&amp;$C$134&amp;$AU$82&amp;"C"&amp;$A162)</f>
        <v>N/A</v>
      </c>
      <c r="EO162" s="3" t="str">
        <f>RTD("tos.rtd",,EO$2,"."&amp;$C$134&amp;$AU$82&amp;"P"&amp;$A162)</f>
        <v>N/A</v>
      </c>
      <c r="EP162" s="3" t="str">
        <f>RTD("tos.rtd",,EP$2,"."&amp;$D$134&amp;$AW$82&amp;"C"&amp;$A162)</f>
        <v>N/A</v>
      </c>
      <c r="EQ162" s="3" t="str">
        <f>RTD("tos.rtd",,EQ$2,"."&amp;$D$134&amp;$AW$82&amp;"P"&amp;$A162)</f>
        <v>N/A</v>
      </c>
      <c r="ET162" s="64" t="str">
        <f t="shared" ca="1" si="574"/>
        <v>19940,00.00</v>
      </c>
      <c r="EU162" s="68">
        <v>563.6</v>
      </c>
      <c r="EV162" s="68" t="s">
        <v>1316</v>
      </c>
      <c r="EW162" s="68">
        <v>485.74</v>
      </c>
      <c r="EX162" s="68" t="s">
        <v>1317</v>
      </c>
      <c r="EY162" s="68">
        <v>5651.25</v>
      </c>
      <c r="EZ162" s="68" t="s">
        <v>1318</v>
      </c>
      <c r="FA162" s="68">
        <v>19957.25</v>
      </c>
      <c r="FB162" s="68" t="s">
        <v>1319</v>
      </c>
      <c r="FC162" s="68" t="s">
        <v>1320</v>
      </c>
      <c r="FD162" s="68" t="s">
        <v>1321</v>
      </c>
      <c r="FE162" s="68" t="s">
        <v>1322</v>
      </c>
      <c r="FF162" s="68" t="s">
        <v>1323</v>
      </c>
    </row>
    <row r="163" spans="1:162" ht="11.1" customHeight="1" thickBot="1" x14ac:dyDescent="0.25">
      <c r="A163" s="2">
        <f t="shared" si="583"/>
        <v>19920</v>
      </c>
      <c r="B163" s="10">
        <f t="shared" si="616"/>
        <v>22</v>
      </c>
      <c r="C163" s="10">
        <f t="shared" si="617"/>
        <v>0</v>
      </c>
      <c r="D163" s="10">
        <f t="shared" si="618"/>
        <v>0</v>
      </c>
      <c r="E163" s="10">
        <f t="shared" si="601"/>
        <v>22</v>
      </c>
      <c r="F163" s="11">
        <f t="shared" si="611"/>
        <v>20019.143937885725</v>
      </c>
      <c r="G163" s="5">
        <f t="shared" si="603"/>
        <v>484.7741986860442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>
        <v>-13</v>
      </c>
      <c r="AN163" s="12">
        <v>-32</v>
      </c>
      <c r="AO163" s="12">
        <v>19920</v>
      </c>
      <c r="AP163" s="12">
        <v>8</v>
      </c>
      <c r="AQ163" s="12">
        <v>-108</v>
      </c>
      <c r="AR163" s="12"/>
      <c r="AS163" s="54">
        <f>IF(RTD("tos.rtd",,AS$83,"."&amp;$B$134&amp;$AS$82&amp;"C"&amp;$A163)="N/A",0,RTD("tos.rtd",,AS$83,"."&amp;$B$134&amp;$AS$82&amp;"C"&amp;$A163))</f>
        <v>17</v>
      </c>
      <c r="AT163" s="3">
        <f>-IF(RTD("tos.rtd",,AT$83,"."&amp;$B$134&amp;$AS$82&amp;"P"&amp;$A163)="N/A",0,RTD("tos.rtd",,AT$83,"."&amp;$B$134&amp;$AS$82&amp;"P"&amp;$A163))</f>
        <v>-5</v>
      </c>
      <c r="AU163" s="54">
        <f>IF(RTD("tos.rtd",,AU$2,"."&amp;$C$134&amp;$AU$134&amp;"C"&amp;$A163)="N/A",0,RTD("tos.rtd",,AU$2,"."&amp;$C$134&amp;$AU$134&amp;"C"&amp;$A163))</f>
        <v>0</v>
      </c>
      <c r="AV163" s="3">
        <f>-IF(RTD("tos.rtd",,AV$2,"."&amp;$C$134&amp;$AU$134&amp;"P"&amp;$A163)="N/A",0,RTD("tos.rtd",,AV$2,"."&amp;$C$134&amp;$AU$134&amp;"P"&amp;$A163))</f>
        <v>0</v>
      </c>
      <c r="AW163" s="54">
        <f>IF(RTD("tos.rtd",,AW$2,"."&amp;$D$134&amp;$AW$134&amp;"C"&amp;$A163)="N/A",0,RTD("tos.rtd",,AW$2,"."&amp;$D$134&amp;$AW$134&amp;"C"&amp;$A163))</f>
        <v>0</v>
      </c>
      <c r="AX163" s="3">
        <f>-IF(RTD("tos.rtd",,AX$2,"."&amp;$D$134&amp;$AW$134&amp;"P"&amp;$A163)="N/A",0,RTD("tos.rtd",,AX$2,"."&amp;$D$134&amp;$AW$134&amp;"P"&amp;$A163))</f>
        <v>0</v>
      </c>
      <c r="AY163" s="76">
        <f t="shared" si="612"/>
        <v>12</v>
      </c>
      <c r="AZ163" s="8">
        <f t="shared" si="539"/>
        <v>19920</v>
      </c>
      <c r="BA163" s="54">
        <f>IF(RTD("tos.rtd",,BA$43,"."&amp;$B$134&amp;$AS$82&amp;"C"&amp;$A163)="N/A",0,RTD("tos.rtd",,BA$43,"."&amp;$B$134&amp;$AS$82&amp;"C"&amp;$A163))</f>
        <v>8</v>
      </c>
      <c r="BB163" s="3">
        <f>-IF(RTD("tos.rtd",,BB$43,"."&amp;$B$134&amp;$AS$82&amp;"P"&amp;$A163)="N/A",0,RTD("tos.rtd",,BB$43,"."&amp;$B$134&amp;$AS$82&amp;"P"&amp;$A163))</f>
        <v>-108</v>
      </c>
      <c r="BC163" s="54">
        <f>IF(RTD("tos.rtd",,BC$2,"."&amp;$C$134&amp;$AU$82&amp;"C"&amp;$A163)="N/A",0,RTD("tos.rtd",,BC$2,"."&amp;$C$134&amp;$AU$82&amp;"C"&amp;$A163))</f>
        <v>0</v>
      </c>
      <c r="BD163" s="3">
        <f>-IF(RTD("tos.rtd",,BD$2,"."&amp;$C$134&amp;$AU$82&amp;"P"&amp;$A163)="N/A",0,RTD("tos.rtd",,BD$2,"."&amp;$C$134&amp;$AU$82&amp;"P"&amp;$A163))</f>
        <v>0</v>
      </c>
      <c r="BE163" s="54">
        <f>IF(RTD("tos.rtd",,BE$2,"."&amp;$D$134&amp;$AW$82&amp;"C"&amp;$A163)="N/A",0,RTD("tos.rtd",,BE$2,"."&amp;$D$134&amp;$AW$82&amp;"C"&amp;$A163))</f>
        <v>0</v>
      </c>
      <c r="BF163" s="3">
        <f>-IF(RTD("tos.rtd",,BF$2,"."&amp;$D$134&amp;$AW$82&amp;"P"&amp;$A163)="N/A",0,RTD("tos.rtd",,BF$2,"."&amp;$D$134&amp;$AW$82&amp;"P"&amp;$A163))</f>
        <v>0</v>
      </c>
      <c r="BG163" s="3" t="e">
        <f ca="1">+Hoja2!Y164</f>
        <v>#N/A</v>
      </c>
      <c r="BH163" s="7" t="e">
        <f t="shared" ca="1" si="540"/>
        <v>#N/A</v>
      </c>
      <c r="BI163" s="32" t="e">
        <f t="shared" ca="1" si="597"/>
        <v>#N/A</v>
      </c>
      <c r="BJ163" s="3" t="e">
        <f ca="1">IF($BP$1=1,DX163,IF(RTD("tos.rtd",,BJ$43,"."&amp;$B$134&amp;$AS$82&amp;"C"&amp;$A163)="N/A",0,RTD("tos.rtd",,BJ$43,"."&amp;$B$134&amp;$AS$82&amp;"C"&amp;$A163)))</f>
        <v>#NUM!</v>
      </c>
      <c r="BK163" s="3" t="e">
        <f ca="1">IF($BP$1=1,DY163,-IF(RTD("tos.rtd",,BK$43,"."&amp;$B$134&amp;$AS$82&amp;"P"&amp;$A163)="N/A",0,RTD("tos.rtd",,BK$43,"."&amp;$B$134&amp;$AS$82&amp;"P"&amp;$A163)))</f>
        <v>#NUM!</v>
      </c>
      <c r="BL163" s="3">
        <f ca="1">IF($BP$1=1,DZ163,IF(RTD("tos.rtd",,BL$2,"."&amp;$C$134&amp;$AU$82&amp;"C"&amp;$A163)="N/A",0,RTD("tos.rtd",,BL$2,"."&amp;$C$134&amp;$AU$82&amp;"C"&amp;$A163)))</f>
        <v>4.7331957825977886E-4</v>
      </c>
      <c r="BM163" s="3">
        <f ca="1">IF($BP$1=1,EA163,-IF(RTD("tos.rtd",,BM$2,"."&amp;$C$134&amp;$AU$82&amp;"P"&amp;$A163)="N/A",0,RTD("tos.rtd",,BM$2,"."&amp;$C$134&amp;$AU$82&amp;"P"&amp;$A163)))</f>
        <v>-4.7331957825977886E-4</v>
      </c>
      <c r="BN163" s="3">
        <f ca="1">IF($BP$1=1,EB163,IF(RTD("tos.rtd",,BN$2,"."&amp;$D$134&amp;$AW$82&amp;"C"&amp;$A163)="N/A",0,RTD("tos.rtd",,BN$2,"."&amp;$D$134&amp;$AW$82&amp;"C"&amp;$A163)))</f>
        <v>4.7331957825977886E-4</v>
      </c>
      <c r="BO163" s="3">
        <f ca="1">IF($BP$1=1,EC163,-IF(RTD("tos.rtd",,BO$2,"."&amp;$D$134&amp;$AW$82&amp;"P"&amp;$A163)="N/A",0,RTD("tos.rtd",,BO$2,"."&amp;$D$134&amp;$AW$82&amp;"P"&amp;$A163)))</f>
        <v>-4.7331957825977886E-4</v>
      </c>
      <c r="BQ163" s="3" t="e">
        <f t="shared" ca="1" si="613"/>
        <v>#NUM!</v>
      </c>
      <c r="BR163" s="3" t="e">
        <f t="shared" ca="1" si="541"/>
        <v>#NUM!</v>
      </c>
      <c r="BS163" s="3">
        <f t="shared" ca="1" si="614"/>
        <v>0</v>
      </c>
      <c r="BT163" s="3" t="str">
        <f t="shared" ca="1" si="542"/>
        <v/>
      </c>
      <c r="BU163" s="3">
        <f t="shared" ca="1" si="615"/>
        <v>0</v>
      </c>
      <c r="BV163" s="3" t="str">
        <f t="shared" ca="1" si="542"/>
        <v/>
      </c>
      <c r="BX163" s="3" t="e">
        <f t="shared" ca="1" si="575"/>
        <v>#NUM!</v>
      </c>
      <c r="BY163" s="3" t="e">
        <f t="shared" ca="1" si="576"/>
        <v>#NUM!</v>
      </c>
      <c r="BZ163" s="3">
        <f t="shared" ca="1" si="577"/>
        <v>0</v>
      </c>
      <c r="CA163" s="3" t="str">
        <f t="shared" ca="1" si="576"/>
        <v/>
      </c>
      <c r="CB163" s="3">
        <f t="shared" ca="1" si="578"/>
        <v>0</v>
      </c>
      <c r="CC163" s="3" t="str">
        <f t="shared" ca="1" si="576"/>
        <v/>
      </c>
      <c r="CD163" s="3">
        <f>IF(RTD("tos.rtd",,CD$43,"."&amp;$B$134&amp;$AS$82&amp;"C"&amp;$A163)="N/A",0,RTD("tos.rtd",,CD$43,"."&amp;$B$134&amp;$AS$82&amp;"C"&amp;$A163))</f>
        <v>1</v>
      </c>
      <c r="CE163" s="3">
        <f>-IF(RTD("tos.rtd",,CE$43,"."&amp;$B$134&amp;$AS$82&amp;"P"&amp;$A163)="N/A",0,RTD("tos.rtd",,CE$43,"."&amp;$B$134&amp;$AS$82&amp;"P"&amp;$A163))</f>
        <v>0.01</v>
      </c>
      <c r="CF163" s="3">
        <f>IF(RTD("tos.rtd",,CF$2,"."&amp;$C$134&amp;$AU$82&amp;"C"&amp;$A163)="N/A",0,RTD("tos.rtd",,CF$2,"."&amp;$C$134&amp;$AU$82&amp;"C"&amp;$A163))</f>
        <v>0</v>
      </c>
      <c r="CG163" s="3">
        <f>-IF(RTD("tos.rtd",,CG$2,"."&amp;$C$134&amp;$AU$82&amp;"P"&amp;$A163)="N/A",0,RTD("tos.rtd",,CG$2,"."&amp;$C$134&amp;$AU$82&amp;"P"&amp;$A163))</f>
        <v>0</v>
      </c>
      <c r="CH163" s="3">
        <f>IF(RTD("tos.rtd",,CH$2,"."&amp;$D$134&amp;$AW$82&amp;"C"&amp;$A163)="N/A",0,RTD("tos.rtd",,CH$2,"."&amp;$D$134&amp;$AW$82&amp;"C"&amp;$A163))</f>
        <v>0</v>
      </c>
      <c r="CI163" s="3">
        <f>-IF(RTD("tos.rtd",,CI$2,"."&amp;$D$134&amp;$AW$82&amp;"P"&amp;$A163)="N/A",0,RTD("tos.rtd",,CI$2,"."&amp;$D$134&amp;$AW$82&amp;"P"&amp;$A163))</f>
        <v>0</v>
      </c>
      <c r="CK163" s="3">
        <f t="shared" si="608"/>
        <v>1695</v>
      </c>
      <c r="CL163" s="3"/>
      <c r="CM163" s="3">
        <f t="shared" si="609"/>
        <v>0</v>
      </c>
      <c r="CN163" s="3"/>
      <c r="CO163" s="3">
        <f t="shared" si="610"/>
        <v>0</v>
      </c>
      <c r="CP163" s="3">
        <f t="shared" si="533"/>
        <v>1695</v>
      </c>
      <c r="CQ163" s="3">
        <f t="shared" si="543"/>
        <v>-100</v>
      </c>
      <c r="CR163" s="3"/>
      <c r="CS163" s="3">
        <f t="shared" si="544"/>
        <v>0</v>
      </c>
      <c r="CT163" s="3"/>
      <c r="CU163" s="3">
        <f t="shared" si="545"/>
        <v>0</v>
      </c>
      <c r="CV163" s="3"/>
      <c r="CW163" s="3" t="e">
        <f t="shared" ca="1" si="546"/>
        <v>#NUM!</v>
      </c>
      <c r="CY163" s="3" t="e">
        <f t="shared" ca="1" si="547"/>
        <v>#NUM!</v>
      </c>
      <c r="CZ163" s="70" t="e">
        <f t="shared" ca="1" si="579"/>
        <v>#NUM!</v>
      </c>
      <c r="DA163" s="3">
        <f>IF(RTD("tos.rtd",,DA$43,"."&amp;$B$134&amp;$AS$82&amp;"C"&amp;$A163)="N/A",0,RTD("tos.rtd",,DA$43,"."&amp;$B$134&amp;$AS$82&amp;"C"&amp;$A163))</f>
        <v>197.4</v>
      </c>
      <c r="DB163" s="3">
        <f>IF(RTD("tos.rtd",,DB$43,"."&amp;$B$134&amp;$AS$82&amp;"P"&amp;$A163)="N/A",0,RTD("tos.rtd",,DB$43,"."&amp;$B$134&amp;$AS$82&amp;"P"&amp;$A163))</f>
        <v>0.13</v>
      </c>
      <c r="DC163" s="3">
        <f>IF(RTD("tos.rtd",,DC$43,"."&amp;$B$134&amp;$AS$82&amp;"C"&amp;$A163)="N/A",0,RTD("tos.rtd",,DC$43,"."&amp;$B$134&amp;$AS$82&amp;"C"&amp;$A163))</f>
        <v>177.9</v>
      </c>
      <c r="DD163" s="3">
        <f>IF(RTD("tos.rtd",,DD$43,"."&amp;$B$134&amp;$AS$82&amp;"P"&amp;$A163)="N/A",0,RTD("tos.rtd",,DD$43,"."&amp;$B$134&amp;$AS$82&amp;"P"&amp;$A163))</f>
        <v>0.5</v>
      </c>
      <c r="DE163" s="3">
        <f>IF(RTD("tos.rtd",,DE$43,"."&amp;$B$134&amp;$AS$82&amp;"C"&amp;$A163)="N/A",0,RTD("tos.rtd",,DE$43,"."&amp;$B$134&amp;$AS$82&amp;"C"&amp;$A163))</f>
        <v>162</v>
      </c>
      <c r="DF163" s="3">
        <f>IF(RTD("tos.rtd",,DF$43,"."&amp;$B$134&amp;$AS$82&amp;"P"&amp;$A163)="N/A",0,RTD("tos.rtd",,DF$43,"."&amp;$B$134&amp;$AS$82&amp;"P"&amp;$A163))</f>
        <v>0</v>
      </c>
      <c r="DG163" s="86">
        <f t="shared" si="580"/>
        <v>-172</v>
      </c>
      <c r="DH163" s="3">
        <f t="shared" si="548"/>
        <v>0</v>
      </c>
      <c r="DI163" s="3">
        <f t="shared" si="549"/>
        <v>0</v>
      </c>
      <c r="DJ163" s="3">
        <f t="shared" si="550"/>
        <v>0</v>
      </c>
      <c r="DK163" s="3">
        <f t="shared" si="551"/>
        <v>0</v>
      </c>
      <c r="DL163" s="3">
        <f t="shared" si="552"/>
        <v>0</v>
      </c>
      <c r="DM163" s="3">
        <f t="shared" si="553"/>
        <v>0</v>
      </c>
      <c r="DN163" s="64" t="str">
        <f t="shared" si="554"/>
        <v>UNKNOWN</v>
      </c>
      <c r="DO163" s="64" t="str">
        <f t="shared" si="555"/>
        <v>UNKNOWN</v>
      </c>
      <c r="DP163" s="3">
        <f t="shared" si="556"/>
        <v>0</v>
      </c>
      <c r="DQ163" s="3">
        <f t="shared" si="557"/>
        <v>0</v>
      </c>
      <c r="DR163" s="3" t="e">
        <f t="shared" ca="1" si="558"/>
        <v>#NUM!</v>
      </c>
      <c r="DS163" s="3">
        <f t="shared" si="559"/>
        <v>0</v>
      </c>
      <c r="DT163" s="3">
        <f t="shared" si="581"/>
        <v>0</v>
      </c>
      <c r="DU163" s="3">
        <f t="shared" si="582"/>
        <v>0</v>
      </c>
      <c r="DV163" s="3">
        <f t="shared" si="560"/>
        <v>-13</v>
      </c>
      <c r="DW163" s="3">
        <f t="shared" si="561"/>
        <v>-32</v>
      </c>
      <c r="DX163" s="3" t="e">
        <f t="shared" ca="1" si="562"/>
        <v>#NUM!</v>
      </c>
      <c r="DY163" s="3" t="e">
        <f t="shared" ca="1" si="563"/>
        <v>#NUM!</v>
      </c>
      <c r="DZ163" s="3">
        <f t="shared" ca="1" si="564"/>
        <v>4.7331957825977886E-4</v>
      </c>
      <c r="EA163" s="3">
        <f t="shared" ca="1" si="565"/>
        <v>-4.7331957825977886E-4</v>
      </c>
      <c r="EB163" s="3">
        <f t="shared" ca="1" si="566"/>
        <v>4.7331957825977886E-4</v>
      </c>
      <c r="EC163" s="3">
        <f t="shared" ca="1" si="567"/>
        <v>-4.7331957825977886E-4</v>
      </c>
      <c r="EE163" s="59">
        <f t="shared" si="568"/>
        <v>0.25</v>
      </c>
      <c r="EF163" s="59">
        <f t="shared" si="569"/>
        <v>0.51559999999999995</v>
      </c>
      <c r="EG163" s="59">
        <f t="shared" si="570"/>
        <v>0.25</v>
      </c>
      <c r="EH163" s="59">
        <f t="shared" si="571"/>
        <v>0.25</v>
      </c>
      <c r="EI163" s="59">
        <f t="shared" si="572"/>
        <v>0.25</v>
      </c>
      <c r="EJ163" s="59">
        <f t="shared" si="573"/>
        <v>0.25</v>
      </c>
      <c r="EL163" s="3" t="str">
        <f>RTD("tos.rtd",,EL$43,"."&amp;$B$134&amp;$AS$82&amp;"C"&amp;$A163)</f>
        <v>--</v>
      </c>
      <c r="EM163" s="3" t="str">
        <f>RTD("tos.rtd",,EM$43,"."&amp;$B$134&amp;$AS$82&amp;"P"&amp;$A163)</f>
        <v>51.56%</v>
      </c>
      <c r="EN163" s="3" t="str">
        <f>RTD("tos.rtd",,EN$2,"."&amp;$C$134&amp;$AU$82&amp;"C"&amp;$A163)</f>
        <v>N/A</v>
      </c>
      <c r="EO163" s="3" t="str">
        <f>RTD("tos.rtd",,EO$2,"."&amp;$C$134&amp;$AU$82&amp;"P"&amp;$A163)</f>
        <v>N/A</v>
      </c>
      <c r="EP163" s="3" t="str">
        <f>RTD("tos.rtd",,EP$2,"."&amp;$D$134&amp;$AW$82&amp;"C"&amp;$A163)</f>
        <v>N/A</v>
      </c>
      <c r="EQ163" s="3" t="str">
        <f>RTD("tos.rtd",,EQ$2,"."&amp;$D$134&amp;$AW$82&amp;"P"&amp;$A163)</f>
        <v>N/A</v>
      </c>
      <c r="ET163" s="64" t="str">
        <f t="shared" ca="1" si="574"/>
        <v>19920,00.00</v>
      </c>
      <c r="EU163" s="68">
        <v>563.91399999999999</v>
      </c>
      <c r="EV163" s="68" t="s">
        <v>1324</v>
      </c>
      <c r="EW163" s="68">
        <v>486.32</v>
      </c>
      <c r="EX163" s="68" t="s">
        <v>1325</v>
      </c>
      <c r="EY163" s="68">
        <v>5654.25</v>
      </c>
      <c r="EZ163" s="68" t="s">
        <v>1326</v>
      </c>
      <c r="FA163" s="68">
        <v>19983</v>
      </c>
      <c r="FB163" s="68" t="s">
        <v>1327</v>
      </c>
      <c r="FC163" s="68" t="s">
        <v>1328</v>
      </c>
      <c r="FD163" s="68" t="s">
        <v>1329</v>
      </c>
      <c r="FE163" s="68" t="s">
        <v>1330</v>
      </c>
      <c r="FF163" s="68" t="s">
        <v>1331</v>
      </c>
    </row>
    <row r="164" spans="1:162" ht="11.1" customHeight="1" thickBot="1" x14ac:dyDescent="0.25">
      <c r="A164" s="2">
        <f t="shared" si="583"/>
        <v>19900</v>
      </c>
      <c r="B164" s="3">
        <f t="shared" si="616"/>
        <v>64</v>
      </c>
      <c r="C164" s="3">
        <f t="shared" si="617"/>
        <v>18</v>
      </c>
      <c r="D164" s="3">
        <f t="shared" si="618"/>
        <v>102</v>
      </c>
      <c r="E164" s="3">
        <f t="shared" si="601"/>
        <v>184</v>
      </c>
      <c r="F164" s="14">
        <f t="shared" si="611"/>
        <v>19999.044395779416</v>
      </c>
      <c r="G164" s="5">
        <f t="shared" si="603"/>
        <v>484.28747760302605</v>
      </c>
      <c r="AM164" s="1">
        <v>0</v>
      </c>
      <c r="AN164" s="1">
        <v>37</v>
      </c>
      <c r="AO164" s="1">
        <v>19900</v>
      </c>
      <c r="AP164" s="1">
        <v>26</v>
      </c>
      <c r="AQ164" s="1">
        <v>-430</v>
      </c>
      <c r="AS164" s="54">
        <f>IF(RTD("tos.rtd",,AS$83,"."&amp;$B$134&amp;$AS$82&amp;"C"&amp;$A164)="N/A",0,RTD("tos.rtd",,AS$83,"."&amp;$B$134&amp;$AS$82&amp;"C"&amp;$A164))</f>
        <v>48</v>
      </c>
      <c r="AT164" s="3">
        <f>-IF(RTD("tos.rtd",,AT$83,"."&amp;$B$134&amp;$AS$82&amp;"P"&amp;$A164)="N/A",0,RTD("tos.rtd",,AT$83,"."&amp;$B$134&amp;$AS$82&amp;"P"&amp;$A164))</f>
        <v>-16</v>
      </c>
      <c r="AU164" s="54">
        <f>IF(RTD("tos.rtd",,AU$2,"."&amp;$C$134&amp;$AU$134&amp;"C"&amp;$A164)="N/A",0,RTD("tos.rtd",,AU$2,"."&amp;$C$134&amp;$AU$134&amp;"C"&amp;$A164))</f>
        <v>13</v>
      </c>
      <c r="AV164" s="3">
        <f>-IF(RTD("tos.rtd",,AV$2,"."&amp;$C$134&amp;$AU$134&amp;"P"&amp;$A164)="N/A",0,RTD("tos.rtd",,AV$2,"."&amp;$C$134&amp;$AU$134&amp;"P"&amp;$A164))</f>
        <v>-5</v>
      </c>
      <c r="AW164" s="54">
        <f>IF(RTD("tos.rtd",,AW$2,"."&amp;$D$134&amp;$AW$134&amp;"C"&amp;$A164)="N/A",0,RTD("tos.rtd",,AW$2,"."&amp;$D$134&amp;$AW$134&amp;"C"&amp;$A164))</f>
        <v>47</v>
      </c>
      <c r="AX164" s="3">
        <f>-IF(RTD("tos.rtd",,AX$2,"."&amp;$D$134&amp;$AW$134&amp;"P"&amp;$A164)="N/A",0,RTD("tos.rtd",,AX$2,"."&amp;$D$134&amp;$AW$134&amp;"P"&amp;$A164))</f>
        <v>-55</v>
      </c>
      <c r="AY164" s="76">
        <f t="shared" si="612"/>
        <v>32</v>
      </c>
      <c r="AZ164" s="8">
        <f t="shared" si="539"/>
        <v>19900</v>
      </c>
      <c r="BA164" s="54">
        <f>IF(RTD("tos.rtd",,BA$43,"."&amp;$B$134&amp;$AS$82&amp;"C"&amp;$A164)="N/A",0,RTD("tos.rtd",,BA$43,"."&amp;$B$134&amp;$AS$82&amp;"C"&amp;$A164))</f>
        <v>26</v>
      </c>
      <c r="BB164" s="3">
        <f>-IF(RTD("tos.rtd",,BB$43,"."&amp;$B$134&amp;$AS$82&amp;"P"&amp;$A164)="N/A",0,RTD("tos.rtd",,BB$43,"."&amp;$B$134&amp;$AS$82&amp;"P"&amp;$A164))</f>
        <v>-430</v>
      </c>
      <c r="BC164" s="54">
        <f>IF(RTD("tos.rtd",,BC$2,"."&amp;$C$134&amp;$AU$82&amp;"C"&amp;$A164)="N/A",0,RTD("tos.rtd",,BC$2,"."&amp;$C$134&amp;$AU$82&amp;"C"&amp;$A164))</f>
        <v>6</v>
      </c>
      <c r="BD164" s="3">
        <f>-IF(RTD("tos.rtd",,BD$2,"."&amp;$C$134&amp;$AU$82&amp;"P"&amp;$A164)="N/A",0,RTD("tos.rtd",,BD$2,"."&amp;$C$134&amp;$AU$82&amp;"P"&amp;$A164))</f>
        <v>-1</v>
      </c>
      <c r="BE164" s="54">
        <f>IF(RTD("tos.rtd",,BE$2,"."&amp;$D$134&amp;$AW$82&amp;"C"&amp;$A164)="N/A",0,RTD("tos.rtd",,BE$2,"."&amp;$D$134&amp;$AW$82&amp;"C"&amp;$A164))</f>
        <v>0</v>
      </c>
      <c r="BF164" s="3">
        <f>-IF(RTD("tos.rtd",,BF$2,"."&amp;$D$134&amp;$AW$82&amp;"P"&amp;$A164)="N/A",0,RTD("tos.rtd",,BF$2,"."&amp;$D$134&amp;$AW$82&amp;"P"&amp;$A164))</f>
        <v>-4</v>
      </c>
      <c r="BG164" s="3" t="e">
        <f ca="1">+Hoja2!Y165</f>
        <v>#N/A</v>
      </c>
      <c r="BH164" s="7" t="e">
        <f t="shared" ca="1" si="540"/>
        <v>#N/A</v>
      </c>
      <c r="BI164" s="32" t="e">
        <f t="shared" ca="1" si="597"/>
        <v>#N/A</v>
      </c>
      <c r="BJ164" s="3" t="e">
        <f ca="1">IF($BP$1=1,DX164,IF(RTD("tos.rtd",,BJ$43,"."&amp;$B$134&amp;$AS$82&amp;"C"&amp;$A164)="N/A",0,RTD("tos.rtd",,BJ$43,"."&amp;$B$134&amp;$AS$82&amp;"C"&amp;$A164)))</f>
        <v>#NUM!</v>
      </c>
      <c r="BK164" s="3" t="e">
        <f ca="1">IF($BP$1=1,DY164,-IF(RTD("tos.rtd",,BK$43,"."&amp;$B$134&amp;$AS$82&amp;"P"&amp;$A164)="N/A",0,RTD("tos.rtd",,BK$43,"."&amp;$B$134&amp;$AS$82&amp;"P"&amp;$A164)))</f>
        <v>#NUM!</v>
      </c>
      <c r="BL164" s="3">
        <f ca="1">IF($BP$1=1,DZ164,IF(RTD("tos.rtd",,BL$2,"."&amp;$C$134&amp;$AU$82&amp;"C"&amp;$A164)="N/A",0,RTD("tos.rtd",,BL$2,"."&amp;$C$134&amp;$AU$82&amp;"C"&amp;$A164)))</f>
        <v>5.1211059700174836E-4</v>
      </c>
      <c r="BM164" s="3">
        <f ca="1">IF($BP$1=1,EA164,-IF(RTD("tos.rtd",,BM$2,"."&amp;$C$134&amp;$AU$82&amp;"P"&amp;$A164)="N/A",0,RTD("tos.rtd",,BM$2,"."&amp;$C$134&amp;$AU$82&amp;"P"&amp;$A164)))</f>
        <v>-4.9303808325680196E-4</v>
      </c>
      <c r="BN164" s="3">
        <f ca="1">IF($BP$1=1,EB164,IF(RTD("tos.rtd",,BN$2,"."&amp;$D$134&amp;$AW$82&amp;"C"&amp;$A164)="N/A",0,RTD("tos.rtd",,BN$2,"."&amp;$D$134&amp;$AW$82&amp;"C"&amp;$A164)))</f>
        <v>5.2282094289749154E-4</v>
      </c>
      <c r="BO164" s="3">
        <f ca="1">IF($BP$1=1,EC164,-IF(RTD("tos.rtd",,BO$2,"."&amp;$D$134&amp;$AW$82&amp;"P"&amp;$A164)="N/A",0,RTD("tos.rtd",,BO$2,"."&amp;$D$134&amp;$AW$82&amp;"P"&amp;$A164)))</f>
        <v>-4.9227264630234365E-4</v>
      </c>
      <c r="BQ164" s="3" t="e">
        <f t="shared" ca="1" si="613"/>
        <v>#NUM!</v>
      </c>
      <c r="BR164" s="3" t="e">
        <f t="shared" ca="1" si="541"/>
        <v>#NUM!</v>
      </c>
      <c r="BS164" s="3">
        <f t="shared" ca="1" si="614"/>
        <v>135525.9369376346</v>
      </c>
      <c r="BT164" s="3" t="str">
        <f t="shared" ca="1" si="542"/>
        <v/>
      </c>
      <c r="BU164" s="3">
        <f t="shared" ca="1" si="615"/>
        <v>-80897.332318710862</v>
      </c>
      <c r="BV164" s="3" t="str">
        <f t="shared" ca="1" si="542"/>
        <v/>
      </c>
      <c r="BX164" s="3" t="e">
        <f t="shared" ca="1" si="575"/>
        <v>#NUM!</v>
      </c>
      <c r="BY164" s="3" t="e">
        <f t="shared" ca="1" si="576"/>
        <v>#NUM!</v>
      </c>
      <c r="BZ164" s="3">
        <f t="shared" ca="1" si="577"/>
        <v>616.74171806537026</v>
      </c>
      <c r="CA164" s="3" t="str">
        <f t="shared" ca="1" si="576"/>
        <v/>
      </c>
      <c r="CB164" s="3">
        <f t="shared" ca="1" si="578"/>
        <v>-470.77388215270241</v>
      </c>
      <c r="CC164" s="3" t="str">
        <f t="shared" ca="1" si="576"/>
        <v/>
      </c>
      <c r="CD164" s="3">
        <f>IF(RTD("tos.rtd",,CD$43,"."&amp;$B$134&amp;$AS$82&amp;"C"&amp;$A164)="N/A",0,RTD("tos.rtd",,CD$43,"."&amp;$B$134&amp;$AS$82&amp;"C"&amp;$A164))</f>
        <v>1</v>
      </c>
      <c r="CE164" s="3">
        <f>-IF(RTD("tos.rtd",,CE$43,"."&amp;$B$134&amp;$AS$82&amp;"P"&amp;$A164)="N/A",0,RTD("tos.rtd",,CE$43,"."&amp;$B$134&amp;$AS$82&amp;"P"&amp;$A164))</f>
        <v>0</v>
      </c>
      <c r="CF164" s="3">
        <f>IF(RTD("tos.rtd",,CF$2,"."&amp;$C$134&amp;$AU$82&amp;"C"&amp;$A164)="N/A",0,RTD("tos.rtd",,CF$2,"."&amp;$C$134&amp;$AU$82&amp;"C"&amp;$A164))</f>
        <v>0.64</v>
      </c>
      <c r="CG164" s="3">
        <f>-IF(RTD("tos.rtd",,CG$2,"."&amp;$C$134&amp;$AU$82&amp;"P"&amp;$A164)="N/A",0,RTD("tos.rtd",,CG$2,"."&amp;$C$134&amp;$AU$82&amp;"P"&amp;$A164))</f>
        <v>0.36</v>
      </c>
      <c r="CH164" s="3">
        <f>IF(RTD("tos.rtd",,CH$2,"."&amp;$D$134&amp;$AW$82&amp;"C"&amp;$A164)="N/A",0,RTD("tos.rtd",,CH$2,"."&amp;$D$134&amp;$AW$82&amp;"C"&amp;$A164))</f>
        <v>0.62</v>
      </c>
      <c r="CI164" s="3">
        <f>-IF(RTD("tos.rtd",,CI$2,"."&amp;$D$134&amp;$AW$82&amp;"P"&amp;$A164)="N/A",0,RTD("tos.rtd",,CI$2,"."&amp;$D$134&amp;$AW$82&amp;"P"&amp;$A164))</f>
        <v>0.39</v>
      </c>
      <c r="CK164" s="3">
        <f t="shared" si="608"/>
        <v>4800</v>
      </c>
      <c r="CL164" s="3"/>
      <c r="CM164" s="3">
        <f t="shared" si="609"/>
        <v>652</v>
      </c>
      <c r="CN164" s="3"/>
      <c r="CO164" s="3">
        <f t="shared" si="610"/>
        <v>769</v>
      </c>
      <c r="CP164" s="3">
        <f t="shared" si="533"/>
        <v>6221</v>
      </c>
      <c r="CQ164" s="3">
        <f t="shared" si="543"/>
        <v>-404</v>
      </c>
      <c r="CR164" s="3"/>
      <c r="CS164" s="3">
        <f t="shared" si="544"/>
        <v>5</v>
      </c>
      <c r="CT164" s="3"/>
      <c r="CU164" s="3">
        <f t="shared" si="545"/>
        <v>-4</v>
      </c>
      <c r="CV164" s="3"/>
      <c r="CW164" s="3" t="e">
        <f t="shared" ca="1" si="546"/>
        <v>#NUM!</v>
      </c>
      <c r="CY164" s="3" t="e">
        <f t="shared" ca="1" si="547"/>
        <v>#NUM!</v>
      </c>
      <c r="CZ164" s="70" t="e">
        <f t="shared" ca="1" si="579"/>
        <v>#NUM!</v>
      </c>
      <c r="DA164" s="3">
        <f>IF(RTD("tos.rtd",,DA$43,"."&amp;$B$134&amp;$AS$82&amp;"C"&amp;$A164)="N/A",0,RTD("tos.rtd",,DA$43,"."&amp;$B$134&amp;$AS$82&amp;"C"&amp;$A164))</f>
        <v>196.19</v>
      </c>
      <c r="DB164" s="3">
        <f>IF(RTD("tos.rtd",,DB$43,"."&amp;$B$134&amp;$AS$82&amp;"P"&amp;$A164)="N/A",0,RTD("tos.rtd",,DB$43,"."&amp;$B$134&amp;$AS$82&amp;"P"&amp;$A164))</f>
        <v>0.05</v>
      </c>
      <c r="DC164" s="3">
        <f>IF(RTD("tos.rtd",,DC$43,"."&amp;$B$134&amp;$AS$82&amp;"C"&amp;$A164)="N/A",0,RTD("tos.rtd",,DC$43,"."&amp;$B$134&amp;$AS$82&amp;"C"&amp;$A164))</f>
        <v>197.9</v>
      </c>
      <c r="DD164" s="3">
        <f>IF(RTD("tos.rtd",,DD$43,"."&amp;$B$134&amp;$AS$82&amp;"P"&amp;$A164)="N/A",0,RTD("tos.rtd",,DD$43,"."&amp;$B$134&amp;$AS$82&amp;"P"&amp;$A164))</f>
        <v>0.2</v>
      </c>
      <c r="DE164" s="3">
        <f>IF(RTD("tos.rtd",,DE$43,"."&amp;$B$134&amp;$AS$82&amp;"C"&amp;$A164)="N/A",0,RTD("tos.rtd",,DE$43,"."&amp;$B$134&amp;$AS$82&amp;"C"&amp;$A164))</f>
        <v>182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580"/>
        <v>-192</v>
      </c>
      <c r="DH164" s="3">
        <f t="shared" si="548"/>
        <v>0</v>
      </c>
      <c r="DI164" s="3">
        <f t="shared" si="549"/>
        <v>0</v>
      </c>
      <c r="DJ164" s="3">
        <f t="shared" si="550"/>
        <v>0</v>
      </c>
      <c r="DK164" s="3">
        <f t="shared" si="551"/>
        <v>0</v>
      </c>
      <c r="DL164" s="3">
        <f t="shared" si="552"/>
        <v>0</v>
      </c>
      <c r="DM164" s="3">
        <f t="shared" si="553"/>
        <v>0</v>
      </c>
      <c r="DN164" s="64" t="str">
        <f t="shared" si="554"/>
        <v>UNKNOWN</v>
      </c>
      <c r="DO164" s="64" t="str">
        <f t="shared" si="555"/>
        <v>UNKNOWN</v>
      </c>
      <c r="DP164" s="3">
        <f t="shared" si="556"/>
        <v>0</v>
      </c>
      <c r="DQ164" s="3">
        <f t="shared" si="557"/>
        <v>0</v>
      </c>
      <c r="DR164" s="3" t="e">
        <f t="shared" ca="1" si="558"/>
        <v>#NUM!</v>
      </c>
      <c r="DS164" s="3">
        <f t="shared" si="559"/>
        <v>0</v>
      </c>
      <c r="DT164" s="3">
        <f t="shared" si="581"/>
        <v>0</v>
      </c>
      <c r="DU164" s="3">
        <f t="shared" si="582"/>
        <v>0</v>
      </c>
      <c r="DV164" s="3">
        <f t="shared" si="560"/>
        <v>0</v>
      </c>
      <c r="DW164" s="3">
        <f t="shared" si="561"/>
        <v>37</v>
      </c>
      <c r="DX164" s="3" t="e">
        <f t="shared" ca="1" si="562"/>
        <v>#NUM!</v>
      </c>
      <c r="DY164" s="3" t="e">
        <f t="shared" ca="1" si="563"/>
        <v>#NUM!</v>
      </c>
      <c r="DZ164" s="3">
        <f t="shared" ca="1" si="564"/>
        <v>5.1211059700174836E-4</v>
      </c>
      <c r="EA164" s="3">
        <f t="shared" ca="1" si="565"/>
        <v>-4.9303808325680196E-4</v>
      </c>
      <c r="EB164" s="3">
        <f t="shared" ca="1" si="566"/>
        <v>5.2282094289749154E-4</v>
      </c>
      <c r="EC164" s="3">
        <f t="shared" ca="1" si="567"/>
        <v>-4.9227264630234365E-4</v>
      </c>
      <c r="EE164" s="59">
        <f t="shared" si="568"/>
        <v>0.25</v>
      </c>
      <c r="EF164" s="59">
        <f t="shared" si="569"/>
        <v>0.50880000000000003</v>
      </c>
      <c r="EG164" s="59">
        <f t="shared" si="570"/>
        <v>0.22789999999999999</v>
      </c>
      <c r="EH164" s="59">
        <f t="shared" si="571"/>
        <v>0.23749999999999999</v>
      </c>
      <c r="EI164" s="59">
        <f t="shared" si="572"/>
        <v>0.2228</v>
      </c>
      <c r="EJ164" s="59">
        <f t="shared" si="573"/>
        <v>0.2379</v>
      </c>
      <c r="EL164" s="3" t="str">
        <f>RTD("tos.rtd",,EL$43,"."&amp;$B$134&amp;$AS$82&amp;"C"&amp;$A164)</f>
        <v>--</v>
      </c>
      <c r="EM164" s="3" t="str">
        <f>RTD("tos.rtd",,EM$43,"."&amp;$B$134&amp;$AS$82&amp;"P"&amp;$A164)</f>
        <v>50.88%</v>
      </c>
      <c r="EN164" s="3" t="str">
        <f>RTD("tos.rtd",,EN$2,"."&amp;$C$134&amp;$AU$82&amp;"C"&amp;$A164)</f>
        <v>22.79%</v>
      </c>
      <c r="EO164" s="3" t="str">
        <f>RTD("tos.rtd",,EO$2,"."&amp;$C$134&amp;$AU$82&amp;"P"&amp;$A164)</f>
        <v>23.75%</v>
      </c>
      <c r="EP164" s="3" t="str">
        <f>RTD("tos.rtd",,EP$2,"."&amp;$D$134&amp;$AW$82&amp;"C"&amp;$A164)</f>
        <v>22.28%</v>
      </c>
      <c r="EQ164" s="3" t="str">
        <f>RTD("tos.rtd",,EQ$2,"."&amp;$D$134&amp;$AW$82&amp;"P"&amp;$A164)</f>
        <v>23.79%</v>
      </c>
      <c r="ET164" s="64" t="str">
        <f t="shared" ca="1" si="574"/>
        <v>19900,00.00</v>
      </c>
      <c r="EU164" s="68">
        <v>562.96</v>
      </c>
      <c r="EV164" s="68" t="s">
        <v>1332</v>
      </c>
      <c r="EW164" s="68">
        <v>485.38</v>
      </c>
      <c r="EX164" s="68" t="s">
        <v>1333</v>
      </c>
      <c r="EY164" s="68">
        <v>5645.25</v>
      </c>
      <c r="EZ164" s="68" t="s">
        <v>1334</v>
      </c>
      <c r="FA164" s="68">
        <v>19943</v>
      </c>
      <c r="FB164" s="68" t="s">
        <v>1335</v>
      </c>
      <c r="FC164" s="68" t="s">
        <v>1336</v>
      </c>
      <c r="FD164" s="68" t="s">
        <v>1337</v>
      </c>
      <c r="FE164" s="68" t="s">
        <v>1338</v>
      </c>
      <c r="FF164" s="68" t="s">
        <v>1339</v>
      </c>
    </row>
    <row r="165" spans="1:162" ht="11.1" customHeight="1" thickBot="1" x14ac:dyDescent="0.25">
      <c r="A165" s="2">
        <f t="shared" si="583"/>
        <v>19880</v>
      </c>
      <c r="B165" s="3">
        <f t="shared" si="616"/>
        <v>15</v>
      </c>
      <c r="C165" s="3">
        <f t="shared" si="617"/>
        <v>0</v>
      </c>
      <c r="D165" s="3">
        <f t="shared" si="618"/>
        <v>0</v>
      </c>
      <c r="E165" s="3">
        <f t="shared" si="601"/>
        <v>15</v>
      </c>
      <c r="F165" s="4">
        <f t="shared" si="611"/>
        <v>19978.944853673103</v>
      </c>
      <c r="G165" s="5">
        <f t="shared" si="603"/>
        <v>483.80075652000795</v>
      </c>
      <c r="AM165" s="1">
        <v>11</v>
      </c>
      <c r="AN165" s="1">
        <v>49</v>
      </c>
      <c r="AO165" s="1">
        <v>19880</v>
      </c>
      <c r="AP165" s="1">
        <v>0</v>
      </c>
      <c r="AQ165" s="1">
        <v>-166</v>
      </c>
      <c r="AS165" s="54">
        <f>IF(RTD("tos.rtd",,AS$83,"."&amp;$B$134&amp;$AS$82&amp;"C"&amp;$A165)="N/A",0,RTD("tos.rtd",,AS$83,"."&amp;$B$134&amp;$AS$82&amp;"C"&amp;$A165))</f>
        <v>6</v>
      </c>
      <c r="AT165" s="3">
        <f>-IF(RTD("tos.rtd",,AT$83,"."&amp;$B$134&amp;$AS$82&amp;"P"&amp;$A165)="N/A",0,RTD("tos.rtd",,AT$83,"."&amp;$B$134&amp;$AS$82&amp;"P"&amp;$A165))</f>
        <v>-9</v>
      </c>
      <c r="AU165" s="54">
        <f>IF(RTD("tos.rtd",,AU$2,"."&amp;$C$134&amp;$AU$134&amp;"C"&amp;$A165)="N/A",0,RTD("tos.rtd",,AU$2,"."&amp;$C$134&amp;$AU$134&amp;"C"&amp;$A165))</f>
        <v>0</v>
      </c>
      <c r="AV165" s="3">
        <f>-IF(RTD("tos.rtd",,AV$2,"."&amp;$C$134&amp;$AU$134&amp;"P"&amp;$A165)="N/A",0,RTD("tos.rtd",,AV$2,"."&amp;$C$134&amp;$AU$134&amp;"P"&amp;$A165))</f>
        <v>0</v>
      </c>
      <c r="AW165" s="54">
        <f>IF(RTD("tos.rtd",,AW$2,"."&amp;$D$134&amp;$AW$134&amp;"C"&amp;$A165)="N/A",0,RTD("tos.rtd",,AW$2,"."&amp;$D$134&amp;$AW$134&amp;"C"&amp;$A165))</f>
        <v>0</v>
      </c>
      <c r="AX165" s="3">
        <f>-IF(RTD("tos.rtd",,AX$2,"."&amp;$D$134&amp;$AW$134&amp;"P"&amp;$A165)="N/A",0,RTD("tos.rtd",,AX$2,"."&amp;$D$134&amp;$AW$134&amp;"P"&amp;$A165))</f>
        <v>0</v>
      </c>
      <c r="AY165" s="76">
        <f t="shared" si="612"/>
        <v>-3</v>
      </c>
      <c r="AZ165" s="8">
        <f t="shared" si="539"/>
        <v>19880</v>
      </c>
      <c r="BA165" s="54">
        <f>IF(RTD("tos.rtd",,BA$43,"."&amp;$B$134&amp;$AS$82&amp;"C"&amp;$A165)="N/A",0,RTD("tos.rtd",,BA$43,"."&amp;$B$134&amp;$AS$82&amp;"C"&amp;$A165))</f>
        <v>0</v>
      </c>
      <c r="BB165" s="3">
        <f>-IF(RTD("tos.rtd",,BB$43,"."&amp;$B$134&amp;$AS$82&amp;"P"&amp;$A165)="N/A",0,RTD("tos.rtd",,BB$43,"."&amp;$B$134&amp;$AS$82&amp;"P"&amp;$A165))</f>
        <v>-166</v>
      </c>
      <c r="BC165" s="54">
        <f>IF(RTD("tos.rtd",,BC$2,"."&amp;$C$134&amp;$AU$82&amp;"C"&amp;$A165)="N/A",0,RTD("tos.rtd",,BC$2,"."&amp;$C$134&amp;$AU$82&amp;"C"&amp;$A165))</f>
        <v>0</v>
      </c>
      <c r="BD165" s="3">
        <f>-IF(RTD("tos.rtd",,BD$2,"."&amp;$C$134&amp;$AU$82&amp;"P"&amp;$A165)="N/A",0,RTD("tos.rtd",,BD$2,"."&amp;$C$134&amp;$AU$82&amp;"P"&amp;$A165))</f>
        <v>0</v>
      </c>
      <c r="BE165" s="54">
        <f>IF(RTD("tos.rtd",,BE$2,"."&amp;$D$134&amp;$AW$82&amp;"C"&amp;$A165)="N/A",0,RTD("tos.rtd",,BE$2,"."&amp;$D$134&amp;$AW$82&amp;"C"&amp;$A165))</f>
        <v>0</v>
      </c>
      <c r="BF165" s="3">
        <f>-IF(RTD("tos.rtd",,BF$2,"."&amp;$D$134&amp;$AW$82&amp;"P"&amp;$A165)="N/A",0,RTD("tos.rtd",,BF$2,"."&amp;$D$134&amp;$AW$82&amp;"P"&amp;$A165))</f>
        <v>0</v>
      </c>
      <c r="BG165" s="3" t="e">
        <f ca="1">+Hoja2!Y166</f>
        <v>#N/A</v>
      </c>
      <c r="BH165" s="7" t="e">
        <f t="shared" ca="1" si="540"/>
        <v>#N/A</v>
      </c>
      <c r="BI165" s="32" t="e">
        <f t="shared" ca="1" si="597"/>
        <v>#N/A</v>
      </c>
      <c r="BJ165" s="3" t="e">
        <f ca="1">IF($BP$1=1,DX165,IF(RTD("tos.rtd",,BJ$43,"."&amp;$B$134&amp;$AS$82&amp;"C"&amp;$A165)="N/A",0,RTD("tos.rtd",,BJ$43,"."&amp;$B$134&amp;$AS$82&amp;"C"&amp;$A165)))</f>
        <v>#NUM!</v>
      </c>
      <c r="BK165" s="3" t="e">
        <f ca="1">IF($BP$1=1,DY165,-IF(RTD("tos.rtd",,BK$43,"."&amp;$B$134&amp;$AS$82&amp;"P"&amp;$A165)="N/A",0,RTD("tos.rtd",,BK$43,"."&amp;$B$134&amp;$AS$82&amp;"P"&amp;$A165)))</f>
        <v>#NUM!</v>
      </c>
      <c r="BL165" s="3">
        <f ca="1">IF($BP$1=1,DZ165,IF(RTD("tos.rtd",,BL$2,"."&amp;$C$134&amp;$AU$82&amp;"C"&amp;$A165)="N/A",0,RTD("tos.rtd",,BL$2,"."&amp;$C$134&amp;$AU$82&amp;"C"&amp;$A165)))</f>
        <v>4.6669830280341584E-4</v>
      </c>
      <c r="BM165" s="3">
        <f ca="1">IF($BP$1=1,EA165,-IF(RTD("tos.rtd",,BM$2,"."&amp;$C$134&amp;$AU$82&amp;"P"&amp;$A165)="N/A",0,RTD("tos.rtd",,BM$2,"."&amp;$C$134&amp;$AU$82&amp;"P"&amp;$A165)))</f>
        <v>-4.6669830280341584E-4</v>
      </c>
      <c r="BN165" s="3">
        <f ca="1">IF($BP$1=1,EB165,IF(RTD("tos.rtd",,BN$2,"."&amp;$D$134&amp;$AW$82&amp;"C"&amp;$A165)="N/A",0,RTD("tos.rtd",,BN$2,"."&amp;$D$134&amp;$AW$82&amp;"C"&amp;$A165)))</f>
        <v>4.6669830280341584E-4</v>
      </c>
      <c r="BO165" s="3">
        <f ca="1">IF($BP$1=1,EC165,-IF(RTD("tos.rtd",,BO$2,"."&amp;$D$134&amp;$AW$82&amp;"P"&amp;$A165)="N/A",0,RTD("tos.rtd",,BO$2,"."&amp;$D$134&amp;$AW$82&amp;"P"&amp;$A165)))</f>
        <v>-4.6669830280341584E-4</v>
      </c>
      <c r="BQ165" s="3" t="e">
        <f t="shared" ca="1" si="613"/>
        <v>#NUM!</v>
      </c>
      <c r="BR165" s="3" t="e">
        <f t="shared" ca="1" si="541"/>
        <v>#NUM!</v>
      </c>
      <c r="BS165" s="3">
        <f t="shared" ca="1" si="614"/>
        <v>0</v>
      </c>
      <c r="BT165" s="3" t="str">
        <f t="shared" ca="1" si="542"/>
        <v/>
      </c>
      <c r="BU165" s="3">
        <f t="shared" ca="1" si="615"/>
        <v>0</v>
      </c>
      <c r="BV165" s="3" t="str">
        <f t="shared" ca="1" si="542"/>
        <v/>
      </c>
      <c r="BX165" s="3" t="e">
        <f t="shared" ca="1" si="575"/>
        <v>#NUM!</v>
      </c>
      <c r="BY165" s="3" t="e">
        <f t="shared" ca="1" si="576"/>
        <v>#NUM!</v>
      </c>
      <c r="BZ165" s="3">
        <f t="shared" ca="1" si="577"/>
        <v>0</v>
      </c>
      <c r="CA165" s="3" t="str">
        <f t="shared" ca="1" si="576"/>
        <v/>
      </c>
      <c r="CB165" s="3">
        <f t="shared" ca="1" si="578"/>
        <v>0</v>
      </c>
      <c r="CC165" s="3" t="str">
        <f t="shared" ca="1" si="576"/>
        <v/>
      </c>
      <c r="CD165" s="3">
        <f>IF(RTD("tos.rtd",,CD$43,"."&amp;$B$134&amp;$AS$82&amp;"C"&amp;$A165)="N/A",0,RTD("tos.rtd",,CD$43,"."&amp;$B$134&amp;$AS$82&amp;"C"&amp;$A165))</f>
        <v>1</v>
      </c>
      <c r="CE165" s="3">
        <f>-IF(RTD("tos.rtd",,CE$43,"."&amp;$B$134&amp;$AS$82&amp;"P"&amp;$A165)="N/A",0,RTD("tos.rtd",,CE$43,"."&amp;$B$134&amp;$AS$82&amp;"P"&amp;$A165))</f>
        <v>0.02</v>
      </c>
      <c r="CF165" s="3">
        <f>IF(RTD("tos.rtd",,CF$2,"."&amp;$C$134&amp;$AU$82&amp;"C"&amp;$A165)="N/A",0,RTD("tos.rtd",,CF$2,"."&amp;$C$134&amp;$AU$82&amp;"C"&amp;$A165))</f>
        <v>0</v>
      </c>
      <c r="CG165" s="3">
        <f>-IF(RTD("tos.rtd",,CG$2,"."&amp;$C$134&amp;$AU$82&amp;"P"&amp;$A165)="N/A",0,RTD("tos.rtd",,CG$2,"."&amp;$C$134&amp;$AU$82&amp;"P"&amp;$A165))</f>
        <v>0</v>
      </c>
      <c r="CH165" s="3">
        <f>IF(RTD("tos.rtd",,CH$2,"."&amp;$D$134&amp;$AW$82&amp;"C"&amp;$A165)="N/A",0,RTD("tos.rtd",,CH$2,"."&amp;$D$134&amp;$AW$82&amp;"C"&amp;$A165))</f>
        <v>0</v>
      </c>
      <c r="CI165" s="3">
        <f>-IF(RTD("tos.rtd",,CI$2,"."&amp;$D$134&amp;$AW$82&amp;"P"&amp;$A165)="N/A",0,RTD("tos.rtd",,CI$2,"."&amp;$D$134&amp;$AW$82&amp;"P"&amp;$A165))</f>
        <v>0</v>
      </c>
      <c r="CK165" s="3">
        <f t="shared" si="608"/>
        <v>582</v>
      </c>
      <c r="CL165" s="3"/>
      <c r="CM165" s="3">
        <f t="shared" si="609"/>
        <v>0</v>
      </c>
      <c r="CN165" s="3"/>
      <c r="CO165" s="3">
        <f t="shared" si="610"/>
        <v>0</v>
      </c>
      <c r="CP165" s="3">
        <f t="shared" si="533"/>
        <v>582</v>
      </c>
      <c r="CQ165" s="3">
        <f t="shared" si="543"/>
        <v>-166</v>
      </c>
      <c r="CR165" s="3"/>
      <c r="CS165" s="3">
        <f t="shared" si="544"/>
        <v>0</v>
      </c>
      <c r="CT165" s="3"/>
      <c r="CU165" s="3">
        <f t="shared" si="545"/>
        <v>0</v>
      </c>
      <c r="CV165" s="3"/>
      <c r="CW165" s="3" t="e">
        <f t="shared" ca="1" si="546"/>
        <v>#NUM!</v>
      </c>
      <c r="CY165" s="3" t="e">
        <f t="shared" ca="1" si="547"/>
        <v>#NUM!</v>
      </c>
      <c r="CZ165" s="70" t="e">
        <f t="shared" ca="1" si="579"/>
        <v>#NUM!</v>
      </c>
      <c r="DA165" s="3">
        <f>IF(RTD("tos.rtd",,DA$43,"."&amp;$B$134&amp;$AS$82&amp;"C"&amp;$A165)="N/A",0,RTD("tos.rtd",,DA$43,"."&amp;$B$134&amp;$AS$82&amp;"C"&amp;$A165))</f>
        <v>66.8</v>
      </c>
      <c r="DB165" s="3">
        <f>IF(RTD("tos.rtd",,DB$43,"."&amp;$B$134&amp;$AS$82&amp;"P"&amp;$A165)="N/A",0,RTD("tos.rtd",,DB$43,"."&amp;$B$134&amp;$AS$82&amp;"P"&amp;$A165))</f>
        <v>0.13</v>
      </c>
      <c r="DC165" s="3">
        <f>IF(RTD("tos.rtd",,DC$43,"."&amp;$B$134&amp;$AS$82&amp;"C"&amp;$A165)="N/A",0,RTD("tos.rtd",,DC$43,"."&amp;$B$134&amp;$AS$82&amp;"C"&amp;$A165))</f>
        <v>217.9</v>
      </c>
      <c r="DD165" s="3">
        <f>IF(RTD("tos.rtd",,DD$43,"."&amp;$B$134&amp;$AS$82&amp;"P"&amp;$A165)="N/A",0,RTD("tos.rtd",,DD$43,"."&amp;$B$134&amp;$AS$82&amp;"P"&amp;$A165))</f>
        <v>2.1</v>
      </c>
      <c r="DE165" s="3">
        <f>IF(RTD("tos.rtd",,DE$43,"."&amp;$B$134&amp;$AS$82&amp;"C"&amp;$A165)="N/A",0,RTD("tos.rtd",,DE$43,"."&amp;$B$134&amp;$AS$82&amp;"C"&amp;$A165))</f>
        <v>200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580"/>
        <v>-212</v>
      </c>
      <c r="DH165" s="3">
        <f t="shared" si="548"/>
        <v>0</v>
      </c>
      <c r="DI165" s="3">
        <f t="shared" si="549"/>
        <v>0</v>
      </c>
      <c r="DJ165" s="3">
        <f t="shared" si="550"/>
        <v>0</v>
      </c>
      <c r="DK165" s="3">
        <f t="shared" si="551"/>
        <v>0</v>
      </c>
      <c r="DL165" s="3">
        <f t="shared" si="552"/>
        <v>0</v>
      </c>
      <c r="DM165" s="3">
        <f t="shared" si="553"/>
        <v>0</v>
      </c>
      <c r="DN165" s="64" t="str">
        <f t="shared" si="554"/>
        <v>UNKNOWN</v>
      </c>
      <c r="DO165" s="64" t="str">
        <f t="shared" si="555"/>
        <v>UNKNOWN</v>
      </c>
      <c r="DP165" s="3">
        <f t="shared" si="556"/>
        <v>0</v>
      </c>
      <c r="DQ165" s="3">
        <f t="shared" si="557"/>
        <v>0</v>
      </c>
      <c r="DR165" s="3" t="e">
        <f t="shared" ca="1" si="558"/>
        <v>#NUM!</v>
      </c>
      <c r="DS165" s="3">
        <f t="shared" si="559"/>
        <v>0</v>
      </c>
      <c r="DT165" s="3">
        <f t="shared" si="581"/>
        <v>0</v>
      </c>
      <c r="DU165" s="3">
        <f t="shared" si="582"/>
        <v>0</v>
      </c>
      <c r="DV165" s="3">
        <f t="shared" si="560"/>
        <v>11</v>
      </c>
      <c r="DW165" s="3">
        <f t="shared" si="561"/>
        <v>49</v>
      </c>
      <c r="DX165" s="3" t="e">
        <f t="shared" ca="1" si="562"/>
        <v>#NUM!</v>
      </c>
      <c r="DY165" s="3" t="e">
        <f t="shared" ca="1" si="563"/>
        <v>#NUM!</v>
      </c>
      <c r="DZ165" s="3">
        <f t="shared" ca="1" si="564"/>
        <v>4.6669830280341584E-4</v>
      </c>
      <c r="EA165" s="3">
        <f t="shared" ca="1" si="565"/>
        <v>-4.6669830280341584E-4</v>
      </c>
      <c r="EB165" s="3">
        <f t="shared" ca="1" si="566"/>
        <v>4.6669830280341584E-4</v>
      </c>
      <c r="EC165" s="3">
        <f t="shared" ca="1" si="567"/>
        <v>-4.6669830280341584E-4</v>
      </c>
      <c r="EE165" s="59">
        <f t="shared" si="568"/>
        <v>0.25</v>
      </c>
      <c r="EF165" s="59">
        <f t="shared" si="569"/>
        <v>0.74990000000000001</v>
      </c>
      <c r="EG165" s="59">
        <f t="shared" si="570"/>
        <v>0.25</v>
      </c>
      <c r="EH165" s="59">
        <f t="shared" si="571"/>
        <v>0.25</v>
      </c>
      <c r="EI165" s="59">
        <f t="shared" si="572"/>
        <v>0.25</v>
      </c>
      <c r="EJ165" s="59">
        <f t="shared" si="573"/>
        <v>0.25</v>
      </c>
      <c r="EL165" s="3" t="str">
        <f>RTD("tos.rtd",,EL$43,"."&amp;$B$134&amp;$AS$82&amp;"C"&amp;$A165)</f>
        <v>--</v>
      </c>
      <c r="EM165" s="3" t="str">
        <f>RTD("tos.rtd",,EM$43,"."&amp;$B$134&amp;$AS$82&amp;"P"&amp;$A165)</f>
        <v>74.99%</v>
      </c>
      <c r="EN165" s="3" t="str">
        <f>RTD("tos.rtd",,EN$2,"."&amp;$C$134&amp;$AU$82&amp;"C"&amp;$A165)</f>
        <v>N/A</v>
      </c>
      <c r="EO165" s="3" t="str">
        <f>RTD("tos.rtd",,EO$2,"."&amp;$C$134&amp;$AU$82&amp;"P"&amp;$A165)</f>
        <v>N/A</v>
      </c>
      <c r="EP165" s="3" t="str">
        <f>RTD("tos.rtd",,EP$2,"."&amp;$D$134&amp;$AW$82&amp;"C"&amp;$A165)</f>
        <v>N/A</v>
      </c>
      <c r="EQ165" s="3" t="str">
        <f>RTD("tos.rtd",,EQ$2,"."&amp;$D$134&amp;$AW$82&amp;"P"&amp;$A165)</f>
        <v>N/A</v>
      </c>
      <c r="ET165" s="64" t="str">
        <f t="shared" ca="1" si="574"/>
        <v>19880,00.00</v>
      </c>
      <c r="EU165" s="68">
        <v>562.86900000000003</v>
      </c>
      <c r="EV165" s="68" t="s">
        <v>1340</v>
      </c>
      <c r="EW165" s="68">
        <v>485.28</v>
      </c>
      <c r="EX165" s="68" t="s">
        <v>1341</v>
      </c>
      <c r="EY165" s="68">
        <v>5644.25</v>
      </c>
      <c r="EZ165" s="68" t="s">
        <v>1342</v>
      </c>
      <c r="FA165" s="68">
        <v>19939.5</v>
      </c>
      <c r="FB165" s="68" t="s">
        <v>1343</v>
      </c>
      <c r="FC165" s="68" t="s">
        <v>1344</v>
      </c>
      <c r="FD165" s="68" t="s">
        <v>1345</v>
      </c>
      <c r="FE165" s="68" t="s">
        <v>1346</v>
      </c>
      <c r="FF165" s="68" t="s">
        <v>1347</v>
      </c>
    </row>
    <row r="166" spans="1:162" ht="11.1" customHeight="1" thickBot="1" x14ac:dyDescent="0.25">
      <c r="A166" s="2">
        <f t="shared" si="583"/>
        <v>19860</v>
      </c>
      <c r="B166" s="3">
        <f t="shared" si="616"/>
        <v>6</v>
      </c>
      <c r="C166" s="3">
        <f t="shared" si="617"/>
        <v>0</v>
      </c>
      <c r="D166" s="3">
        <f t="shared" si="618"/>
        <v>0</v>
      </c>
      <c r="E166" s="3">
        <f t="shared" si="601"/>
        <v>6</v>
      </c>
      <c r="F166" s="4">
        <f t="shared" si="611"/>
        <v>19958.845311566794</v>
      </c>
      <c r="G166" s="5">
        <f t="shared" si="603"/>
        <v>483.31403543698985</v>
      </c>
      <c r="AM166" s="1">
        <v>-1</v>
      </c>
      <c r="AN166" s="1">
        <v>21</v>
      </c>
      <c r="AO166" s="1">
        <v>19860</v>
      </c>
      <c r="AP166" s="1">
        <v>0</v>
      </c>
      <c r="AQ166" s="1">
        <v>-60</v>
      </c>
      <c r="AS166" s="54">
        <f>IF(RTD("tos.rtd",,AS$83,"."&amp;$B$134&amp;$AS$82&amp;"C"&amp;$A166)="N/A",0,RTD("tos.rtd",,AS$83,"."&amp;$B$134&amp;$AS$82&amp;"C"&amp;$A166))</f>
        <v>4</v>
      </c>
      <c r="AT166" s="3">
        <f>-IF(RTD("tos.rtd",,AT$83,"."&amp;$B$134&amp;$AS$82&amp;"P"&amp;$A166)="N/A",0,RTD("tos.rtd",,AT$83,"."&amp;$B$134&amp;$AS$82&amp;"P"&amp;$A166))</f>
        <v>-2</v>
      </c>
      <c r="AU166" s="54">
        <f>IF(RTD("tos.rtd",,AU$2,"."&amp;$C$134&amp;$AU$134&amp;"C"&amp;$A166)="N/A",0,RTD("tos.rtd",,AU$2,"."&amp;$C$134&amp;$AU$134&amp;"C"&amp;$A166))</f>
        <v>0</v>
      </c>
      <c r="AV166" s="3">
        <f>-IF(RTD("tos.rtd",,AV$2,"."&amp;$C$134&amp;$AU$134&amp;"P"&amp;$A166)="N/A",0,RTD("tos.rtd",,AV$2,"."&amp;$C$134&amp;$AU$134&amp;"P"&amp;$A166))</f>
        <v>0</v>
      </c>
      <c r="AW166" s="54">
        <f>IF(RTD("tos.rtd",,AW$2,"."&amp;$D$134&amp;$AW$134&amp;"C"&amp;$A166)="N/A",0,RTD("tos.rtd",,AW$2,"."&amp;$D$134&amp;$AW$134&amp;"C"&amp;$A166))</f>
        <v>0</v>
      </c>
      <c r="AX166" s="3">
        <f>-IF(RTD("tos.rtd",,AX$2,"."&amp;$D$134&amp;$AW$134&amp;"P"&amp;$A166)="N/A",0,RTD("tos.rtd",,AX$2,"."&amp;$D$134&amp;$AW$134&amp;"P"&amp;$A166))</f>
        <v>0</v>
      </c>
      <c r="AY166" s="76">
        <f t="shared" si="612"/>
        <v>2</v>
      </c>
      <c r="AZ166" s="8">
        <f t="shared" si="539"/>
        <v>19860</v>
      </c>
      <c r="BA166" s="54">
        <f>IF(RTD("tos.rtd",,BA$43,"."&amp;$B$134&amp;$AS$82&amp;"C"&amp;$A166)="N/A",0,RTD("tos.rtd",,BA$43,"."&amp;$B$134&amp;$AS$82&amp;"C"&amp;$A166))</f>
        <v>0</v>
      </c>
      <c r="BB166" s="3">
        <f>-IF(RTD("tos.rtd",,BB$43,"."&amp;$B$134&amp;$AS$82&amp;"P"&amp;$A166)="N/A",0,RTD("tos.rtd",,BB$43,"."&amp;$B$134&amp;$AS$82&amp;"P"&amp;$A166))</f>
        <v>-60</v>
      </c>
      <c r="BC166" s="54">
        <f>IF(RTD("tos.rtd",,BC$2,"."&amp;$C$134&amp;$AU$82&amp;"C"&amp;$A166)="N/A",0,RTD("tos.rtd",,BC$2,"."&amp;$C$134&amp;$AU$82&amp;"C"&amp;$A166))</f>
        <v>0</v>
      </c>
      <c r="BD166" s="3">
        <f>-IF(RTD("tos.rtd",,BD$2,"."&amp;$C$134&amp;$AU$82&amp;"P"&amp;$A166)="N/A",0,RTD("tos.rtd",,BD$2,"."&amp;$C$134&amp;$AU$82&amp;"P"&amp;$A166))</f>
        <v>0</v>
      </c>
      <c r="BE166" s="54">
        <f>IF(RTD("tos.rtd",,BE$2,"."&amp;$D$134&amp;$AW$82&amp;"C"&amp;$A166)="N/A",0,RTD("tos.rtd",,BE$2,"."&amp;$D$134&amp;$AW$82&amp;"C"&amp;$A166))</f>
        <v>0</v>
      </c>
      <c r="BF166" s="3">
        <f>-IF(RTD("tos.rtd",,BF$2,"."&amp;$D$134&amp;$AW$82&amp;"P"&amp;$A166)="N/A",0,RTD("tos.rtd",,BF$2,"."&amp;$D$134&amp;$AW$82&amp;"P"&amp;$A166))</f>
        <v>0</v>
      </c>
      <c r="BG166" s="3" t="e">
        <f ca="1">+Hoja2!Y167</f>
        <v>#N/A</v>
      </c>
      <c r="BH166" s="7" t="e">
        <f t="shared" ca="1" si="540"/>
        <v>#N/A</v>
      </c>
      <c r="BI166" s="32" t="e">
        <f t="shared" ca="1" si="597"/>
        <v>#N/A</v>
      </c>
      <c r="BJ166" s="3" t="e">
        <f ca="1">IF($BP$1=1,DX166,IF(RTD("tos.rtd",,BJ$43,"."&amp;$B$134&amp;$AS$82&amp;"C"&amp;$A166)="N/A",0,RTD("tos.rtd",,BJ$43,"."&amp;$B$134&amp;$AS$82&amp;"C"&amp;$A166)))</f>
        <v>#NUM!</v>
      </c>
      <c r="BK166" s="3" t="e">
        <f ca="1">IF($BP$1=1,DY166,-IF(RTD("tos.rtd",,BK$43,"."&amp;$B$134&amp;$AS$82&amp;"P"&amp;$A166)="N/A",0,RTD("tos.rtd",,BK$43,"."&amp;$B$134&amp;$AS$82&amp;"P"&amp;$A166)))</f>
        <v>#NUM!</v>
      </c>
      <c r="BL166" s="3">
        <f ca="1">IF($BP$1=1,DZ166,IF(RTD("tos.rtd",,BL$2,"."&amp;$C$134&amp;$AU$82&amp;"C"&amp;$A166)="N/A",0,RTD("tos.rtd",,BL$2,"."&amp;$C$134&amp;$AU$82&amp;"C"&amp;$A166)))</f>
        <v>4.6299011639411189E-4</v>
      </c>
      <c r="BM166" s="3">
        <f ca="1">IF($BP$1=1,EA166,-IF(RTD("tos.rtd",,BM$2,"."&amp;$C$134&amp;$AU$82&amp;"P"&amp;$A166)="N/A",0,RTD("tos.rtd",,BM$2,"."&amp;$C$134&amp;$AU$82&amp;"P"&amp;$A166)))</f>
        <v>-4.6299011639411189E-4</v>
      </c>
      <c r="BN166" s="3">
        <f ca="1">IF($BP$1=1,EB166,IF(RTD("tos.rtd",,BN$2,"."&amp;$D$134&amp;$AW$82&amp;"C"&amp;$A166)="N/A",0,RTD("tos.rtd",,BN$2,"."&amp;$D$134&amp;$AW$82&amp;"C"&amp;$A166)))</f>
        <v>4.6299011639411189E-4</v>
      </c>
      <c r="BO166" s="3">
        <f ca="1">IF($BP$1=1,EC166,-IF(RTD("tos.rtd",,BO$2,"."&amp;$D$134&amp;$AW$82&amp;"P"&amp;$A166)="N/A",0,RTD("tos.rtd",,BO$2,"."&amp;$D$134&amp;$AW$82&amp;"P"&amp;$A166)))</f>
        <v>-4.6299011639411189E-4</v>
      </c>
      <c r="BQ166" s="3" t="e">
        <f t="shared" ca="1" si="613"/>
        <v>#NUM!</v>
      </c>
      <c r="BR166" s="3" t="e">
        <f t="shared" ca="1" si="541"/>
        <v>#NUM!</v>
      </c>
      <c r="BS166" s="3">
        <f t="shared" ca="1" si="614"/>
        <v>0</v>
      </c>
      <c r="BT166" s="3" t="str">
        <f t="shared" ca="1" si="542"/>
        <v/>
      </c>
      <c r="BU166" s="3">
        <f t="shared" ca="1" si="615"/>
        <v>0</v>
      </c>
      <c r="BV166" s="3" t="str">
        <f t="shared" ca="1" si="542"/>
        <v/>
      </c>
      <c r="BX166" s="3" t="e">
        <f t="shared" ca="1" si="575"/>
        <v>#NUM!</v>
      </c>
      <c r="BY166" s="3" t="e">
        <f t="shared" ca="1" si="576"/>
        <v>#NUM!</v>
      </c>
      <c r="BZ166" s="3">
        <f t="shared" ca="1" si="577"/>
        <v>0</v>
      </c>
      <c r="CA166" s="3" t="str">
        <f t="shared" ca="1" si="576"/>
        <v/>
      </c>
      <c r="CB166" s="3">
        <f t="shared" ca="1" si="578"/>
        <v>0</v>
      </c>
      <c r="CC166" s="3" t="str">
        <f t="shared" ca="1" si="576"/>
        <v/>
      </c>
      <c r="CD166" s="3">
        <f>IF(RTD("tos.rtd",,CD$43,"."&amp;$B$134&amp;$AS$82&amp;"C"&amp;$A166)="N/A",0,RTD("tos.rtd",,CD$43,"."&amp;$B$134&amp;$AS$82&amp;"C"&amp;$A166))</f>
        <v>1</v>
      </c>
      <c r="CE166" s="3">
        <f>-IF(RTD("tos.rtd",,CE$43,"."&amp;$B$134&amp;$AS$82&amp;"P"&amp;$A166)="N/A",0,RTD("tos.rtd",,CE$43,"."&amp;$B$134&amp;$AS$82&amp;"P"&amp;$A166))</f>
        <v>0</v>
      </c>
      <c r="CF166" s="3">
        <f>IF(RTD("tos.rtd",,CF$2,"."&amp;$C$134&amp;$AU$82&amp;"C"&amp;$A166)="N/A",0,RTD("tos.rtd",,CF$2,"."&amp;$C$134&amp;$AU$82&amp;"C"&amp;$A166))</f>
        <v>0</v>
      </c>
      <c r="CG166" s="3">
        <f>-IF(RTD("tos.rtd",,CG$2,"."&amp;$C$134&amp;$AU$82&amp;"P"&amp;$A166)="N/A",0,RTD("tos.rtd",,CG$2,"."&amp;$C$134&amp;$AU$82&amp;"P"&amp;$A166))</f>
        <v>0</v>
      </c>
      <c r="CH166" s="3">
        <f>IF(RTD("tos.rtd",,CH$2,"."&amp;$D$134&amp;$AW$82&amp;"C"&amp;$A166)="N/A",0,RTD("tos.rtd",,CH$2,"."&amp;$D$134&amp;$AW$82&amp;"C"&amp;$A166))</f>
        <v>0</v>
      </c>
      <c r="CI166" s="3">
        <f>-IF(RTD("tos.rtd",,CI$2,"."&amp;$D$134&amp;$AW$82&amp;"P"&amp;$A166)="N/A",0,RTD("tos.rtd",,CI$2,"."&amp;$D$134&amp;$AW$82&amp;"P"&amp;$A166))</f>
        <v>0</v>
      </c>
      <c r="CK166" s="3">
        <f t="shared" si="608"/>
        <v>400</v>
      </c>
      <c r="CL166" s="3"/>
      <c r="CM166" s="3">
        <f t="shared" si="609"/>
        <v>0</v>
      </c>
      <c r="CN166" s="3"/>
      <c r="CO166" s="3">
        <f t="shared" si="610"/>
        <v>0</v>
      </c>
      <c r="CP166" s="3">
        <f t="shared" si="533"/>
        <v>400</v>
      </c>
      <c r="CQ166" s="3">
        <f t="shared" si="543"/>
        <v>-60</v>
      </c>
      <c r="CR166" s="3"/>
      <c r="CS166" s="3">
        <f t="shared" si="544"/>
        <v>0</v>
      </c>
      <c r="CT166" s="3"/>
      <c r="CU166" s="3">
        <f t="shared" si="545"/>
        <v>0</v>
      </c>
      <c r="CV166" s="3"/>
      <c r="CW166" s="3" t="e">
        <f t="shared" ca="1" si="546"/>
        <v>#NUM!</v>
      </c>
      <c r="CY166" s="3" t="e">
        <f t="shared" ca="1" si="547"/>
        <v>#NUM!</v>
      </c>
      <c r="CZ166" s="70" t="e">
        <f t="shared" ca="1" si="579"/>
        <v>#NUM!</v>
      </c>
      <c r="DA166" s="3">
        <f>IF(RTD("tos.rtd",,DA$43,"."&amp;$B$134&amp;$AS$82&amp;"C"&amp;$A166)="N/A",0,RTD("tos.rtd",,DA$43,"."&amp;$B$134&amp;$AS$82&amp;"C"&amp;$A166))</f>
        <v>170</v>
      </c>
      <c r="DB166" s="3">
        <f>IF(RTD("tos.rtd",,DB$43,"."&amp;$B$134&amp;$AS$82&amp;"P"&amp;$A166)="N/A",0,RTD("tos.rtd",,DB$43,"."&amp;$B$134&amp;$AS$82&amp;"P"&amp;$A166))</f>
        <v>0.05</v>
      </c>
      <c r="DC166" s="3">
        <f>IF(RTD("tos.rtd",,DC$43,"."&amp;$B$134&amp;$AS$82&amp;"C"&amp;$A166)="N/A",0,RTD("tos.rtd",,DC$43,"."&amp;$B$134&amp;$AS$82&amp;"C"&amp;$A166))</f>
        <v>256</v>
      </c>
      <c r="DD166" s="3">
        <f>IF(RTD("tos.rtd",,DD$43,"."&amp;$B$134&amp;$AS$82&amp;"P"&amp;$A166)="N/A",0,RTD("tos.rtd",,DD$43,"."&amp;$B$134&amp;$AS$82&amp;"P"&amp;$A166))</f>
        <v>0.05</v>
      </c>
      <c r="DE166" s="3">
        <f>IF(RTD("tos.rtd",,DE$43,"."&amp;$B$134&amp;$AS$82&amp;"C"&amp;$A166)="N/A",0,RTD("tos.rtd",,DE$43,"."&amp;$B$134&amp;$AS$82&amp;"C"&amp;$A166))</f>
        <v>213.9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580"/>
        <v>-232</v>
      </c>
      <c r="DH166" s="3">
        <f t="shared" si="548"/>
        <v>0</v>
      </c>
      <c r="DI166" s="3">
        <f t="shared" si="549"/>
        <v>0</v>
      </c>
      <c r="DJ166" s="3">
        <f t="shared" si="550"/>
        <v>0</v>
      </c>
      <c r="DK166" s="3">
        <f t="shared" si="551"/>
        <v>0</v>
      </c>
      <c r="DL166" s="3">
        <f t="shared" si="552"/>
        <v>0</v>
      </c>
      <c r="DM166" s="3">
        <f t="shared" si="553"/>
        <v>0</v>
      </c>
      <c r="DN166" s="64" t="str">
        <f t="shared" si="554"/>
        <v>UNKNOWN</v>
      </c>
      <c r="DO166" s="64" t="str">
        <f t="shared" si="555"/>
        <v>UNKNOWN</v>
      </c>
      <c r="DP166" s="3">
        <f t="shared" si="556"/>
        <v>0</v>
      </c>
      <c r="DQ166" s="3">
        <f t="shared" si="557"/>
        <v>0</v>
      </c>
      <c r="DR166" s="3" t="e">
        <f t="shared" ca="1" si="558"/>
        <v>#NUM!</v>
      </c>
      <c r="DS166" s="3">
        <f t="shared" si="559"/>
        <v>0</v>
      </c>
      <c r="DT166" s="3">
        <f t="shared" si="581"/>
        <v>0</v>
      </c>
      <c r="DU166" s="3">
        <f t="shared" si="582"/>
        <v>0</v>
      </c>
      <c r="DV166" s="3">
        <f t="shared" si="560"/>
        <v>-1</v>
      </c>
      <c r="DW166" s="3">
        <f t="shared" si="561"/>
        <v>21</v>
      </c>
      <c r="DX166" s="3" t="e">
        <f t="shared" ca="1" si="562"/>
        <v>#NUM!</v>
      </c>
      <c r="DY166" s="3" t="e">
        <f t="shared" ca="1" si="563"/>
        <v>#NUM!</v>
      </c>
      <c r="DZ166" s="3">
        <f t="shared" ca="1" si="564"/>
        <v>4.6299011639411189E-4</v>
      </c>
      <c r="EA166" s="3">
        <f t="shared" ca="1" si="565"/>
        <v>-4.6299011639411189E-4</v>
      </c>
      <c r="EB166" s="3">
        <f t="shared" ca="1" si="566"/>
        <v>4.6299011639411189E-4</v>
      </c>
      <c r="EC166" s="3">
        <f t="shared" ca="1" si="567"/>
        <v>-4.6299011639411189E-4</v>
      </c>
      <c r="EE166" s="59">
        <f t="shared" si="568"/>
        <v>0.25</v>
      </c>
      <c r="EF166" s="59">
        <f t="shared" si="569"/>
        <v>0.52649999999999997</v>
      </c>
      <c r="EG166" s="59">
        <f t="shared" si="570"/>
        <v>0.25</v>
      </c>
      <c r="EH166" s="59">
        <f t="shared" si="571"/>
        <v>0.25</v>
      </c>
      <c r="EI166" s="59">
        <f t="shared" si="572"/>
        <v>0.25</v>
      </c>
      <c r="EJ166" s="59">
        <f t="shared" si="573"/>
        <v>0.25</v>
      </c>
      <c r="EL166" s="3" t="str">
        <f>RTD("tos.rtd",,EL$43,"."&amp;$B$134&amp;$AS$82&amp;"C"&amp;$A166)</f>
        <v>--</v>
      </c>
      <c r="EM166" s="3" t="str">
        <f>RTD("tos.rtd",,EM$43,"."&amp;$B$134&amp;$AS$82&amp;"P"&amp;$A166)</f>
        <v>52.65%</v>
      </c>
      <c r="EN166" s="3" t="str">
        <f>RTD("tos.rtd",,EN$2,"."&amp;$C$134&amp;$AU$82&amp;"C"&amp;$A166)</f>
        <v>N/A</v>
      </c>
      <c r="EO166" s="3" t="str">
        <f>RTD("tos.rtd",,EO$2,"."&amp;$C$134&amp;$AU$82&amp;"P"&amp;$A166)</f>
        <v>N/A</v>
      </c>
      <c r="EP166" s="3" t="str">
        <f>RTD("tos.rtd",,EP$2,"."&amp;$D$134&amp;$AW$82&amp;"C"&amp;$A166)</f>
        <v>N/A</v>
      </c>
      <c r="EQ166" s="3" t="str">
        <f>RTD("tos.rtd",,EQ$2,"."&amp;$D$134&amp;$AW$82&amp;"P"&amp;$A166)</f>
        <v>N/A</v>
      </c>
      <c r="ET166" s="64" t="str">
        <f t="shared" ca="1" si="574"/>
        <v>19860,00.00</v>
      </c>
      <c r="EU166" s="68">
        <v>563.15</v>
      </c>
      <c r="EV166" s="68" t="s">
        <v>1348</v>
      </c>
      <c r="EW166" s="68">
        <v>485.82</v>
      </c>
      <c r="EX166" s="68" t="s">
        <v>1349</v>
      </c>
      <c r="EY166" s="68">
        <v>5647</v>
      </c>
      <c r="EZ166" s="68" t="s">
        <v>1350</v>
      </c>
      <c r="FA166" s="68">
        <v>19961</v>
      </c>
      <c r="FB166" s="68" t="s">
        <v>1351</v>
      </c>
      <c r="FC166" s="68" t="s">
        <v>1352</v>
      </c>
      <c r="FD166" s="68" t="s">
        <v>1353</v>
      </c>
      <c r="FE166" s="68" t="s">
        <v>1354</v>
      </c>
      <c r="FF166" s="68" t="s">
        <v>1355</v>
      </c>
    </row>
    <row r="167" spans="1:162" ht="11.1" customHeight="1" thickBot="1" x14ac:dyDescent="0.25">
      <c r="A167" s="2">
        <f t="shared" si="583"/>
        <v>19840</v>
      </c>
      <c r="B167" s="3">
        <f t="shared" ref="B167:B181" si="619">+IF($A$1="ABS",AS167-AT167,AS167+AT167)</f>
        <v>12</v>
      </c>
      <c r="C167" s="3">
        <f t="shared" ref="C167:C181" si="620">+IF($A$1="ABS",AU167-AV167,AU167+AV167)</f>
        <v>0</v>
      </c>
      <c r="D167" s="3">
        <f t="shared" ref="D167:D181" si="621">+IF($A$1="ABS",AW167-AX167,AW167+AX167)</f>
        <v>0</v>
      </c>
      <c r="E167" s="3">
        <f t="shared" ref="E167:E181" si="622">SUM(B167:D167)</f>
        <v>12</v>
      </c>
      <c r="F167" s="4">
        <f t="shared" ref="F167:F181" si="623">+$F$136/$A$136*A167</f>
        <v>19938.745769460482</v>
      </c>
      <c r="G167" s="5">
        <f t="shared" ref="G167:G181" si="624">+$G$136/$A$136*A167</f>
        <v>482.8273143539717</v>
      </c>
      <c r="AM167" s="1">
        <v>0</v>
      </c>
      <c r="AN167" s="1">
        <v>-25</v>
      </c>
      <c r="AO167" s="1">
        <v>19840</v>
      </c>
      <c r="AP167" s="1">
        <v>1</v>
      </c>
      <c r="AQ167" s="1">
        <v>-260</v>
      </c>
      <c r="AS167" s="54">
        <f>IF(RTD("tos.rtd",,AS$83,"."&amp;$B$134&amp;$AS$82&amp;"C"&amp;$A167)="N/A",0,RTD("tos.rtd",,AS$83,"."&amp;$B$134&amp;$AS$82&amp;"C"&amp;$A167))</f>
        <v>4</v>
      </c>
      <c r="AT167" s="3">
        <f>-IF(RTD("tos.rtd",,AT$83,"."&amp;$B$134&amp;$AS$82&amp;"P"&amp;$A167)="N/A",0,RTD("tos.rtd",,AT$83,"."&amp;$B$134&amp;$AS$82&amp;"P"&amp;$A167))</f>
        <v>-8</v>
      </c>
      <c r="AU167" s="54">
        <f>IF(RTD("tos.rtd",,AU$2,"."&amp;$C$134&amp;$AU$134&amp;"C"&amp;$A167)="N/A",0,RTD("tos.rtd",,AU$2,"."&amp;$C$134&amp;$AU$134&amp;"C"&amp;$A167))</f>
        <v>0</v>
      </c>
      <c r="AV167" s="3">
        <f>-IF(RTD("tos.rtd",,AV$2,"."&amp;$C$134&amp;$AU$134&amp;"P"&amp;$A167)="N/A",0,RTD("tos.rtd",,AV$2,"."&amp;$C$134&amp;$AU$134&amp;"P"&amp;$A167))</f>
        <v>0</v>
      </c>
      <c r="AW167" s="54">
        <f>IF(RTD("tos.rtd",,AW$2,"."&amp;$D$134&amp;$AW$134&amp;"C"&amp;$A167)="N/A",0,RTD("tos.rtd",,AW$2,"."&amp;$D$134&amp;$AW$134&amp;"C"&amp;$A167))</f>
        <v>0</v>
      </c>
      <c r="AX167" s="3">
        <f>-IF(RTD("tos.rtd",,AX$2,"."&amp;$D$134&amp;$AW$134&amp;"P"&amp;$A167)="N/A",0,RTD("tos.rtd",,AX$2,"."&amp;$D$134&amp;$AW$134&amp;"P"&amp;$A167))</f>
        <v>0</v>
      </c>
      <c r="AY167" s="76">
        <f t="shared" ref="AY167:AY181" si="625">SUM(AS167:AX167)</f>
        <v>-4</v>
      </c>
      <c r="AZ167" s="8">
        <f t="shared" si="539"/>
        <v>19840</v>
      </c>
      <c r="BA167" s="54">
        <f>IF(RTD("tos.rtd",,BA$43,"."&amp;$B$134&amp;$AS$82&amp;"C"&amp;$A167)="N/A",0,RTD("tos.rtd",,BA$43,"."&amp;$B$134&amp;$AS$82&amp;"C"&amp;$A167))</f>
        <v>1</v>
      </c>
      <c r="BB167" s="3">
        <f>-IF(RTD("tos.rtd",,BB$43,"."&amp;$B$134&amp;$AS$82&amp;"P"&amp;$A167)="N/A",0,RTD("tos.rtd",,BB$43,"."&amp;$B$134&amp;$AS$82&amp;"P"&amp;$A167))</f>
        <v>-260</v>
      </c>
      <c r="BC167" s="54">
        <f>IF(RTD("tos.rtd",,BC$2,"."&amp;$C$134&amp;$AU$82&amp;"C"&amp;$A167)="N/A",0,RTD("tos.rtd",,BC$2,"."&amp;$C$134&amp;$AU$82&amp;"C"&amp;$A167))</f>
        <v>0</v>
      </c>
      <c r="BD167" s="3">
        <f>-IF(RTD("tos.rtd",,BD$2,"."&amp;$C$134&amp;$AU$82&amp;"P"&amp;$A167)="N/A",0,RTD("tos.rtd",,BD$2,"."&amp;$C$134&amp;$AU$82&amp;"P"&amp;$A167))</f>
        <v>0</v>
      </c>
      <c r="BE167" s="54">
        <f>IF(RTD("tos.rtd",,BE$2,"."&amp;$D$134&amp;$AW$82&amp;"C"&amp;$A167)="N/A",0,RTD("tos.rtd",,BE$2,"."&amp;$D$134&amp;$AW$82&amp;"C"&amp;$A167))</f>
        <v>0</v>
      </c>
      <c r="BF167" s="3">
        <f>-IF(RTD("tos.rtd",,BF$2,"."&amp;$D$134&amp;$AW$82&amp;"P"&amp;$A167)="N/A",0,RTD("tos.rtd",,BF$2,"."&amp;$D$134&amp;$AW$82&amp;"P"&amp;$A167))</f>
        <v>0</v>
      </c>
      <c r="BG167" s="3" t="e">
        <f ca="1">+Hoja2!Y168</f>
        <v>#N/A</v>
      </c>
      <c r="BH167" s="7" t="e">
        <f t="shared" ca="1" si="540"/>
        <v>#N/A</v>
      </c>
      <c r="BI167" s="32" t="e">
        <f t="shared" ca="1" si="597"/>
        <v>#N/A</v>
      </c>
      <c r="BJ167" s="3" t="e">
        <f ca="1">IF($BP$1=1,DX167,IF(RTD("tos.rtd",,BJ$43,"."&amp;$B$134&amp;$AS$82&amp;"C"&amp;$A167)="N/A",0,RTD("tos.rtd",,BJ$43,"."&amp;$B$134&amp;$AS$82&amp;"C"&amp;$A167)))</f>
        <v>#NUM!</v>
      </c>
      <c r="BK167" s="3" t="e">
        <f ca="1">IF($BP$1=1,DY167,-IF(RTD("tos.rtd",,BK$43,"."&amp;$B$134&amp;$AS$82&amp;"P"&amp;$A167)="N/A",0,RTD("tos.rtd",,BK$43,"."&amp;$B$134&amp;$AS$82&amp;"P"&amp;$A167)))</f>
        <v>#NUM!</v>
      </c>
      <c r="BL167" s="3">
        <f ca="1">IF($BP$1=1,DZ167,IF(RTD("tos.rtd",,BL$2,"."&amp;$C$134&amp;$AU$82&amp;"C"&amp;$A167)="N/A",0,RTD("tos.rtd",,BL$2,"."&amp;$C$134&amp;$AU$82&amp;"C"&amp;$A167)))</f>
        <v>4.5902451632779008E-4</v>
      </c>
      <c r="BM167" s="3">
        <f ca="1">IF($BP$1=1,EA167,-IF(RTD("tos.rtd",,BM$2,"."&amp;$C$134&amp;$AU$82&amp;"P"&amp;$A167)="N/A",0,RTD("tos.rtd",,BM$2,"."&amp;$C$134&amp;$AU$82&amp;"P"&amp;$A167)))</f>
        <v>-4.5902451632779008E-4</v>
      </c>
      <c r="BN167" s="3">
        <f ca="1">IF($BP$1=1,EB167,IF(RTD("tos.rtd",,BN$2,"."&amp;$D$134&amp;$AW$82&amp;"C"&amp;$A167)="N/A",0,RTD("tos.rtd",,BN$2,"."&amp;$D$134&amp;$AW$82&amp;"C"&amp;$A167)))</f>
        <v>4.5902451632779008E-4</v>
      </c>
      <c r="BO167" s="3">
        <f ca="1">IF($BP$1=1,EC167,-IF(RTD("tos.rtd",,BO$2,"."&amp;$D$134&amp;$AW$82&amp;"P"&amp;$A167)="N/A",0,RTD("tos.rtd",,BO$2,"."&amp;$D$134&amp;$AW$82&amp;"P"&amp;$A167)))</f>
        <v>-4.5902451632779008E-4</v>
      </c>
      <c r="BQ167" s="3" t="e">
        <f t="shared" ref="BQ167:BQ181" ca="1" si="626">+$A$84*$A$84*AS167*BJ167-$A$84*$A$84*AT167*BK167</f>
        <v>#NUM!</v>
      </c>
      <c r="BR167" s="3" t="e">
        <f t="shared" ca="1" si="541"/>
        <v>#NUM!</v>
      </c>
      <c r="BS167" s="3">
        <f t="shared" ref="BS167:BS181" ca="1" si="627">+$A$84*$A$84*AU167*BL167-$A$84*$A$84*AV167*BM167</f>
        <v>0</v>
      </c>
      <c r="BT167" s="3" t="str">
        <f t="shared" ca="1" si="542"/>
        <v/>
      </c>
      <c r="BU167" s="3">
        <f t="shared" ref="BU167:BU181" ca="1" si="628">+$A$84*$A$84*AW167*BN167-$A$84*$A$84*AX167*BO167</f>
        <v>0</v>
      </c>
      <c r="BV167" s="3" t="str">
        <f t="shared" ca="1" si="542"/>
        <v/>
      </c>
      <c r="BX167" s="3" t="e">
        <f t="shared" ca="1" si="575"/>
        <v>#NUM!</v>
      </c>
      <c r="BY167" s="3" t="e">
        <f t="shared" ca="1" si="576"/>
        <v>#NUM!</v>
      </c>
      <c r="BZ167" s="3">
        <f t="shared" ca="1" si="577"/>
        <v>0</v>
      </c>
      <c r="CA167" s="3" t="str">
        <f t="shared" ca="1" si="576"/>
        <v/>
      </c>
      <c r="CB167" s="3">
        <f t="shared" ca="1" si="578"/>
        <v>0</v>
      </c>
      <c r="CC167" s="3" t="str">
        <f t="shared" ca="1" si="576"/>
        <v/>
      </c>
      <c r="CD167" s="3">
        <f>IF(RTD("tos.rtd",,CD$43,"."&amp;$B$134&amp;$AS$82&amp;"C"&amp;$A167)="N/A",0,RTD("tos.rtd",,CD$43,"."&amp;$B$134&amp;$AS$82&amp;"C"&amp;$A167))</f>
        <v>1</v>
      </c>
      <c r="CE167" s="3">
        <f>-IF(RTD("tos.rtd",,CE$43,"."&amp;$B$134&amp;$AS$82&amp;"P"&amp;$A167)="N/A",0,RTD("tos.rtd",,CE$43,"."&amp;$B$134&amp;$AS$82&amp;"P"&amp;$A167))</f>
        <v>0.02</v>
      </c>
      <c r="CF167" s="3">
        <f>IF(RTD("tos.rtd",,CF$2,"."&amp;$C$134&amp;$AU$82&amp;"C"&amp;$A167)="N/A",0,RTD("tos.rtd",,CF$2,"."&amp;$C$134&amp;$AU$82&amp;"C"&amp;$A167))</f>
        <v>0</v>
      </c>
      <c r="CG167" s="3">
        <f>-IF(RTD("tos.rtd",,CG$2,"."&amp;$C$134&amp;$AU$82&amp;"P"&amp;$A167)="N/A",0,RTD("tos.rtd",,CG$2,"."&amp;$C$134&amp;$AU$82&amp;"P"&amp;$A167))</f>
        <v>0</v>
      </c>
      <c r="CH167" s="3">
        <f>IF(RTD("tos.rtd",,CH$2,"."&amp;$D$134&amp;$AW$82&amp;"C"&amp;$A167)="N/A",0,RTD("tos.rtd",,CH$2,"."&amp;$D$134&amp;$AW$82&amp;"C"&amp;$A167))</f>
        <v>0</v>
      </c>
      <c r="CI167" s="3">
        <f>-IF(RTD("tos.rtd",,CI$2,"."&amp;$D$134&amp;$AW$82&amp;"P"&amp;$A167)="N/A",0,RTD("tos.rtd",,CI$2,"."&amp;$D$134&amp;$AW$82&amp;"P"&amp;$A167))</f>
        <v>0</v>
      </c>
      <c r="CK167" s="3">
        <f t="shared" si="608"/>
        <v>384</v>
      </c>
      <c r="CL167" s="3"/>
      <c r="CM167" s="3">
        <f t="shared" si="609"/>
        <v>0</v>
      </c>
      <c r="CN167" s="3"/>
      <c r="CO167" s="3">
        <f t="shared" si="610"/>
        <v>0</v>
      </c>
      <c r="CP167" s="3">
        <f t="shared" si="533"/>
        <v>384</v>
      </c>
      <c r="CQ167" s="3">
        <f t="shared" si="543"/>
        <v>-259</v>
      </c>
      <c r="CR167" s="3"/>
      <c r="CS167" s="3">
        <f t="shared" si="544"/>
        <v>0</v>
      </c>
      <c r="CT167" s="3"/>
      <c r="CU167" s="3">
        <f t="shared" si="545"/>
        <v>0</v>
      </c>
      <c r="CV167" s="3"/>
      <c r="CW167" s="3" t="e">
        <f t="shared" ca="1" si="546"/>
        <v>#NUM!</v>
      </c>
      <c r="CY167" s="3" t="e">
        <f t="shared" ca="1" si="547"/>
        <v>#NUM!</v>
      </c>
      <c r="CZ167" s="70" t="e">
        <f t="shared" ca="1" si="579"/>
        <v>#NUM!</v>
      </c>
      <c r="DA167" s="3">
        <f>IF(RTD("tos.rtd",,DA$43,"."&amp;$B$134&amp;$AS$82&amp;"C"&amp;$A167)="N/A",0,RTD("tos.rtd",,DA$43,"."&amp;$B$134&amp;$AS$82&amp;"C"&amp;$A167))</f>
        <v>329.25</v>
      </c>
      <c r="DB167" s="3">
        <f>IF(RTD("tos.rtd",,DB$43,"."&amp;$B$134&amp;$AS$82&amp;"P"&amp;$A167)="N/A",0,RTD("tos.rtd",,DB$43,"."&amp;$B$134&amp;$AS$82&amp;"P"&amp;$A167))</f>
        <v>0.7</v>
      </c>
      <c r="DC167" s="3">
        <f>IF(RTD("tos.rtd",,DC$43,"."&amp;$B$134&amp;$AS$82&amp;"C"&amp;$A167)="N/A",0,RTD("tos.rtd",,DC$43,"."&amp;$B$134&amp;$AS$82&amp;"C"&amp;$A167))</f>
        <v>276</v>
      </c>
      <c r="DD167" s="3">
        <f>IF(RTD("tos.rtd",,DD$43,"."&amp;$B$134&amp;$AS$82&amp;"P"&amp;$A167)="N/A",0,RTD("tos.rtd",,DD$43,"."&amp;$B$134&amp;$AS$82&amp;"P"&amp;$A167))</f>
        <v>2</v>
      </c>
      <c r="DE167" s="3">
        <f>IF(RTD("tos.rtd",,DE$43,"."&amp;$B$134&amp;$AS$82&amp;"C"&amp;$A167)="N/A",0,RTD("tos.rtd",,DE$43,"."&amp;$B$134&amp;$AS$82&amp;"C"&amp;$A167))</f>
        <v>233.9</v>
      </c>
      <c r="DF167" s="3">
        <f>IF(RTD("tos.rtd",,DF$43,"."&amp;$B$134&amp;$AS$82&amp;"P"&amp;$A167)="N/A",0,RTD("tos.rtd",,DF$43,"."&amp;$B$134&amp;$AS$82&amp;"P"&amp;$A167))</f>
        <v>0</v>
      </c>
      <c r="DG167" s="86">
        <f t="shared" si="580"/>
        <v>-252</v>
      </c>
      <c r="DH167" s="3">
        <f t="shared" si="548"/>
        <v>0</v>
      </c>
      <c r="DI167" s="3">
        <f t="shared" si="549"/>
        <v>0</v>
      </c>
      <c r="DJ167" s="3">
        <f t="shared" si="550"/>
        <v>0</v>
      </c>
      <c r="DK167" s="3">
        <f t="shared" si="551"/>
        <v>0</v>
      </c>
      <c r="DL167" s="3">
        <f t="shared" si="552"/>
        <v>0</v>
      </c>
      <c r="DM167" s="3">
        <f t="shared" si="553"/>
        <v>0</v>
      </c>
      <c r="DN167" s="64" t="str">
        <f t="shared" si="554"/>
        <v>UNKNOWN</v>
      </c>
      <c r="DO167" s="64" t="str">
        <f t="shared" si="555"/>
        <v>UNKNOWN</v>
      </c>
      <c r="DP167" s="3">
        <f t="shared" si="556"/>
        <v>0</v>
      </c>
      <c r="DQ167" s="3">
        <f t="shared" si="557"/>
        <v>0</v>
      </c>
      <c r="DR167" s="3" t="e">
        <f t="shared" ca="1" si="558"/>
        <v>#NUM!</v>
      </c>
      <c r="DS167" s="3">
        <f t="shared" si="559"/>
        <v>0</v>
      </c>
      <c r="DT167" s="3">
        <f t="shared" si="581"/>
        <v>0</v>
      </c>
      <c r="DU167" s="3">
        <f t="shared" si="582"/>
        <v>0</v>
      </c>
      <c r="DV167" s="3">
        <f t="shared" si="560"/>
        <v>0</v>
      </c>
      <c r="DW167" s="3">
        <f t="shared" si="561"/>
        <v>-25</v>
      </c>
      <c r="DX167" s="3" t="e">
        <f t="shared" ca="1" si="562"/>
        <v>#NUM!</v>
      </c>
      <c r="DY167" s="3" t="e">
        <f t="shared" ca="1" si="563"/>
        <v>#NUM!</v>
      </c>
      <c r="DZ167" s="3">
        <f t="shared" ca="1" si="564"/>
        <v>4.5902451632779008E-4</v>
      </c>
      <c r="EA167" s="3">
        <f t="shared" ca="1" si="565"/>
        <v>-4.5902451632779008E-4</v>
      </c>
      <c r="EB167" s="3">
        <f t="shared" ca="1" si="566"/>
        <v>4.5902451632779008E-4</v>
      </c>
      <c r="EC167" s="3">
        <f t="shared" ca="1" si="567"/>
        <v>-4.5902451632779008E-4</v>
      </c>
      <c r="EE167" s="59">
        <f t="shared" si="568"/>
        <v>0.25</v>
      </c>
      <c r="EF167" s="59">
        <f t="shared" si="569"/>
        <v>0.85609999999999997</v>
      </c>
      <c r="EG167" s="59">
        <f t="shared" si="570"/>
        <v>0.25</v>
      </c>
      <c r="EH167" s="59">
        <f t="shared" si="571"/>
        <v>0.25</v>
      </c>
      <c r="EI167" s="59">
        <f t="shared" si="572"/>
        <v>0.25</v>
      </c>
      <c r="EJ167" s="59">
        <f t="shared" si="573"/>
        <v>0.25</v>
      </c>
      <c r="EL167" s="3" t="str">
        <f>RTD("tos.rtd",,EL$43,"."&amp;$B$134&amp;$AS$82&amp;"C"&amp;$A167)</f>
        <v>--</v>
      </c>
      <c r="EM167" s="3" t="str">
        <f>RTD("tos.rtd",,EM$43,"."&amp;$B$134&amp;$AS$82&amp;"P"&amp;$A167)</f>
        <v>85.61%</v>
      </c>
      <c r="EN167" s="3" t="str">
        <f>RTD("tos.rtd",,EN$2,"."&amp;$C$134&amp;$AU$82&amp;"C"&amp;$A167)</f>
        <v>N/A</v>
      </c>
      <c r="EO167" s="3" t="str">
        <f>RTD("tos.rtd",,EO$2,"."&amp;$C$134&amp;$AU$82&amp;"P"&amp;$A167)</f>
        <v>N/A</v>
      </c>
      <c r="EP167" s="3" t="str">
        <f>RTD("tos.rtd",,EP$2,"."&amp;$D$134&amp;$AW$82&amp;"C"&amp;$A167)</f>
        <v>N/A</v>
      </c>
      <c r="EQ167" s="3" t="str">
        <f>RTD("tos.rtd",,EQ$2,"."&amp;$D$134&amp;$AW$82&amp;"P"&amp;$A167)</f>
        <v>N/A</v>
      </c>
      <c r="ET167" s="64" t="str">
        <f t="shared" ca="1" si="574"/>
        <v>19840,00.00</v>
      </c>
      <c r="EU167" s="68">
        <v>563.48</v>
      </c>
      <c r="EV167" s="68" t="s">
        <v>1356</v>
      </c>
      <c r="EW167" s="68">
        <v>486.16</v>
      </c>
      <c r="EX167" s="68" t="s">
        <v>1357</v>
      </c>
      <c r="EY167" s="68">
        <v>5650.25</v>
      </c>
      <c r="EZ167" s="68" t="s">
        <v>1358</v>
      </c>
      <c r="FA167" s="68">
        <v>19975.5</v>
      </c>
      <c r="FB167" s="68" t="s">
        <v>1359</v>
      </c>
      <c r="FC167" s="68" t="s">
        <v>1360</v>
      </c>
      <c r="FD167" s="68" t="s">
        <v>1361</v>
      </c>
      <c r="FE167" s="68" t="s">
        <v>1362</v>
      </c>
      <c r="FF167" s="68" t="s">
        <v>1363</v>
      </c>
    </row>
    <row r="168" spans="1:162" ht="11.1" customHeight="1" thickBot="1" x14ac:dyDescent="0.25">
      <c r="A168" s="2">
        <f t="shared" si="583"/>
        <v>19820</v>
      </c>
      <c r="B168" s="3">
        <f t="shared" ref="B168:B175" si="629">+IF($A$1="ABS",AS168-AT168,AS168+AT168)</f>
        <v>12</v>
      </c>
      <c r="C168" s="3">
        <f t="shared" ref="C168:C175" si="630">+IF($A$1="ABS",AU168-AV168,AU168+AV168)</f>
        <v>0</v>
      </c>
      <c r="D168" s="3">
        <f t="shared" ref="D168:D175" si="631">+IF($A$1="ABS",AW168-AX168,AW168+AX168)</f>
        <v>0</v>
      </c>
      <c r="E168" s="3">
        <f t="shared" ref="E168:E175" si="632">SUM(B168:D168)</f>
        <v>12</v>
      </c>
      <c r="F168" s="4">
        <f t="shared" ref="F168:F175" si="633">+$F$136/$A$136*A168</f>
        <v>19918.646227354173</v>
      </c>
      <c r="G168" s="5">
        <f t="shared" ref="G168:G175" si="634">+$G$136/$A$136*A168</f>
        <v>482.3405932709536</v>
      </c>
      <c r="AM168" s="1" t="e">
        <v>#N/A</v>
      </c>
      <c r="AN168" s="1">
        <v>-58</v>
      </c>
      <c r="AO168" s="1">
        <v>19820</v>
      </c>
      <c r="AP168" s="1">
        <v>2</v>
      </c>
      <c r="AQ168" s="1">
        <v>-42</v>
      </c>
      <c r="AS168" s="54">
        <f>IF(RTD("tos.rtd",,AS$83,"."&amp;$B$134&amp;$AS$82&amp;"C"&amp;$A168)="N/A",0,RTD("tos.rtd",,AS$83,"."&amp;$B$134&amp;$AS$82&amp;"C"&amp;$A168))</f>
        <v>9</v>
      </c>
      <c r="AT168" s="3">
        <f>-IF(RTD("tos.rtd",,AT$83,"."&amp;$B$134&amp;$AS$82&amp;"P"&amp;$A168)="N/A",0,RTD("tos.rtd",,AT$83,"."&amp;$B$134&amp;$AS$82&amp;"P"&amp;$A168))</f>
        <v>-3</v>
      </c>
      <c r="AU168" s="54">
        <f>IF(RTD("tos.rtd",,AU$2,"."&amp;$C$134&amp;$AU$134&amp;"C"&amp;$A168)="N/A",0,RTD("tos.rtd",,AU$2,"."&amp;$C$134&amp;$AU$134&amp;"C"&amp;$A168))</f>
        <v>0</v>
      </c>
      <c r="AV168" s="3">
        <f>-IF(RTD("tos.rtd",,AV$2,"."&amp;$C$134&amp;$AU$134&amp;"P"&amp;$A168)="N/A",0,RTD("tos.rtd",,AV$2,"."&amp;$C$134&amp;$AU$134&amp;"P"&amp;$A168))</f>
        <v>0</v>
      </c>
      <c r="AW168" s="54">
        <f>IF(RTD("tos.rtd",,AW$2,"."&amp;$D$134&amp;$AW$134&amp;"C"&amp;$A168)="N/A",0,RTD("tos.rtd",,AW$2,"."&amp;$D$134&amp;$AW$134&amp;"C"&amp;$A168))</f>
        <v>0</v>
      </c>
      <c r="AX168" s="3">
        <f>-IF(RTD("tos.rtd",,AX$2,"."&amp;$D$134&amp;$AW$134&amp;"P"&amp;$A168)="N/A",0,RTD("tos.rtd",,AX$2,"."&amp;$D$134&amp;$AW$134&amp;"P"&amp;$A168))</f>
        <v>0</v>
      </c>
      <c r="AY168" s="76">
        <f t="shared" ref="AY168:AY175" si="635">SUM(AS168:AX168)</f>
        <v>6</v>
      </c>
      <c r="AZ168" s="8">
        <f t="shared" si="539"/>
        <v>19820</v>
      </c>
      <c r="BA168" s="54">
        <f>IF(RTD("tos.rtd",,BA$43,"."&amp;$B$134&amp;$AS$82&amp;"C"&amp;$A168)="N/A",0,RTD("tos.rtd",,BA$43,"."&amp;$B$134&amp;$AS$82&amp;"C"&amp;$A168))</f>
        <v>2</v>
      </c>
      <c r="BB168" s="3">
        <f>-IF(RTD("tos.rtd",,BB$43,"."&amp;$B$134&amp;$AS$82&amp;"P"&amp;$A168)="N/A",0,RTD("tos.rtd",,BB$43,"."&amp;$B$134&amp;$AS$82&amp;"P"&amp;$A168))</f>
        <v>-42</v>
      </c>
      <c r="BC168" s="54">
        <f>IF(RTD("tos.rtd",,BC$2,"."&amp;$C$134&amp;$AU$82&amp;"C"&amp;$A168)="N/A",0,RTD("tos.rtd",,BC$2,"."&amp;$C$134&amp;$AU$82&amp;"C"&amp;$A168))</f>
        <v>0</v>
      </c>
      <c r="BD168" s="3">
        <f>-IF(RTD("tos.rtd",,BD$2,"."&amp;$C$134&amp;$AU$82&amp;"P"&amp;$A168)="N/A",0,RTD("tos.rtd",,BD$2,"."&amp;$C$134&amp;$AU$82&amp;"P"&amp;$A168))</f>
        <v>0</v>
      </c>
      <c r="BE168" s="54">
        <f>IF(RTD("tos.rtd",,BE$2,"."&amp;$D$134&amp;$AW$82&amp;"C"&amp;$A168)="N/A",0,RTD("tos.rtd",,BE$2,"."&amp;$D$134&amp;$AW$82&amp;"C"&amp;$A168))</f>
        <v>0</v>
      </c>
      <c r="BF168" s="3">
        <f>-IF(RTD("tos.rtd",,BF$2,"."&amp;$D$134&amp;$AW$82&amp;"P"&amp;$A168)="N/A",0,RTD("tos.rtd",,BF$2,"."&amp;$D$134&amp;$AW$82&amp;"P"&amp;$A168))</f>
        <v>0</v>
      </c>
      <c r="BG168" s="3" t="e">
        <f ca="1">+Hoja2!Y169</f>
        <v>#N/A</v>
      </c>
      <c r="BH168" s="7" t="e">
        <f t="shared" ca="1" si="540"/>
        <v>#N/A</v>
      </c>
      <c r="BI168" s="32" t="e">
        <f t="shared" ca="1" si="597"/>
        <v>#N/A</v>
      </c>
      <c r="BJ168" s="3" t="e">
        <f ca="1">IF($BP$1=1,DX168,IF(RTD("tos.rtd",,BJ$43,"."&amp;$B$134&amp;$AS$82&amp;"C"&amp;$A168)="N/A",0,RTD("tos.rtd",,BJ$43,"."&amp;$B$134&amp;$AS$82&amp;"C"&amp;$A168)))</f>
        <v>#NUM!</v>
      </c>
      <c r="BK168" s="3" t="e">
        <f ca="1">IF($BP$1=1,DY168,-IF(RTD("tos.rtd",,BK$43,"."&amp;$B$134&amp;$AS$82&amp;"P"&amp;$A168)="N/A",0,RTD("tos.rtd",,BK$43,"."&amp;$B$134&amp;$AS$82&amp;"P"&amp;$A168)))</f>
        <v>#NUM!</v>
      </c>
      <c r="BL168" s="3">
        <f ca="1">IF($BP$1=1,DZ168,IF(RTD("tos.rtd",,BL$2,"."&amp;$C$134&amp;$AU$82&amp;"C"&amp;$A168)="N/A",0,RTD("tos.rtd",,BL$2,"."&amp;$C$134&amp;$AU$82&amp;"C"&amp;$A168)))</f>
        <v>4.5480778364294735E-4</v>
      </c>
      <c r="BM168" s="3">
        <f ca="1">IF($BP$1=1,EA168,-IF(RTD("tos.rtd",,BM$2,"."&amp;$C$134&amp;$AU$82&amp;"P"&amp;$A168)="N/A",0,RTD("tos.rtd",,BM$2,"."&amp;$C$134&amp;$AU$82&amp;"P"&amp;$A168)))</f>
        <v>-4.5480778364294735E-4</v>
      </c>
      <c r="BN168" s="3">
        <f ca="1">IF($BP$1=1,EB168,IF(RTD("tos.rtd",,BN$2,"."&amp;$D$134&amp;$AW$82&amp;"C"&amp;$A168)="N/A",0,RTD("tos.rtd",,BN$2,"."&amp;$D$134&amp;$AW$82&amp;"C"&amp;$A168)))</f>
        <v>4.5480778364294735E-4</v>
      </c>
      <c r="BO168" s="3">
        <f ca="1">IF($BP$1=1,EC168,-IF(RTD("tos.rtd",,BO$2,"."&amp;$D$134&amp;$AW$82&amp;"P"&amp;$A168)="N/A",0,RTD("tos.rtd",,BO$2,"."&amp;$D$134&amp;$AW$82&amp;"P"&amp;$A168)))</f>
        <v>-4.5480778364294735E-4</v>
      </c>
      <c r="BQ168" s="3" t="e">
        <f t="shared" ref="BQ168:BQ175" ca="1" si="636">+$A$84*$A$84*AS168*BJ168-$A$84*$A$84*AT168*BK168</f>
        <v>#NUM!</v>
      </c>
      <c r="BR168" s="3" t="e">
        <f t="shared" ca="1" si="541"/>
        <v>#NUM!</v>
      </c>
      <c r="BS168" s="3">
        <f t="shared" ref="BS168:BS175" ca="1" si="637">+$A$84*$A$84*AU168*BL168-$A$84*$A$84*AV168*BM168</f>
        <v>0</v>
      </c>
      <c r="BT168" s="3" t="str">
        <f t="shared" ca="1" si="542"/>
        <v/>
      </c>
      <c r="BU168" s="3">
        <f t="shared" ref="BU168:BU175" ca="1" si="638">+$A$84*$A$84*AW168*BN168-$A$84*$A$84*AX168*BO168</f>
        <v>0</v>
      </c>
      <c r="BV168" s="3" t="str">
        <f t="shared" ca="1" si="542"/>
        <v/>
      </c>
      <c r="BX168" s="3" t="e">
        <f t="shared" ca="1" si="575"/>
        <v>#NUM!</v>
      </c>
      <c r="BY168" s="3" t="e">
        <f t="shared" ca="1" si="576"/>
        <v>#NUM!</v>
      </c>
      <c r="BZ168" s="3">
        <f t="shared" ca="1" si="577"/>
        <v>0</v>
      </c>
      <c r="CA168" s="3" t="str">
        <f t="shared" ca="1" si="576"/>
        <v/>
      </c>
      <c r="CB168" s="3">
        <f t="shared" ca="1" si="578"/>
        <v>0</v>
      </c>
      <c r="CC168" s="3" t="str">
        <f t="shared" ca="1" si="576"/>
        <v/>
      </c>
      <c r="CD168" s="3">
        <f>IF(RTD("tos.rtd",,CD$43,"."&amp;$B$134&amp;$AS$82&amp;"C"&amp;$A168)="N/A",0,RTD("tos.rtd",,CD$43,"."&amp;$B$134&amp;$AS$82&amp;"C"&amp;$A168))</f>
        <v>1</v>
      </c>
      <c r="CE168" s="3">
        <f>-IF(RTD("tos.rtd",,CE$43,"."&amp;$B$134&amp;$AS$82&amp;"P"&amp;$A168)="N/A",0,RTD("tos.rtd",,CE$43,"."&amp;$B$134&amp;$AS$82&amp;"P"&amp;$A168))</f>
        <v>0.1</v>
      </c>
      <c r="CF168" s="3">
        <f>IF(RTD("tos.rtd",,CF$2,"."&amp;$C$134&amp;$AU$82&amp;"C"&amp;$A168)="N/A",0,RTD("tos.rtd",,CF$2,"."&amp;$C$134&amp;$AU$82&amp;"C"&amp;$A168))</f>
        <v>0</v>
      </c>
      <c r="CG168" s="3">
        <f>-IF(RTD("tos.rtd",,CG$2,"."&amp;$C$134&amp;$AU$82&amp;"P"&amp;$A168)="N/A",0,RTD("tos.rtd",,CG$2,"."&amp;$C$134&amp;$AU$82&amp;"P"&amp;$A168))</f>
        <v>0</v>
      </c>
      <c r="CH168" s="3">
        <f>IF(RTD("tos.rtd",,CH$2,"."&amp;$D$134&amp;$AW$82&amp;"C"&amp;$A168)="N/A",0,RTD("tos.rtd",,CH$2,"."&amp;$D$134&amp;$AW$82&amp;"C"&amp;$A168))</f>
        <v>0</v>
      </c>
      <c r="CI168" s="3">
        <f>-IF(RTD("tos.rtd",,CI$2,"."&amp;$D$134&amp;$AW$82&amp;"P"&amp;$A168)="N/A",0,RTD("tos.rtd",,CI$2,"."&amp;$D$134&amp;$AW$82&amp;"P"&amp;$A168))</f>
        <v>0</v>
      </c>
      <c r="CK168" s="3">
        <f t="shared" ref="CK168:CK175" si="639">+AS168*CD168*100+AT168*CE168*100</f>
        <v>870</v>
      </c>
      <c r="CL168" s="3"/>
      <c r="CM168" s="3">
        <f t="shared" ref="CM168:CM175" si="640">+AU168*CF168*100+AV168*CG168*100</f>
        <v>0</v>
      </c>
      <c r="CN168" s="3"/>
      <c r="CO168" s="3">
        <f t="shared" ref="CO168:CO175" si="641">+AW168*CH168*100+AX168*CI168*100</f>
        <v>0</v>
      </c>
      <c r="CP168" s="3">
        <f t="shared" si="533"/>
        <v>870</v>
      </c>
      <c r="CQ168" s="3">
        <f t="shared" si="543"/>
        <v>-40</v>
      </c>
      <c r="CR168" s="3"/>
      <c r="CS168" s="3">
        <f t="shared" si="544"/>
        <v>0</v>
      </c>
      <c r="CT168" s="3"/>
      <c r="CU168" s="3">
        <f t="shared" si="545"/>
        <v>0</v>
      </c>
      <c r="CV168" s="3"/>
      <c r="CW168" s="3" t="e">
        <f t="shared" ca="1" si="546"/>
        <v>#NUM!</v>
      </c>
      <c r="CY168" s="3" t="e">
        <f t="shared" ca="1" si="547"/>
        <v>#NUM!</v>
      </c>
      <c r="CZ168" s="70" t="e">
        <f t="shared" ca="1" si="579"/>
        <v>#NUM!</v>
      </c>
      <c r="DA168" s="3">
        <f>IF(RTD("tos.rtd",,DA$43,"."&amp;$B$134&amp;$AS$82&amp;"C"&amp;$A168)="N/A",0,RTD("tos.rtd",,DA$43,"."&amp;$B$134&amp;$AS$82&amp;"C"&amp;$A168))</f>
        <v>269.89999999999998</v>
      </c>
      <c r="DB168" s="3">
        <f>IF(RTD("tos.rtd",,DB$43,"."&amp;$B$134&amp;$AS$82&amp;"P"&amp;$A168)="N/A",0,RTD("tos.rtd",,DB$43,"."&amp;$B$134&amp;$AS$82&amp;"P"&amp;$A168))</f>
        <v>0.3</v>
      </c>
      <c r="DC168" s="3">
        <f>IF(RTD("tos.rtd",,DC$43,"."&amp;$B$134&amp;$AS$82&amp;"C"&amp;$A168)="N/A",0,RTD("tos.rtd",,DC$43,"."&amp;$B$134&amp;$AS$82&amp;"C"&amp;$A168))</f>
        <v>296</v>
      </c>
      <c r="DD168" s="3">
        <f>IF(RTD("tos.rtd",,DD$43,"."&amp;$B$134&amp;$AS$82&amp;"P"&amp;$A168)="N/A",0,RTD("tos.rtd",,DD$43,"."&amp;$B$134&amp;$AS$82&amp;"P"&amp;$A168))</f>
        <v>19.8</v>
      </c>
      <c r="DE168" s="3">
        <f>IF(RTD("tos.rtd",,DE$43,"."&amp;$B$134&amp;$AS$82&amp;"C"&amp;$A168)="N/A",0,RTD("tos.rtd",,DE$43,"."&amp;$B$134&amp;$AS$82&amp;"C"&amp;$A168))</f>
        <v>254.1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580"/>
        <v>-272</v>
      </c>
      <c r="DH168" s="3">
        <f t="shared" si="548"/>
        <v>0</v>
      </c>
      <c r="DI168" s="3">
        <f t="shared" si="549"/>
        <v>0</v>
      </c>
      <c r="DJ168" s="3">
        <f t="shared" si="550"/>
        <v>0</v>
      </c>
      <c r="DK168" s="3">
        <f t="shared" si="551"/>
        <v>0</v>
      </c>
      <c r="DL168" s="3">
        <f t="shared" si="552"/>
        <v>0</v>
      </c>
      <c r="DM168" s="3">
        <f t="shared" si="553"/>
        <v>0</v>
      </c>
      <c r="DN168" s="64" t="str">
        <f t="shared" si="554"/>
        <v>UNKNOWN</v>
      </c>
      <c r="DO168" s="64" t="str">
        <f t="shared" si="555"/>
        <v>UNKNOWN</v>
      </c>
      <c r="DP168" s="3">
        <f t="shared" si="556"/>
        <v>0</v>
      </c>
      <c r="DQ168" s="3">
        <f t="shared" si="557"/>
        <v>0</v>
      </c>
      <c r="DR168" s="3" t="e">
        <f t="shared" ca="1" si="558"/>
        <v>#NUM!</v>
      </c>
      <c r="DS168" s="3">
        <f t="shared" si="559"/>
        <v>0</v>
      </c>
      <c r="DT168" s="3">
        <f t="shared" si="581"/>
        <v>0</v>
      </c>
      <c r="DU168" s="3">
        <f t="shared" si="582"/>
        <v>0</v>
      </c>
      <c r="DV168" s="3" t="e">
        <f t="shared" si="560"/>
        <v>#N/A</v>
      </c>
      <c r="DW168" s="3">
        <f t="shared" si="561"/>
        <v>-58</v>
      </c>
      <c r="DX168" s="3" t="e">
        <f t="shared" ca="1" si="562"/>
        <v>#NUM!</v>
      </c>
      <c r="DY168" s="3" t="e">
        <f t="shared" ca="1" si="563"/>
        <v>#NUM!</v>
      </c>
      <c r="DZ168" s="3">
        <f t="shared" ca="1" si="564"/>
        <v>4.5480778364294735E-4</v>
      </c>
      <c r="EA168" s="3">
        <f t="shared" ca="1" si="565"/>
        <v>-4.5480778364294735E-4</v>
      </c>
      <c r="EB168" s="3">
        <f t="shared" ca="1" si="566"/>
        <v>4.5480778364294735E-4</v>
      </c>
      <c r="EC168" s="3">
        <f t="shared" ca="1" si="567"/>
        <v>-4.5480778364294735E-4</v>
      </c>
      <c r="EE168" s="59">
        <f t="shared" si="568"/>
        <v>0.25</v>
      </c>
      <c r="EF168" s="59">
        <f t="shared" si="569"/>
        <v>1.4422999999999999</v>
      </c>
      <c r="EG168" s="59">
        <f t="shared" si="570"/>
        <v>0.25</v>
      </c>
      <c r="EH168" s="59">
        <f t="shared" si="571"/>
        <v>0.25</v>
      </c>
      <c r="EI168" s="59">
        <f t="shared" si="572"/>
        <v>0.25</v>
      </c>
      <c r="EJ168" s="59">
        <f t="shared" si="573"/>
        <v>0.25</v>
      </c>
      <c r="EL168" s="3" t="str">
        <f>RTD("tos.rtd",,EL$43,"."&amp;$B$134&amp;$AS$82&amp;"C"&amp;$A168)</f>
        <v>--</v>
      </c>
      <c r="EM168" s="3" t="str">
        <f>RTD("tos.rtd",,EM$43,"."&amp;$B$134&amp;$AS$82&amp;"P"&amp;$A168)</f>
        <v>144.23%</v>
      </c>
      <c r="EN168" s="3" t="str">
        <f>RTD("tos.rtd",,EN$2,"."&amp;$C$134&amp;$AU$82&amp;"C"&amp;$A168)</f>
        <v>N/A</v>
      </c>
      <c r="EO168" s="3" t="str">
        <f>RTD("tos.rtd",,EO$2,"."&amp;$C$134&amp;$AU$82&amp;"P"&amp;$A168)</f>
        <v>N/A</v>
      </c>
      <c r="EP168" s="3" t="str">
        <f>RTD("tos.rtd",,EP$2,"."&amp;$D$134&amp;$AW$82&amp;"C"&amp;$A168)</f>
        <v>N/A</v>
      </c>
      <c r="EQ168" s="3" t="str">
        <f>RTD("tos.rtd",,EQ$2,"."&amp;$D$134&amp;$AW$82&amp;"P"&amp;$A168)</f>
        <v>N/A</v>
      </c>
      <c r="ET168" s="64" t="str">
        <f t="shared" ca="1" si="574"/>
        <v>19820,00.00</v>
      </c>
      <c r="EU168" s="68">
        <v>563.85500000000002</v>
      </c>
      <c r="EV168" s="68" t="s">
        <v>1364</v>
      </c>
      <c r="EW168" s="68">
        <v>486.58</v>
      </c>
      <c r="EX168" s="68" t="s">
        <v>1365</v>
      </c>
      <c r="EY168" s="68">
        <v>5654.25</v>
      </c>
      <c r="EZ168" s="68" t="s">
        <v>1366</v>
      </c>
      <c r="FA168" s="68">
        <v>19992</v>
      </c>
      <c r="FB168" s="68" t="s">
        <v>1367</v>
      </c>
      <c r="FC168" s="68" t="s">
        <v>1368</v>
      </c>
      <c r="FD168" s="68" t="s">
        <v>1369</v>
      </c>
      <c r="FE168" s="68" t="s">
        <v>1370</v>
      </c>
      <c r="FF168" s="68" t="s">
        <v>1371</v>
      </c>
    </row>
    <row r="169" spans="1:162" ht="11.1" customHeight="1" thickBot="1" x14ac:dyDescent="0.25">
      <c r="A169" s="2">
        <f t="shared" si="583"/>
        <v>19800</v>
      </c>
      <c r="B169" s="3">
        <f t="shared" si="629"/>
        <v>126</v>
      </c>
      <c r="C169" s="3">
        <f t="shared" si="630"/>
        <v>13</v>
      </c>
      <c r="D169" s="3">
        <f t="shared" si="631"/>
        <v>53</v>
      </c>
      <c r="E169" s="3">
        <f t="shared" si="632"/>
        <v>192</v>
      </c>
      <c r="F169" s="4">
        <f t="shared" si="633"/>
        <v>19898.54668524786</v>
      </c>
      <c r="G169" s="5">
        <f t="shared" si="634"/>
        <v>481.85387218793545</v>
      </c>
      <c r="AM169" s="1">
        <v>0</v>
      </c>
      <c r="AN169" s="1">
        <v>-114</v>
      </c>
      <c r="AO169" s="1">
        <v>19800</v>
      </c>
      <c r="AP169" s="1">
        <v>33</v>
      </c>
      <c r="AQ169" s="1">
        <v>-692</v>
      </c>
      <c r="AS169" s="54">
        <f>IF(RTD("tos.rtd",,AS$83,"."&amp;$B$134&amp;$AS$82&amp;"C"&amp;$A169)="N/A",0,RTD("tos.rtd",,AS$83,"."&amp;$B$134&amp;$AS$82&amp;"C"&amp;$A169))</f>
        <v>101</v>
      </c>
      <c r="AT169" s="3">
        <f>-IF(RTD("tos.rtd",,AT$83,"."&amp;$B$134&amp;$AS$82&amp;"P"&amp;$A169)="N/A",0,RTD("tos.rtd",,AT$83,"."&amp;$B$134&amp;$AS$82&amp;"P"&amp;$A169))</f>
        <v>-25</v>
      </c>
      <c r="AU169" s="54">
        <f>IF(RTD("tos.rtd",,AU$2,"."&amp;$C$134&amp;$AU$134&amp;"C"&amp;$A169)="N/A",0,RTD("tos.rtd",,AU$2,"."&amp;$C$134&amp;$AU$134&amp;"C"&amp;$A169))</f>
        <v>12</v>
      </c>
      <c r="AV169" s="3">
        <f>-IF(RTD("tos.rtd",,AV$2,"."&amp;$C$134&amp;$AU$134&amp;"P"&amp;$A169)="N/A",0,RTD("tos.rtd",,AV$2,"."&amp;$C$134&amp;$AU$134&amp;"P"&amp;$A169))</f>
        <v>-1</v>
      </c>
      <c r="AW169" s="54">
        <f>IF(RTD("tos.rtd",,AW$2,"."&amp;$D$134&amp;$AW$134&amp;"C"&amp;$A169)="N/A",0,RTD("tos.rtd",,AW$2,"."&amp;$D$134&amp;$AW$134&amp;"C"&amp;$A169))</f>
        <v>26</v>
      </c>
      <c r="AX169" s="3">
        <f>-IF(RTD("tos.rtd",,AX$2,"."&amp;$D$134&amp;$AW$134&amp;"P"&amp;$A169)="N/A",0,RTD("tos.rtd",,AX$2,"."&amp;$D$134&amp;$AW$134&amp;"P"&amp;$A169))</f>
        <v>-27</v>
      </c>
      <c r="AY169" s="76">
        <f t="shared" si="635"/>
        <v>86</v>
      </c>
      <c r="AZ169" s="8">
        <f t="shared" si="539"/>
        <v>19800</v>
      </c>
      <c r="BA169" s="54">
        <f>IF(RTD("tos.rtd",,BA$43,"."&amp;$B$134&amp;$AS$82&amp;"C"&amp;$A169)="N/A",0,RTD("tos.rtd",,BA$43,"."&amp;$B$134&amp;$AS$82&amp;"C"&amp;$A169))</f>
        <v>33</v>
      </c>
      <c r="BB169" s="3">
        <f>-IF(RTD("tos.rtd",,BB$43,"."&amp;$B$134&amp;$AS$82&amp;"P"&amp;$A169)="N/A",0,RTD("tos.rtd",,BB$43,"."&amp;$B$134&amp;$AS$82&amp;"P"&amp;$A169))</f>
        <v>-692</v>
      </c>
      <c r="BC169" s="54">
        <f>IF(RTD("tos.rtd",,BC$2,"."&amp;$C$134&amp;$AU$82&amp;"C"&amp;$A169)="N/A",0,RTD("tos.rtd",,BC$2,"."&amp;$C$134&amp;$AU$82&amp;"C"&amp;$A169))</f>
        <v>42</v>
      </c>
      <c r="BD169" s="3">
        <f>-IF(RTD("tos.rtd",,BD$2,"."&amp;$C$134&amp;$AU$82&amp;"P"&amp;$A169)="N/A",0,RTD("tos.rtd",,BD$2,"."&amp;$C$134&amp;$AU$82&amp;"P"&amp;$A169))</f>
        <v>-7</v>
      </c>
      <c r="BE169" s="54">
        <f>IF(RTD("tos.rtd",,BE$2,"."&amp;$D$134&amp;$AW$82&amp;"C"&amp;$A169)="N/A",0,RTD("tos.rtd",,BE$2,"."&amp;$D$134&amp;$AW$82&amp;"C"&amp;$A169))</f>
        <v>3</v>
      </c>
      <c r="BF169" s="3">
        <f>-IF(RTD("tos.rtd",,BF$2,"."&amp;$D$134&amp;$AW$82&amp;"P"&amp;$A169)="N/A",0,RTD("tos.rtd",,BF$2,"."&amp;$D$134&amp;$AW$82&amp;"P"&amp;$A169))</f>
        <v>-7</v>
      </c>
      <c r="BG169" s="3" t="e">
        <f ca="1">+Hoja2!Y170</f>
        <v>#N/A</v>
      </c>
      <c r="BH169" s="7" t="e">
        <f t="shared" ca="1" si="540"/>
        <v>#N/A</v>
      </c>
      <c r="BI169" s="32" t="e">
        <f t="shared" ca="1" si="597"/>
        <v>#N/A</v>
      </c>
      <c r="BJ169" s="3" t="e">
        <f ca="1">IF($BP$1=1,DX169,IF(RTD("tos.rtd",,BJ$43,"."&amp;$B$134&amp;$AS$82&amp;"C"&amp;$A169)="N/A",0,RTD("tos.rtd",,BJ$43,"."&amp;$B$134&amp;$AS$82&amp;"C"&amp;$A169)))</f>
        <v>#NUM!</v>
      </c>
      <c r="BK169" s="3" t="e">
        <f ca="1">IF($BP$1=1,DY169,-IF(RTD("tos.rtd",,BK$43,"."&amp;$B$134&amp;$AS$82&amp;"P"&amp;$A169)="N/A",0,RTD("tos.rtd",,BK$43,"."&amp;$B$134&amp;$AS$82&amp;"P"&amp;$A169)))</f>
        <v>#NUM!</v>
      </c>
      <c r="BL169" s="3">
        <f ca="1">IF($BP$1=1,DZ169,IF(RTD("tos.rtd",,BL$2,"."&amp;$C$134&amp;$AU$82&amp;"C"&amp;$A169)="N/A",0,RTD("tos.rtd",,BL$2,"."&amp;$C$134&amp;$AU$82&amp;"C"&amp;$A169)))</f>
        <v>4.7893156372536927E-4</v>
      </c>
      <c r="BM169" s="3">
        <f ca="1">IF($BP$1=1,EA169,-IF(RTD("tos.rtd",,BM$2,"."&amp;$C$134&amp;$AU$82&amp;"P"&amp;$A169)="N/A",0,RTD("tos.rtd",,BM$2,"."&amp;$C$134&amp;$AU$82&amp;"P"&amp;$A169)))</f>
        <v>-4.6176843419335487E-4</v>
      </c>
      <c r="BN169" s="3">
        <f ca="1">IF($BP$1=1,EB169,IF(RTD("tos.rtd",,BN$2,"."&amp;$D$134&amp;$AW$82&amp;"C"&amp;$A169)="N/A",0,RTD("tos.rtd",,BN$2,"."&amp;$D$134&amp;$AW$82&amp;"C"&amp;$A169)))</f>
        <v>4.8774987350953689E-4</v>
      </c>
      <c r="BO169" s="3">
        <f ca="1">IF($BP$1=1,EC169,-IF(RTD("tos.rtd",,BO$2,"."&amp;$D$134&amp;$AW$82&amp;"P"&amp;$A169)="N/A",0,RTD("tos.rtd",,BO$2,"."&amp;$D$134&amp;$AW$82&amp;"P"&amp;$A169)))</f>
        <v>-4.6192839753845486E-4</v>
      </c>
      <c r="BQ169" s="3" t="e">
        <f t="shared" ca="1" si="636"/>
        <v>#NUM!</v>
      </c>
      <c r="BR169" s="3" t="e">
        <f t="shared" ca="1" si="541"/>
        <v>#NUM!</v>
      </c>
      <c r="BS169" s="3">
        <f t="shared" ca="1" si="637"/>
        <v>170865.4399987486</v>
      </c>
      <c r="BT169" s="3" t="str">
        <f t="shared" ca="1" si="542"/>
        <v/>
      </c>
      <c r="BU169" s="3">
        <f t="shared" ca="1" si="638"/>
        <v>6770.4006032833713</v>
      </c>
      <c r="BV169" s="3" t="str">
        <f t="shared" ca="1" si="542"/>
        <v/>
      </c>
      <c r="BX169" s="3" t="e">
        <f t="shared" ca="1" si="575"/>
        <v>#NUM!</v>
      </c>
      <c r="BY169" s="3" t="e">
        <f t="shared" ca="1" si="576"/>
        <v>#NUM!</v>
      </c>
      <c r="BZ169" s="3">
        <f t="shared" ca="1" si="577"/>
        <v>4036.3588325768155</v>
      </c>
      <c r="CA169" s="3" t="str">
        <f t="shared" ca="1" si="576"/>
        <v/>
      </c>
      <c r="CB169" s="3">
        <f t="shared" ca="1" si="578"/>
        <v>-423.23450060929991</v>
      </c>
      <c r="CC169" s="3" t="str">
        <f t="shared" ca="1" si="576"/>
        <v/>
      </c>
      <c r="CD169" s="3">
        <f>IF(RTD("tos.rtd",,CD$43,"."&amp;$B$134&amp;$AS$82&amp;"C"&amp;$A169)="N/A",0,RTD("tos.rtd",,CD$43,"."&amp;$B$134&amp;$AS$82&amp;"C"&amp;$A169))</f>
        <v>1</v>
      </c>
      <c r="CE169" s="3">
        <f>-IF(RTD("tos.rtd",,CE$43,"."&amp;$B$134&amp;$AS$82&amp;"P"&amp;$A169)="N/A",0,RTD("tos.rtd",,CE$43,"."&amp;$B$134&amp;$AS$82&amp;"P"&amp;$A169))</f>
        <v>0.09</v>
      </c>
      <c r="CF169" s="3">
        <f>IF(RTD("tos.rtd",,CF$2,"."&amp;$C$134&amp;$AU$82&amp;"C"&amp;$A169)="N/A",0,RTD("tos.rtd",,CF$2,"."&amp;$C$134&amp;$AU$82&amp;"C"&amp;$A169))</f>
        <v>0.7</v>
      </c>
      <c r="CG169" s="3">
        <f>-IF(RTD("tos.rtd",,CG$2,"."&amp;$C$134&amp;$AU$82&amp;"P"&amp;$A169)="N/A",0,RTD("tos.rtd",,CG$2,"."&amp;$C$134&amp;$AU$82&amp;"P"&amp;$A169))</f>
        <v>0.31</v>
      </c>
      <c r="CH169" s="3">
        <f>IF(RTD("tos.rtd",,CH$2,"."&amp;$D$134&amp;$AW$82&amp;"C"&amp;$A169)="N/A",0,RTD("tos.rtd",,CH$2,"."&amp;$D$134&amp;$AW$82&amp;"C"&amp;$A169))</f>
        <v>0.66</v>
      </c>
      <c r="CI169" s="3">
        <f>-IF(RTD("tos.rtd",,CI$2,"."&amp;$D$134&amp;$AW$82&amp;"P"&amp;$A169)="N/A",0,RTD("tos.rtd",,CI$2,"."&amp;$D$134&amp;$AW$82&amp;"P"&amp;$A169))</f>
        <v>0.35</v>
      </c>
      <c r="CK169" s="3">
        <f t="shared" si="639"/>
        <v>9875</v>
      </c>
      <c r="CL169" s="3"/>
      <c r="CM169" s="3">
        <f t="shared" si="640"/>
        <v>808.99999999999989</v>
      </c>
      <c r="CN169" s="3"/>
      <c r="CO169" s="3">
        <f t="shared" si="641"/>
        <v>771.00000000000011</v>
      </c>
      <c r="CP169" s="3">
        <f t="shared" si="533"/>
        <v>11455</v>
      </c>
      <c r="CQ169" s="3">
        <f t="shared" si="543"/>
        <v>-659</v>
      </c>
      <c r="CR169" s="3"/>
      <c r="CS169" s="3">
        <f t="shared" si="544"/>
        <v>35</v>
      </c>
      <c r="CT169" s="3"/>
      <c r="CU169" s="3">
        <f t="shared" si="545"/>
        <v>-4</v>
      </c>
      <c r="CV169" s="3"/>
      <c r="CW169" s="3" t="e">
        <f t="shared" ca="1" si="546"/>
        <v>#NUM!</v>
      </c>
      <c r="CY169" s="3" t="e">
        <f t="shared" ca="1" si="547"/>
        <v>#NUM!</v>
      </c>
      <c r="CZ169" s="70" t="e">
        <f t="shared" ca="1" si="579"/>
        <v>#NUM!</v>
      </c>
      <c r="DA169" s="3">
        <f>IF(RTD("tos.rtd",,DA$43,"."&amp;$B$134&amp;$AS$82&amp;"C"&amp;$A169)="N/A",0,RTD("tos.rtd",,DA$43,"."&amp;$B$134&amp;$AS$82&amp;"C"&amp;$A169))</f>
        <v>267.73</v>
      </c>
      <c r="DB169" s="3">
        <f>IF(RTD("tos.rtd",,DB$43,"."&amp;$B$134&amp;$AS$82&amp;"P"&amp;$A169)="N/A",0,RTD("tos.rtd",,DB$43,"."&amp;$B$134&amp;$AS$82&amp;"P"&amp;$A169))</f>
        <v>0.05</v>
      </c>
      <c r="DC169" s="3">
        <f>IF(RTD("tos.rtd",,DC$43,"."&amp;$B$134&amp;$AS$82&amp;"C"&amp;$A169)="N/A",0,RTD("tos.rtd",,DC$43,"."&amp;$B$134&amp;$AS$82&amp;"C"&amp;$A169))</f>
        <v>316</v>
      </c>
      <c r="DD169" s="3">
        <f>IF(RTD("tos.rtd",,DD$43,"."&amp;$B$134&amp;$AS$82&amp;"P"&amp;$A169)="N/A",0,RTD("tos.rtd",,DD$43,"."&amp;$B$134&amp;$AS$82&amp;"P"&amp;$A169))</f>
        <v>18</v>
      </c>
      <c r="DE169" s="3">
        <f>IF(RTD("tos.rtd",,DE$43,"."&amp;$B$134&amp;$AS$82&amp;"C"&amp;$A169)="N/A",0,RTD("tos.rtd",,DE$43,"."&amp;$B$134&amp;$AS$82&amp;"C"&amp;$A169))</f>
        <v>274.10000000000002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580"/>
        <v>-292</v>
      </c>
      <c r="DH169" s="3">
        <f t="shared" si="548"/>
        <v>0</v>
      </c>
      <c r="DI169" s="3">
        <f t="shared" si="549"/>
        <v>0</v>
      </c>
      <c r="DJ169" s="3">
        <f t="shared" si="550"/>
        <v>0</v>
      </c>
      <c r="DK169" s="3">
        <f t="shared" si="551"/>
        <v>0</v>
      </c>
      <c r="DL169" s="3">
        <f t="shared" si="552"/>
        <v>0</v>
      </c>
      <c r="DM169" s="3">
        <f t="shared" si="553"/>
        <v>0</v>
      </c>
      <c r="DN169" s="64" t="str">
        <f t="shared" si="554"/>
        <v>UNKNOWN</v>
      </c>
      <c r="DO169" s="64" t="str">
        <f t="shared" si="555"/>
        <v>UNKNOWN</v>
      </c>
      <c r="DP169" s="3">
        <f t="shared" si="556"/>
        <v>0</v>
      </c>
      <c r="DQ169" s="3">
        <f t="shared" si="557"/>
        <v>0</v>
      </c>
      <c r="DR169" s="3" t="e">
        <f t="shared" ca="1" si="558"/>
        <v>#NUM!</v>
      </c>
      <c r="DS169" s="3">
        <f t="shared" si="559"/>
        <v>0</v>
      </c>
      <c r="DT169" s="3">
        <f t="shared" si="581"/>
        <v>0</v>
      </c>
      <c r="DU169" s="3">
        <f t="shared" si="582"/>
        <v>0</v>
      </c>
      <c r="DV169" s="3">
        <f t="shared" si="560"/>
        <v>0</v>
      </c>
      <c r="DW169" s="3">
        <f t="shared" si="561"/>
        <v>-114</v>
      </c>
      <c r="DX169" s="3" t="e">
        <f t="shared" ref="DX169:DX189" ca="1" si="642">(EXP(-POWER((LN($A$136/$A169)+($EC$1+POWER($EE169,2)/2)*($EM$1/$DY$1))/($EE169*SQRT($EM$1/$DY$1)),2)/2)/SQRT(2*PI())/($A$136*$EE169*SQRT($EM$1/$DY$1)))</f>
        <v>#NUM!</v>
      </c>
      <c r="DY169" s="3" t="e">
        <f t="shared" ref="DY169:DY189" ca="1" si="643">-(EXP(-POWER((LN($A$136/$A169)+($EC$1+POWER($EF169,2)/2)*($EM$1/$DY$1))/($EF169*SQRT($EM$1/$DY$1)),2)/2)/SQRT(2*PI())/($A$136*$EF169*SQRT($EM$1/$DY$1)))</f>
        <v>#NUM!</v>
      </c>
      <c r="DZ169" s="3">
        <f t="shared" ref="DZ169:DZ189" ca="1" si="644">(EXP(-POWER((LN($A$136/$A169)+($EC$1+POWER($EG169,2)/2)*($EO$1/$DY$1))/($EG169*SQRT($EO$1/$DY$1)),2)/2)/SQRT(2*PI())/($A$136*$EG169*SQRT($EO$1/$DY$1)))</f>
        <v>4.7893156372536927E-4</v>
      </c>
      <c r="EA169" s="3">
        <f t="shared" ref="EA169:EA189" ca="1" si="645">-(EXP(-POWER((LN($A$136/$A169)+($EC$1+POWER($EH169,2)/2)*($EO$1/$DY$1))/($EH169*SQRT($EO$1/$DY$1)),2)/2)/SQRT(2*PI())/($A$136*$EH169*SQRT($EO$1/$DY$1)))</f>
        <v>-4.6176843419335487E-4</v>
      </c>
      <c r="EB169" s="3">
        <f t="shared" ref="EB169:EB189" ca="1" si="646">(EXP(-POWER((LN($A$136/$A169)+($EC$1+POWER($EI169,2)/2)*($EO$1/$DY$1))/($EI169*SQRT($EO$1/$DY$1)),2)/2)/SQRT(2*PI())/($A$136*$EI169*SQRT($EO$1/$DY$1)))</f>
        <v>4.8774987350953689E-4</v>
      </c>
      <c r="EC169" s="3">
        <f t="shared" ref="EC169:EC189" ca="1" si="647">-(EXP(-POWER((LN($A$136/$A169)+($EC$1+POWER($EJ169,2)/2)*($EO$1/$DY$1))/($EJ169*SQRT($EO$1/$DY$1)),2)/2)/SQRT(2*PI())/($A$136*$EJ169*SQRT($EO$1/$DY$1)))</f>
        <v>-4.6192839753845486E-4</v>
      </c>
      <c r="EE169" s="59">
        <f t="shared" si="568"/>
        <v>0.25</v>
      </c>
      <c r="EF169" s="59">
        <f t="shared" si="569"/>
        <v>1.4809000000000001</v>
      </c>
      <c r="EG169" s="59">
        <f t="shared" si="570"/>
        <v>0.23230000000000001</v>
      </c>
      <c r="EH169" s="59">
        <f t="shared" si="571"/>
        <v>0.2427</v>
      </c>
      <c r="EI169" s="59">
        <f t="shared" si="572"/>
        <v>0.22720000000000001</v>
      </c>
      <c r="EJ169" s="59">
        <f t="shared" si="573"/>
        <v>0.24260000000000001</v>
      </c>
      <c r="EL169" s="3" t="str">
        <f>RTD("tos.rtd",,EL$43,"."&amp;$B$134&amp;$AS$82&amp;"C"&amp;$A169)</f>
        <v>--</v>
      </c>
      <c r="EM169" s="3" t="str">
        <f>RTD("tos.rtd",,EM$43,"."&amp;$B$134&amp;$AS$82&amp;"P"&amp;$A169)</f>
        <v>148.09%</v>
      </c>
      <c r="EN169" s="3" t="str">
        <f>RTD("tos.rtd",,EN$2,"."&amp;$C$134&amp;$AU$82&amp;"C"&amp;$A169)</f>
        <v>23.23%</v>
      </c>
      <c r="EO169" s="3" t="str">
        <f>RTD("tos.rtd",,EO$2,"."&amp;$C$134&amp;$AU$82&amp;"P"&amp;$A169)</f>
        <v>24.27%</v>
      </c>
      <c r="EP169" s="3" t="str">
        <f>RTD("tos.rtd",,EP$2,"."&amp;$D$134&amp;$AW$82&amp;"C"&amp;$A169)</f>
        <v>22.72%</v>
      </c>
      <c r="EQ169" s="3" t="str">
        <f>RTD("tos.rtd",,EQ$2,"."&amp;$D$134&amp;$AW$82&amp;"P"&amp;$A169)</f>
        <v>24.26%</v>
      </c>
      <c r="ET169" s="64" t="str">
        <f t="shared" ca="1" si="574"/>
        <v>19800,00.00</v>
      </c>
      <c r="EU169" s="68">
        <v>563.28</v>
      </c>
      <c r="EV169" s="68" t="s">
        <v>1372</v>
      </c>
      <c r="EW169" s="68">
        <v>485.89</v>
      </c>
      <c r="EX169" s="68" t="s">
        <v>1373</v>
      </c>
      <c r="EY169" s="68">
        <v>5646.75</v>
      </c>
      <c r="EZ169" s="68" t="s">
        <v>1374</v>
      </c>
      <c r="FA169" s="68">
        <v>19963.5</v>
      </c>
      <c r="FB169" s="68" t="s">
        <v>1375</v>
      </c>
      <c r="FC169" s="68" t="s">
        <v>1376</v>
      </c>
      <c r="FD169" s="68" t="s">
        <v>1377</v>
      </c>
      <c r="FE169" s="68" t="s">
        <v>1378</v>
      </c>
      <c r="FF169" s="68" t="s">
        <v>1379</v>
      </c>
    </row>
    <row r="170" spans="1:162" ht="11.1" customHeight="1" thickBot="1" x14ac:dyDescent="0.25">
      <c r="A170" s="2">
        <f t="shared" si="583"/>
        <v>19780</v>
      </c>
      <c r="B170" s="3">
        <f t="shared" si="629"/>
        <v>6</v>
      </c>
      <c r="C170" s="3">
        <f t="shared" si="630"/>
        <v>0</v>
      </c>
      <c r="D170" s="3">
        <f t="shared" si="631"/>
        <v>0</v>
      </c>
      <c r="E170" s="3">
        <f t="shared" si="632"/>
        <v>6</v>
      </c>
      <c r="F170" s="4">
        <f t="shared" si="633"/>
        <v>19878.447143141551</v>
      </c>
      <c r="G170" s="5">
        <f t="shared" si="634"/>
        <v>481.36715110491735</v>
      </c>
      <c r="AM170" s="1">
        <v>7</v>
      </c>
      <c r="AN170" s="1">
        <v>12</v>
      </c>
      <c r="AO170" s="1">
        <v>19780</v>
      </c>
      <c r="AP170" s="1">
        <v>0</v>
      </c>
      <c r="AQ170" s="1">
        <v>-91</v>
      </c>
      <c r="AS170" s="54">
        <f>IF(RTD("tos.rtd",,AS$83,"."&amp;$B$134&amp;$AS$82&amp;"C"&amp;$A170)="N/A",0,RTD("tos.rtd",,AS$83,"."&amp;$B$134&amp;$AS$82&amp;"C"&amp;$A170))</f>
        <v>3</v>
      </c>
      <c r="AT170" s="3">
        <f>-IF(RTD("tos.rtd",,AT$83,"."&amp;$B$134&amp;$AS$82&amp;"P"&amp;$A170)="N/A",0,RTD("tos.rtd",,AT$83,"."&amp;$B$134&amp;$AS$82&amp;"P"&amp;$A170))</f>
        <v>-3</v>
      </c>
      <c r="AU170" s="54">
        <f>IF(RTD("tos.rtd",,AU$2,"."&amp;$C$134&amp;$AU$134&amp;"C"&amp;$A170)="N/A",0,RTD("tos.rtd",,AU$2,"."&amp;$C$134&amp;$AU$134&amp;"C"&amp;$A170))</f>
        <v>0</v>
      </c>
      <c r="AV170" s="3">
        <f>-IF(RTD("tos.rtd",,AV$2,"."&amp;$C$134&amp;$AU$134&amp;"P"&amp;$A170)="N/A",0,RTD("tos.rtd",,AV$2,"."&amp;$C$134&amp;$AU$134&amp;"P"&amp;$A170))</f>
        <v>0</v>
      </c>
      <c r="AW170" s="54">
        <f>IF(RTD("tos.rtd",,AW$2,"."&amp;$D$134&amp;$AW$134&amp;"C"&amp;$A170)="N/A",0,RTD("tos.rtd",,AW$2,"."&amp;$D$134&amp;$AW$134&amp;"C"&amp;$A170))</f>
        <v>0</v>
      </c>
      <c r="AX170" s="3">
        <f>-IF(RTD("tos.rtd",,AX$2,"."&amp;$D$134&amp;$AW$134&amp;"P"&amp;$A170)="N/A",0,RTD("tos.rtd",,AX$2,"."&amp;$D$134&amp;$AW$134&amp;"P"&amp;$A170))</f>
        <v>0</v>
      </c>
      <c r="AY170" s="76">
        <f t="shared" si="635"/>
        <v>0</v>
      </c>
      <c r="AZ170" s="8">
        <f t="shared" si="539"/>
        <v>19780</v>
      </c>
      <c r="BA170" s="54">
        <f>IF(RTD("tos.rtd",,BA$43,"."&amp;$B$134&amp;$AS$82&amp;"C"&amp;$A170)="N/A",0,RTD("tos.rtd",,BA$43,"."&amp;$B$134&amp;$AS$82&amp;"C"&amp;$A170))</f>
        <v>0</v>
      </c>
      <c r="BB170" s="3">
        <f>-IF(RTD("tos.rtd",,BB$43,"."&amp;$B$134&amp;$AS$82&amp;"P"&amp;$A170)="N/A",0,RTD("tos.rtd",,BB$43,"."&amp;$B$134&amp;$AS$82&amp;"P"&amp;$A170))</f>
        <v>-91</v>
      </c>
      <c r="BC170" s="54">
        <f>IF(RTD("tos.rtd",,BC$2,"."&amp;$C$134&amp;$AU$82&amp;"C"&amp;$A170)="N/A",0,RTD("tos.rtd",,BC$2,"."&amp;$C$134&amp;$AU$82&amp;"C"&amp;$A170))</f>
        <v>0</v>
      </c>
      <c r="BD170" s="3">
        <f>-IF(RTD("tos.rtd",,BD$2,"."&amp;$C$134&amp;$AU$82&amp;"P"&amp;$A170)="N/A",0,RTD("tos.rtd",,BD$2,"."&amp;$C$134&amp;$AU$82&amp;"P"&amp;$A170))</f>
        <v>0</v>
      </c>
      <c r="BE170" s="54">
        <f>IF(RTD("tos.rtd",,BE$2,"."&amp;$D$134&amp;$AW$82&amp;"C"&amp;$A170)="N/A",0,RTD("tos.rtd",,BE$2,"."&amp;$D$134&amp;$AW$82&amp;"C"&amp;$A170))</f>
        <v>0</v>
      </c>
      <c r="BF170" s="3">
        <f>-IF(RTD("tos.rtd",,BF$2,"."&amp;$D$134&amp;$AW$82&amp;"P"&amp;$A170)="N/A",0,RTD("tos.rtd",,BF$2,"."&amp;$D$134&amp;$AW$82&amp;"P"&amp;$A170))</f>
        <v>0</v>
      </c>
      <c r="BG170" s="3" t="e">
        <f ca="1">+Hoja2!Y171</f>
        <v>#N/A</v>
      </c>
      <c r="BH170" s="7" t="e">
        <f t="shared" ca="1" si="540"/>
        <v>#N/A</v>
      </c>
      <c r="BI170" s="32" t="e">
        <f t="shared" ca="1" si="597"/>
        <v>#N/A</v>
      </c>
      <c r="BJ170" s="3" t="e">
        <f ca="1">IF($BP$1=1,DX170,IF(RTD("tos.rtd",,BJ$43,"."&amp;$B$134&amp;$AS$82&amp;"C"&amp;$A170)="N/A",0,RTD("tos.rtd",,BJ$43,"."&amp;$B$134&amp;$AS$82&amp;"C"&amp;$A170)))</f>
        <v>#NUM!</v>
      </c>
      <c r="BK170" s="3" t="e">
        <f ca="1">IF($BP$1=1,DY170,-IF(RTD("tos.rtd",,BK$43,"."&amp;$B$134&amp;$AS$82&amp;"P"&amp;$A170)="N/A",0,RTD("tos.rtd",,BK$43,"."&amp;$B$134&amp;$AS$82&amp;"P"&amp;$A170)))</f>
        <v>#NUM!</v>
      </c>
      <c r="BL170" s="3">
        <f ca="1">IF($BP$1=1,DZ170,IF(RTD("tos.rtd",,BL$2,"."&amp;$C$134&amp;$AU$82&amp;"C"&amp;$A170)="N/A",0,RTD("tos.rtd",,BL$2,"."&amp;$C$134&amp;$AU$82&amp;"C"&amp;$A170)))</f>
        <v>4.4564819653094634E-4</v>
      </c>
      <c r="BM170" s="3">
        <f ca="1">IF($BP$1=1,EA170,-IF(RTD("tos.rtd",,BM$2,"."&amp;$C$134&amp;$AU$82&amp;"P"&amp;$A170)="N/A",0,RTD("tos.rtd",,BM$2,"."&amp;$C$134&amp;$AU$82&amp;"P"&amp;$A170)))</f>
        <v>-4.4564819653094634E-4</v>
      </c>
      <c r="BN170" s="3">
        <f ca="1">IF($BP$1=1,EB170,IF(RTD("tos.rtd",,BN$2,"."&amp;$D$134&amp;$AW$82&amp;"C"&amp;$A170)="N/A",0,RTD("tos.rtd",,BN$2,"."&amp;$D$134&amp;$AW$82&amp;"C"&amp;$A170)))</f>
        <v>4.4564819653094634E-4</v>
      </c>
      <c r="BO170" s="3">
        <f ca="1">IF($BP$1=1,EC170,-IF(RTD("tos.rtd",,BO$2,"."&amp;$D$134&amp;$AW$82&amp;"P"&amp;$A170)="N/A",0,RTD("tos.rtd",,BO$2,"."&amp;$D$134&amp;$AW$82&amp;"P"&amp;$A170)))</f>
        <v>-4.4564819653094634E-4</v>
      </c>
      <c r="BQ170" s="3" t="e">
        <f t="shared" ca="1" si="636"/>
        <v>#NUM!</v>
      </c>
      <c r="BR170" s="3" t="e">
        <f t="shared" ca="1" si="541"/>
        <v>#NUM!</v>
      </c>
      <c r="BS170" s="3">
        <f t="shared" ca="1" si="637"/>
        <v>0</v>
      </c>
      <c r="BT170" s="3" t="str">
        <f t="shared" ca="1" si="542"/>
        <v/>
      </c>
      <c r="BU170" s="3">
        <f t="shared" ca="1" si="638"/>
        <v>0</v>
      </c>
      <c r="BV170" s="3" t="str">
        <f t="shared" ca="1" si="542"/>
        <v/>
      </c>
      <c r="BX170" s="3" t="e">
        <f t="shared" ca="1" si="575"/>
        <v>#NUM!</v>
      </c>
      <c r="BY170" s="3" t="e">
        <f t="shared" ca="1" si="576"/>
        <v>#NUM!</v>
      </c>
      <c r="BZ170" s="3">
        <f t="shared" ca="1" si="577"/>
        <v>0</v>
      </c>
      <c r="CA170" s="3" t="str">
        <f t="shared" ca="1" si="576"/>
        <v/>
      </c>
      <c r="CB170" s="3">
        <f t="shared" ca="1" si="578"/>
        <v>0</v>
      </c>
      <c r="CC170" s="3" t="str">
        <f t="shared" ca="1" si="576"/>
        <v/>
      </c>
      <c r="CD170" s="3">
        <f>IF(RTD("tos.rtd",,CD$43,"."&amp;$B$134&amp;$AS$82&amp;"C"&amp;$A170)="N/A",0,RTD("tos.rtd",,CD$43,"."&amp;$B$134&amp;$AS$82&amp;"C"&amp;$A170))</f>
        <v>1</v>
      </c>
      <c r="CE170" s="3">
        <f>-IF(RTD("tos.rtd",,CE$43,"."&amp;$B$134&amp;$AS$82&amp;"P"&amp;$A170)="N/A",0,RTD("tos.rtd",,CE$43,"."&amp;$B$134&amp;$AS$82&amp;"P"&amp;$A170))</f>
        <v>0.09</v>
      </c>
      <c r="CF170" s="3">
        <f>IF(RTD("tos.rtd",,CF$2,"."&amp;$C$134&amp;$AU$82&amp;"C"&amp;$A170)="N/A",0,RTD("tos.rtd",,CF$2,"."&amp;$C$134&amp;$AU$82&amp;"C"&amp;$A170))</f>
        <v>0</v>
      </c>
      <c r="CG170" s="3">
        <f>-IF(RTD("tos.rtd",,CG$2,"."&amp;$C$134&amp;$AU$82&amp;"P"&amp;$A170)="N/A",0,RTD("tos.rtd",,CG$2,"."&amp;$C$134&amp;$AU$82&amp;"P"&amp;$A170))</f>
        <v>0</v>
      </c>
      <c r="CH170" s="3">
        <f>IF(RTD("tos.rtd",,CH$2,"."&amp;$D$134&amp;$AW$82&amp;"C"&amp;$A170)="N/A",0,RTD("tos.rtd",,CH$2,"."&amp;$D$134&amp;$AW$82&amp;"C"&amp;$A170))</f>
        <v>0</v>
      </c>
      <c r="CI170" s="3">
        <f>-IF(RTD("tos.rtd",,CI$2,"."&amp;$D$134&amp;$AW$82&amp;"P"&amp;$A170)="N/A",0,RTD("tos.rtd",,CI$2,"."&amp;$D$134&amp;$AW$82&amp;"P"&amp;$A170))</f>
        <v>0</v>
      </c>
      <c r="CK170" s="3">
        <f t="shared" si="639"/>
        <v>273</v>
      </c>
      <c r="CL170" s="3"/>
      <c r="CM170" s="3">
        <f t="shared" si="640"/>
        <v>0</v>
      </c>
      <c r="CN170" s="3"/>
      <c r="CO170" s="3">
        <f t="shared" si="641"/>
        <v>0</v>
      </c>
      <c r="CP170" s="3">
        <f t="shared" si="533"/>
        <v>273</v>
      </c>
      <c r="CQ170" s="3">
        <f t="shared" si="543"/>
        <v>-91</v>
      </c>
      <c r="CR170" s="3"/>
      <c r="CS170" s="3">
        <f t="shared" si="544"/>
        <v>0</v>
      </c>
      <c r="CT170" s="3"/>
      <c r="CU170" s="3">
        <f t="shared" si="545"/>
        <v>0</v>
      </c>
      <c r="CV170" s="3"/>
      <c r="CW170" s="3" t="e">
        <f t="shared" ca="1" si="546"/>
        <v>#NUM!</v>
      </c>
      <c r="CY170" s="3" t="e">
        <f t="shared" ca="1" si="547"/>
        <v>#NUM!</v>
      </c>
      <c r="CZ170" s="70" t="e">
        <f t="shared" ca="1" si="579"/>
        <v>#NUM!</v>
      </c>
      <c r="DA170" s="3">
        <f>IF(RTD("tos.rtd",,DA$43,"."&amp;$B$134&amp;$AS$82&amp;"C"&amp;$A170)="N/A",0,RTD("tos.rtd",,DA$43,"."&amp;$B$134&amp;$AS$82&amp;"C"&amp;$A170))</f>
        <v>224.9</v>
      </c>
      <c r="DB170" s="3">
        <f>IF(RTD("tos.rtd",,DB$43,"."&amp;$B$134&amp;$AS$82&amp;"P"&amp;$A170)="N/A",0,RTD("tos.rtd",,DB$43,"."&amp;$B$134&amp;$AS$82&amp;"P"&amp;$A170))</f>
        <v>0.8</v>
      </c>
      <c r="DC170" s="3">
        <f>IF(RTD("tos.rtd",,DC$43,"."&amp;$B$134&amp;$AS$82&amp;"C"&amp;$A170)="N/A",0,RTD("tos.rtd",,DC$43,"."&amp;$B$134&amp;$AS$82&amp;"C"&amp;$A170))</f>
        <v>336</v>
      </c>
      <c r="DD170" s="3">
        <f>IF(RTD("tos.rtd",,DD$43,"."&amp;$B$134&amp;$AS$82&amp;"P"&amp;$A170)="N/A",0,RTD("tos.rtd",,DD$43,"."&amp;$B$134&amp;$AS$82&amp;"P"&amp;$A170))</f>
        <v>19.8</v>
      </c>
      <c r="DE170" s="3">
        <f>IF(RTD("tos.rtd",,DE$43,"."&amp;$B$134&amp;$AS$82&amp;"C"&amp;$A170)="N/A",0,RTD("tos.rtd",,DE$43,"."&amp;$B$134&amp;$AS$82&amp;"C"&amp;$A170))</f>
        <v>294.10000000000002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580"/>
        <v>-312</v>
      </c>
      <c r="DH170" s="3">
        <f t="shared" si="548"/>
        <v>0</v>
      </c>
      <c r="DI170" s="3">
        <f t="shared" si="549"/>
        <v>0</v>
      </c>
      <c r="DJ170" s="3">
        <f t="shared" si="550"/>
        <v>0</v>
      </c>
      <c r="DK170" s="3">
        <f t="shared" si="551"/>
        <v>0</v>
      </c>
      <c r="DL170" s="3">
        <f t="shared" si="552"/>
        <v>0</v>
      </c>
      <c r="DM170" s="3">
        <f t="shared" si="553"/>
        <v>0</v>
      </c>
      <c r="DN170" s="64" t="str">
        <f t="shared" si="554"/>
        <v>UNKNOWN</v>
      </c>
      <c r="DO170" s="64" t="str">
        <f t="shared" si="555"/>
        <v>UNKNOWN</v>
      </c>
      <c r="DP170" s="3">
        <f t="shared" si="556"/>
        <v>0</v>
      </c>
      <c r="DQ170" s="3">
        <f t="shared" si="557"/>
        <v>0</v>
      </c>
      <c r="DR170" s="3" t="e">
        <f t="shared" ca="1" si="558"/>
        <v>#NUM!</v>
      </c>
      <c r="DS170" s="3">
        <f t="shared" si="559"/>
        <v>0</v>
      </c>
      <c r="DT170" s="3">
        <f t="shared" si="581"/>
        <v>0</v>
      </c>
      <c r="DU170" s="3">
        <f t="shared" si="582"/>
        <v>0</v>
      </c>
      <c r="DV170" s="3">
        <f t="shared" si="560"/>
        <v>7</v>
      </c>
      <c r="DW170" s="3">
        <f t="shared" si="561"/>
        <v>12</v>
      </c>
      <c r="DX170" s="3" t="e">
        <f t="shared" ca="1" si="642"/>
        <v>#NUM!</v>
      </c>
      <c r="DY170" s="3" t="e">
        <f t="shared" ca="1" si="643"/>
        <v>#NUM!</v>
      </c>
      <c r="DZ170" s="3">
        <f t="shared" ca="1" si="644"/>
        <v>4.4564819653094634E-4</v>
      </c>
      <c r="EA170" s="3">
        <f t="shared" ca="1" si="645"/>
        <v>-4.4564819653094634E-4</v>
      </c>
      <c r="EB170" s="3">
        <f t="shared" ca="1" si="646"/>
        <v>4.4564819653094634E-4</v>
      </c>
      <c r="EC170" s="3">
        <f t="shared" ca="1" si="647"/>
        <v>-4.4564819653094634E-4</v>
      </c>
      <c r="EE170" s="59">
        <f t="shared" si="568"/>
        <v>0.25</v>
      </c>
      <c r="EF170" s="59">
        <f t="shared" si="569"/>
        <v>1.5922000000000001</v>
      </c>
      <c r="EG170" s="59">
        <f t="shared" si="570"/>
        <v>0.25</v>
      </c>
      <c r="EH170" s="59">
        <f t="shared" si="571"/>
        <v>0.25</v>
      </c>
      <c r="EI170" s="59">
        <f t="shared" si="572"/>
        <v>0.25</v>
      </c>
      <c r="EJ170" s="59">
        <f t="shared" si="573"/>
        <v>0.25</v>
      </c>
      <c r="EL170" s="3" t="str">
        <f>RTD("tos.rtd",,EL$43,"."&amp;$B$134&amp;$AS$82&amp;"C"&amp;$A170)</f>
        <v>--</v>
      </c>
      <c r="EM170" s="3" t="str">
        <f>RTD("tos.rtd",,EM$43,"."&amp;$B$134&amp;$AS$82&amp;"P"&amp;$A170)</f>
        <v>159.22%</v>
      </c>
      <c r="EN170" s="3" t="str">
        <f>RTD("tos.rtd",,EN$2,"."&amp;$C$134&amp;$AU$82&amp;"C"&amp;$A170)</f>
        <v>N/A</v>
      </c>
      <c r="EO170" s="3" t="str">
        <f>RTD("tos.rtd",,EO$2,"."&amp;$C$134&amp;$AU$82&amp;"P"&amp;$A170)</f>
        <v>N/A</v>
      </c>
      <c r="EP170" s="3" t="str">
        <f>RTD("tos.rtd",,EP$2,"."&amp;$D$134&amp;$AW$82&amp;"C"&amp;$A170)</f>
        <v>N/A</v>
      </c>
      <c r="EQ170" s="3" t="str">
        <f>RTD("tos.rtd",,EQ$2,"."&amp;$D$134&amp;$AW$82&amp;"P"&amp;$A170)</f>
        <v>N/A</v>
      </c>
      <c r="ET170" s="64" t="str">
        <f t="shared" ca="1" si="574"/>
        <v>19780,00.00</v>
      </c>
      <c r="EU170" s="68">
        <v>563.37</v>
      </c>
      <c r="EV170" s="68" t="s">
        <v>1380</v>
      </c>
      <c r="EW170" s="68">
        <v>486.16</v>
      </c>
      <c r="EX170" s="68" t="s">
        <v>1381</v>
      </c>
      <c r="EY170" s="68">
        <v>5650.75</v>
      </c>
      <c r="EZ170" s="68" t="s">
        <v>1382</v>
      </c>
      <c r="FA170" s="68">
        <v>19974</v>
      </c>
      <c r="FB170" s="68" t="s">
        <v>1383</v>
      </c>
      <c r="FC170" s="68" t="s">
        <v>1384</v>
      </c>
      <c r="FD170" s="68" t="s">
        <v>1385</v>
      </c>
      <c r="FE170" s="68" t="s">
        <v>1386</v>
      </c>
      <c r="FF170" s="68" t="s">
        <v>1387</v>
      </c>
    </row>
    <row r="171" spans="1:162" ht="11.1" customHeight="1" thickBot="1" x14ac:dyDescent="0.25">
      <c r="A171" s="2">
        <f t="shared" si="583"/>
        <v>19760</v>
      </c>
      <c r="B171" s="3">
        <f t="shared" si="629"/>
        <v>9</v>
      </c>
      <c r="C171" s="3">
        <f t="shared" si="630"/>
        <v>0</v>
      </c>
      <c r="D171" s="3">
        <f t="shared" si="631"/>
        <v>0</v>
      </c>
      <c r="E171" s="3">
        <f t="shared" si="632"/>
        <v>9</v>
      </c>
      <c r="F171" s="4">
        <f t="shared" si="633"/>
        <v>19858.347601035239</v>
      </c>
      <c r="G171" s="5">
        <f t="shared" si="634"/>
        <v>480.88043002189926</v>
      </c>
      <c r="AM171" s="1">
        <v>-2</v>
      </c>
      <c r="AN171" s="1">
        <v>-77</v>
      </c>
      <c r="AO171" s="1">
        <v>19760</v>
      </c>
      <c r="AP171" s="1">
        <v>4</v>
      </c>
      <c r="AQ171" s="1">
        <v>-51</v>
      </c>
      <c r="AS171" s="54">
        <f>IF(RTD("tos.rtd",,AS$83,"."&amp;$B$134&amp;$AS$82&amp;"C"&amp;$A171)="N/A",0,RTD("tos.rtd",,AS$83,"."&amp;$B$134&amp;$AS$82&amp;"C"&amp;$A171))</f>
        <v>9</v>
      </c>
      <c r="AT171" s="3">
        <f>-IF(RTD("tos.rtd",,AT$83,"."&amp;$B$134&amp;$AS$82&amp;"P"&amp;$A171)="N/A",0,RTD("tos.rtd",,AT$83,"."&amp;$B$134&amp;$AS$82&amp;"P"&amp;$A171))</f>
        <v>0</v>
      </c>
      <c r="AU171" s="54">
        <f>IF(RTD("tos.rtd",,AU$2,"."&amp;$C$134&amp;$AU$134&amp;"C"&amp;$A171)="N/A",0,RTD("tos.rtd",,AU$2,"."&amp;$C$134&amp;$AU$134&amp;"C"&amp;$A171))</f>
        <v>0</v>
      </c>
      <c r="AV171" s="3">
        <f>-IF(RTD("tos.rtd",,AV$2,"."&amp;$C$134&amp;$AU$134&amp;"P"&amp;$A171)="N/A",0,RTD("tos.rtd",,AV$2,"."&amp;$C$134&amp;$AU$134&amp;"P"&amp;$A171))</f>
        <v>0</v>
      </c>
      <c r="AW171" s="54">
        <f>IF(RTD("tos.rtd",,AW$2,"."&amp;$D$134&amp;$AW$134&amp;"C"&amp;$A171)="N/A",0,RTD("tos.rtd",,AW$2,"."&amp;$D$134&amp;$AW$134&amp;"C"&amp;$A171))</f>
        <v>0</v>
      </c>
      <c r="AX171" s="3">
        <f>-IF(RTD("tos.rtd",,AX$2,"."&amp;$D$134&amp;$AW$134&amp;"P"&amp;$A171)="N/A",0,RTD("tos.rtd",,AX$2,"."&amp;$D$134&amp;$AW$134&amp;"P"&amp;$A171))</f>
        <v>0</v>
      </c>
      <c r="AY171" s="76">
        <f t="shared" si="635"/>
        <v>9</v>
      </c>
      <c r="AZ171" s="8">
        <f t="shared" si="539"/>
        <v>19760</v>
      </c>
      <c r="BA171" s="54">
        <f>IF(RTD("tos.rtd",,BA$43,"."&amp;$B$134&amp;$AS$82&amp;"C"&amp;$A171)="N/A",0,RTD("tos.rtd",,BA$43,"."&amp;$B$134&amp;$AS$82&amp;"C"&amp;$A171))</f>
        <v>4</v>
      </c>
      <c r="BB171" s="3">
        <f>-IF(RTD("tos.rtd",,BB$43,"."&amp;$B$134&amp;$AS$82&amp;"P"&amp;$A171)="N/A",0,RTD("tos.rtd",,BB$43,"."&amp;$B$134&amp;$AS$82&amp;"P"&amp;$A171))</f>
        <v>-51</v>
      </c>
      <c r="BC171" s="54">
        <f>IF(RTD("tos.rtd",,BC$2,"."&amp;$C$134&amp;$AU$82&amp;"C"&amp;$A171)="N/A",0,RTD("tos.rtd",,BC$2,"."&amp;$C$134&amp;$AU$82&amp;"C"&amp;$A171))</f>
        <v>0</v>
      </c>
      <c r="BD171" s="3">
        <f>-IF(RTD("tos.rtd",,BD$2,"."&amp;$C$134&amp;$AU$82&amp;"P"&amp;$A171)="N/A",0,RTD("tos.rtd",,BD$2,"."&amp;$C$134&amp;$AU$82&amp;"P"&amp;$A171))</f>
        <v>0</v>
      </c>
      <c r="BE171" s="54">
        <f>IF(RTD("tos.rtd",,BE$2,"."&amp;$D$134&amp;$AW$82&amp;"C"&amp;$A171)="N/A",0,RTD("tos.rtd",,BE$2,"."&amp;$D$134&amp;$AW$82&amp;"C"&amp;$A171))</f>
        <v>0</v>
      </c>
      <c r="BF171" s="3">
        <f>-IF(RTD("tos.rtd",,BF$2,"."&amp;$D$134&amp;$AW$82&amp;"P"&amp;$A171)="N/A",0,RTD("tos.rtd",,BF$2,"."&amp;$D$134&amp;$AW$82&amp;"P"&amp;$A171))</f>
        <v>0</v>
      </c>
      <c r="BG171" s="3" t="e">
        <f ca="1">+Hoja2!Y172</f>
        <v>#N/A</v>
      </c>
      <c r="BH171" s="7" t="e">
        <f t="shared" ca="1" si="540"/>
        <v>#N/A</v>
      </c>
      <c r="BI171" s="32" t="e">
        <f t="shared" ca="1" si="597"/>
        <v>#N/A</v>
      </c>
      <c r="BJ171" s="3" t="e">
        <f ca="1">IF($BP$1=1,DX171,IF(RTD("tos.rtd",,BJ$43,"."&amp;$B$134&amp;$AS$82&amp;"C"&amp;$A171)="N/A",0,RTD("tos.rtd",,BJ$43,"."&amp;$B$134&amp;$AS$82&amp;"C"&amp;$A171)))</f>
        <v>#NUM!</v>
      </c>
      <c r="BK171" s="3" t="e">
        <f ca="1">IF($BP$1=1,DY171,-IF(RTD("tos.rtd",,BK$43,"."&amp;$B$134&amp;$AS$82&amp;"P"&amp;$A171)="N/A",0,RTD("tos.rtd",,BK$43,"."&amp;$B$134&amp;$AS$82&amp;"P"&amp;$A171)))</f>
        <v>#NUM!</v>
      </c>
      <c r="BL171" s="3">
        <f ca="1">IF($BP$1=1,DZ171,IF(RTD("tos.rtd",,BL$2,"."&amp;$C$134&amp;$AU$82&amp;"C"&amp;$A171)="N/A",0,RTD("tos.rtd",,BL$2,"."&amp;$C$134&amp;$AU$82&amp;"C"&amp;$A171)))</f>
        <v>4.407200013103067E-4</v>
      </c>
      <c r="BM171" s="3">
        <f ca="1">IF($BP$1=1,EA171,-IF(RTD("tos.rtd",,BM$2,"."&amp;$C$134&amp;$AU$82&amp;"P"&amp;$A171)="N/A",0,RTD("tos.rtd",,BM$2,"."&amp;$C$134&amp;$AU$82&amp;"P"&amp;$A171)))</f>
        <v>-4.407200013103067E-4</v>
      </c>
      <c r="BN171" s="3">
        <f ca="1">IF($BP$1=1,EB171,IF(RTD("tos.rtd",,BN$2,"."&amp;$D$134&amp;$AW$82&amp;"C"&amp;$A171)="N/A",0,RTD("tos.rtd",,BN$2,"."&amp;$D$134&amp;$AW$82&amp;"C"&amp;$A171)))</f>
        <v>4.407200013103067E-4</v>
      </c>
      <c r="BO171" s="3">
        <f ca="1">IF($BP$1=1,EC171,-IF(RTD("tos.rtd",,BO$2,"."&amp;$D$134&amp;$AW$82&amp;"P"&amp;$A171)="N/A",0,RTD("tos.rtd",,BO$2,"."&amp;$D$134&amp;$AW$82&amp;"P"&amp;$A171)))</f>
        <v>-4.407200013103067E-4</v>
      </c>
      <c r="BQ171" s="3" t="e">
        <f t="shared" ca="1" si="636"/>
        <v>#NUM!</v>
      </c>
      <c r="BR171" s="3" t="e">
        <f t="shared" ca="1" si="541"/>
        <v>#NUM!</v>
      </c>
      <c r="BS171" s="3">
        <f t="shared" ca="1" si="637"/>
        <v>0</v>
      </c>
      <c r="BT171" s="3" t="str">
        <f t="shared" ca="1" si="542"/>
        <v/>
      </c>
      <c r="BU171" s="3">
        <f t="shared" ca="1" si="638"/>
        <v>0</v>
      </c>
      <c r="BV171" s="3" t="str">
        <f t="shared" ca="1" si="542"/>
        <v/>
      </c>
      <c r="BX171" s="3" t="e">
        <f t="shared" ca="1" si="575"/>
        <v>#NUM!</v>
      </c>
      <c r="BY171" s="3" t="e">
        <f t="shared" ca="1" si="576"/>
        <v>#NUM!</v>
      </c>
      <c r="BZ171" s="3">
        <f t="shared" ca="1" si="577"/>
        <v>0</v>
      </c>
      <c r="CA171" s="3" t="str">
        <f t="shared" ca="1" si="576"/>
        <v/>
      </c>
      <c r="CB171" s="3">
        <f t="shared" ca="1" si="578"/>
        <v>0</v>
      </c>
      <c r="CC171" s="3" t="str">
        <f t="shared" ca="1" si="576"/>
        <v/>
      </c>
      <c r="CD171" s="3">
        <f>IF(RTD("tos.rtd",,CD$43,"."&amp;$B$134&amp;$AS$82&amp;"C"&amp;$A171)="N/A",0,RTD("tos.rtd",,CD$43,"."&amp;$B$134&amp;$AS$82&amp;"C"&amp;$A171))</f>
        <v>1</v>
      </c>
      <c r="CE171" s="3">
        <f>-IF(RTD("tos.rtd",,CE$43,"."&amp;$B$134&amp;$AS$82&amp;"P"&amp;$A171)="N/A",0,RTD("tos.rtd",,CE$43,"."&amp;$B$134&amp;$AS$82&amp;"P"&amp;$A171))</f>
        <v>0.08</v>
      </c>
      <c r="CF171" s="3">
        <f>IF(RTD("tos.rtd",,CF$2,"."&amp;$C$134&amp;$AU$82&amp;"C"&amp;$A171)="N/A",0,RTD("tos.rtd",,CF$2,"."&amp;$C$134&amp;$AU$82&amp;"C"&amp;$A171))</f>
        <v>0</v>
      </c>
      <c r="CG171" s="3">
        <f>-IF(RTD("tos.rtd",,CG$2,"."&amp;$C$134&amp;$AU$82&amp;"P"&amp;$A171)="N/A",0,RTD("tos.rtd",,CG$2,"."&amp;$C$134&amp;$AU$82&amp;"P"&amp;$A171))</f>
        <v>0</v>
      </c>
      <c r="CH171" s="3">
        <f>IF(RTD("tos.rtd",,CH$2,"."&amp;$D$134&amp;$AW$82&amp;"C"&amp;$A171)="N/A",0,RTD("tos.rtd",,CH$2,"."&amp;$D$134&amp;$AW$82&amp;"C"&amp;$A171))</f>
        <v>0</v>
      </c>
      <c r="CI171" s="3">
        <f>-IF(RTD("tos.rtd",,CI$2,"."&amp;$D$134&amp;$AW$82&amp;"P"&amp;$A171)="N/A",0,RTD("tos.rtd",,CI$2,"."&amp;$D$134&amp;$AW$82&amp;"P"&amp;$A171))</f>
        <v>0</v>
      </c>
      <c r="CK171" s="3">
        <f t="shared" si="639"/>
        <v>900</v>
      </c>
      <c r="CL171" s="3"/>
      <c r="CM171" s="3">
        <f t="shared" si="640"/>
        <v>0</v>
      </c>
      <c r="CN171" s="3"/>
      <c r="CO171" s="3">
        <f t="shared" si="641"/>
        <v>0</v>
      </c>
      <c r="CP171" s="3">
        <f t="shared" si="533"/>
        <v>900</v>
      </c>
      <c r="CQ171" s="3">
        <f t="shared" si="543"/>
        <v>-47</v>
      </c>
      <c r="CR171" s="3"/>
      <c r="CS171" s="3">
        <f t="shared" si="544"/>
        <v>0</v>
      </c>
      <c r="CT171" s="3"/>
      <c r="CU171" s="3">
        <f t="shared" si="545"/>
        <v>0</v>
      </c>
      <c r="CV171" s="3"/>
      <c r="CW171" s="3" t="e">
        <f t="shared" ca="1" si="546"/>
        <v>#NUM!</v>
      </c>
      <c r="CY171" s="3" t="e">
        <f t="shared" ca="1" si="547"/>
        <v>#NUM!</v>
      </c>
      <c r="CZ171" s="70" t="e">
        <f t="shared" ca="1" si="579"/>
        <v>#NUM!</v>
      </c>
      <c r="DA171" s="3">
        <f>IF(RTD("tos.rtd",,DA$43,"."&amp;$B$134&amp;$AS$82&amp;"C"&amp;$A171)="N/A",0,RTD("tos.rtd",,DA$43,"."&amp;$B$134&amp;$AS$82&amp;"C"&amp;$A171))</f>
        <v>328.91</v>
      </c>
      <c r="DB171" s="3">
        <f>IF(RTD("tos.rtd",,DB$43,"."&amp;$B$134&amp;$AS$82&amp;"P"&amp;$A171)="N/A",0,RTD("tos.rtd",,DB$43,"."&amp;$B$134&amp;$AS$82&amp;"P"&amp;$A171))</f>
        <v>0.77</v>
      </c>
      <c r="DC171" s="3">
        <f>IF(RTD("tos.rtd",,DC$43,"."&amp;$B$134&amp;$AS$82&amp;"C"&amp;$A171)="N/A",0,RTD("tos.rtd",,DC$43,"."&amp;$B$134&amp;$AS$82&amp;"C"&amp;$A171))</f>
        <v>356</v>
      </c>
      <c r="DD171" s="3">
        <f>IF(RTD("tos.rtd",,DD$43,"."&amp;$B$134&amp;$AS$82&amp;"P"&amp;$A171)="N/A",0,RTD("tos.rtd",,DD$43,"."&amp;$B$134&amp;$AS$82&amp;"P"&amp;$A171))</f>
        <v>19.8</v>
      </c>
      <c r="DE171" s="3">
        <f>IF(RTD("tos.rtd",,DE$43,"."&amp;$B$134&amp;$AS$82&amp;"C"&amp;$A171)="N/A",0,RTD("tos.rtd",,DE$43,"."&amp;$B$134&amp;$AS$82&amp;"C"&amp;$A171))</f>
        <v>314.10000000000002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580"/>
        <v>-332</v>
      </c>
      <c r="DH171" s="3">
        <f t="shared" si="548"/>
        <v>0</v>
      </c>
      <c r="DI171" s="3">
        <f t="shared" si="549"/>
        <v>0</v>
      </c>
      <c r="DJ171" s="3">
        <f t="shared" si="550"/>
        <v>0</v>
      </c>
      <c r="DK171" s="3">
        <f t="shared" si="551"/>
        <v>0</v>
      </c>
      <c r="DL171" s="3">
        <f t="shared" si="552"/>
        <v>0</v>
      </c>
      <c r="DM171" s="3">
        <f t="shared" si="553"/>
        <v>0</v>
      </c>
      <c r="DN171" s="64" t="str">
        <f t="shared" si="554"/>
        <v>UNKNOWN</v>
      </c>
      <c r="DO171" s="64" t="str">
        <f t="shared" si="555"/>
        <v>UNKNOWN</v>
      </c>
      <c r="DP171" s="3">
        <f t="shared" si="556"/>
        <v>0</v>
      </c>
      <c r="DQ171" s="3">
        <f t="shared" si="557"/>
        <v>0</v>
      </c>
      <c r="DR171" s="3" t="e">
        <f t="shared" ca="1" si="558"/>
        <v>#NUM!</v>
      </c>
      <c r="DS171" s="3">
        <f t="shared" si="559"/>
        <v>0</v>
      </c>
      <c r="DT171" s="3">
        <f t="shared" si="581"/>
        <v>0</v>
      </c>
      <c r="DU171" s="3">
        <f t="shared" si="582"/>
        <v>0</v>
      </c>
      <c r="DV171" s="3">
        <f t="shared" si="560"/>
        <v>-2</v>
      </c>
      <c r="DW171" s="3">
        <f t="shared" si="561"/>
        <v>-77</v>
      </c>
      <c r="DX171" s="3" t="e">
        <f t="shared" ca="1" si="642"/>
        <v>#NUM!</v>
      </c>
      <c r="DY171" s="3" t="e">
        <f t="shared" ca="1" si="643"/>
        <v>#NUM!</v>
      </c>
      <c r="DZ171" s="3">
        <f t="shared" ca="1" si="644"/>
        <v>4.407200013103067E-4</v>
      </c>
      <c r="EA171" s="3">
        <f t="shared" ca="1" si="645"/>
        <v>-4.407200013103067E-4</v>
      </c>
      <c r="EB171" s="3">
        <f t="shared" ca="1" si="646"/>
        <v>4.407200013103067E-4</v>
      </c>
      <c r="EC171" s="3">
        <f t="shared" ca="1" si="647"/>
        <v>-4.407200013103067E-4</v>
      </c>
      <c r="EE171" s="59">
        <f t="shared" si="568"/>
        <v>0.25</v>
      </c>
      <c r="EF171" s="59">
        <f t="shared" si="569"/>
        <v>1.6660999999999999</v>
      </c>
      <c r="EG171" s="59">
        <f t="shared" si="570"/>
        <v>0.25</v>
      </c>
      <c r="EH171" s="59">
        <f t="shared" si="571"/>
        <v>0.25</v>
      </c>
      <c r="EI171" s="59">
        <f t="shared" si="572"/>
        <v>0.25</v>
      </c>
      <c r="EJ171" s="59">
        <f t="shared" si="573"/>
        <v>0.25</v>
      </c>
      <c r="EL171" s="3" t="str">
        <f>RTD("tos.rtd",,EL$43,"."&amp;$B$134&amp;$AS$82&amp;"C"&amp;$A171)</f>
        <v>--</v>
      </c>
      <c r="EM171" s="3" t="str">
        <f>RTD("tos.rtd",,EM$43,"."&amp;$B$134&amp;$AS$82&amp;"P"&amp;$A171)</f>
        <v>166.61%</v>
      </c>
      <c r="EN171" s="3" t="str">
        <f>RTD("tos.rtd",,EN$2,"."&amp;$C$134&amp;$AU$82&amp;"C"&amp;$A171)</f>
        <v>N/A</v>
      </c>
      <c r="EO171" s="3" t="str">
        <f>RTD("tos.rtd",,EO$2,"."&amp;$C$134&amp;$AU$82&amp;"P"&amp;$A171)</f>
        <v>N/A</v>
      </c>
      <c r="EP171" s="3" t="str">
        <f>RTD("tos.rtd",,EP$2,"."&amp;$D$134&amp;$AW$82&amp;"C"&amp;$A171)</f>
        <v>N/A</v>
      </c>
      <c r="EQ171" s="3" t="str">
        <f>RTD("tos.rtd",,EQ$2,"."&amp;$D$134&amp;$AW$82&amp;"P"&amp;$A171)</f>
        <v>N/A</v>
      </c>
      <c r="ET171" s="64" t="str">
        <f t="shared" ca="1" si="574"/>
        <v>19760,00.00</v>
      </c>
      <c r="EU171" s="68">
        <v>563.38</v>
      </c>
      <c r="EV171" s="68" t="s">
        <v>1388</v>
      </c>
      <c r="EW171" s="68">
        <v>485.82</v>
      </c>
      <c r="EX171" s="68" t="s">
        <v>1389</v>
      </c>
      <c r="EY171" s="68">
        <v>5649</v>
      </c>
      <c r="EZ171" s="68" t="s">
        <v>1390</v>
      </c>
      <c r="FA171" s="68">
        <v>19960.5</v>
      </c>
      <c r="FB171" s="68" t="s">
        <v>1391</v>
      </c>
      <c r="FC171" s="68" t="s">
        <v>1392</v>
      </c>
      <c r="FD171" s="68" t="s">
        <v>1393</v>
      </c>
      <c r="FE171" s="68" t="s">
        <v>1394</v>
      </c>
      <c r="FF171" s="68" t="s">
        <v>1395</v>
      </c>
    </row>
    <row r="172" spans="1:162" ht="11.1" customHeight="1" thickBot="1" x14ac:dyDescent="0.25">
      <c r="A172" s="2">
        <f t="shared" si="583"/>
        <v>19740</v>
      </c>
      <c r="B172" s="3">
        <f t="shared" si="629"/>
        <v>7</v>
      </c>
      <c r="C172" s="3">
        <f t="shared" si="630"/>
        <v>0</v>
      </c>
      <c r="D172" s="3">
        <f t="shared" si="631"/>
        <v>0</v>
      </c>
      <c r="E172" s="3">
        <f t="shared" si="632"/>
        <v>7</v>
      </c>
      <c r="F172" s="4">
        <f t="shared" si="633"/>
        <v>19838.248058928926</v>
      </c>
      <c r="G172" s="5">
        <f t="shared" si="634"/>
        <v>480.3937089388811</v>
      </c>
      <c r="AM172" s="1">
        <v>0</v>
      </c>
      <c r="AN172" s="1">
        <v>-44</v>
      </c>
      <c r="AO172" s="1">
        <v>19740</v>
      </c>
      <c r="AP172" s="1">
        <v>0</v>
      </c>
      <c r="AQ172" s="1">
        <v>-56</v>
      </c>
      <c r="AS172" s="54">
        <f>IF(RTD("tos.rtd",,AS$83,"."&amp;$B$134&amp;$AS$82&amp;"C"&amp;$A172)="N/A",0,RTD("tos.rtd",,AS$83,"."&amp;$B$134&amp;$AS$82&amp;"C"&amp;$A172))</f>
        <v>4</v>
      </c>
      <c r="AT172" s="3">
        <f>-IF(RTD("tos.rtd",,AT$83,"."&amp;$B$134&amp;$AS$82&amp;"P"&amp;$A172)="N/A",0,RTD("tos.rtd",,AT$83,"."&amp;$B$134&amp;$AS$82&amp;"P"&amp;$A172))</f>
        <v>-3</v>
      </c>
      <c r="AU172" s="54">
        <f>IF(RTD("tos.rtd",,AU$2,"."&amp;$C$134&amp;$AU$134&amp;"C"&amp;$A172)="N/A",0,RTD("tos.rtd",,AU$2,"."&amp;$C$134&amp;$AU$134&amp;"C"&amp;$A172))</f>
        <v>0</v>
      </c>
      <c r="AV172" s="3">
        <f>-IF(RTD("tos.rtd",,AV$2,"."&amp;$C$134&amp;$AU$134&amp;"P"&amp;$A172)="N/A",0,RTD("tos.rtd",,AV$2,"."&amp;$C$134&amp;$AU$134&amp;"P"&amp;$A172))</f>
        <v>0</v>
      </c>
      <c r="AW172" s="54">
        <f>IF(RTD("tos.rtd",,AW$2,"."&amp;$D$134&amp;$AW$134&amp;"C"&amp;$A172)="N/A",0,RTD("tos.rtd",,AW$2,"."&amp;$D$134&amp;$AW$134&amp;"C"&amp;$A172))</f>
        <v>0</v>
      </c>
      <c r="AX172" s="3">
        <f>-IF(RTD("tos.rtd",,AX$2,"."&amp;$D$134&amp;$AW$134&amp;"P"&amp;$A172)="N/A",0,RTD("tos.rtd",,AX$2,"."&amp;$D$134&amp;$AW$134&amp;"P"&amp;$A172))</f>
        <v>0</v>
      </c>
      <c r="AY172" s="76">
        <f t="shared" si="635"/>
        <v>1</v>
      </c>
      <c r="AZ172" s="8">
        <f t="shared" si="539"/>
        <v>19740</v>
      </c>
      <c r="BA172" s="54">
        <f>IF(RTD("tos.rtd",,BA$43,"."&amp;$B$134&amp;$AS$82&amp;"C"&amp;$A172)="N/A",0,RTD("tos.rtd",,BA$43,"."&amp;$B$134&amp;$AS$82&amp;"C"&amp;$A172))</f>
        <v>0</v>
      </c>
      <c r="BB172" s="3">
        <f>-IF(RTD("tos.rtd",,BB$43,"."&amp;$B$134&amp;$AS$82&amp;"P"&amp;$A172)="N/A",0,RTD("tos.rtd",,BB$43,"."&amp;$B$134&amp;$AS$82&amp;"P"&amp;$A172))</f>
        <v>-56</v>
      </c>
      <c r="BC172" s="54">
        <f>IF(RTD("tos.rtd",,BC$2,"."&amp;$C$134&amp;$AU$82&amp;"C"&amp;$A172)="N/A",0,RTD("tos.rtd",,BC$2,"."&amp;$C$134&amp;$AU$82&amp;"C"&amp;$A172))</f>
        <v>0</v>
      </c>
      <c r="BD172" s="3">
        <f>-IF(RTD("tos.rtd",,BD$2,"."&amp;$C$134&amp;$AU$82&amp;"P"&amp;$A172)="N/A",0,RTD("tos.rtd",,BD$2,"."&amp;$C$134&amp;$AU$82&amp;"P"&amp;$A172))</f>
        <v>0</v>
      </c>
      <c r="BE172" s="54">
        <f>IF(RTD("tos.rtd",,BE$2,"."&amp;$D$134&amp;$AW$82&amp;"C"&amp;$A172)="N/A",0,RTD("tos.rtd",,BE$2,"."&amp;$D$134&amp;$AW$82&amp;"C"&amp;$A172))</f>
        <v>0</v>
      </c>
      <c r="BF172" s="3">
        <f>-IF(RTD("tos.rtd",,BF$2,"."&amp;$D$134&amp;$AW$82&amp;"P"&amp;$A172)="N/A",0,RTD("tos.rtd",,BF$2,"."&amp;$D$134&amp;$AW$82&amp;"P"&amp;$A172))</f>
        <v>0</v>
      </c>
      <c r="BG172" s="3" t="e">
        <f ca="1">+Hoja2!Y173</f>
        <v>#N/A</v>
      </c>
      <c r="BH172" s="7" t="e">
        <f t="shared" ca="1" si="540"/>
        <v>#N/A</v>
      </c>
      <c r="BI172" s="32" t="e">
        <f t="shared" ca="1" si="597"/>
        <v>#N/A</v>
      </c>
      <c r="BJ172" s="3" t="e">
        <f ca="1">IF($BP$1=1,DX172,IF(RTD("tos.rtd",,BJ$43,"."&amp;$B$134&amp;$AS$82&amp;"C"&amp;$A172)="N/A",0,RTD("tos.rtd",,BJ$43,"."&amp;$B$134&amp;$AS$82&amp;"C"&amp;$A172)))</f>
        <v>#NUM!</v>
      </c>
      <c r="BK172" s="3" t="e">
        <f ca="1">IF($BP$1=1,DY172,-IF(RTD("tos.rtd",,BK$43,"."&amp;$B$134&amp;$AS$82&amp;"P"&amp;$A172)="N/A",0,RTD("tos.rtd",,BK$43,"."&amp;$B$134&amp;$AS$82&amp;"P"&amp;$A172)))</f>
        <v>#NUM!</v>
      </c>
      <c r="BL172" s="3">
        <f ca="1">IF($BP$1=1,DZ172,IF(RTD("tos.rtd",,BL$2,"."&amp;$C$134&amp;$AU$82&amp;"C"&amp;$A172)="N/A",0,RTD("tos.rtd",,BL$2,"."&amp;$C$134&amp;$AU$82&amp;"C"&amp;$A172)))</f>
        <v>4.355699525003514E-4</v>
      </c>
      <c r="BM172" s="3">
        <f ca="1">IF($BP$1=1,EA172,-IF(RTD("tos.rtd",,BM$2,"."&amp;$C$134&amp;$AU$82&amp;"P"&amp;$A172)="N/A",0,RTD("tos.rtd",,BM$2,"."&amp;$C$134&amp;$AU$82&amp;"P"&amp;$A172)))</f>
        <v>-4.355699525003514E-4</v>
      </c>
      <c r="BN172" s="3">
        <f ca="1">IF($BP$1=1,EB172,IF(RTD("tos.rtd",,BN$2,"."&amp;$D$134&amp;$AW$82&amp;"C"&amp;$A172)="N/A",0,RTD("tos.rtd",,BN$2,"."&amp;$D$134&amp;$AW$82&amp;"C"&amp;$A172)))</f>
        <v>4.355699525003514E-4</v>
      </c>
      <c r="BO172" s="3">
        <f ca="1">IF($BP$1=1,EC172,-IF(RTD("tos.rtd",,BO$2,"."&amp;$D$134&amp;$AW$82&amp;"P"&amp;$A172)="N/A",0,RTD("tos.rtd",,BO$2,"."&amp;$D$134&amp;$AW$82&amp;"P"&amp;$A172)))</f>
        <v>-4.355699525003514E-4</v>
      </c>
      <c r="BQ172" s="3" t="e">
        <f t="shared" ca="1" si="636"/>
        <v>#NUM!</v>
      </c>
      <c r="BR172" s="3" t="e">
        <f t="shared" ca="1" si="541"/>
        <v>#NUM!</v>
      </c>
      <c r="BS172" s="3">
        <f t="shared" ca="1" si="637"/>
        <v>0</v>
      </c>
      <c r="BT172" s="3" t="str">
        <f t="shared" ca="1" si="542"/>
        <v/>
      </c>
      <c r="BU172" s="3">
        <f t="shared" ca="1" si="638"/>
        <v>0</v>
      </c>
      <c r="BV172" s="3" t="str">
        <f t="shared" ca="1" si="542"/>
        <v/>
      </c>
      <c r="BX172" s="3" t="e">
        <f t="shared" ca="1" si="575"/>
        <v>#NUM!</v>
      </c>
      <c r="BY172" s="3" t="e">
        <f t="shared" ca="1" si="576"/>
        <v>#NUM!</v>
      </c>
      <c r="BZ172" s="3">
        <f t="shared" ca="1" si="577"/>
        <v>0</v>
      </c>
      <c r="CA172" s="3" t="str">
        <f t="shared" ca="1" si="576"/>
        <v/>
      </c>
      <c r="CB172" s="3">
        <f t="shared" ca="1" si="578"/>
        <v>0</v>
      </c>
      <c r="CC172" s="3" t="str">
        <f t="shared" ca="1" si="576"/>
        <v/>
      </c>
      <c r="CD172" s="3">
        <f>IF(RTD("tos.rtd",,CD$43,"."&amp;$B$134&amp;$AS$82&amp;"C"&amp;$A172)="N/A",0,RTD("tos.rtd",,CD$43,"."&amp;$B$134&amp;$AS$82&amp;"C"&amp;$A172))</f>
        <v>1</v>
      </c>
      <c r="CE172" s="3">
        <f>-IF(RTD("tos.rtd",,CE$43,"."&amp;$B$134&amp;$AS$82&amp;"P"&amp;$A172)="N/A",0,RTD("tos.rtd",,CE$43,"."&amp;$B$134&amp;$AS$82&amp;"P"&amp;$A172))</f>
        <v>0</v>
      </c>
      <c r="CF172" s="3">
        <f>IF(RTD("tos.rtd",,CF$2,"."&amp;$C$134&amp;$AU$82&amp;"C"&amp;$A172)="N/A",0,RTD("tos.rtd",,CF$2,"."&amp;$C$134&amp;$AU$82&amp;"C"&amp;$A172))</f>
        <v>0</v>
      </c>
      <c r="CG172" s="3">
        <f>-IF(RTD("tos.rtd",,CG$2,"."&amp;$C$134&amp;$AU$82&amp;"P"&amp;$A172)="N/A",0,RTD("tos.rtd",,CG$2,"."&amp;$C$134&amp;$AU$82&amp;"P"&amp;$A172))</f>
        <v>0</v>
      </c>
      <c r="CH172" s="3">
        <f>IF(RTD("tos.rtd",,CH$2,"."&amp;$D$134&amp;$AW$82&amp;"C"&amp;$A172)="N/A",0,RTD("tos.rtd",,CH$2,"."&amp;$D$134&amp;$AW$82&amp;"C"&amp;$A172))</f>
        <v>0</v>
      </c>
      <c r="CI172" s="3">
        <f>-IF(RTD("tos.rtd",,CI$2,"."&amp;$D$134&amp;$AW$82&amp;"P"&amp;$A172)="N/A",0,RTD("tos.rtd",,CI$2,"."&amp;$D$134&amp;$AW$82&amp;"P"&amp;$A172))</f>
        <v>0</v>
      </c>
      <c r="CK172" s="3">
        <f t="shared" si="639"/>
        <v>400</v>
      </c>
      <c r="CL172" s="3"/>
      <c r="CM172" s="3">
        <f t="shared" si="640"/>
        <v>0</v>
      </c>
      <c r="CN172" s="3"/>
      <c r="CO172" s="3">
        <f t="shared" si="641"/>
        <v>0</v>
      </c>
      <c r="CP172" s="3">
        <f t="shared" si="533"/>
        <v>400</v>
      </c>
      <c r="CQ172" s="3">
        <f t="shared" si="543"/>
        <v>-56</v>
      </c>
      <c r="CR172" s="3"/>
      <c r="CS172" s="3">
        <f t="shared" si="544"/>
        <v>0</v>
      </c>
      <c r="CT172" s="3"/>
      <c r="CU172" s="3">
        <f t="shared" si="545"/>
        <v>0</v>
      </c>
      <c r="CV172" s="3"/>
      <c r="CW172" s="3" t="e">
        <f t="shared" ca="1" si="546"/>
        <v>#NUM!</v>
      </c>
      <c r="CY172" s="3" t="e">
        <f t="shared" ca="1" si="547"/>
        <v>#NUM!</v>
      </c>
      <c r="CZ172" s="70" t="e">
        <f t="shared" ca="1" si="579"/>
        <v>#NUM!</v>
      </c>
      <c r="DA172" s="3">
        <f>IF(RTD("tos.rtd",,DA$43,"."&amp;$B$134&amp;$AS$82&amp;"C"&amp;$A172)="N/A",0,RTD("tos.rtd",,DA$43,"."&amp;$B$134&amp;$AS$82&amp;"C"&amp;$A172))</f>
        <v>259.25</v>
      </c>
      <c r="DB172" s="3">
        <f>IF(RTD("tos.rtd",,DB$43,"."&amp;$B$134&amp;$AS$82&amp;"P"&amp;$A172)="N/A",0,RTD("tos.rtd",,DB$43,"."&amp;$B$134&amp;$AS$82&amp;"P"&amp;$A172))</f>
        <v>0.05</v>
      </c>
      <c r="DC172" s="3">
        <f>IF(RTD("tos.rtd",,DC$43,"."&amp;$B$134&amp;$AS$82&amp;"C"&amp;$A172)="N/A",0,RTD("tos.rtd",,DC$43,"."&amp;$B$134&amp;$AS$82&amp;"C"&amp;$A172))</f>
        <v>376</v>
      </c>
      <c r="DD172" s="3">
        <f>IF(RTD("tos.rtd",,DD$43,"."&amp;$B$134&amp;$AS$82&amp;"P"&amp;$A172)="N/A",0,RTD("tos.rtd",,DD$43,"."&amp;$B$134&amp;$AS$82&amp;"P"&amp;$A172))</f>
        <v>0.1</v>
      </c>
      <c r="DE172" s="3">
        <f>IF(RTD("tos.rtd",,DE$43,"."&amp;$B$134&amp;$AS$82&amp;"C"&amp;$A172)="N/A",0,RTD("tos.rtd",,DE$43,"."&amp;$B$134&amp;$AS$82&amp;"C"&amp;$A172))</f>
        <v>334.1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580"/>
        <v>-352</v>
      </c>
      <c r="DH172" s="3">
        <f t="shared" si="548"/>
        <v>0</v>
      </c>
      <c r="DI172" s="3">
        <f t="shared" si="549"/>
        <v>0</v>
      </c>
      <c r="DJ172" s="3">
        <f t="shared" si="550"/>
        <v>0</v>
      </c>
      <c r="DK172" s="3">
        <f t="shared" si="551"/>
        <v>0</v>
      </c>
      <c r="DL172" s="3">
        <f t="shared" si="552"/>
        <v>0</v>
      </c>
      <c r="DM172" s="3">
        <f t="shared" si="553"/>
        <v>0</v>
      </c>
      <c r="DN172" s="64" t="str">
        <f t="shared" si="554"/>
        <v>UNKNOWN</v>
      </c>
      <c r="DO172" s="64" t="str">
        <f t="shared" si="555"/>
        <v>UNKNOWN</v>
      </c>
      <c r="DP172" s="3">
        <f t="shared" si="556"/>
        <v>0</v>
      </c>
      <c r="DQ172" s="3">
        <f t="shared" si="557"/>
        <v>0</v>
      </c>
      <c r="DR172" s="3" t="e">
        <f t="shared" ca="1" si="558"/>
        <v>#NUM!</v>
      </c>
      <c r="DS172" s="3">
        <f t="shared" si="559"/>
        <v>0</v>
      </c>
      <c r="DT172" s="3">
        <f t="shared" si="581"/>
        <v>0</v>
      </c>
      <c r="DU172" s="3">
        <f t="shared" si="582"/>
        <v>0</v>
      </c>
      <c r="DV172" s="3">
        <f t="shared" si="560"/>
        <v>0</v>
      </c>
      <c r="DW172" s="3">
        <f t="shared" si="561"/>
        <v>-44</v>
      </c>
      <c r="DX172" s="3" t="e">
        <f t="shared" ca="1" si="642"/>
        <v>#NUM!</v>
      </c>
      <c r="DY172" s="3" t="e">
        <f t="shared" ca="1" si="643"/>
        <v>#NUM!</v>
      </c>
      <c r="DZ172" s="3">
        <f t="shared" ca="1" si="644"/>
        <v>4.355699525003514E-4</v>
      </c>
      <c r="EA172" s="3">
        <f t="shared" ca="1" si="645"/>
        <v>-4.355699525003514E-4</v>
      </c>
      <c r="EB172" s="3">
        <f t="shared" ca="1" si="646"/>
        <v>4.355699525003514E-4</v>
      </c>
      <c r="EC172" s="3">
        <f t="shared" ca="1" si="647"/>
        <v>-4.355699525003514E-4</v>
      </c>
      <c r="EE172" s="59">
        <f t="shared" si="568"/>
        <v>0.25</v>
      </c>
      <c r="EF172" s="59">
        <f t="shared" si="569"/>
        <v>0.80920000000000003</v>
      </c>
      <c r="EG172" s="59">
        <f t="shared" si="570"/>
        <v>0.25</v>
      </c>
      <c r="EH172" s="59">
        <f t="shared" si="571"/>
        <v>0.25</v>
      </c>
      <c r="EI172" s="59">
        <f t="shared" si="572"/>
        <v>0.25</v>
      </c>
      <c r="EJ172" s="59">
        <f t="shared" si="573"/>
        <v>0.25</v>
      </c>
      <c r="EL172" s="3" t="str">
        <f>RTD("tos.rtd",,EL$43,"."&amp;$B$134&amp;$AS$82&amp;"C"&amp;$A172)</f>
        <v>--</v>
      </c>
      <c r="EM172" s="3" t="str">
        <f>RTD("tos.rtd",,EM$43,"."&amp;$B$134&amp;$AS$82&amp;"P"&amp;$A172)</f>
        <v>80.92%</v>
      </c>
      <c r="EN172" s="3" t="str">
        <f>RTD("tos.rtd",,EN$2,"."&amp;$C$134&amp;$AU$82&amp;"C"&amp;$A172)</f>
        <v>N/A</v>
      </c>
      <c r="EO172" s="3" t="str">
        <f>RTD("tos.rtd",,EO$2,"."&amp;$C$134&amp;$AU$82&amp;"P"&amp;$A172)</f>
        <v>N/A</v>
      </c>
      <c r="EP172" s="3" t="str">
        <f>RTD("tos.rtd",,EP$2,"."&amp;$D$134&amp;$AW$82&amp;"C"&amp;$A172)</f>
        <v>N/A</v>
      </c>
      <c r="EQ172" s="3" t="str">
        <f>RTD("tos.rtd",,EQ$2,"."&amp;$D$134&amp;$AW$82&amp;"P"&amp;$A172)</f>
        <v>N/A</v>
      </c>
      <c r="ET172" s="64" t="str">
        <f t="shared" ca="1" si="574"/>
        <v>19740,00.00</v>
      </c>
      <c r="EU172" s="68">
        <v>563.57000000000005</v>
      </c>
      <c r="EV172" s="68" t="s">
        <v>1396</v>
      </c>
      <c r="EW172" s="68">
        <v>485.99</v>
      </c>
      <c r="EX172" s="68" t="s">
        <v>1397</v>
      </c>
      <c r="EY172" s="68">
        <v>5651</v>
      </c>
      <c r="EZ172" s="68" t="s">
        <v>1398</v>
      </c>
      <c r="FA172" s="68">
        <v>19970.75</v>
      </c>
      <c r="FB172" s="68" t="s">
        <v>1399</v>
      </c>
      <c r="FC172" s="68" t="s">
        <v>1400</v>
      </c>
      <c r="FD172" s="68" t="s">
        <v>1401</v>
      </c>
      <c r="FE172" s="68" t="s">
        <v>1402</v>
      </c>
      <c r="FF172" s="68" t="s">
        <v>1403</v>
      </c>
    </row>
    <row r="173" spans="1:162" ht="11.1" customHeight="1" thickBot="1" x14ac:dyDescent="0.25">
      <c r="A173" s="2">
        <f t="shared" si="583"/>
        <v>19720</v>
      </c>
      <c r="B173" s="3">
        <f t="shared" si="629"/>
        <v>25</v>
      </c>
      <c r="C173" s="3">
        <f t="shared" si="630"/>
        <v>0</v>
      </c>
      <c r="D173" s="3">
        <f t="shared" si="631"/>
        <v>0</v>
      </c>
      <c r="E173" s="3">
        <f t="shared" si="632"/>
        <v>25</v>
      </c>
      <c r="F173" s="4">
        <f t="shared" si="633"/>
        <v>19818.148516822617</v>
      </c>
      <c r="G173" s="5">
        <f t="shared" si="634"/>
        <v>479.90698785586301</v>
      </c>
      <c r="AM173" s="1">
        <v>0</v>
      </c>
      <c r="AN173" s="1">
        <v>-50</v>
      </c>
      <c r="AO173" s="1">
        <v>19720</v>
      </c>
      <c r="AP173" s="1">
        <v>0</v>
      </c>
      <c r="AQ173" s="1">
        <v>-49</v>
      </c>
      <c r="AS173" s="54">
        <f>IF(RTD("tos.rtd",,AS$83,"."&amp;$B$134&amp;$AS$82&amp;"C"&amp;$A173)="N/A",0,RTD("tos.rtd",,AS$83,"."&amp;$B$134&amp;$AS$82&amp;"C"&amp;$A173))</f>
        <v>9</v>
      </c>
      <c r="AT173" s="3">
        <f>-IF(RTD("tos.rtd",,AT$83,"."&amp;$B$134&amp;$AS$82&amp;"P"&amp;$A173)="N/A",0,RTD("tos.rtd",,AT$83,"."&amp;$B$134&amp;$AS$82&amp;"P"&amp;$A173))</f>
        <v>-16</v>
      </c>
      <c r="AU173" s="54">
        <f>IF(RTD("tos.rtd",,AU$2,"."&amp;$C$134&amp;$AU$134&amp;"C"&amp;$A173)="N/A",0,RTD("tos.rtd",,AU$2,"."&amp;$C$134&amp;$AU$134&amp;"C"&amp;$A173))</f>
        <v>0</v>
      </c>
      <c r="AV173" s="3">
        <f>-IF(RTD("tos.rtd",,AV$2,"."&amp;$C$134&amp;$AU$134&amp;"P"&amp;$A173)="N/A",0,RTD("tos.rtd",,AV$2,"."&amp;$C$134&amp;$AU$134&amp;"P"&amp;$A173))</f>
        <v>0</v>
      </c>
      <c r="AW173" s="54">
        <f>IF(RTD("tos.rtd",,AW$2,"."&amp;$D$134&amp;$AW$134&amp;"C"&amp;$A173)="N/A",0,RTD("tos.rtd",,AW$2,"."&amp;$D$134&amp;$AW$134&amp;"C"&amp;$A173))</f>
        <v>0</v>
      </c>
      <c r="AX173" s="3">
        <f>-IF(RTD("tos.rtd",,AX$2,"."&amp;$D$134&amp;$AW$134&amp;"P"&amp;$A173)="N/A",0,RTD("tos.rtd",,AX$2,"."&amp;$D$134&amp;$AW$134&amp;"P"&amp;$A173))</f>
        <v>0</v>
      </c>
      <c r="AY173" s="76">
        <f t="shared" si="635"/>
        <v>-7</v>
      </c>
      <c r="AZ173" s="8">
        <f t="shared" si="539"/>
        <v>19720</v>
      </c>
      <c r="BA173" s="54">
        <f>IF(RTD("tos.rtd",,BA$43,"."&amp;$B$134&amp;$AS$82&amp;"C"&amp;$A173)="N/A",0,RTD("tos.rtd",,BA$43,"."&amp;$B$134&amp;$AS$82&amp;"C"&amp;$A173))</f>
        <v>0</v>
      </c>
      <c r="BB173" s="3">
        <f>-IF(RTD("tos.rtd",,BB$43,"."&amp;$B$134&amp;$AS$82&amp;"P"&amp;$A173)="N/A",0,RTD("tos.rtd",,BB$43,"."&amp;$B$134&amp;$AS$82&amp;"P"&amp;$A173))</f>
        <v>-49</v>
      </c>
      <c r="BC173" s="54">
        <f>IF(RTD("tos.rtd",,BC$2,"."&amp;$C$134&amp;$AU$82&amp;"C"&amp;$A173)="N/A",0,RTD("tos.rtd",,BC$2,"."&amp;$C$134&amp;$AU$82&amp;"C"&amp;$A173))</f>
        <v>0</v>
      </c>
      <c r="BD173" s="3">
        <f>-IF(RTD("tos.rtd",,BD$2,"."&amp;$C$134&amp;$AU$82&amp;"P"&amp;$A173)="N/A",0,RTD("tos.rtd",,BD$2,"."&amp;$C$134&amp;$AU$82&amp;"P"&amp;$A173))</f>
        <v>0</v>
      </c>
      <c r="BE173" s="54">
        <f>IF(RTD("tos.rtd",,BE$2,"."&amp;$D$134&amp;$AW$82&amp;"C"&amp;$A173)="N/A",0,RTD("tos.rtd",,BE$2,"."&amp;$D$134&amp;$AW$82&amp;"C"&amp;$A173))</f>
        <v>0</v>
      </c>
      <c r="BF173" s="3">
        <f>-IF(RTD("tos.rtd",,BF$2,"."&amp;$D$134&amp;$AW$82&amp;"P"&amp;$A173)="N/A",0,RTD("tos.rtd",,BF$2,"."&amp;$D$134&amp;$AW$82&amp;"P"&amp;$A173))</f>
        <v>0</v>
      </c>
      <c r="BG173" s="3" t="e">
        <f ca="1">+Hoja2!Y174</f>
        <v>#N/A</v>
      </c>
      <c r="BH173" s="7" t="e">
        <f t="shared" ca="1" si="540"/>
        <v>#N/A</v>
      </c>
      <c r="BI173" s="32" t="e">
        <f t="shared" ca="1" si="597"/>
        <v>#N/A</v>
      </c>
      <c r="BJ173" s="3" t="e">
        <f ca="1">IF($BP$1=1,DX173,IF(RTD("tos.rtd",,BJ$43,"."&amp;$B$134&amp;$AS$82&amp;"C"&amp;$A173)="N/A",0,RTD("tos.rtd",,BJ$43,"."&amp;$B$134&amp;$AS$82&amp;"C"&amp;$A173)))</f>
        <v>#NUM!</v>
      </c>
      <c r="BK173" s="3" t="e">
        <f ca="1">IF($BP$1=1,DY173,-IF(RTD("tos.rtd",,BK$43,"."&amp;$B$134&amp;$AS$82&amp;"P"&amp;$A173)="N/A",0,RTD("tos.rtd",,BK$43,"."&amp;$B$134&amp;$AS$82&amp;"P"&amp;$A173)))</f>
        <v>#NUM!</v>
      </c>
      <c r="BL173" s="3">
        <f ca="1">IF($BP$1=1,DZ173,IF(RTD("tos.rtd",,BL$2,"."&amp;$C$134&amp;$AU$82&amp;"C"&amp;$A173)="N/A",0,RTD("tos.rtd",,BL$2,"."&amp;$C$134&amp;$AU$82&amp;"C"&amp;$A173)))</f>
        <v>4.3020631026588322E-4</v>
      </c>
      <c r="BM173" s="3">
        <f ca="1">IF($BP$1=1,EA173,-IF(RTD("tos.rtd",,BM$2,"."&amp;$C$134&amp;$AU$82&amp;"P"&amp;$A173)="N/A",0,RTD("tos.rtd",,BM$2,"."&amp;$C$134&amp;$AU$82&amp;"P"&amp;$A173)))</f>
        <v>-4.3020631026588322E-4</v>
      </c>
      <c r="BN173" s="3">
        <f ca="1">IF($BP$1=1,EB173,IF(RTD("tos.rtd",,BN$2,"."&amp;$D$134&amp;$AW$82&amp;"C"&amp;$A173)="N/A",0,RTD("tos.rtd",,BN$2,"."&amp;$D$134&amp;$AW$82&amp;"C"&amp;$A173)))</f>
        <v>4.3020631026588322E-4</v>
      </c>
      <c r="BO173" s="3">
        <f ca="1">IF($BP$1=1,EC173,-IF(RTD("tos.rtd",,BO$2,"."&amp;$D$134&amp;$AW$82&amp;"P"&amp;$A173)="N/A",0,RTD("tos.rtd",,BO$2,"."&amp;$D$134&amp;$AW$82&amp;"P"&amp;$A173)))</f>
        <v>-4.3020631026588322E-4</v>
      </c>
      <c r="BQ173" s="3" t="e">
        <f t="shared" ca="1" si="636"/>
        <v>#NUM!</v>
      </c>
      <c r="BR173" s="3" t="e">
        <f t="shared" ca="1" si="541"/>
        <v>#NUM!</v>
      </c>
      <c r="BS173" s="3">
        <f t="shared" ca="1" si="637"/>
        <v>0</v>
      </c>
      <c r="BT173" s="3" t="str">
        <f t="shared" ca="1" si="542"/>
        <v/>
      </c>
      <c r="BU173" s="3">
        <f t="shared" ca="1" si="638"/>
        <v>0</v>
      </c>
      <c r="BV173" s="3" t="str">
        <f t="shared" ca="1" si="542"/>
        <v/>
      </c>
      <c r="BX173" s="3" t="e">
        <f t="shared" ca="1" si="575"/>
        <v>#NUM!</v>
      </c>
      <c r="BY173" s="3" t="e">
        <f t="shared" ca="1" si="576"/>
        <v>#NUM!</v>
      </c>
      <c r="BZ173" s="3">
        <f t="shared" ca="1" si="577"/>
        <v>0</v>
      </c>
      <c r="CA173" s="3" t="str">
        <f t="shared" ca="1" si="576"/>
        <v/>
      </c>
      <c r="CB173" s="3">
        <f t="shared" ca="1" si="578"/>
        <v>0</v>
      </c>
      <c r="CC173" s="3" t="str">
        <f t="shared" ca="1" si="576"/>
        <v/>
      </c>
      <c r="CD173" s="3">
        <f>IF(RTD("tos.rtd",,CD$43,"."&amp;$B$134&amp;$AS$82&amp;"C"&amp;$A173)="N/A",0,RTD("tos.rtd",,CD$43,"."&amp;$B$134&amp;$AS$82&amp;"C"&amp;$A173))</f>
        <v>1</v>
      </c>
      <c r="CE173" s="3">
        <f>-IF(RTD("tos.rtd",,CE$43,"."&amp;$B$134&amp;$AS$82&amp;"P"&amp;$A173)="N/A",0,RTD("tos.rtd",,CE$43,"."&amp;$B$134&amp;$AS$82&amp;"P"&amp;$A173))</f>
        <v>0.08</v>
      </c>
      <c r="CF173" s="3">
        <f>IF(RTD("tos.rtd",,CF$2,"."&amp;$C$134&amp;$AU$82&amp;"C"&amp;$A173)="N/A",0,RTD("tos.rtd",,CF$2,"."&amp;$C$134&amp;$AU$82&amp;"C"&amp;$A173))</f>
        <v>0</v>
      </c>
      <c r="CG173" s="3">
        <f>-IF(RTD("tos.rtd",,CG$2,"."&amp;$C$134&amp;$AU$82&amp;"P"&amp;$A173)="N/A",0,RTD("tos.rtd",,CG$2,"."&amp;$C$134&amp;$AU$82&amp;"P"&amp;$A173))</f>
        <v>0</v>
      </c>
      <c r="CH173" s="3">
        <f>IF(RTD("tos.rtd",,CH$2,"."&amp;$D$134&amp;$AW$82&amp;"C"&amp;$A173)="N/A",0,RTD("tos.rtd",,CH$2,"."&amp;$D$134&amp;$AW$82&amp;"C"&amp;$A173))</f>
        <v>0</v>
      </c>
      <c r="CI173" s="3">
        <f>-IF(RTD("tos.rtd",,CI$2,"."&amp;$D$134&amp;$AW$82&amp;"P"&amp;$A173)="N/A",0,RTD("tos.rtd",,CI$2,"."&amp;$D$134&amp;$AW$82&amp;"P"&amp;$A173))</f>
        <v>0</v>
      </c>
      <c r="CK173" s="3">
        <f t="shared" si="639"/>
        <v>772</v>
      </c>
      <c r="CL173" s="3"/>
      <c r="CM173" s="3">
        <f t="shared" si="640"/>
        <v>0</v>
      </c>
      <c r="CN173" s="3"/>
      <c r="CO173" s="3">
        <f t="shared" si="641"/>
        <v>0</v>
      </c>
      <c r="CP173" s="3">
        <f t="shared" si="533"/>
        <v>772</v>
      </c>
      <c r="CQ173" s="3">
        <f t="shared" si="543"/>
        <v>-49</v>
      </c>
      <c r="CR173" s="3"/>
      <c r="CS173" s="3">
        <f t="shared" si="544"/>
        <v>0</v>
      </c>
      <c r="CT173" s="3"/>
      <c r="CU173" s="3">
        <f t="shared" si="545"/>
        <v>0</v>
      </c>
      <c r="CV173" s="3"/>
      <c r="CW173" s="3" t="e">
        <f t="shared" ca="1" si="546"/>
        <v>#NUM!</v>
      </c>
      <c r="CY173" s="3" t="e">
        <f t="shared" ca="1" si="547"/>
        <v>#NUM!</v>
      </c>
      <c r="CZ173" s="70" t="e">
        <f t="shared" ca="1" si="579"/>
        <v>#NUM!</v>
      </c>
      <c r="DA173" s="3">
        <f>IF(RTD("tos.rtd",,DA$43,"."&amp;$B$134&amp;$AS$82&amp;"C"&amp;$A173)="N/A",0,RTD("tos.rtd",,DA$43,"."&amp;$B$134&amp;$AS$82&amp;"C"&amp;$A173))</f>
        <v>235.2</v>
      </c>
      <c r="DB173" s="3">
        <f>IF(RTD("tos.rtd",,DB$43,"."&amp;$B$134&amp;$AS$82&amp;"P"&amp;$A173)="N/A",0,RTD("tos.rtd",,DB$43,"."&amp;$B$134&amp;$AS$82&amp;"P"&amp;$A173))</f>
        <v>6.25</v>
      </c>
      <c r="DC173" s="3">
        <f>IF(RTD("tos.rtd",,DC$43,"."&amp;$B$134&amp;$AS$82&amp;"C"&amp;$A173)="N/A",0,RTD("tos.rtd",,DC$43,"."&amp;$B$134&amp;$AS$82&amp;"C"&amp;$A173))</f>
        <v>396</v>
      </c>
      <c r="DD173" s="3">
        <f>IF(RTD("tos.rtd",,DD$43,"."&amp;$B$134&amp;$AS$82&amp;"P"&amp;$A173)="N/A",0,RTD("tos.rtd",,DD$43,"."&amp;$B$134&amp;$AS$82&amp;"P"&amp;$A173))</f>
        <v>19.8</v>
      </c>
      <c r="DE173" s="3">
        <f>IF(RTD("tos.rtd",,DE$43,"."&amp;$B$134&amp;$AS$82&amp;"C"&amp;$A173)="N/A",0,RTD("tos.rtd",,DE$43,"."&amp;$B$134&amp;$AS$82&amp;"C"&amp;$A173))</f>
        <v>354.1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580"/>
        <v>-372</v>
      </c>
      <c r="DH173" s="3">
        <f t="shared" si="548"/>
        <v>0</v>
      </c>
      <c r="DI173" s="3">
        <f t="shared" si="549"/>
        <v>0</v>
      </c>
      <c r="DJ173" s="3">
        <f t="shared" si="550"/>
        <v>0</v>
      </c>
      <c r="DK173" s="3">
        <f t="shared" si="551"/>
        <v>0</v>
      </c>
      <c r="DL173" s="3">
        <f t="shared" si="552"/>
        <v>0</v>
      </c>
      <c r="DM173" s="3">
        <f t="shared" si="553"/>
        <v>0</v>
      </c>
      <c r="DN173" s="64" t="str">
        <f t="shared" si="554"/>
        <v>UNKNOWN</v>
      </c>
      <c r="DO173" s="64" t="str">
        <f t="shared" si="555"/>
        <v>UNKNOWN</v>
      </c>
      <c r="DP173" s="3">
        <f t="shared" si="556"/>
        <v>0</v>
      </c>
      <c r="DQ173" s="3">
        <f t="shared" si="557"/>
        <v>0</v>
      </c>
      <c r="DR173" s="3" t="e">
        <f t="shared" ca="1" si="558"/>
        <v>#NUM!</v>
      </c>
      <c r="DS173" s="3">
        <f t="shared" si="559"/>
        <v>0</v>
      </c>
      <c r="DT173" s="3">
        <f t="shared" si="581"/>
        <v>0</v>
      </c>
      <c r="DU173" s="3">
        <f t="shared" si="582"/>
        <v>0</v>
      </c>
      <c r="DV173" s="3">
        <f t="shared" si="560"/>
        <v>0</v>
      </c>
      <c r="DW173" s="3">
        <f t="shared" si="561"/>
        <v>-50</v>
      </c>
      <c r="DX173" s="3" t="e">
        <f t="shared" ca="1" si="642"/>
        <v>#NUM!</v>
      </c>
      <c r="DY173" s="3" t="e">
        <f t="shared" ca="1" si="643"/>
        <v>#NUM!</v>
      </c>
      <c r="DZ173" s="3">
        <f t="shared" ca="1" si="644"/>
        <v>4.3020631026588322E-4</v>
      </c>
      <c r="EA173" s="3">
        <f t="shared" ca="1" si="645"/>
        <v>-4.3020631026588322E-4</v>
      </c>
      <c r="EB173" s="3">
        <f t="shared" ca="1" si="646"/>
        <v>4.3020631026588322E-4</v>
      </c>
      <c r="EC173" s="3">
        <f t="shared" ca="1" si="647"/>
        <v>-4.3020631026588322E-4</v>
      </c>
      <c r="EE173" s="59">
        <f t="shared" si="568"/>
        <v>0.25</v>
      </c>
      <c r="EF173" s="59">
        <f t="shared" si="569"/>
        <v>1.8122</v>
      </c>
      <c r="EG173" s="59">
        <f t="shared" si="570"/>
        <v>0.25</v>
      </c>
      <c r="EH173" s="59">
        <f t="shared" si="571"/>
        <v>0.25</v>
      </c>
      <c r="EI173" s="59">
        <f t="shared" si="572"/>
        <v>0.25</v>
      </c>
      <c r="EJ173" s="59">
        <f t="shared" si="573"/>
        <v>0.25</v>
      </c>
      <c r="EL173" s="3" t="str">
        <f>RTD("tos.rtd",,EL$43,"."&amp;$B$134&amp;$AS$82&amp;"C"&amp;$A173)</f>
        <v>--</v>
      </c>
      <c r="EM173" s="3" t="str">
        <f>RTD("tos.rtd",,EM$43,"."&amp;$B$134&amp;$AS$82&amp;"P"&amp;$A173)</f>
        <v>181.22%</v>
      </c>
      <c r="EN173" s="3" t="str">
        <f>RTD("tos.rtd",,EN$2,"."&amp;$C$134&amp;$AU$82&amp;"C"&amp;$A173)</f>
        <v>N/A</v>
      </c>
      <c r="EO173" s="3" t="str">
        <f>RTD("tos.rtd",,EO$2,"."&amp;$C$134&amp;$AU$82&amp;"P"&amp;$A173)</f>
        <v>N/A</v>
      </c>
      <c r="EP173" s="3" t="str">
        <f>RTD("tos.rtd",,EP$2,"."&amp;$D$134&amp;$AW$82&amp;"C"&amp;$A173)</f>
        <v>N/A</v>
      </c>
      <c r="EQ173" s="3" t="str">
        <f>RTD("tos.rtd",,EQ$2,"."&amp;$D$134&amp;$AW$82&amp;"P"&amp;$A173)</f>
        <v>N/A</v>
      </c>
      <c r="ET173" s="64" t="str">
        <f t="shared" ca="1" si="574"/>
        <v>19720,00.00</v>
      </c>
      <c r="EU173" s="68">
        <v>563.45000000000005</v>
      </c>
      <c r="EV173" s="68" t="s">
        <v>1404</v>
      </c>
      <c r="EW173" s="68">
        <v>486.03</v>
      </c>
      <c r="EX173" s="68" t="s">
        <v>1405</v>
      </c>
      <c r="EY173" s="68">
        <v>5650</v>
      </c>
      <c r="EZ173" s="68" t="s">
        <v>1406</v>
      </c>
      <c r="FA173" s="68">
        <v>19968.75</v>
      </c>
      <c r="FB173" s="68" t="s">
        <v>1407</v>
      </c>
      <c r="FC173" s="68" t="s">
        <v>1408</v>
      </c>
      <c r="FD173" s="68" t="s">
        <v>1409</v>
      </c>
      <c r="FE173" s="68" t="s">
        <v>1410</v>
      </c>
      <c r="FF173" s="68" t="s">
        <v>1411</v>
      </c>
    </row>
    <row r="174" spans="1:162" ht="11.1" customHeight="1" thickBot="1" x14ac:dyDescent="0.25">
      <c r="A174" s="2">
        <f t="shared" si="583"/>
        <v>19700</v>
      </c>
      <c r="B174" s="3">
        <f t="shared" si="629"/>
        <v>45</v>
      </c>
      <c r="C174" s="3">
        <f t="shared" si="630"/>
        <v>9</v>
      </c>
      <c r="D174" s="3">
        <f t="shared" si="631"/>
        <v>85</v>
      </c>
      <c r="E174" s="3">
        <f t="shared" si="632"/>
        <v>139</v>
      </c>
      <c r="F174" s="4">
        <f t="shared" si="633"/>
        <v>19798.048974716305</v>
      </c>
      <c r="G174" s="5">
        <f t="shared" si="634"/>
        <v>479.42026677284491</v>
      </c>
      <c r="AM174" s="1">
        <v>5</v>
      </c>
      <c r="AN174" s="1">
        <v>45</v>
      </c>
      <c r="AO174" s="1">
        <v>19700</v>
      </c>
      <c r="AP174" s="1">
        <v>8</v>
      </c>
      <c r="AQ174" s="1">
        <v>-303</v>
      </c>
      <c r="AS174" s="54">
        <f>IF(RTD("tos.rtd",,AS$83,"."&amp;$B$134&amp;$AS$82&amp;"C"&amp;$A174)="N/A",0,RTD("tos.rtd",,AS$83,"."&amp;$B$134&amp;$AS$82&amp;"C"&amp;$A174))</f>
        <v>26</v>
      </c>
      <c r="AT174" s="3">
        <f>-IF(RTD("tos.rtd",,AT$83,"."&amp;$B$134&amp;$AS$82&amp;"P"&amp;$A174)="N/A",0,RTD("tos.rtd",,AT$83,"."&amp;$B$134&amp;$AS$82&amp;"P"&amp;$A174))</f>
        <v>-19</v>
      </c>
      <c r="AU174" s="54">
        <f>IF(RTD("tos.rtd",,AU$2,"."&amp;$C$134&amp;$AU$134&amp;"C"&amp;$A174)="N/A",0,RTD("tos.rtd",,AU$2,"."&amp;$C$134&amp;$AU$134&amp;"C"&amp;$A174))</f>
        <v>6</v>
      </c>
      <c r="AV174" s="3">
        <f>-IF(RTD("tos.rtd",,AV$2,"."&amp;$C$134&amp;$AU$134&amp;"P"&amp;$A174)="N/A",0,RTD("tos.rtd",,AV$2,"."&amp;$C$134&amp;$AU$134&amp;"P"&amp;$A174))</f>
        <v>-3</v>
      </c>
      <c r="AW174" s="54">
        <f>IF(RTD("tos.rtd",,AW$2,"."&amp;$D$134&amp;$AW$134&amp;"C"&amp;$A174)="N/A",0,RTD("tos.rtd",,AW$2,"."&amp;$D$134&amp;$AW$134&amp;"C"&amp;$A174))</f>
        <v>35</v>
      </c>
      <c r="AX174" s="3">
        <f>-IF(RTD("tos.rtd",,AX$2,"."&amp;$D$134&amp;$AW$134&amp;"P"&amp;$A174)="N/A",0,RTD("tos.rtd",,AX$2,"."&amp;$D$134&amp;$AW$134&amp;"P"&amp;$A174))</f>
        <v>-50</v>
      </c>
      <c r="AY174" s="76">
        <f t="shared" si="635"/>
        <v>-5</v>
      </c>
      <c r="AZ174" s="8">
        <f t="shared" si="539"/>
        <v>19700</v>
      </c>
      <c r="BA174" s="54">
        <f>IF(RTD("tos.rtd",,BA$43,"."&amp;$B$134&amp;$AS$82&amp;"C"&amp;$A174)="N/A",0,RTD("tos.rtd",,BA$43,"."&amp;$B$134&amp;$AS$82&amp;"C"&amp;$A174))</f>
        <v>8</v>
      </c>
      <c r="BB174" s="3">
        <f>-IF(RTD("tos.rtd",,BB$43,"."&amp;$B$134&amp;$AS$82&amp;"P"&amp;$A174)="N/A",0,RTD("tos.rtd",,BB$43,"."&amp;$B$134&amp;$AS$82&amp;"P"&amp;$A174))</f>
        <v>-303</v>
      </c>
      <c r="BC174" s="54">
        <f>IF(RTD("tos.rtd",,BC$2,"."&amp;$C$134&amp;$AU$82&amp;"C"&amp;$A174)="N/A",0,RTD("tos.rtd",,BC$2,"."&amp;$C$134&amp;$AU$82&amp;"C"&amp;$A174))</f>
        <v>0</v>
      </c>
      <c r="BD174" s="3">
        <f>-IF(RTD("tos.rtd",,BD$2,"."&amp;$C$134&amp;$AU$82&amp;"P"&amp;$A174)="N/A",0,RTD("tos.rtd",,BD$2,"."&amp;$C$134&amp;$AU$82&amp;"P"&amp;$A174))</f>
        <v>-12</v>
      </c>
      <c r="BE174" s="54">
        <f>IF(RTD("tos.rtd",,BE$2,"."&amp;$D$134&amp;$AW$82&amp;"C"&amp;$A174)="N/A",0,RTD("tos.rtd",,BE$2,"."&amp;$D$134&amp;$AW$82&amp;"C"&amp;$A174))</f>
        <v>2</v>
      </c>
      <c r="BF174" s="3">
        <f>-IF(RTD("tos.rtd",,BF$2,"."&amp;$D$134&amp;$AW$82&amp;"P"&amp;$A174)="N/A",0,RTD("tos.rtd",,BF$2,"."&amp;$D$134&amp;$AW$82&amp;"P"&amp;$A174))</f>
        <v>-3</v>
      </c>
      <c r="BG174" s="3" t="e">
        <f ca="1">+Hoja2!Y175</f>
        <v>#N/A</v>
      </c>
      <c r="BH174" s="7" t="e">
        <f t="shared" ca="1" si="540"/>
        <v>#N/A</v>
      </c>
      <c r="BI174" s="32" t="e">
        <f t="shared" ca="1" si="597"/>
        <v>#N/A</v>
      </c>
      <c r="BJ174" s="3" t="e">
        <f ca="1">IF($BP$1=1,DX174,IF(RTD("tos.rtd",,BJ$43,"."&amp;$B$134&amp;$AS$82&amp;"C"&amp;$A174)="N/A",0,RTD("tos.rtd",,BJ$43,"."&amp;$B$134&amp;$AS$82&amp;"C"&amp;$A174)))</f>
        <v>#NUM!</v>
      </c>
      <c r="BK174" s="3" t="e">
        <f ca="1">IF($BP$1=1,DY174,-IF(RTD("tos.rtd",,BK$43,"."&amp;$B$134&amp;$AS$82&amp;"P"&amp;$A174)="N/A",0,RTD("tos.rtd",,BK$43,"."&amp;$B$134&amp;$AS$82&amp;"P"&amp;$A174)))</f>
        <v>#NUM!</v>
      </c>
      <c r="BL174" s="3">
        <f ca="1">IF($BP$1=1,DZ174,IF(RTD("tos.rtd",,BL$2,"."&amp;$C$134&amp;$AU$82&amp;"C"&amp;$A174)="N/A",0,RTD("tos.rtd",,BL$2,"."&amp;$C$134&amp;$AU$82&amp;"C"&amp;$A174)))</f>
        <v>4.4121259164880348E-4</v>
      </c>
      <c r="BM174" s="3">
        <f ca="1">IF($BP$1=1,EA174,-IF(RTD("tos.rtd",,BM$2,"."&amp;$C$134&amp;$AU$82&amp;"P"&amp;$A174)="N/A",0,RTD("tos.rtd",,BM$2,"."&amp;$C$134&amp;$AU$82&amp;"P"&amp;$A174)))</f>
        <v>-4.2702609335877243E-4</v>
      </c>
      <c r="BN174" s="3">
        <f ca="1">IF($BP$1=1,EB174,IF(RTD("tos.rtd",,BN$2,"."&amp;$D$134&amp;$AW$82&amp;"C"&amp;$A174)="N/A",0,RTD("tos.rtd",,BN$2,"."&amp;$D$134&amp;$AW$82&amp;"C"&amp;$A174)))</f>
        <v>4.4906714664581327E-4</v>
      </c>
      <c r="BO174" s="3">
        <f ca="1">IF($BP$1=1,EC174,-IF(RTD("tos.rtd",,BO$2,"."&amp;$D$134&amp;$AW$82&amp;"P"&amp;$A174)="N/A",0,RTD("tos.rtd",,BO$2,"."&amp;$D$134&amp;$AW$82&amp;"P"&amp;$A174)))</f>
        <v>-4.2778416268605664E-4</v>
      </c>
      <c r="BQ174" s="3" t="e">
        <f t="shared" ca="1" si="636"/>
        <v>#NUM!</v>
      </c>
      <c r="BR174" s="3" t="e">
        <f t="shared" ca="1" si="541"/>
        <v>#NUM!</v>
      </c>
      <c r="BS174" s="3">
        <f t="shared" ca="1" si="637"/>
        <v>44166.087973289614</v>
      </c>
      <c r="BT174" s="3" t="str">
        <f t="shared" ca="1" si="542"/>
        <v/>
      </c>
      <c r="BU174" s="3">
        <f t="shared" ca="1" si="638"/>
        <v>-183358.42488450184</v>
      </c>
      <c r="BV174" s="3" t="str">
        <f t="shared" ca="1" si="542"/>
        <v/>
      </c>
      <c r="BX174" s="3" t="e">
        <f t="shared" ca="1" si="575"/>
        <v>#NUM!</v>
      </c>
      <c r="BY174" s="3" t="e">
        <f t="shared" ca="1" si="576"/>
        <v>#NUM!</v>
      </c>
      <c r="BZ174" s="3">
        <f t="shared" ca="1" si="577"/>
        <v>-1225.1304227101509</v>
      </c>
      <c r="CA174" s="3" t="str">
        <f t="shared" ca="1" si="576"/>
        <v/>
      </c>
      <c r="CB174" s="3">
        <f t="shared" ca="1" si="578"/>
        <v>-92.098690831340491</v>
      </c>
      <c r="CC174" s="3" t="str">
        <f t="shared" ca="1" si="576"/>
        <v/>
      </c>
      <c r="CD174" s="3">
        <f>IF(RTD("tos.rtd",,CD$43,"."&amp;$B$134&amp;$AS$82&amp;"C"&amp;$A174)="N/A",0,RTD("tos.rtd",,CD$43,"."&amp;$B$134&amp;$AS$82&amp;"C"&amp;$A174))</f>
        <v>1</v>
      </c>
      <c r="CE174" s="3">
        <f>-IF(RTD("tos.rtd",,CE$43,"."&amp;$B$134&amp;$AS$82&amp;"P"&amp;$A174)="N/A",0,RTD("tos.rtd",,CE$43,"."&amp;$B$134&amp;$AS$82&amp;"P"&amp;$A174))</f>
        <v>0.08</v>
      </c>
      <c r="CF174" s="3">
        <f>IF(RTD("tos.rtd",,CF$2,"."&amp;$C$134&amp;$AU$82&amp;"C"&amp;$A174)="N/A",0,RTD("tos.rtd",,CF$2,"."&amp;$C$134&amp;$AU$82&amp;"C"&amp;$A174))</f>
        <v>0.74</v>
      </c>
      <c r="CG174" s="3">
        <f>-IF(RTD("tos.rtd",,CG$2,"."&amp;$C$134&amp;$AU$82&amp;"P"&amp;$A174)="N/A",0,RTD("tos.rtd",,CG$2,"."&amp;$C$134&amp;$AU$82&amp;"P"&amp;$A174))</f>
        <v>0.26</v>
      </c>
      <c r="CH174" s="3">
        <f>IF(RTD("tos.rtd",,CH$2,"."&amp;$D$134&amp;$AW$82&amp;"C"&amp;$A174)="N/A",0,RTD("tos.rtd",,CH$2,"."&amp;$D$134&amp;$AW$82&amp;"C"&amp;$A174))</f>
        <v>0.7</v>
      </c>
      <c r="CI174" s="3">
        <f>-IF(RTD("tos.rtd",,CI$2,"."&amp;$D$134&amp;$AW$82&amp;"P"&amp;$A174)="N/A",0,RTD("tos.rtd",,CI$2,"."&amp;$D$134&amp;$AW$82&amp;"P"&amp;$A174))</f>
        <v>0.32</v>
      </c>
      <c r="CK174" s="3">
        <f t="shared" si="639"/>
        <v>2448</v>
      </c>
      <c r="CL174" s="3"/>
      <c r="CM174" s="3">
        <f t="shared" si="640"/>
        <v>365.99999999999994</v>
      </c>
      <c r="CN174" s="3"/>
      <c r="CO174" s="3">
        <f t="shared" si="641"/>
        <v>850</v>
      </c>
      <c r="CP174" s="3">
        <f t="shared" si="533"/>
        <v>3664</v>
      </c>
      <c r="CQ174" s="3">
        <f t="shared" si="543"/>
        <v>-295</v>
      </c>
      <c r="CR174" s="3"/>
      <c r="CS174" s="3">
        <f t="shared" si="544"/>
        <v>-12</v>
      </c>
      <c r="CT174" s="3"/>
      <c r="CU174" s="3">
        <f t="shared" si="545"/>
        <v>-1</v>
      </c>
      <c r="CV174" s="3"/>
      <c r="CW174" s="3" t="e">
        <f t="shared" ca="1" si="546"/>
        <v>#NUM!</v>
      </c>
      <c r="CY174" s="3" t="e">
        <f t="shared" ca="1" si="547"/>
        <v>#NUM!</v>
      </c>
      <c r="CZ174" s="70" t="e">
        <f t="shared" ca="1" si="579"/>
        <v>#NUM!</v>
      </c>
      <c r="DA174" s="3">
        <f>IF(RTD("tos.rtd",,DA$43,"."&amp;$B$134&amp;$AS$82&amp;"C"&amp;$A174)="N/A",0,RTD("tos.rtd",,DA$43,"."&amp;$B$134&amp;$AS$82&amp;"C"&amp;$A174))</f>
        <v>361.8</v>
      </c>
      <c r="DB174" s="3">
        <f>IF(RTD("tos.rtd",,DB$43,"."&amp;$B$134&amp;$AS$82&amp;"P"&amp;$A174)="N/A",0,RTD("tos.rtd",,DB$43,"."&amp;$B$134&amp;$AS$82&amp;"P"&amp;$A174))</f>
        <v>0.3</v>
      </c>
      <c r="DC174" s="3">
        <f>IF(RTD("tos.rtd",,DC$43,"."&amp;$B$134&amp;$AS$82&amp;"C"&amp;$A174)="N/A",0,RTD("tos.rtd",,DC$43,"."&amp;$B$134&amp;$AS$82&amp;"C"&amp;$A174))</f>
        <v>416</v>
      </c>
      <c r="DD174" s="3">
        <f>IF(RTD("tos.rtd",,DD$43,"."&amp;$B$134&amp;$AS$82&amp;"P"&amp;$A174)="N/A",0,RTD("tos.rtd",,DD$43,"."&amp;$B$134&amp;$AS$82&amp;"P"&amp;$A174))</f>
        <v>19.8</v>
      </c>
      <c r="DE174" s="3">
        <f>IF(RTD("tos.rtd",,DE$43,"."&amp;$B$134&amp;$AS$82&amp;"C"&amp;$A174)="N/A",0,RTD("tos.rtd",,DE$43,"."&amp;$B$134&amp;$AS$82&amp;"C"&amp;$A174))</f>
        <v>374.1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580"/>
        <v>-392</v>
      </c>
      <c r="DH174" s="3">
        <f t="shared" si="548"/>
        <v>0</v>
      </c>
      <c r="DI174" s="3">
        <f t="shared" si="549"/>
        <v>0</v>
      </c>
      <c r="DJ174" s="3">
        <f t="shared" si="550"/>
        <v>0</v>
      </c>
      <c r="DK174" s="3">
        <f t="shared" si="551"/>
        <v>0</v>
      </c>
      <c r="DL174" s="3">
        <f t="shared" si="552"/>
        <v>0</v>
      </c>
      <c r="DM174" s="3">
        <f t="shared" si="553"/>
        <v>0</v>
      </c>
      <c r="DN174" s="64" t="str">
        <f t="shared" si="554"/>
        <v>UNKNOWN</v>
      </c>
      <c r="DO174" s="64" t="str">
        <f t="shared" si="555"/>
        <v>UNKNOWN</v>
      </c>
      <c r="DP174" s="3">
        <f t="shared" si="556"/>
        <v>0</v>
      </c>
      <c r="DQ174" s="3">
        <f t="shared" si="557"/>
        <v>0</v>
      </c>
      <c r="DR174" s="3" t="e">
        <f t="shared" ca="1" si="558"/>
        <v>#NUM!</v>
      </c>
      <c r="DS174" s="3">
        <f t="shared" si="559"/>
        <v>0</v>
      </c>
      <c r="DT174" s="3">
        <f t="shared" si="581"/>
        <v>0</v>
      </c>
      <c r="DU174" s="3">
        <f t="shared" si="582"/>
        <v>0</v>
      </c>
      <c r="DV174" s="3">
        <f t="shared" si="560"/>
        <v>5</v>
      </c>
      <c r="DW174" s="3">
        <f t="shared" si="561"/>
        <v>45</v>
      </c>
      <c r="DX174" s="3" t="e">
        <f t="shared" ca="1" si="642"/>
        <v>#NUM!</v>
      </c>
      <c r="DY174" s="3" t="e">
        <f t="shared" ca="1" si="643"/>
        <v>#NUM!</v>
      </c>
      <c r="DZ174" s="3">
        <f t="shared" ca="1" si="644"/>
        <v>4.4121259164880348E-4</v>
      </c>
      <c r="EA174" s="3">
        <f t="shared" ca="1" si="645"/>
        <v>-4.2702609335877243E-4</v>
      </c>
      <c r="EB174" s="3">
        <f t="shared" ca="1" si="646"/>
        <v>4.4906714664581327E-4</v>
      </c>
      <c r="EC174" s="3">
        <f t="shared" ca="1" si="647"/>
        <v>-4.2778416268605664E-4</v>
      </c>
      <c r="EE174" s="59">
        <f t="shared" si="568"/>
        <v>0.25</v>
      </c>
      <c r="EF174" s="59">
        <f t="shared" si="569"/>
        <v>1.8845000000000001</v>
      </c>
      <c r="EG174" s="59">
        <f t="shared" si="570"/>
        <v>0.23710000000000001</v>
      </c>
      <c r="EH174" s="59">
        <f t="shared" si="571"/>
        <v>0.24809999999999999</v>
      </c>
      <c r="EI174" s="59">
        <f t="shared" si="572"/>
        <v>0.23119999999999999</v>
      </c>
      <c r="EJ174" s="59">
        <f t="shared" si="573"/>
        <v>0.2475</v>
      </c>
      <c r="EL174" s="3" t="str">
        <f>RTD("tos.rtd",,EL$43,"."&amp;$B$134&amp;$AS$82&amp;"C"&amp;$A174)</f>
        <v>--</v>
      </c>
      <c r="EM174" s="3" t="str">
        <f>RTD("tos.rtd",,EM$43,"."&amp;$B$134&amp;$AS$82&amp;"P"&amp;$A174)</f>
        <v>188.45%</v>
      </c>
      <c r="EN174" s="3" t="str">
        <f>RTD("tos.rtd",,EN$2,"."&amp;$C$134&amp;$AU$82&amp;"C"&amp;$A174)</f>
        <v>23.71%</v>
      </c>
      <c r="EO174" s="3" t="str">
        <f>RTD("tos.rtd",,EO$2,"."&amp;$C$134&amp;$AU$82&amp;"P"&amp;$A174)</f>
        <v>24.81%</v>
      </c>
      <c r="EP174" s="3" t="str">
        <f>RTD("tos.rtd",,EP$2,"."&amp;$D$134&amp;$AW$82&amp;"C"&amp;$A174)</f>
        <v>23.12%</v>
      </c>
      <c r="EQ174" s="3" t="str">
        <f>RTD("tos.rtd",,EQ$2,"."&amp;$D$134&amp;$AW$82&amp;"P"&amp;$A174)</f>
        <v>24.75%</v>
      </c>
      <c r="ET174" s="64" t="str">
        <f t="shared" ca="1" si="574"/>
        <v>19700,00.00</v>
      </c>
      <c r="EU174" s="68">
        <v>564.01</v>
      </c>
      <c r="EV174" s="68" t="s">
        <v>1412</v>
      </c>
      <c r="EW174" s="68">
        <v>486.625</v>
      </c>
      <c r="EX174" s="68" t="s">
        <v>1413</v>
      </c>
      <c r="EY174" s="68">
        <v>5655.75</v>
      </c>
      <c r="EZ174" s="68" t="s">
        <v>1414</v>
      </c>
      <c r="FA174" s="68">
        <v>19995.25</v>
      </c>
      <c r="FB174" s="68" t="s">
        <v>1415</v>
      </c>
      <c r="FC174" s="68" t="s">
        <v>1416</v>
      </c>
      <c r="FD174" s="68" t="s">
        <v>1417</v>
      </c>
      <c r="FE174" s="68" t="s">
        <v>1418</v>
      </c>
      <c r="FF174" s="68" t="s">
        <v>1419</v>
      </c>
    </row>
    <row r="175" spans="1:162" ht="11.1" customHeight="1" thickBot="1" x14ac:dyDescent="0.25">
      <c r="A175" s="2">
        <f t="shared" si="583"/>
        <v>19680</v>
      </c>
      <c r="B175" s="3">
        <f t="shared" si="629"/>
        <v>5</v>
      </c>
      <c r="C175" s="3">
        <f t="shared" si="630"/>
        <v>0</v>
      </c>
      <c r="D175" s="3">
        <f t="shared" si="631"/>
        <v>0</v>
      </c>
      <c r="E175" s="3">
        <f t="shared" si="632"/>
        <v>5</v>
      </c>
      <c r="F175" s="4">
        <f t="shared" si="633"/>
        <v>19777.949432609996</v>
      </c>
      <c r="G175" s="5">
        <f t="shared" si="634"/>
        <v>478.93354568982676</v>
      </c>
      <c r="AM175" s="1">
        <v>2</v>
      </c>
      <c r="AN175" s="1">
        <v>-56</v>
      </c>
      <c r="AO175" s="1">
        <v>19680</v>
      </c>
      <c r="AP175" s="1">
        <v>0</v>
      </c>
      <c r="AQ175" s="1">
        <v>-95</v>
      </c>
      <c r="AS175" s="54">
        <f>IF(RTD("tos.rtd",,AS$83,"."&amp;$B$134&amp;$AS$82&amp;"C"&amp;$A175)="N/A",0,RTD("tos.rtd",,AS$83,"."&amp;$B$134&amp;$AS$82&amp;"C"&amp;$A175))</f>
        <v>3</v>
      </c>
      <c r="AT175" s="3">
        <f>-IF(RTD("tos.rtd",,AT$83,"."&amp;$B$134&amp;$AS$82&amp;"P"&amp;$A175)="N/A",0,RTD("tos.rtd",,AT$83,"."&amp;$B$134&amp;$AS$82&amp;"P"&amp;$A175))</f>
        <v>-2</v>
      </c>
      <c r="AU175" s="54">
        <f>IF(RTD("tos.rtd",,AU$2,"."&amp;$C$134&amp;$AU$134&amp;"C"&amp;$A175)="N/A",0,RTD("tos.rtd",,AU$2,"."&amp;$C$134&amp;$AU$134&amp;"C"&amp;$A175))</f>
        <v>0</v>
      </c>
      <c r="AV175" s="3">
        <f>-IF(RTD("tos.rtd",,AV$2,"."&amp;$C$134&amp;$AU$134&amp;"P"&amp;$A175)="N/A",0,RTD("tos.rtd",,AV$2,"."&amp;$C$134&amp;$AU$134&amp;"P"&amp;$A175))</f>
        <v>0</v>
      </c>
      <c r="AW175" s="54">
        <f>IF(RTD("tos.rtd",,AW$2,"."&amp;$D$134&amp;$AW$134&amp;"C"&amp;$A175)="N/A",0,RTD("tos.rtd",,AW$2,"."&amp;$D$134&amp;$AW$134&amp;"C"&amp;$A175))</f>
        <v>0</v>
      </c>
      <c r="AX175" s="3">
        <f>-IF(RTD("tos.rtd",,AX$2,"."&amp;$D$134&amp;$AW$134&amp;"P"&amp;$A175)="N/A",0,RTD("tos.rtd",,AX$2,"."&amp;$D$134&amp;$AW$134&amp;"P"&amp;$A175))</f>
        <v>0</v>
      </c>
      <c r="AY175" s="76">
        <f t="shared" si="635"/>
        <v>1</v>
      </c>
      <c r="AZ175" s="8">
        <f t="shared" si="539"/>
        <v>19680</v>
      </c>
      <c r="BA175" s="54">
        <f>IF(RTD("tos.rtd",,BA$43,"."&amp;$B$134&amp;$AS$82&amp;"C"&amp;$A175)="N/A",0,RTD("tos.rtd",,BA$43,"."&amp;$B$134&amp;$AS$82&amp;"C"&amp;$A175))</f>
        <v>0</v>
      </c>
      <c r="BB175" s="3">
        <f>-IF(RTD("tos.rtd",,BB$43,"."&amp;$B$134&amp;$AS$82&amp;"P"&amp;$A175)="N/A",0,RTD("tos.rtd",,BB$43,"."&amp;$B$134&amp;$AS$82&amp;"P"&amp;$A175))</f>
        <v>-95</v>
      </c>
      <c r="BC175" s="54">
        <f>IF(RTD("tos.rtd",,BC$2,"."&amp;$C$134&amp;$AU$82&amp;"C"&amp;$A175)="N/A",0,RTD("tos.rtd",,BC$2,"."&amp;$C$134&amp;$AU$82&amp;"C"&amp;$A175))</f>
        <v>0</v>
      </c>
      <c r="BD175" s="3">
        <f>-IF(RTD("tos.rtd",,BD$2,"."&amp;$C$134&amp;$AU$82&amp;"P"&amp;$A175)="N/A",0,RTD("tos.rtd",,BD$2,"."&amp;$C$134&amp;$AU$82&amp;"P"&amp;$A175))</f>
        <v>0</v>
      </c>
      <c r="BE175" s="54">
        <f>IF(RTD("tos.rtd",,BE$2,"."&amp;$D$134&amp;$AW$82&amp;"C"&amp;$A175)="N/A",0,RTD("tos.rtd",,BE$2,"."&amp;$D$134&amp;$AW$82&amp;"C"&amp;$A175))</f>
        <v>0</v>
      </c>
      <c r="BF175" s="3">
        <f>-IF(RTD("tos.rtd",,BF$2,"."&amp;$D$134&amp;$AW$82&amp;"P"&amp;$A175)="N/A",0,RTD("tos.rtd",,BF$2,"."&amp;$D$134&amp;$AW$82&amp;"P"&amp;$A175))</f>
        <v>0</v>
      </c>
      <c r="BG175" s="3" t="e">
        <f ca="1">+Hoja2!Y176</f>
        <v>#N/A</v>
      </c>
      <c r="BH175" s="7" t="e">
        <f t="shared" ca="1" si="540"/>
        <v>#N/A</v>
      </c>
      <c r="BI175" s="32" t="e">
        <f t="shared" ca="1" si="597"/>
        <v>#N/A</v>
      </c>
      <c r="BJ175" s="3" t="e">
        <f ca="1">IF($BP$1=1,DX175,IF(RTD("tos.rtd",,BJ$43,"."&amp;$B$134&amp;$AS$82&amp;"C"&amp;$A175)="N/A",0,RTD("tos.rtd",,BJ$43,"."&amp;$B$134&amp;$AS$82&amp;"C"&amp;$A175)))</f>
        <v>#NUM!</v>
      </c>
      <c r="BK175" s="3" t="e">
        <f ca="1">IF($BP$1=1,DY175,-IF(RTD("tos.rtd",,BK$43,"."&amp;$B$134&amp;$AS$82&amp;"P"&amp;$A175)="N/A",0,RTD("tos.rtd",,BK$43,"."&amp;$B$134&amp;$AS$82&amp;"P"&amp;$A175)))</f>
        <v>#NUM!</v>
      </c>
      <c r="BL175" s="3">
        <f ca="1">IF($BP$1=1,DZ175,IF(RTD("tos.rtd",,BL$2,"."&amp;$C$134&amp;$AU$82&amp;"C"&amp;$A175)="N/A",0,RTD("tos.rtd",,BL$2,"."&amp;$C$134&amp;$AU$82&amp;"C"&amp;$A175)))</f>
        <v>4.1887292765218872E-4</v>
      </c>
      <c r="BM175" s="3">
        <f ca="1">IF($BP$1=1,EA175,-IF(RTD("tos.rtd",,BM$2,"."&amp;$C$134&amp;$AU$82&amp;"P"&amp;$A175)="N/A",0,RTD("tos.rtd",,BM$2,"."&amp;$C$134&amp;$AU$82&amp;"P"&amp;$A175)))</f>
        <v>-4.1887292765218872E-4</v>
      </c>
      <c r="BN175" s="3">
        <f ca="1">IF($BP$1=1,EB175,IF(RTD("tos.rtd",,BN$2,"."&amp;$D$134&amp;$AW$82&amp;"C"&amp;$A175)="N/A",0,RTD("tos.rtd",,BN$2,"."&amp;$D$134&amp;$AW$82&amp;"C"&amp;$A175)))</f>
        <v>4.1887292765218872E-4</v>
      </c>
      <c r="BO175" s="3">
        <f ca="1">IF($BP$1=1,EC175,-IF(RTD("tos.rtd",,BO$2,"."&amp;$D$134&amp;$AW$82&amp;"P"&amp;$A175)="N/A",0,RTD("tos.rtd",,BO$2,"."&amp;$D$134&amp;$AW$82&amp;"P"&amp;$A175)))</f>
        <v>-4.1887292765218872E-4</v>
      </c>
      <c r="BQ175" s="3" t="e">
        <f t="shared" ca="1" si="636"/>
        <v>#NUM!</v>
      </c>
      <c r="BR175" s="3" t="e">
        <f t="shared" ca="1" si="541"/>
        <v>#NUM!</v>
      </c>
      <c r="BS175" s="3">
        <f t="shared" ca="1" si="637"/>
        <v>0</v>
      </c>
      <c r="BT175" s="3" t="str">
        <f t="shared" ca="1" si="542"/>
        <v/>
      </c>
      <c r="BU175" s="3">
        <f t="shared" ca="1" si="638"/>
        <v>0</v>
      </c>
      <c r="BV175" s="3" t="str">
        <f t="shared" ca="1" si="542"/>
        <v/>
      </c>
      <c r="BX175" s="3" t="e">
        <f t="shared" ca="1" si="575"/>
        <v>#NUM!</v>
      </c>
      <c r="BY175" s="3" t="e">
        <f t="shared" ca="1" si="576"/>
        <v>#NUM!</v>
      </c>
      <c r="BZ175" s="3">
        <f t="shared" ca="1" si="577"/>
        <v>0</v>
      </c>
      <c r="CA175" s="3" t="str">
        <f t="shared" ca="1" si="576"/>
        <v/>
      </c>
      <c r="CB175" s="3">
        <f t="shared" ca="1" si="578"/>
        <v>0</v>
      </c>
      <c r="CC175" s="3" t="str">
        <f t="shared" ca="1" si="576"/>
        <v/>
      </c>
      <c r="CD175" s="3">
        <f>IF(RTD("tos.rtd",,CD$43,"."&amp;$B$134&amp;$AS$82&amp;"C"&amp;$A175)="N/A",0,RTD("tos.rtd",,CD$43,"."&amp;$B$134&amp;$AS$82&amp;"C"&amp;$A175))</f>
        <v>1</v>
      </c>
      <c r="CE175" s="3">
        <f>-IF(RTD("tos.rtd",,CE$43,"."&amp;$B$134&amp;$AS$82&amp;"P"&amp;$A175)="N/A",0,RTD("tos.rtd",,CE$43,"."&amp;$B$134&amp;$AS$82&amp;"P"&amp;$A175))</f>
        <v>7.0000000000000007E-2</v>
      </c>
      <c r="CF175" s="3">
        <f>IF(RTD("tos.rtd",,CF$2,"."&amp;$C$134&amp;$AU$82&amp;"C"&amp;$A175)="N/A",0,RTD("tos.rtd",,CF$2,"."&amp;$C$134&amp;$AU$82&amp;"C"&amp;$A175))</f>
        <v>0</v>
      </c>
      <c r="CG175" s="3">
        <f>-IF(RTD("tos.rtd",,CG$2,"."&amp;$C$134&amp;$AU$82&amp;"P"&amp;$A175)="N/A",0,RTD("tos.rtd",,CG$2,"."&amp;$C$134&amp;$AU$82&amp;"P"&amp;$A175))</f>
        <v>0</v>
      </c>
      <c r="CH175" s="3">
        <f>IF(RTD("tos.rtd",,CH$2,"."&amp;$D$134&amp;$AW$82&amp;"C"&amp;$A175)="N/A",0,RTD("tos.rtd",,CH$2,"."&amp;$D$134&amp;$AW$82&amp;"C"&amp;$A175))</f>
        <v>0</v>
      </c>
      <c r="CI175" s="3">
        <f>-IF(RTD("tos.rtd",,CI$2,"."&amp;$D$134&amp;$AW$82&amp;"P"&amp;$A175)="N/A",0,RTD("tos.rtd",,CI$2,"."&amp;$D$134&amp;$AW$82&amp;"P"&amp;$A175))</f>
        <v>0</v>
      </c>
      <c r="CK175" s="3">
        <f t="shared" si="639"/>
        <v>286</v>
      </c>
      <c r="CL175" s="3"/>
      <c r="CM175" s="3">
        <f t="shared" si="640"/>
        <v>0</v>
      </c>
      <c r="CN175" s="3"/>
      <c r="CO175" s="3">
        <f t="shared" si="641"/>
        <v>0</v>
      </c>
      <c r="CP175" s="3">
        <f t="shared" si="533"/>
        <v>286</v>
      </c>
      <c r="CQ175" s="3">
        <f t="shared" si="543"/>
        <v>-95</v>
      </c>
      <c r="CR175" s="3"/>
      <c r="CS175" s="3">
        <f t="shared" si="544"/>
        <v>0</v>
      </c>
      <c r="CT175" s="3"/>
      <c r="CU175" s="3">
        <f t="shared" si="545"/>
        <v>0</v>
      </c>
      <c r="CV175" s="3"/>
      <c r="CW175" s="3" t="e">
        <f t="shared" ca="1" si="546"/>
        <v>#NUM!</v>
      </c>
      <c r="CY175" s="3" t="e">
        <f t="shared" ca="1" si="547"/>
        <v>#NUM!</v>
      </c>
      <c r="CZ175" s="70" t="e">
        <f t="shared" ca="1" si="579"/>
        <v>#NUM!</v>
      </c>
      <c r="DA175" s="3">
        <f>IF(RTD("tos.rtd",,DA$43,"."&amp;$B$134&amp;$AS$82&amp;"C"&amp;$A175)="N/A",0,RTD("tos.rtd",,DA$43,"."&amp;$B$134&amp;$AS$82&amp;"C"&amp;$A175))</f>
        <v>95.5</v>
      </c>
      <c r="DB175" s="3">
        <f>IF(RTD("tos.rtd",,DB$43,"."&amp;$B$134&amp;$AS$82&amp;"P"&amp;$A175)="N/A",0,RTD("tos.rtd",,DB$43,"."&amp;$B$134&amp;$AS$82&amp;"P"&amp;$A175))</f>
        <v>0.26</v>
      </c>
      <c r="DC175" s="3">
        <f>IF(RTD("tos.rtd",,DC$43,"."&amp;$B$134&amp;$AS$82&amp;"C"&amp;$A175)="N/A",0,RTD("tos.rtd",,DC$43,"."&amp;$B$134&amp;$AS$82&amp;"C"&amp;$A175))</f>
        <v>436</v>
      </c>
      <c r="DD175" s="3">
        <f>IF(RTD("tos.rtd",,DD$43,"."&amp;$B$134&amp;$AS$82&amp;"P"&amp;$A175)="N/A",0,RTD("tos.rtd",,DD$43,"."&amp;$B$134&amp;$AS$82&amp;"P"&amp;$A175))</f>
        <v>19.8</v>
      </c>
      <c r="DE175" s="3">
        <f>IF(RTD("tos.rtd",,DE$43,"."&amp;$B$134&amp;$AS$82&amp;"C"&amp;$A175)="N/A",0,RTD("tos.rtd",,DE$43,"."&amp;$B$134&amp;$AS$82&amp;"C"&amp;$A175))</f>
        <v>394.1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580"/>
        <v>-412</v>
      </c>
      <c r="DH175" s="3">
        <f t="shared" si="548"/>
        <v>0</v>
      </c>
      <c r="DI175" s="3">
        <f t="shared" si="549"/>
        <v>0</v>
      </c>
      <c r="DJ175" s="3">
        <f t="shared" si="550"/>
        <v>0</v>
      </c>
      <c r="DK175" s="3">
        <f t="shared" si="551"/>
        <v>0</v>
      </c>
      <c r="DL175" s="3">
        <f t="shared" si="552"/>
        <v>0</v>
      </c>
      <c r="DM175" s="3">
        <f t="shared" si="553"/>
        <v>0</v>
      </c>
      <c r="DN175" s="64" t="str">
        <f t="shared" si="554"/>
        <v>UNKNOWN</v>
      </c>
      <c r="DO175" s="64" t="str">
        <f t="shared" si="555"/>
        <v>UNKNOWN</v>
      </c>
      <c r="DP175" s="3">
        <f t="shared" si="556"/>
        <v>0</v>
      </c>
      <c r="DQ175" s="3">
        <f t="shared" si="557"/>
        <v>0</v>
      </c>
      <c r="DR175" s="3" t="e">
        <f t="shared" ca="1" si="558"/>
        <v>#NUM!</v>
      </c>
      <c r="DS175" s="3">
        <f t="shared" si="559"/>
        <v>0</v>
      </c>
      <c r="DT175" s="3">
        <f t="shared" si="581"/>
        <v>0</v>
      </c>
      <c r="DU175" s="3">
        <f t="shared" si="582"/>
        <v>0</v>
      </c>
      <c r="DV175" s="3">
        <f t="shared" si="560"/>
        <v>2</v>
      </c>
      <c r="DW175" s="3">
        <f t="shared" si="561"/>
        <v>-56</v>
      </c>
      <c r="DX175" s="3" t="e">
        <f t="shared" ca="1" si="642"/>
        <v>#NUM!</v>
      </c>
      <c r="DY175" s="3" t="e">
        <f t="shared" ca="1" si="643"/>
        <v>#NUM!</v>
      </c>
      <c r="DZ175" s="3">
        <f t="shared" ca="1" si="644"/>
        <v>4.1887292765218872E-4</v>
      </c>
      <c r="EA175" s="3">
        <f t="shared" ca="1" si="645"/>
        <v>-4.1887292765218872E-4</v>
      </c>
      <c r="EB175" s="3">
        <f t="shared" ca="1" si="646"/>
        <v>4.1887292765218872E-4</v>
      </c>
      <c r="EC175" s="3">
        <f t="shared" ca="1" si="647"/>
        <v>-4.1887292765218872E-4</v>
      </c>
      <c r="EE175" s="59">
        <f t="shared" si="568"/>
        <v>0.25</v>
      </c>
      <c r="EF175" s="59">
        <f t="shared" si="569"/>
        <v>1.9562999999999999</v>
      </c>
      <c r="EG175" s="59">
        <f t="shared" si="570"/>
        <v>0.25</v>
      </c>
      <c r="EH175" s="59">
        <f t="shared" si="571"/>
        <v>0.25</v>
      </c>
      <c r="EI175" s="59">
        <f t="shared" si="572"/>
        <v>0.25</v>
      </c>
      <c r="EJ175" s="59">
        <f t="shared" si="573"/>
        <v>0.25</v>
      </c>
      <c r="EL175" s="3" t="str">
        <f>RTD("tos.rtd",,EL$43,"."&amp;$B$134&amp;$AS$82&amp;"C"&amp;$A175)</f>
        <v>--</v>
      </c>
      <c r="EM175" s="3" t="str">
        <f>RTD("tos.rtd",,EM$43,"."&amp;$B$134&amp;$AS$82&amp;"P"&amp;$A175)</f>
        <v>195.63%</v>
      </c>
      <c r="EN175" s="3" t="str">
        <f>RTD("tos.rtd",,EN$2,"."&amp;$C$134&amp;$AU$82&amp;"C"&amp;$A175)</f>
        <v>N/A</v>
      </c>
      <c r="EO175" s="3" t="str">
        <f>RTD("tos.rtd",,EO$2,"."&amp;$C$134&amp;$AU$82&amp;"P"&amp;$A175)</f>
        <v>N/A</v>
      </c>
      <c r="EP175" s="3" t="str">
        <f>RTD("tos.rtd",,EP$2,"."&amp;$D$134&amp;$AW$82&amp;"C"&amp;$A175)</f>
        <v>N/A</v>
      </c>
      <c r="EQ175" s="3" t="str">
        <f>RTD("tos.rtd",,EQ$2,"."&amp;$D$134&amp;$AW$82&amp;"P"&amp;$A175)</f>
        <v>N/A</v>
      </c>
      <c r="ET175" s="64" t="str">
        <f t="shared" ca="1" si="574"/>
        <v>19680,00.00</v>
      </c>
      <c r="EU175" s="68">
        <v>564.73</v>
      </c>
      <c r="EV175" s="68" t="s">
        <v>1420</v>
      </c>
      <c r="EW175" s="68">
        <v>487.44</v>
      </c>
      <c r="EX175" s="68" t="s">
        <v>1421</v>
      </c>
      <c r="EY175" s="68">
        <v>5663</v>
      </c>
      <c r="EZ175" s="68" t="s">
        <v>1422</v>
      </c>
      <c r="FA175" s="68">
        <v>20028.75</v>
      </c>
      <c r="FB175" s="68" t="s">
        <v>1423</v>
      </c>
      <c r="FC175" s="68" t="s">
        <v>1424</v>
      </c>
      <c r="FD175" s="68" t="s">
        <v>1425</v>
      </c>
      <c r="FE175" s="68" t="s">
        <v>1426</v>
      </c>
      <c r="FF175" s="68" t="s">
        <v>1427</v>
      </c>
    </row>
    <row r="176" spans="1:162" ht="11.1" customHeight="1" thickBot="1" x14ac:dyDescent="0.25">
      <c r="A176" s="2">
        <f t="shared" si="583"/>
        <v>19660</v>
      </c>
      <c r="B176" s="3">
        <f t="shared" si="619"/>
        <v>3</v>
      </c>
      <c r="C176" s="3">
        <f t="shared" si="620"/>
        <v>0</v>
      </c>
      <c r="D176" s="3">
        <f t="shared" si="621"/>
        <v>0</v>
      </c>
      <c r="E176" s="3">
        <f t="shared" si="622"/>
        <v>3</v>
      </c>
      <c r="F176" s="4">
        <f t="shared" si="623"/>
        <v>19757.849890503683</v>
      </c>
      <c r="G176" s="5">
        <f t="shared" si="624"/>
        <v>478.44682460680866</v>
      </c>
      <c r="AM176" s="1">
        <v>3</v>
      </c>
      <c r="AN176" s="1" t="e">
        <v>#N/A</v>
      </c>
      <c r="AO176" s="1">
        <v>19660</v>
      </c>
      <c r="AP176" s="1">
        <v>0</v>
      </c>
      <c r="AQ176" s="1">
        <v>-46</v>
      </c>
      <c r="AS176" s="54">
        <f>IF(RTD("tos.rtd",,AS$83,"."&amp;$B$134&amp;$AS$82&amp;"C"&amp;$A176)="N/A",0,RTD("tos.rtd",,AS$83,"."&amp;$B$134&amp;$AS$82&amp;"C"&amp;$A176))</f>
        <v>1</v>
      </c>
      <c r="AT176" s="3">
        <f>-IF(RTD("tos.rtd",,AT$83,"."&amp;$B$134&amp;$AS$82&amp;"P"&amp;$A176)="N/A",0,RTD("tos.rtd",,AT$83,"."&amp;$B$134&amp;$AS$82&amp;"P"&amp;$A176))</f>
        <v>-2</v>
      </c>
      <c r="AU176" s="54">
        <f>IF(RTD("tos.rtd",,AU$2,"."&amp;$C$134&amp;$AU$134&amp;"C"&amp;$A176)="N/A",0,RTD("tos.rtd",,AU$2,"."&amp;$C$134&amp;$AU$134&amp;"C"&amp;$A176))</f>
        <v>0</v>
      </c>
      <c r="AV176" s="3">
        <f>-IF(RTD("tos.rtd",,AV$2,"."&amp;$C$134&amp;$AU$134&amp;"P"&amp;$A176)="N/A",0,RTD("tos.rtd",,AV$2,"."&amp;$C$134&amp;$AU$134&amp;"P"&amp;$A176))</f>
        <v>0</v>
      </c>
      <c r="AW176" s="54">
        <f>IF(RTD("tos.rtd",,AW$2,"."&amp;$D$134&amp;$AW$134&amp;"C"&amp;$A176)="N/A",0,RTD("tos.rtd",,AW$2,"."&amp;$D$134&amp;$AW$134&amp;"C"&amp;$A176))</f>
        <v>0</v>
      </c>
      <c r="AX176" s="3">
        <f>-IF(RTD("tos.rtd",,AX$2,"."&amp;$D$134&amp;$AW$134&amp;"P"&amp;$A176)="N/A",0,RTD("tos.rtd",,AX$2,"."&amp;$D$134&amp;$AW$134&amp;"P"&amp;$A176))</f>
        <v>0</v>
      </c>
      <c r="AY176" s="76">
        <f t="shared" si="625"/>
        <v>-1</v>
      </c>
      <c r="AZ176" s="8">
        <f t="shared" si="539"/>
        <v>19660</v>
      </c>
      <c r="BA176" s="54">
        <f>IF(RTD("tos.rtd",,BA$43,"."&amp;$B$134&amp;$AS$82&amp;"C"&amp;$A176)="N/A",0,RTD("tos.rtd",,BA$43,"."&amp;$B$134&amp;$AS$82&amp;"C"&amp;$A176))</f>
        <v>0</v>
      </c>
      <c r="BB176" s="3">
        <f>-IF(RTD("tos.rtd",,BB$43,"."&amp;$B$134&amp;$AS$82&amp;"P"&amp;$A176)="N/A",0,RTD("tos.rtd",,BB$43,"."&amp;$B$134&amp;$AS$82&amp;"P"&amp;$A176))</f>
        <v>-46</v>
      </c>
      <c r="BC176" s="54">
        <f>IF(RTD("tos.rtd",,BC$2,"."&amp;$C$134&amp;$AU$82&amp;"C"&amp;$A176)="N/A",0,RTD("tos.rtd",,BC$2,"."&amp;$C$134&amp;$AU$82&amp;"C"&amp;$A176))</f>
        <v>0</v>
      </c>
      <c r="BD176" s="3">
        <f>-IF(RTD("tos.rtd",,BD$2,"."&amp;$C$134&amp;$AU$82&amp;"P"&amp;$A176)="N/A",0,RTD("tos.rtd",,BD$2,"."&amp;$C$134&amp;$AU$82&amp;"P"&amp;$A176))</f>
        <v>0</v>
      </c>
      <c r="BE176" s="54">
        <f>IF(RTD("tos.rtd",,BE$2,"."&amp;$D$134&amp;$AW$82&amp;"C"&amp;$A176)="N/A",0,RTD("tos.rtd",,BE$2,"."&amp;$D$134&amp;$AW$82&amp;"C"&amp;$A176))</f>
        <v>0</v>
      </c>
      <c r="BF176" s="3">
        <f>-IF(RTD("tos.rtd",,BF$2,"."&amp;$D$134&amp;$AW$82&amp;"P"&amp;$A176)="N/A",0,RTD("tos.rtd",,BF$2,"."&amp;$D$134&amp;$AW$82&amp;"P"&amp;$A176))</f>
        <v>0</v>
      </c>
      <c r="BG176" s="3" t="e">
        <f ca="1">+Hoja2!Y177</f>
        <v>#N/A</v>
      </c>
      <c r="BH176" s="7" t="e">
        <f t="shared" ca="1" si="540"/>
        <v>#N/A</v>
      </c>
      <c r="BI176" s="32" t="e">
        <f t="shared" ca="1" si="597"/>
        <v>#N/A</v>
      </c>
      <c r="BJ176" s="3" t="e">
        <f ca="1">IF($BP$1=1,DX176,IF(RTD("tos.rtd",,BJ$43,"."&amp;$B$134&amp;$AS$82&amp;"C"&amp;$A176)="N/A",0,RTD("tos.rtd",,BJ$43,"."&amp;$B$134&amp;$AS$82&amp;"C"&amp;$A176)))</f>
        <v>#NUM!</v>
      </c>
      <c r="BK176" s="3" t="e">
        <f ca="1">IF($BP$1=1,DY176,-IF(RTD("tos.rtd",,BK$43,"."&amp;$B$134&amp;$AS$82&amp;"P"&amp;$A176)="N/A",0,RTD("tos.rtd",,BK$43,"."&amp;$B$134&amp;$AS$82&amp;"P"&amp;$A176)))</f>
        <v>#NUM!</v>
      </c>
      <c r="BL176" s="3">
        <f ca="1">IF($BP$1=1,DZ176,IF(RTD("tos.rtd",,BL$2,"."&amp;$C$134&amp;$AU$82&amp;"C"&amp;$A176)="N/A",0,RTD("tos.rtd",,BL$2,"."&amp;$C$134&amp;$AU$82&amp;"C"&amp;$A176)))</f>
        <v>4.1292127828497781E-4</v>
      </c>
      <c r="BM176" s="3">
        <f ca="1">IF($BP$1=1,EA176,-IF(RTD("tos.rtd",,BM$2,"."&amp;$C$134&amp;$AU$82&amp;"P"&amp;$A176)="N/A",0,RTD("tos.rtd",,BM$2,"."&amp;$C$134&amp;$AU$82&amp;"P"&amp;$A176)))</f>
        <v>-4.1292127828497781E-4</v>
      </c>
      <c r="BN176" s="3">
        <f ca="1">IF($BP$1=1,EB176,IF(RTD("tos.rtd",,BN$2,"."&amp;$D$134&amp;$AW$82&amp;"C"&amp;$A176)="N/A",0,RTD("tos.rtd",,BN$2,"."&amp;$D$134&amp;$AW$82&amp;"C"&amp;$A176)))</f>
        <v>4.1292127828497781E-4</v>
      </c>
      <c r="BO176" s="3">
        <f ca="1">IF($BP$1=1,EC176,-IF(RTD("tos.rtd",,BO$2,"."&amp;$D$134&amp;$AW$82&amp;"P"&amp;$A176)="N/A",0,RTD("tos.rtd",,BO$2,"."&amp;$D$134&amp;$AW$82&amp;"P"&amp;$A176)))</f>
        <v>-4.1292127828497781E-4</v>
      </c>
      <c r="BQ176" s="3" t="e">
        <f t="shared" ca="1" si="626"/>
        <v>#NUM!</v>
      </c>
      <c r="BR176" s="3" t="e">
        <f t="shared" ca="1" si="541"/>
        <v>#NUM!</v>
      </c>
      <c r="BS176" s="3">
        <f t="shared" ca="1" si="627"/>
        <v>0</v>
      </c>
      <c r="BT176" s="3" t="str">
        <f t="shared" ca="1" si="542"/>
        <v/>
      </c>
      <c r="BU176" s="3">
        <f t="shared" ca="1" si="628"/>
        <v>0</v>
      </c>
      <c r="BV176" s="3" t="str">
        <f t="shared" ca="1" si="542"/>
        <v/>
      </c>
      <c r="BX176" s="3" t="e">
        <f t="shared" ca="1" si="575"/>
        <v>#NUM!</v>
      </c>
      <c r="BY176" s="3" t="e">
        <f t="shared" ca="1" si="576"/>
        <v>#NUM!</v>
      </c>
      <c r="BZ176" s="3">
        <f t="shared" ca="1" si="577"/>
        <v>0</v>
      </c>
      <c r="CA176" s="3" t="str">
        <f t="shared" ca="1" si="576"/>
        <v/>
      </c>
      <c r="CB176" s="3">
        <f t="shared" ca="1" si="578"/>
        <v>0</v>
      </c>
      <c r="CC176" s="3" t="str">
        <f t="shared" ca="1" si="576"/>
        <v/>
      </c>
      <c r="CD176" s="3">
        <f>IF(RTD("tos.rtd",,CD$43,"."&amp;$B$134&amp;$AS$82&amp;"C"&amp;$A176)="N/A",0,RTD("tos.rtd",,CD$43,"."&amp;$B$134&amp;$AS$82&amp;"C"&amp;$A176))</f>
        <v>1</v>
      </c>
      <c r="CE176" s="3">
        <f>-IF(RTD("tos.rtd",,CE$43,"."&amp;$B$134&amp;$AS$82&amp;"P"&amp;$A176)="N/A",0,RTD("tos.rtd",,CE$43,"."&amp;$B$134&amp;$AS$82&amp;"P"&amp;$A176))</f>
        <v>7.0000000000000007E-2</v>
      </c>
      <c r="CF176" s="3">
        <f>IF(RTD("tos.rtd",,CF$2,"."&amp;$C$134&amp;$AU$82&amp;"C"&amp;$A176)="N/A",0,RTD("tos.rtd",,CF$2,"."&amp;$C$134&amp;$AU$82&amp;"C"&amp;$A176))</f>
        <v>0</v>
      </c>
      <c r="CG176" s="3">
        <f>-IF(RTD("tos.rtd",,CG$2,"."&amp;$C$134&amp;$AU$82&amp;"P"&amp;$A176)="N/A",0,RTD("tos.rtd",,CG$2,"."&amp;$C$134&amp;$AU$82&amp;"P"&amp;$A176))</f>
        <v>0</v>
      </c>
      <c r="CH176" s="3">
        <f>IF(RTD("tos.rtd",,CH$2,"."&amp;$D$134&amp;$AW$82&amp;"C"&amp;$A176)="N/A",0,RTD("tos.rtd",,CH$2,"."&amp;$D$134&amp;$AW$82&amp;"C"&amp;$A176))</f>
        <v>0</v>
      </c>
      <c r="CI176" s="3">
        <f>-IF(RTD("tos.rtd",,CI$2,"."&amp;$D$134&amp;$AW$82&amp;"P"&amp;$A176)="N/A",0,RTD("tos.rtd",,CI$2,"."&amp;$D$134&amp;$AW$82&amp;"P"&amp;$A176))</f>
        <v>0</v>
      </c>
      <c r="CK176" s="3">
        <f t="shared" ref="CK176:CK189" si="648">+AS176*CD176*100+AT176*CE176*100</f>
        <v>86</v>
      </c>
      <c r="CL176" s="3"/>
      <c r="CM176" s="3">
        <f t="shared" ref="CM176:CM189" si="649">+AU176*CF176*100+AV176*CG176*100</f>
        <v>0</v>
      </c>
      <c r="CN176" s="3"/>
      <c r="CO176" s="3">
        <f t="shared" ref="CO176:CO189" si="650">+AW176*CH176*100+AX176*CI176*100</f>
        <v>0</v>
      </c>
      <c r="CP176" s="3">
        <f t="shared" si="533"/>
        <v>86</v>
      </c>
      <c r="CQ176" s="3">
        <f t="shared" si="543"/>
        <v>-46</v>
      </c>
      <c r="CR176" s="3"/>
      <c r="CS176" s="3">
        <f t="shared" si="544"/>
        <v>0</v>
      </c>
      <c r="CT176" s="3"/>
      <c r="CU176" s="3">
        <f t="shared" si="545"/>
        <v>0</v>
      </c>
      <c r="CV176" s="3"/>
      <c r="CW176" s="3" t="e">
        <f t="shared" ca="1" si="546"/>
        <v>#NUM!</v>
      </c>
      <c r="CY176" s="3" t="e">
        <f t="shared" ca="1" si="547"/>
        <v>#NUM!</v>
      </c>
      <c r="CZ176" s="70" t="e">
        <f t="shared" ca="1" si="579"/>
        <v>#NUM!</v>
      </c>
      <c r="DA176" s="3">
        <f>IF(RTD("tos.rtd",,DA$43,"."&amp;$B$134&amp;$AS$82&amp;"C"&amp;$A176)="N/A",0,RTD("tos.rtd",,DA$43,"."&amp;$B$134&amp;$AS$82&amp;"C"&amp;$A176))</f>
        <v>166.6</v>
      </c>
      <c r="DB176" s="3">
        <f>IF(RTD("tos.rtd",,DB$43,"."&amp;$B$134&amp;$AS$82&amp;"P"&amp;$A176)="N/A",0,RTD("tos.rtd",,DB$43,"."&amp;$B$134&amp;$AS$82&amp;"P"&amp;$A176))</f>
        <v>0.3</v>
      </c>
      <c r="DC176" s="3">
        <f>IF(RTD("tos.rtd",,DC$43,"."&amp;$B$134&amp;$AS$82&amp;"C"&amp;$A176)="N/A",0,RTD("tos.rtd",,DC$43,"."&amp;$B$134&amp;$AS$82&amp;"C"&amp;$A176))</f>
        <v>480</v>
      </c>
      <c r="DD176" s="3">
        <f>IF(RTD("tos.rtd",,DD$43,"."&amp;$B$134&amp;$AS$82&amp;"P"&amp;$A176)="N/A",0,RTD("tos.rtd",,DD$43,"."&amp;$B$134&amp;$AS$82&amp;"P"&amp;$A176))</f>
        <v>19.8</v>
      </c>
      <c r="DE176" s="3">
        <f>IF(RTD("tos.rtd",,DE$43,"."&amp;$B$134&amp;$AS$82&amp;"C"&amp;$A176)="N/A",0,RTD("tos.rtd",,DE$43,"."&amp;$B$134&amp;$AS$82&amp;"C"&amp;$A176))</f>
        <v>403.5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580"/>
        <v>-432</v>
      </c>
      <c r="DH176" s="3">
        <f t="shared" si="548"/>
        <v>0</v>
      </c>
      <c r="DI176" s="3">
        <f t="shared" si="549"/>
        <v>0</v>
      </c>
      <c r="DJ176" s="3">
        <f t="shared" si="550"/>
        <v>0</v>
      </c>
      <c r="DK176" s="3">
        <f t="shared" si="551"/>
        <v>0</v>
      </c>
      <c r="DL176" s="3">
        <f t="shared" si="552"/>
        <v>0</v>
      </c>
      <c r="DM176" s="3">
        <f t="shared" si="553"/>
        <v>0</v>
      </c>
      <c r="DN176" s="64" t="str">
        <f t="shared" si="554"/>
        <v>UNKNOWN</v>
      </c>
      <c r="DO176" s="64" t="str">
        <f t="shared" si="555"/>
        <v>UNKNOWN</v>
      </c>
      <c r="DP176" s="3">
        <f t="shared" si="556"/>
        <v>0</v>
      </c>
      <c r="DQ176" s="3">
        <f t="shared" si="557"/>
        <v>0</v>
      </c>
      <c r="DR176" s="3" t="e">
        <f t="shared" ca="1" si="558"/>
        <v>#NUM!</v>
      </c>
      <c r="DS176" s="3">
        <f t="shared" si="559"/>
        <v>0</v>
      </c>
      <c r="DT176" s="3">
        <f t="shared" si="581"/>
        <v>0</v>
      </c>
      <c r="DU176" s="3">
        <f t="shared" si="582"/>
        <v>0</v>
      </c>
      <c r="DV176" s="3">
        <f t="shared" si="560"/>
        <v>3</v>
      </c>
      <c r="DW176" s="3" t="e">
        <f t="shared" si="561"/>
        <v>#N/A</v>
      </c>
      <c r="DX176" s="3" t="e">
        <f t="shared" ca="1" si="642"/>
        <v>#NUM!</v>
      </c>
      <c r="DY176" s="3" t="e">
        <f t="shared" ca="1" si="643"/>
        <v>#NUM!</v>
      </c>
      <c r="DZ176" s="3">
        <f t="shared" ca="1" si="644"/>
        <v>4.1292127828497781E-4</v>
      </c>
      <c r="EA176" s="3">
        <f t="shared" ca="1" si="645"/>
        <v>-4.1292127828497781E-4</v>
      </c>
      <c r="EB176" s="3">
        <f t="shared" ca="1" si="646"/>
        <v>4.1292127828497781E-4</v>
      </c>
      <c r="EC176" s="3">
        <f t="shared" ca="1" si="647"/>
        <v>-4.1292127828497781E-4</v>
      </c>
      <c r="EE176" s="59">
        <f t="shared" si="568"/>
        <v>0.25</v>
      </c>
      <c r="EF176" s="59">
        <f t="shared" si="569"/>
        <v>2.0276999999999998</v>
      </c>
      <c r="EG176" s="59">
        <f t="shared" si="570"/>
        <v>0.25</v>
      </c>
      <c r="EH176" s="59">
        <f t="shared" si="571"/>
        <v>0.25</v>
      </c>
      <c r="EI176" s="59">
        <f t="shared" si="572"/>
        <v>0.25</v>
      </c>
      <c r="EJ176" s="59">
        <f t="shared" si="573"/>
        <v>0.25</v>
      </c>
      <c r="EL176" s="3" t="str">
        <f>RTD("tos.rtd",,EL$43,"."&amp;$B$134&amp;$AS$82&amp;"C"&amp;$A176)</f>
        <v>--</v>
      </c>
      <c r="EM176" s="3" t="str">
        <f>RTD("tos.rtd",,EM$43,"."&amp;$B$134&amp;$AS$82&amp;"P"&amp;$A176)</f>
        <v>202.77%</v>
      </c>
      <c r="EN176" s="3" t="str">
        <f>RTD("tos.rtd",,EN$2,"."&amp;$C$134&amp;$AU$82&amp;"C"&amp;$A176)</f>
        <v>N/A</v>
      </c>
      <c r="EO176" s="3" t="str">
        <f>RTD("tos.rtd",,EO$2,"."&amp;$C$134&amp;$AU$82&amp;"P"&amp;$A176)</f>
        <v>N/A</v>
      </c>
      <c r="EP176" s="3" t="str">
        <f>RTD("tos.rtd",,EP$2,"."&amp;$D$134&amp;$AW$82&amp;"C"&amp;$A176)</f>
        <v>N/A</v>
      </c>
      <c r="EQ176" s="3" t="str">
        <f>RTD("tos.rtd",,EQ$2,"."&amp;$D$134&amp;$AW$82&amp;"P"&amp;$A176)</f>
        <v>N/A</v>
      </c>
      <c r="ET176" s="64" t="str">
        <f t="shared" ca="1" si="574"/>
        <v>19660,00.00</v>
      </c>
      <c r="EU176" s="68">
        <v>564.57500000000005</v>
      </c>
      <c r="EV176" s="68" t="s">
        <v>1428</v>
      </c>
      <c r="EW176" s="68">
        <v>487.5</v>
      </c>
      <c r="EX176" s="68" t="s">
        <v>1429</v>
      </c>
      <c r="EY176" s="68">
        <v>5661.25</v>
      </c>
      <c r="EZ176" s="68" t="s">
        <v>1430</v>
      </c>
      <c r="FA176" s="68">
        <v>20031.25</v>
      </c>
      <c r="FB176" s="68" t="s">
        <v>1431</v>
      </c>
      <c r="FC176" s="68" t="s">
        <v>1432</v>
      </c>
      <c r="FD176" s="68" t="s">
        <v>1433</v>
      </c>
      <c r="FE176" s="68" t="s">
        <v>1434</v>
      </c>
      <c r="FF176" s="68" t="s">
        <v>1435</v>
      </c>
    </row>
    <row r="177" spans="1:162" ht="11.1" customHeight="1" thickBot="1" x14ac:dyDescent="0.25">
      <c r="A177" s="2">
        <f t="shared" si="583"/>
        <v>19640</v>
      </c>
      <c r="B177" s="3">
        <f t="shared" si="619"/>
        <v>2</v>
      </c>
      <c r="C177" s="3">
        <f t="shared" si="620"/>
        <v>0</v>
      </c>
      <c r="D177" s="3">
        <f t="shared" si="621"/>
        <v>0</v>
      </c>
      <c r="E177" s="3">
        <f t="shared" si="622"/>
        <v>2</v>
      </c>
      <c r="F177" s="4">
        <f t="shared" si="623"/>
        <v>19737.750348397374</v>
      </c>
      <c r="G177" s="5">
        <f t="shared" si="624"/>
        <v>477.96010352379056</v>
      </c>
      <c r="AM177" s="1">
        <v>0</v>
      </c>
      <c r="AN177" s="1">
        <v>-142</v>
      </c>
      <c r="AO177" s="1">
        <v>19640</v>
      </c>
      <c r="AP177" s="1">
        <v>0</v>
      </c>
      <c r="AQ177" s="1">
        <v>-85</v>
      </c>
      <c r="AS177" s="54">
        <f>IF(RTD("tos.rtd",,AS$83,"."&amp;$B$134&amp;$AS$82&amp;"C"&amp;$A177)="N/A",0,RTD("tos.rtd",,AS$83,"."&amp;$B$134&amp;$AS$82&amp;"C"&amp;$A177))</f>
        <v>1</v>
      </c>
      <c r="AT177" s="3">
        <f>-IF(RTD("tos.rtd",,AT$83,"."&amp;$B$134&amp;$AS$82&amp;"P"&amp;$A177)="N/A",0,RTD("tos.rtd",,AT$83,"."&amp;$B$134&amp;$AS$82&amp;"P"&amp;$A177))</f>
        <v>-1</v>
      </c>
      <c r="AU177" s="54">
        <f>IF(RTD("tos.rtd",,AU$2,"."&amp;$C$134&amp;$AU$134&amp;"C"&amp;$A177)="N/A",0,RTD("tos.rtd",,AU$2,"."&amp;$C$134&amp;$AU$134&amp;"C"&amp;$A177))</f>
        <v>0</v>
      </c>
      <c r="AV177" s="3">
        <f>-IF(RTD("tos.rtd",,AV$2,"."&amp;$C$134&amp;$AU$134&amp;"P"&amp;$A177)="N/A",0,RTD("tos.rtd",,AV$2,"."&amp;$C$134&amp;$AU$134&amp;"P"&amp;$A177))</f>
        <v>0</v>
      </c>
      <c r="AW177" s="54">
        <f>IF(RTD("tos.rtd",,AW$2,"."&amp;$D$134&amp;$AW$134&amp;"C"&amp;$A177)="N/A",0,RTD("tos.rtd",,AW$2,"."&amp;$D$134&amp;$AW$134&amp;"C"&amp;$A177))</f>
        <v>0</v>
      </c>
      <c r="AX177" s="3">
        <f>-IF(RTD("tos.rtd",,AX$2,"."&amp;$D$134&amp;$AW$134&amp;"P"&amp;$A177)="N/A",0,RTD("tos.rtd",,AX$2,"."&amp;$D$134&amp;$AW$134&amp;"P"&amp;$A177))</f>
        <v>0</v>
      </c>
      <c r="AY177" s="76">
        <f t="shared" si="625"/>
        <v>0</v>
      </c>
      <c r="AZ177" s="8">
        <f t="shared" si="539"/>
        <v>19640</v>
      </c>
      <c r="BA177" s="54">
        <f>IF(RTD("tos.rtd",,BA$43,"."&amp;$B$134&amp;$AS$82&amp;"C"&amp;$A177)="N/A",0,RTD("tos.rtd",,BA$43,"."&amp;$B$134&amp;$AS$82&amp;"C"&amp;$A177))</f>
        <v>0</v>
      </c>
      <c r="BB177" s="3">
        <f>-IF(RTD("tos.rtd",,BB$43,"."&amp;$B$134&amp;$AS$82&amp;"P"&amp;$A177)="N/A",0,RTD("tos.rtd",,BB$43,"."&amp;$B$134&amp;$AS$82&amp;"P"&amp;$A177))</f>
        <v>-85</v>
      </c>
      <c r="BC177" s="54">
        <f>IF(RTD("tos.rtd",,BC$2,"."&amp;$C$134&amp;$AU$82&amp;"C"&amp;$A177)="N/A",0,RTD("tos.rtd",,BC$2,"."&amp;$C$134&amp;$AU$82&amp;"C"&amp;$A177))</f>
        <v>0</v>
      </c>
      <c r="BD177" s="3">
        <f>-IF(RTD("tos.rtd",,BD$2,"."&amp;$C$134&amp;$AU$82&amp;"P"&amp;$A177)="N/A",0,RTD("tos.rtd",,BD$2,"."&amp;$C$134&amp;$AU$82&amp;"P"&amp;$A177))</f>
        <v>0</v>
      </c>
      <c r="BE177" s="54">
        <f>IF(RTD("tos.rtd",,BE$2,"."&amp;$D$134&amp;$AW$82&amp;"C"&amp;$A177)="N/A",0,RTD("tos.rtd",,BE$2,"."&amp;$D$134&amp;$AW$82&amp;"C"&amp;$A177))</f>
        <v>0</v>
      </c>
      <c r="BF177" s="3">
        <f>-IF(RTD("tos.rtd",,BF$2,"."&amp;$D$134&amp;$AW$82&amp;"P"&amp;$A177)="N/A",0,RTD("tos.rtd",,BF$2,"."&amp;$D$134&amp;$AW$82&amp;"P"&amp;$A177))</f>
        <v>0</v>
      </c>
      <c r="BG177" s="3" t="e">
        <f ca="1">+Hoja2!Y178</f>
        <v>#N/A</v>
      </c>
      <c r="BH177" s="7" t="e">
        <f t="shared" ca="1" si="540"/>
        <v>#N/A</v>
      </c>
      <c r="BI177" s="32" t="e">
        <f t="shared" ca="1" si="597"/>
        <v>#N/A</v>
      </c>
      <c r="BJ177" s="3" t="e">
        <f ca="1">IF($BP$1=1,DX177,IF(RTD("tos.rtd",,BJ$43,"."&amp;$B$134&amp;$AS$82&amp;"C"&amp;$A177)="N/A",0,RTD("tos.rtd",,BJ$43,"."&amp;$B$134&amp;$AS$82&amp;"C"&amp;$A177)))</f>
        <v>#NUM!</v>
      </c>
      <c r="BK177" s="3" t="e">
        <f ca="1">IF($BP$1=1,DY177,-IF(RTD("tos.rtd",,BK$43,"."&amp;$B$134&amp;$AS$82&amp;"P"&amp;$A177)="N/A",0,RTD("tos.rtd",,BK$43,"."&amp;$B$134&amp;$AS$82&amp;"P"&amp;$A177)))</f>
        <v>#NUM!</v>
      </c>
      <c r="BL177" s="3">
        <f ca="1">IF($BP$1=1,DZ177,IF(RTD("tos.rtd",,BL$2,"."&amp;$C$134&amp;$AU$82&amp;"C"&amp;$A177)="N/A",0,RTD("tos.rtd",,BL$2,"."&amp;$C$134&amp;$AU$82&amp;"C"&amp;$A177)))</f>
        <v>4.067921684618204E-4</v>
      </c>
      <c r="BM177" s="3">
        <f ca="1">IF($BP$1=1,EA177,-IF(RTD("tos.rtd",,BM$2,"."&amp;$C$134&amp;$AU$82&amp;"P"&amp;$A177)="N/A",0,RTD("tos.rtd",,BM$2,"."&amp;$C$134&amp;$AU$82&amp;"P"&amp;$A177)))</f>
        <v>-4.067921684618204E-4</v>
      </c>
      <c r="BN177" s="3">
        <f ca="1">IF($BP$1=1,EB177,IF(RTD("tos.rtd",,BN$2,"."&amp;$D$134&amp;$AW$82&amp;"C"&amp;$A177)="N/A",0,RTD("tos.rtd",,BN$2,"."&amp;$D$134&amp;$AW$82&amp;"C"&amp;$A177)))</f>
        <v>4.067921684618204E-4</v>
      </c>
      <c r="BO177" s="3">
        <f ca="1">IF($BP$1=1,EC177,-IF(RTD("tos.rtd",,BO$2,"."&amp;$D$134&amp;$AW$82&amp;"P"&amp;$A177)="N/A",0,RTD("tos.rtd",,BO$2,"."&amp;$D$134&amp;$AW$82&amp;"P"&amp;$A177)))</f>
        <v>-4.067921684618204E-4</v>
      </c>
      <c r="BQ177" s="3" t="e">
        <f t="shared" ca="1" si="626"/>
        <v>#NUM!</v>
      </c>
      <c r="BR177" s="3" t="e">
        <f t="shared" ca="1" si="541"/>
        <v>#NUM!</v>
      </c>
      <c r="BS177" s="3">
        <f t="shared" ca="1" si="627"/>
        <v>0</v>
      </c>
      <c r="BT177" s="3" t="str">
        <f t="shared" ca="1" si="542"/>
        <v/>
      </c>
      <c r="BU177" s="3">
        <f t="shared" ca="1" si="628"/>
        <v>0</v>
      </c>
      <c r="BV177" s="3" t="str">
        <f t="shared" ca="1" si="542"/>
        <v/>
      </c>
      <c r="BX177" s="3" t="e">
        <f t="shared" ca="1" si="575"/>
        <v>#NUM!</v>
      </c>
      <c r="BY177" s="3" t="e">
        <f t="shared" ca="1" si="576"/>
        <v>#NUM!</v>
      </c>
      <c r="BZ177" s="3">
        <f t="shared" ca="1" si="577"/>
        <v>0</v>
      </c>
      <c r="CA177" s="3" t="str">
        <f t="shared" ca="1" si="576"/>
        <v/>
      </c>
      <c r="CB177" s="3">
        <f t="shared" ca="1" si="578"/>
        <v>0</v>
      </c>
      <c r="CC177" s="3" t="str">
        <f t="shared" ca="1" si="576"/>
        <v/>
      </c>
      <c r="CD177" s="3">
        <f>IF(RTD("tos.rtd",,CD$43,"."&amp;$B$134&amp;$AS$82&amp;"C"&amp;$A177)="N/A",0,RTD("tos.rtd",,CD$43,"."&amp;$B$134&amp;$AS$82&amp;"C"&amp;$A177))</f>
        <v>1</v>
      </c>
      <c r="CE177" s="3">
        <f>-IF(RTD("tos.rtd",,CE$43,"."&amp;$B$134&amp;$AS$82&amp;"P"&amp;$A177)="N/A",0,RTD("tos.rtd",,CE$43,"."&amp;$B$134&amp;$AS$82&amp;"P"&amp;$A177))</f>
        <v>0</v>
      </c>
      <c r="CF177" s="3">
        <f>IF(RTD("tos.rtd",,CF$2,"."&amp;$C$134&amp;$AU$82&amp;"C"&amp;$A177)="N/A",0,RTD("tos.rtd",,CF$2,"."&amp;$C$134&amp;$AU$82&amp;"C"&amp;$A177))</f>
        <v>0</v>
      </c>
      <c r="CG177" s="3">
        <f>-IF(RTD("tos.rtd",,CG$2,"."&amp;$C$134&amp;$AU$82&amp;"P"&amp;$A177)="N/A",0,RTD("tos.rtd",,CG$2,"."&amp;$C$134&amp;$AU$82&amp;"P"&amp;$A177))</f>
        <v>0</v>
      </c>
      <c r="CH177" s="3">
        <f>IF(RTD("tos.rtd",,CH$2,"."&amp;$D$134&amp;$AW$82&amp;"C"&amp;$A177)="N/A",0,RTD("tos.rtd",,CH$2,"."&amp;$D$134&amp;$AW$82&amp;"C"&amp;$A177))</f>
        <v>0</v>
      </c>
      <c r="CI177" s="3">
        <f>-IF(RTD("tos.rtd",,CI$2,"."&amp;$D$134&amp;$AW$82&amp;"P"&amp;$A177)="N/A",0,RTD("tos.rtd",,CI$2,"."&amp;$D$134&amp;$AW$82&amp;"P"&amp;$A177))</f>
        <v>0</v>
      </c>
      <c r="CK177" s="3">
        <f t="shared" si="648"/>
        <v>100</v>
      </c>
      <c r="CL177" s="3"/>
      <c r="CM177" s="3">
        <f t="shared" si="649"/>
        <v>0</v>
      </c>
      <c r="CN177" s="3"/>
      <c r="CO177" s="3">
        <f t="shared" si="650"/>
        <v>0</v>
      </c>
      <c r="CP177" s="3">
        <f t="shared" si="533"/>
        <v>100</v>
      </c>
      <c r="CQ177" s="3">
        <f t="shared" si="543"/>
        <v>-85</v>
      </c>
      <c r="CR177" s="3"/>
      <c r="CS177" s="3">
        <f t="shared" si="544"/>
        <v>0</v>
      </c>
      <c r="CT177" s="3"/>
      <c r="CU177" s="3">
        <f t="shared" si="545"/>
        <v>0</v>
      </c>
      <c r="CV177" s="3"/>
      <c r="CW177" s="3" t="e">
        <f t="shared" ca="1" si="546"/>
        <v>#NUM!</v>
      </c>
      <c r="CY177" s="3" t="e">
        <f t="shared" ca="1" si="547"/>
        <v>#NUM!</v>
      </c>
      <c r="CZ177" s="70" t="e">
        <f t="shared" ca="1" si="579"/>
        <v>#NUM!</v>
      </c>
      <c r="DA177" s="3">
        <f>IF(RTD("tos.rtd",,DA$43,"."&amp;$B$134&amp;$AS$82&amp;"C"&amp;$A177)="N/A",0,RTD("tos.rtd",,DA$43,"."&amp;$B$134&amp;$AS$82&amp;"C"&amp;$A177))</f>
        <v>168.5</v>
      </c>
      <c r="DB177" s="3">
        <f>IF(RTD("tos.rtd",,DB$43,"."&amp;$B$134&amp;$AS$82&amp;"P"&amp;$A177)="N/A",0,RTD("tos.rtd",,DB$43,"."&amp;$B$134&amp;$AS$82&amp;"P"&amp;$A177))</f>
        <v>0.05</v>
      </c>
      <c r="DC177" s="3">
        <f>IF(RTD("tos.rtd",,DC$43,"."&amp;$B$134&amp;$AS$82&amp;"C"&amp;$A177)="N/A",0,RTD("tos.rtd",,DC$43,"."&amp;$B$134&amp;$AS$82&amp;"C"&amp;$A177))</f>
        <v>492</v>
      </c>
      <c r="DD177" s="3">
        <f>IF(RTD("tos.rtd",,DD$43,"."&amp;$B$134&amp;$AS$82&amp;"P"&amp;$A177)="N/A",0,RTD("tos.rtd",,DD$43,"."&amp;$B$134&amp;$AS$82&amp;"P"&amp;$A177))</f>
        <v>0.05</v>
      </c>
      <c r="DE177" s="3">
        <f>IF(RTD("tos.rtd",,DE$43,"."&amp;$B$134&amp;$AS$82&amp;"C"&amp;$A177)="N/A",0,RTD("tos.rtd",,DE$43,"."&amp;$B$134&amp;$AS$82&amp;"C"&amp;$A177))</f>
        <v>426.2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580"/>
        <v>-452</v>
      </c>
      <c r="DH177" s="3">
        <f t="shared" si="548"/>
        <v>0</v>
      </c>
      <c r="DI177" s="3">
        <f t="shared" si="549"/>
        <v>0</v>
      </c>
      <c r="DJ177" s="3">
        <f t="shared" si="550"/>
        <v>0</v>
      </c>
      <c r="DK177" s="3">
        <f t="shared" si="551"/>
        <v>0</v>
      </c>
      <c r="DL177" s="3">
        <f t="shared" si="552"/>
        <v>0</v>
      </c>
      <c r="DM177" s="3">
        <f t="shared" si="553"/>
        <v>0</v>
      </c>
      <c r="DN177" s="64" t="str">
        <f t="shared" si="554"/>
        <v>UNKNOWN</v>
      </c>
      <c r="DO177" s="64" t="str">
        <f t="shared" si="555"/>
        <v>UNKNOWN</v>
      </c>
      <c r="DP177" s="3">
        <f t="shared" si="556"/>
        <v>0</v>
      </c>
      <c r="DQ177" s="3">
        <f t="shared" si="557"/>
        <v>0</v>
      </c>
      <c r="DR177" s="3" t="e">
        <f t="shared" ca="1" si="558"/>
        <v>#NUM!</v>
      </c>
      <c r="DS177" s="3">
        <f t="shared" si="559"/>
        <v>0</v>
      </c>
      <c r="DT177" s="3">
        <f t="shared" si="581"/>
        <v>0</v>
      </c>
      <c r="DU177" s="3">
        <f t="shared" si="582"/>
        <v>0</v>
      </c>
      <c r="DV177" s="3">
        <f t="shared" si="560"/>
        <v>0</v>
      </c>
      <c r="DW177" s="3">
        <f t="shared" si="561"/>
        <v>-142</v>
      </c>
      <c r="DX177" s="3" t="e">
        <f t="shared" ca="1" si="642"/>
        <v>#NUM!</v>
      </c>
      <c r="DY177" s="3" t="e">
        <f t="shared" ca="1" si="643"/>
        <v>#NUM!</v>
      </c>
      <c r="DZ177" s="3">
        <f t="shared" ca="1" si="644"/>
        <v>4.067921684618204E-4</v>
      </c>
      <c r="EA177" s="3">
        <f t="shared" ca="1" si="645"/>
        <v>-4.067921684618204E-4</v>
      </c>
      <c r="EB177" s="3">
        <f t="shared" ca="1" si="646"/>
        <v>4.067921684618204E-4</v>
      </c>
      <c r="EC177" s="3">
        <f t="shared" ca="1" si="647"/>
        <v>-4.067921684618204E-4</v>
      </c>
      <c r="EE177" s="59">
        <f t="shared" si="568"/>
        <v>0.25</v>
      </c>
      <c r="EF177" s="59">
        <f t="shared" si="569"/>
        <v>0.95850000000000002</v>
      </c>
      <c r="EG177" s="59">
        <f t="shared" si="570"/>
        <v>0.25</v>
      </c>
      <c r="EH177" s="59">
        <f t="shared" si="571"/>
        <v>0.25</v>
      </c>
      <c r="EI177" s="59">
        <f t="shared" si="572"/>
        <v>0.25</v>
      </c>
      <c r="EJ177" s="59">
        <f t="shared" si="573"/>
        <v>0.25</v>
      </c>
      <c r="EL177" s="3" t="str">
        <f>RTD("tos.rtd",,EL$43,"."&amp;$B$134&amp;$AS$82&amp;"C"&amp;$A177)</f>
        <v>--</v>
      </c>
      <c r="EM177" s="3" t="str">
        <f>RTD("tos.rtd",,EM$43,"."&amp;$B$134&amp;$AS$82&amp;"P"&amp;$A177)</f>
        <v>95.85%</v>
      </c>
      <c r="EN177" s="3" t="str">
        <f>RTD("tos.rtd",,EN$2,"."&amp;$C$134&amp;$AU$82&amp;"C"&amp;$A177)</f>
        <v>N/A</v>
      </c>
      <c r="EO177" s="3" t="str">
        <f>RTD("tos.rtd",,EO$2,"."&amp;$C$134&amp;$AU$82&amp;"P"&amp;$A177)</f>
        <v>N/A</v>
      </c>
      <c r="EP177" s="3" t="str">
        <f>RTD("tos.rtd",,EP$2,"."&amp;$D$134&amp;$AW$82&amp;"C"&amp;$A177)</f>
        <v>N/A</v>
      </c>
      <c r="EQ177" s="3" t="str">
        <f>RTD("tos.rtd",,EQ$2,"."&amp;$D$134&amp;$AW$82&amp;"P"&amp;$A177)</f>
        <v>N/A</v>
      </c>
      <c r="ET177" s="64" t="str">
        <f t="shared" ca="1" si="574"/>
        <v>19640,00.00</v>
      </c>
      <c r="EU177" s="68">
        <v>564.28</v>
      </c>
      <c r="EV177" s="68" t="s">
        <v>1436</v>
      </c>
      <c r="EW177" s="68">
        <v>487.3</v>
      </c>
      <c r="EX177" s="68" t="s">
        <v>1437</v>
      </c>
      <c r="EY177" s="68">
        <v>5658.25</v>
      </c>
      <c r="EZ177" s="68" t="s">
        <v>1438</v>
      </c>
      <c r="FA177" s="68">
        <v>20022.75</v>
      </c>
      <c r="FB177" s="68" t="s">
        <v>1439</v>
      </c>
      <c r="FC177" s="68" t="s">
        <v>1440</v>
      </c>
      <c r="FD177" s="68" t="s">
        <v>1441</v>
      </c>
      <c r="FE177" s="68" t="s">
        <v>1442</v>
      </c>
      <c r="FF177" s="68" t="s">
        <v>1443</v>
      </c>
    </row>
    <row r="178" spans="1:162" ht="11.1" customHeight="1" thickBot="1" x14ac:dyDescent="0.25">
      <c r="A178" s="2">
        <f t="shared" si="583"/>
        <v>19620</v>
      </c>
      <c r="B178" s="3">
        <f t="shared" si="619"/>
        <v>2</v>
      </c>
      <c r="C178" s="3">
        <f t="shared" si="620"/>
        <v>0</v>
      </c>
      <c r="D178" s="3">
        <f t="shared" si="621"/>
        <v>0</v>
      </c>
      <c r="E178" s="3">
        <f t="shared" si="622"/>
        <v>2</v>
      </c>
      <c r="F178" s="4">
        <f t="shared" si="623"/>
        <v>19717.650806291062</v>
      </c>
      <c r="G178" s="5">
        <f t="shared" si="624"/>
        <v>477.47338244077241</v>
      </c>
      <c r="AM178" s="1">
        <v>-2</v>
      </c>
      <c r="AN178" s="1" t="e">
        <v>#N/A</v>
      </c>
      <c r="AO178" s="1">
        <v>19620</v>
      </c>
      <c r="AP178" s="1">
        <v>0</v>
      </c>
      <c r="AQ178" s="1">
        <v>-65</v>
      </c>
      <c r="AS178" s="54">
        <f>IF(RTD("tos.rtd",,AS$83,"."&amp;$B$134&amp;$AS$82&amp;"C"&amp;$A178)="N/A",0,RTD("tos.rtd",,AS$83,"."&amp;$B$134&amp;$AS$82&amp;"C"&amp;$A178))</f>
        <v>1</v>
      </c>
      <c r="AT178" s="3">
        <f>-IF(RTD("tos.rtd",,AT$83,"."&amp;$B$134&amp;$AS$82&amp;"P"&amp;$A178)="N/A",0,RTD("tos.rtd",,AT$83,"."&amp;$B$134&amp;$AS$82&amp;"P"&amp;$A178))</f>
        <v>-1</v>
      </c>
      <c r="AU178" s="54">
        <f>IF(RTD("tos.rtd",,AU$2,"."&amp;$C$134&amp;$AU$134&amp;"C"&amp;$A178)="N/A",0,RTD("tos.rtd",,AU$2,"."&amp;$C$134&amp;$AU$134&amp;"C"&amp;$A178))</f>
        <v>0</v>
      </c>
      <c r="AV178" s="3">
        <f>-IF(RTD("tos.rtd",,AV$2,"."&amp;$C$134&amp;$AU$134&amp;"P"&amp;$A178)="N/A",0,RTD("tos.rtd",,AV$2,"."&amp;$C$134&amp;$AU$134&amp;"P"&amp;$A178))</f>
        <v>0</v>
      </c>
      <c r="AW178" s="54">
        <f>IF(RTD("tos.rtd",,AW$2,"."&amp;$D$134&amp;$AW$134&amp;"C"&amp;$A178)="N/A",0,RTD("tos.rtd",,AW$2,"."&amp;$D$134&amp;$AW$134&amp;"C"&amp;$A178))</f>
        <v>0</v>
      </c>
      <c r="AX178" s="3">
        <f>-IF(RTD("tos.rtd",,AX$2,"."&amp;$D$134&amp;$AW$134&amp;"P"&amp;$A178)="N/A",0,RTD("tos.rtd",,AX$2,"."&amp;$D$134&amp;$AW$134&amp;"P"&amp;$A178))</f>
        <v>0</v>
      </c>
      <c r="AY178" s="76">
        <f t="shared" si="625"/>
        <v>0</v>
      </c>
      <c r="AZ178" s="8">
        <f t="shared" si="539"/>
        <v>19620</v>
      </c>
      <c r="BA178" s="54">
        <f>IF(RTD("tos.rtd",,BA$43,"."&amp;$B$134&amp;$AS$82&amp;"C"&amp;$A178)="N/A",0,RTD("tos.rtd",,BA$43,"."&amp;$B$134&amp;$AS$82&amp;"C"&amp;$A178))</f>
        <v>0</v>
      </c>
      <c r="BB178" s="3">
        <f>-IF(RTD("tos.rtd",,BB$43,"."&amp;$B$134&amp;$AS$82&amp;"P"&amp;$A178)="N/A",0,RTD("tos.rtd",,BB$43,"."&amp;$B$134&amp;$AS$82&amp;"P"&amp;$A178))</f>
        <v>-65</v>
      </c>
      <c r="BC178" s="54">
        <f>IF(RTD("tos.rtd",,BC$2,"."&amp;$C$134&amp;$AU$82&amp;"C"&amp;$A178)="N/A",0,RTD("tos.rtd",,BC$2,"."&amp;$C$134&amp;$AU$82&amp;"C"&amp;$A178))</f>
        <v>0</v>
      </c>
      <c r="BD178" s="3">
        <f>-IF(RTD("tos.rtd",,BD$2,"."&amp;$C$134&amp;$AU$82&amp;"P"&amp;$A178)="N/A",0,RTD("tos.rtd",,BD$2,"."&amp;$C$134&amp;$AU$82&amp;"P"&amp;$A178))</f>
        <v>0</v>
      </c>
      <c r="BE178" s="54">
        <f>IF(RTD("tos.rtd",,BE$2,"."&amp;$D$134&amp;$AW$82&amp;"C"&amp;$A178)="N/A",0,RTD("tos.rtd",,BE$2,"."&amp;$D$134&amp;$AW$82&amp;"C"&amp;$A178))</f>
        <v>0</v>
      </c>
      <c r="BF178" s="3">
        <f>-IF(RTD("tos.rtd",,BF$2,"."&amp;$D$134&amp;$AW$82&amp;"P"&amp;$A178)="N/A",0,RTD("tos.rtd",,BF$2,"."&amp;$D$134&amp;$AW$82&amp;"P"&amp;$A178))</f>
        <v>0</v>
      </c>
      <c r="BG178" s="3" t="e">
        <f ca="1">+Hoja2!Y179</f>
        <v>#N/A</v>
      </c>
      <c r="BH178" s="7" t="e">
        <f t="shared" ca="1" si="540"/>
        <v>#N/A</v>
      </c>
      <c r="BI178" s="32" t="e">
        <f t="shared" ca="1" si="597"/>
        <v>#N/A</v>
      </c>
      <c r="BJ178" s="3" t="e">
        <f ca="1">IF($BP$1=1,DX178,IF(RTD("tos.rtd",,BJ$43,"."&amp;$B$134&amp;$AS$82&amp;"C"&amp;$A178)="N/A",0,RTD("tos.rtd",,BJ$43,"."&amp;$B$134&amp;$AS$82&amp;"C"&amp;$A178)))</f>
        <v>#NUM!</v>
      </c>
      <c r="BK178" s="3" t="e">
        <f ca="1">IF($BP$1=1,DY178,-IF(RTD("tos.rtd",,BK$43,"."&amp;$B$134&amp;$AS$82&amp;"P"&amp;$A178)="N/A",0,RTD("tos.rtd",,BK$43,"."&amp;$B$134&amp;$AS$82&amp;"P"&amp;$A178)))</f>
        <v>#NUM!</v>
      </c>
      <c r="BL178" s="3">
        <f ca="1">IF($BP$1=1,DZ178,IF(RTD("tos.rtd",,BL$2,"."&amp;$C$134&amp;$AU$82&amp;"C"&amp;$A178)="N/A",0,RTD("tos.rtd",,BL$2,"."&amp;$C$134&amp;$AU$82&amp;"C"&amp;$A178)))</f>
        <v>4.004952820527058E-4</v>
      </c>
      <c r="BM178" s="3">
        <f ca="1">IF($BP$1=1,EA178,-IF(RTD("tos.rtd",,BM$2,"."&amp;$C$134&amp;$AU$82&amp;"P"&amp;$A178)="N/A",0,RTD("tos.rtd",,BM$2,"."&amp;$C$134&amp;$AU$82&amp;"P"&amp;$A178)))</f>
        <v>-4.004952820527058E-4</v>
      </c>
      <c r="BN178" s="3">
        <f ca="1">IF($BP$1=1,EB178,IF(RTD("tos.rtd",,BN$2,"."&amp;$D$134&amp;$AW$82&amp;"C"&amp;$A178)="N/A",0,RTD("tos.rtd",,BN$2,"."&amp;$D$134&amp;$AW$82&amp;"C"&amp;$A178)))</f>
        <v>4.004952820527058E-4</v>
      </c>
      <c r="BO178" s="3">
        <f ca="1">IF($BP$1=1,EC178,-IF(RTD("tos.rtd",,BO$2,"."&amp;$D$134&amp;$AW$82&amp;"P"&amp;$A178)="N/A",0,RTD("tos.rtd",,BO$2,"."&amp;$D$134&amp;$AW$82&amp;"P"&amp;$A178)))</f>
        <v>-4.004952820527058E-4</v>
      </c>
      <c r="BQ178" s="3" t="e">
        <f t="shared" ca="1" si="626"/>
        <v>#NUM!</v>
      </c>
      <c r="BR178" s="3" t="e">
        <f t="shared" ca="1" si="541"/>
        <v>#NUM!</v>
      </c>
      <c r="BS178" s="3">
        <f t="shared" ca="1" si="627"/>
        <v>0</v>
      </c>
      <c r="BT178" s="3" t="str">
        <f t="shared" ca="1" si="542"/>
        <v/>
      </c>
      <c r="BU178" s="3">
        <f t="shared" ca="1" si="628"/>
        <v>0</v>
      </c>
      <c r="BV178" s="3" t="str">
        <f t="shared" ca="1" si="542"/>
        <v/>
      </c>
      <c r="BX178" s="3" t="e">
        <f t="shared" ca="1" si="575"/>
        <v>#NUM!</v>
      </c>
      <c r="BY178" s="3" t="e">
        <f t="shared" ca="1" si="576"/>
        <v>#NUM!</v>
      </c>
      <c r="BZ178" s="3">
        <f t="shared" ca="1" si="577"/>
        <v>0</v>
      </c>
      <c r="CA178" s="3" t="str">
        <f t="shared" ca="1" si="576"/>
        <v/>
      </c>
      <c r="CB178" s="3">
        <f t="shared" ca="1" si="578"/>
        <v>0</v>
      </c>
      <c r="CC178" s="3" t="str">
        <f t="shared" ca="1" si="576"/>
        <v/>
      </c>
      <c r="CD178" s="3">
        <f>IF(RTD("tos.rtd",,CD$43,"."&amp;$B$134&amp;$AS$82&amp;"C"&amp;$A178)="N/A",0,RTD("tos.rtd",,CD$43,"."&amp;$B$134&amp;$AS$82&amp;"C"&amp;$A178))</f>
        <v>1</v>
      </c>
      <c r="CE178" s="3">
        <f>-IF(RTD("tos.rtd",,CE$43,"."&amp;$B$134&amp;$AS$82&amp;"P"&amp;$A178)="N/A",0,RTD("tos.rtd",,CE$43,"."&amp;$B$134&amp;$AS$82&amp;"P"&amp;$A178))</f>
        <v>7.0000000000000007E-2</v>
      </c>
      <c r="CF178" s="3">
        <f>IF(RTD("tos.rtd",,CF$2,"."&amp;$C$134&amp;$AU$82&amp;"C"&amp;$A178)="N/A",0,RTD("tos.rtd",,CF$2,"."&amp;$C$134&amp;$AU$82&amp;"C"&amp;$A178))</f>
        <v>0</v>
      </c>
      <c r="CG178" s="3">
        <f>-IF(RTD("tos.rtd",,CG$2,"."&amp;$C$134&amp;$AU$82&amp;"P"&amp;$A178)="N/A",0,RTD("tos.rtd",,CG$2,"."&amp;$C$134&amp;$AU$82&amp;"P"&amp;$A178))</f>
        <v>0</v>
      </c>
      <c r="CH178" s="3">
        <f>IF(RTD("tos.rtd",,CH$2,"."&amp;$D$134&amp;$AW$82&amp;"C"&amp;$A178)="N/A",0,RTD("tos.rtd",,CH$2,"."&amp;$D$134&amp;$AW$82&amp;"C"&amp;$A178))</f>
        <v>0</v>
      </c>
      <c r="CI178" s="3">
        <f>-IF(RTD("tos.rtd",,CI$2,"."&amp;$D$134&amp;$AW$82&amp;"P"&amp;$A178)="N/A",0,RTD("tos.rtd",,CI$2,"."&amp;$D$134&amp;$AW$82&amp;"P"&amp;$A178))</f>
        <v>0</v>
      </c>
      <c r="CK178" s="3">
        <f t="shared" si="648"/>
        <v>93</v>
      </c>
      <c r="CL178" s="3"/>
      <c r="CM178" s="3">
        <f t="shared" si="649"/>
        <v>0</v>
      </c>
      <c r="CN178" s="3"/>
      <c r="CO178" s="3">
        <f t="shared" si="650"/>
        <v>0</v>
      </c>
      <c r="CP178" s="3">
        <f t="shared" si="533"/>
        <v>93</v>
      </c>
      <c r="CQ178" s="3">
        <f t="shared" si="543"/>
        <v>-65</v>
      </c>
      <c r="CR178" s="3"/>
      <c r="CS178" s="3">
        <f t="shared" si="544"/>
        <v>0</v>
      </c>
      <c r="CT178" s="3"/>
      <c r="CU178" s="3">
        <f t="shared" si="545"/>
        <v>0</v>
      </c>
      <c r="CV178" s="3"/>
      <c r="CW178" s="3" t="e">
        <f t="shared" ca="1" si="546"/>
        <v>#NUM!</v>
      </c>
      <c r="CY178" s="3" t="e">
        <f t="shared" ca="1" si="547"/>
        <v>#NUM!</v>
      </c>
      <c r="CZ178" s="70" t="e">
        <f t="shared" ca="1" si="579"/>
        <v>#NUM!</v>
      </c>
      <c r="DA178" s="3">
        <f>IF(RTD("tos.rtd",,DA$43,"."&amp;$B$134&amp;$AS$82&amp;"C"&amp;$A178)="N/A",0,RTD("tos.rtd",,DA$43,"."&amp;$B$134&amp;$AS$82&amp;"C"&amp;$A178))</f>
        <v>207.8</v>
      </c>
      <c r="DB178" s="3">
        <f>IF(RTD("tos.rtd",,DB$43,"."&amp;$B$134&amp;$AS$82&amp;"P"&amp;$A178)="N/A",0,RTD("tos.rtd",,DB$43,"."&amp;$B$134&amp;$AS$82&amp;"P"&amp;$A178))</f>
        <v>0.05</v>
      </c>
      <c r="DC178" s="3">
        <f>IF(RTD("tos.rtd",,DC$43,"."&amp;$B$134&amp;$AS$82&amp;"C"&amp;$A178)="N/A",0,RTD("tos.rtd",,DC$43,"."&amp;$B$134&amp;$AS$82&amp;"C"&amp;$A178))</f>
        <v>512</v>
      </c>
      <c r="DD178" s="3">
        <f>IF(RTD("tos.rtd",,DD$43,"."&amp;$B$134&amp;$AS$82&amp;"P"&amp;$A178)="N/A",0,RTD("tos.rtd",,DD$43,"."&amp;$B$134&amp;$AS$82&amp;"P"&amp;$A178))</f>
        <v>19.8</v>
      </c>
      <c r="DE178" s="3">
        <f>IF(RTD("tos.rtd",,DE$43,"."&amp;$B$134&amp;$AS$82&amp;"C"&amp;$A178)="N/A",0,RTD("tos.rtd",,DE$43,"."&amp;$B$134&amp;$AS$82&amp;"C"&amp;$A178))</f>
        <v>446.2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580"/>
        <v>-472</v>
      </c>
      <c r="DH178" s="3">
        <f t="shared" si="548"/>
        <v>0</v>
      </c>
      <c r="DI178" s="3">
        <f t="shared" si="549"/>
        <v>0</v>
      </c>
      <c r="DJ178" s="3">
        <f t="shared" si="550"/>
        <v>0</v>
      </c>
      <c r="DK178" s="3">
        <f t="shared" si="551"/>
        <v>0</v>
      </c>
      <c r="DL178" s="3">
        <f t="shared" si="552"/>
        <v>0</v>
      </c>
      <c r="DM178" s="3">
        <f t="shared" si="553"/>
        <v>0</v>
      </c>
      <c r="DN178" s="64" t="str">
        <f t="shared" si="554"/>
        <v>UNKNOWN</v>
      </c>
      <c r="DO178" s="64" t="str">
        <f t="shared" si="555"/>
        <v>UNKNOWN</v>
      </c>
      <c r="DP178" s="3">
        <f t="shared" si="556"/>
        <v>0</v>
      </c>
      <c r="DQ178" s="3">
        <f t="shared" si="557"/>
        <v>0</v>
      </c>
      <c r="DR178" s="3" t="e">
        <f t="shared" ca="1" si="558"/>
        <v>#NUM!</v>
      </c>
      <c r="DS178" s="3">
        <f t="shared" si="559"/>
        <v>0</v>
      </c>
      <c r="DT178" s="3">
        <f t="shared" si="581"/>
        <v>0</v>
      </c>
      <c r="DU178" s="3">
        <f t="shared" si="582"/>
        <v>0</v>
      </c>
      <c r="DV178" s="3">
        <f t="shared" si="560"/>
        <v>-2</v>
      </c>
      <c r="DW178" s="3" t="e">
        <f t="shared" si="561"/>
        <v>#N/A</v>
      </c>
      <c r="DX178" s="3" t="e">
        <f t="shared" ca="1" si="642"/>
        <v>#NUM!</v>
      </c>
      <c r="DY178" s="3" t="e">
        <f t="shared" ca="1" si="643"/>
        <v>#NUM!</v>
      </c>
      <c r="DZ178" s="3">
        <f t="shared" ca="1" si="644"/>
        <v>4.004952820527058E-4</v>
      </c>
      <c r="EA178" s="3">
        <f t="shared" ca="1" si="645"/>
        <v>-4.004952820527058E-4</v>
      </c>
      <c r="EB178" s="3">
        <f t="shared" ca="1" si="646"/>
        <v>4.004952820527058E-4</v>
      </c>
      <c r="EC178" s="3">
        <f t="shared" ca="1" si="647"/>
        <v>-4.004952820527058E-4</v>
      </c>
      <c r="EE178" s="59">
        <f t="shared" si="568"/>
        <v>0.25</v>
      </c>
      <c r="EF178" s="59">
        <f t="shared" si="569"/>
        <v>2.1692</v>
      </c>
      <c r="EG178" s="59">
        <f t="shared" si="570"/>
        <v>0.25</v>
      </c>
      <c r="EH178" s="59">
        <f t="shared" si="571"/>
        <v>0.25</v>
      </c>
      <c r="EI178" s="59">
        <f t="shared" si="572"/>
        <v>0.25</v>
      </c>
      <c r="EJ178" s="59">
        <f t="shared" si="573"/>
        <v>0.25</v>
      </c>
      <c r="EL178" s="3" t="str">
        <f>RTD("tos.rtd",,EL$43,"."&amp;$B$134&amp;$AS$82&amp;"C"&amp;$A178)</f>
        <v>--</v>
      </c>
      <c r="EM178" s="3" t="str">
        <f>RTD("tos.rtd",,EM$43,"."&amp;$B$134&amp;$AS$82&amp;"P"&amp;$A178)</f>
        <v>216.92%</v>
      </c>
      <c r="EN178" s="3" t="str">
        <f>RTD("tos.rtd",,EN$2,"."&amp;$C$134&amp;$AU$82&amp;"C"&amp;$A178)</f>
        <v>N/A</v>
      </c>
      <c r="EO178" s="3" t="str">
        <f>RTD("tos.rtd",,EO$2,"."&amp;$C$134&amp;$AU$82&amp;"P"&amp;$A178)</f>
        <v>N/A</v>
      </c>
      <c r="EP178" s="3" t="str">
        <f>RTD("tos.rtd",,EP$2,"."&amp;$D$134&amp;$AW$82&amp;"C"&amp;$A178)</f>
        <v>N/A</v>
      </c>
      <c r="EQ178" s="3" t="str">
        <f>RTD("tos.rtd",,EQ$2,"."&amp;$D$134&amp;$AW$82&amp;"P"&amp;$A178)</f>
        <v>N/A</v>
      </c>
      <c r="ET178" s="64" t="str">
        <f t="shared" ca="1" si="574"/>
        <v>19620,00.00</v>
      </c>
      <c r="EU178" s="68">
        <v>564.28</v>
      </c>
      <c r="EV178" s="68" t="s">
        <v>1444</v>
      </c>
      <c r="EW178" s="68">
        <v>487.18</v>
      </c>
      <c r="EX178" s="68" t="s">
        <v>1445</v>
      </c>
      <c r="EY178" s="68">
        <v>5658.5</v>
      </c>
      <c r="EZ178" s="68" t="s">
        <v>1446</v>
      </c>
      <c r="FA178" s="68">
        <v>20017</v>
      </c>
      <c r="FB178" s="68" t="s">
        <v>1447</v>
      </c>
      <c r="FC178" s="68" t="s">
        <v>1448</v>
      </c>
      <c r="FD178" s="68" t="s">
        <v>1449</v>
      </c>
      <c r="FE178" s="68" t="s">
        <v>1450</v>
      </c>
      <c r="FF178" s="68" t="s">
        <v>1451</v>
      </c>
    </row>
    <row r="179" spans="1:162" ht="11.1" customHeight="1" thickBot="1" x14ac:dyDescent="0.25">
      <c r="A179" s="2">
        <f t="shared" si="583"/>
        <v>19600</v>
      </c>
      <c r="B179" s="3">
        <f t="shared" si="619"/>
        <v>94</v>
      </c>
      <c r="C179" s="3">
        <f t="shared" si="620"/>
        <v>12</v>
      </c>
      <c r="D179" s="3">
        <f t="shared" si="621"/>
        <v>103</v>
      </c>
      <c r="E179" s="3">
        <f t="shared" si="622"/>
        <v>209</v>
      </c>
      <c r="F179" s="4">
        <f t="shared" si="623"/>
        <v>19697.551264184753</v>
      </c>
      <c r="G179" s="5">
        <f t="shared" si="624"/>
        <v>476.98666135775431</v>
      </c>
      <c r="AM179" s="1">
        <v>-29</v>
      </c>
      <c r="AN179" s="1">
        <v>68</v>
      </c>
      <c r="AO179" s="1">
        <v>19600</v>
      </c>
      <c r="AP179" s="1">
        <v>60</v>
      </c>
      <c r="AQ179" s="1">
        <v>-196</v>
      </c>
      <c r="AS179" s="54">
        <f>IF(RTD("tos.rtd",,AS$83,"."&amp;$B$134&amp;$AS$82&amp;"C"&amp;$A179)="N/A",0,RTD("tos.rtd",,AS$83,"."&amp;$B$134&amp;$AS$82&amp;"C"&amp;$A179))</f>
        <v>67</v>
      </c>
      <c r="AT179" s="3">
        <f>-IF(RTD("tos.rtd",,AT$83,"."&amp;$B$134&amp;$AS$82&amp;"P"&amp;$A179)="N/A",0,RTD("tos.rtd",,AT$83,"."&amp;$B$134&amp;$AS$82&amp;"P"&amp;$A179))</f>
        <v>-27</v>
      </c>
      <c r="AU179" s="54">
        <f>IF(RTD("tos.rtd",,AU$2,"."&amp;$C$134&amp;$AU$134&amp;"C"&amp;$A179)="N/A",0,RTD("tos.rtd",,AU$2,"."&amp;$C$134&amp;$AU$134&amp;"C"&amp;$A179))</f>
        <v>10</v>
      </c>
      <c r="AV179" s="3">
        <f>-IF(RTD("tos.rtd",,AV$2,"."&amp;$C$134&amp;$AU$134&amp;"P"&amp;$A179)="N/A",0,RTD("tos.rtd",,AV$2,"."&amp;$C$134&amp;$AU$134&amp;"P"&amp;$A179))</f>
        <v>-2</v>
      </c>
      <c r="AW179" s="54">
        <f>IF(RTD("tos.rtd",,AW$2,"."&amp;$D$134&amp;$AW$134&amp;"C"&amp;$A179)="N/A",0,RTD("tos.rtd",,AW$2,"."&amp;$D$134&amp;$AW$134&amp;"C"&amp;$A179))</f>
        <v>56</v>
      </c>
      <c r="AX179" s="3">
        <f>-IF(RTD("tos.rtd",,AX$2,"."&amp;$D$134&amp;$AW$134&amp;"P"&amp;$A179)="N/A",0,RTD("tos.rtd",,AX$2,"."&amp;$D$134&amp;$AW$134&amp;"P"&amp;$A179))</f>
        <v>-47</v>
      </c>
      <c r="AY179" s="76">
        <f t="shared" si="625"/>
        <v>57</v>
      </c>
      <c r="AZ179" s="8">
        <f t="shared" si="539"/>
        <v>19600</v>
      </c>
      <c r="BA179" s="54">
        <f>IF(RTD("tos.rtd",,BA$43,"."&amp;$B$134&amp;$AS$82&amp;"C"&amp;$A179)="N/A",0,RTD("tos.rtd",,BA$43,"."&amp;$B$134&amp;$AS$82&amp;"C"&amp;$A179))</f>
        <v>60</v>
      </c>
      <c r="BB179" s="3">
        <f>-IF(RTD("tos.rtd",,BB$43,"."&amp;$B$134&amp;$AS$82&amp;"P"&amp;$A179)="N/A",0,RTD("tos.rtd",,BB$43,"."&amp;$B$134&amp;$AS$82&amp;"P"&amp;$A179))</f>
        <v>-196</v>
      </c>
      <c r="BC179" s="54">
        <f>IF(RTD("tos.rtd",,BC$2,"."&amp;$C$134&amp;$AU$82&amp;"C"&amp;$A179)="N/A",0,RTD("tos.rtd",,BC$2,"."&amp;$C$134&amp;$AU$82&amp;"C"&amp;$A179))</f>
        <v>1</v>
      </c>
      <c r="BD179" s="3">
        <f>-IF(RTD("tos.rtd",,BD$2,"."&amp;$C$134&amp;$AU$82&amp;"P"&amp;$A179)="N/A",0,RTD("tos.rtd",,BD$2,"."&amp;$C$134&amp;$AU$82&amp;"P"&amp;$A179))</f>
        <v>-2</v>
      </c>
      <c r="BE179" s="54">
        <f>IF(RTD("tos.rtd",,BE$2,"."&amp;$D$134&amp;$AW$82&amp;"C"&amp;$A179)="N/A",0,RTD("tos.rtd",,BE$2,"."&amp;$D$134&amp;$AW$82&amp;"C"&amp;$A179))</f>
        <v>0</v>
      </c>
      <c r="BF179" s="3">
        <f>-IF(RTD("tos.rtd",,BF$2,"."&amp;$D$134&amp;$AW$82&amp;"P"&amp;$A179)="N/A",0,RTD("tos.rtd",,BF$2,"."&amp;$D$134&amp;$AW$82&amp;"P"&amp;$A179))</f>
        <v>-7</v>
      </c>
      <c r="BG179" s="3" t="e">
        <f ca="1">+Hoja2!Y180</f>
        <v>#N/A</v>
      </c>
      <c r="BH179" s="7" t="e">
        <f t="shared" ca="1" si="540"/>
        <v>#N/A</v>
      </c>
      <c r="BI179" s="32" t="e">
        <f t="shared" ca="1" si="597"/>
        <v>#N/A</v>
      </c>
      <c r="BJ179" s="3" t="e">
        <f ca="1">IF($BP$1=1,DX179,IF(RTD("tos.rtd",,BJ$43,"."&amp;$B$134&amp;$AS$82&amp;"C"&amp;$A179)="N/A",0,RTD("tos.rtd",,BJ$43,"."&amp;$B$134&amp;$AS$82&amp;"C"&amp;$A179)))</f>
        <v>#NUM!</v>
      </c>
      <c r="BK179" s="3" t="e">
        <f ca="1">IF($BP$1=1,DY179,-IF(RTD("tos.rtd",,BK$43,"."&amp;$B$134&amp;$AS$82&amp;"P"&amp;$A179)="N/A",0,RTD("tos.rtd",,BK$43,"."&amp;$B$134&amp;$AS$82&amp;"P"&amp;$A179)))</f>
        <v>#NUM!</v>
      </c>
      <c r="BL179" s="3">
        <f ca="1">IF($BP$1=1,DZ179,IF(RTD("tos.rtd",,BL$2,"."&amp;$C$134&amp;$AU$82&amp;"C"&amp;$A179)="N/A",0,RTD("tos.rtd",,BL$2,"."&amp;$C$134&amp;$AU$82&amp;"C"&amp;$A179)))</f>
        <v>4.0444107138774967E-4</v>
      </c>
      <c r="BM179" s="3">
        <f ca="1">IF($BP$1=1,EA179,-IF(RTD("tos.rtd",,BM$2,"."&amp;$C$134&amp;$AU$82&amp;"P"&amp;$A179)="N/A",0,RTD("tos.rtd",,BM$2,"."&amp;$C$134&amp;$AU$82&amp;"P"&amp;$A179)))</f>
        <v>-3.9096228992008595E-4</v>
      </c>
      <c r="BN179" s="3">
        <f ca="1">IF($BP$1=1,EB179,IF(RTD("tos.rtd",,BN$2,"."&amp;$D$134&amp;$AW$82&amp;"C"&amp;$A179)="N/A",0,RTD("tos.rtd",,BN$2,"."&amp;$D$134&amp;$AW$82&amp;"C"&amp;$A179)))</f>
        <v>4.0678453271177735E-4</v>
      </c>
      <c r="BO179" s="3">
        <f ca="1">IF($BP$1=1,EC179,-IF(RTD("tos.rtd",,BO$2,"."&amp;$D$134&amp;$AW$82&amp;"P"&amp;$A179)="N/A",0,RTD("tos.rtd",,BO$2,"."&amp;$D$134&amp;$AW$82&amp;"P"&amp;$A179)))</f>
        <v>-3.9189399580017115E-4</v>
      </c>
      <c r="BQ179" s="3" t="e">
        <f t="shared" ca="1" si="626"/>
        <v>#NUM!</v>
      </c>
      <c r="BR179" s="3" t="e">
        <f t="shared" ca="1" si="541"/>
        <v>#NUM!</v>
      </c>
      <c r="BS179" s="3">
        <f t="shared" ca="1" si="627"/>
        <v>105468.84611098892</v>
      </c>
      <c r="BT179" s="3" t="str">
        <f t="shared" ca="1" si="542"/>
        <v/>
      </c>
      <c r="BU179" s="3">
        <f t="shared" ca="1" si="628"/>
        <v>140978.6165199402</v>
      </c>
      <c r="BV179" s="3" t="str">
        <f t="shared" ca="1" si="542"/>
        <v/>
      </c>
      <c r="BX179" s="3" t="e">
        <f t="shared" ca="1" si="575"/>
        <v>#NUM!</v>
      </c>
      <c r="BY179" s="3" t="e">
        <f t="shared" ca="1" si="576"/>
        <v>#NUM!</v>
      </c>
      <c r="BZ179" s="3">
        <f t="shared" ca="1" si="577"/>
        <v>-90.249467473774615</v>
      </c>
      <c r="CA179" s="3" t="str">
        <f t="shared" ca="1" si="576"/>
        <v/>
      </c>
      <c r="CB179" s="3">
        <f t="shared" ca="1" si="578"/>
        <v>-655.86327732553195</v>
      </c>
      <c r="CC179" s="3" t="str">
        <f t="shared" ca="1" si="576"/>
        <v/>
      </c>
      <c r="CD179" s="3">
        <f>IF(RTD("tos.rtd",,CD$43,"."&amp;$B$134&amp;$AS$82&amp;"C"&amp;$A179)="N/A",0,RTD("tos.rtd",,CD$43,"."&amp;$B$134&amp;$AS$82&amp;"C"&amp;$A179))</f>
        <v>1</v>
      </c>
      <c r="CE179" s="3">
        <f>-IF(RTD("tos.rtd",,CE$43,"."&amp;$B$134&amp;$AS$82&amp;"P"&amp;$A179)="N/A",0,RTD("tos.rtd",,CE$43,"."&amp;$B$134&amp;$AS$82&amp;"P"&amp;$A179))</f>
        <v>0</v>
      </c>
      <c r="CF179" s="3">
        <f>IF(RTD("tos.rtd",,CF$2,"."&amp;$C$134&amp;$AU$82&amp;"C"&amp;$A179)="N/A",0,RTD("tos.rtd",,CF$2,"."&amp;$C$134&amp;$AU$82&amp;"C"&amp;$A179))</f>
        <v>0.79</v>
      </c>
      <c r="CG179" s="3">
        <f>-IF(RTD("tos.rtd",,CG$2,"."&amp;$C$134&amp;$AU$82&amp;"P"&amp;$A179)="N/A",0,RTD("tos.rtd",,CG$2,"."&amp;$C$134&amp;$AU$82&amp;"P"&amp;$A179))</f>
        <v>0.22</v>
      </c>
      <c r="CH179" s="3">
        <f>IF(RTD("tos.rtd",,CH$2,"."&amp;$D$134&amp;$AW$82&amp;"C"&amp;$A179)="N/A",0,RTD("tos.rtd",,CH$2,"."&amp;$D$134&amp;$AW$82&amp;"C"&amp;$A179))</f>
        <v>0.73</v>
      </c>
      <c r="CI179" s="3">
        <f>-IF(RTD("tos.rtd",,CI$2,"."&amp;$D$134&amp;$AW$82&amp;"P"&amp;$A179)="N/A",0,RTD("tos.rtd",,CI$2,"."&amp;$D$134&amp;$AW$82&amp;"P"&amp;$A179))</f>
        <v>0.28000000000000003</v>
      </c>
      <c r="CK179" s="3">
        <f t="shared" si="648"/>
        <v>6700</v>
      </c>
      <c r="CL179" s="3"/>
      <c r="CM179" s="3">
        <f t="shared" si="649"/>
        <v>746</v>
      </c>
      <c r="CN179" s="3"/>
      <c r="CO179" s="3">
        <f t="shared" si="650"/>
        <v>2771.9999999999991</v>
      </c>
      <c r="CP179" s="3">
        <f t="shared" si="533"/>
        <v>10218</v>
      </c>
      <c r="CQ179" s="3">
        <f t="shared" si="543"/>
        <v>-136</v>
      </c>
      <c r="CR179" s="3"/>
      <c r="CS179" s="3">
        <f t="shared" si="544"/>
        <v>-1</v>
      </c>
      <c r="CT179" s="3"/>
      <c r="CU179" s="3">
        <f t="shared" si="545"/>
        <v>-7</v>
      </c>
      <c r="CV179" s="3"/>
      <c r="CW179" s="3" t="e">
        <f t="shared" ca="1" si="546"/>
        <v>#NUM!</v>
      </c>
      <c r="CY179" s="3" t="e">
        <f t="shared" ca="1" si="547"/>
        <v>#NUM!</v>
      </c>
      <c r="CZ179" s="70" t="e">
        <f t="shared" ca="1" si="579"/>
        <v>#NUM!</v>
      </c>
      <c r="DA179" s="3">
        <f>IF(RTD("tos.rtd",,DA$43,"."&amp;$B$134&amp;$AS$82&amp;"C"&amp;$A179)="N/A",0,RTD("tos.rtd",,DA$43,"."&amp;$B$134&amp;$AS$82&amp;"C"&amp;$A179))</f>
        <v>510.11</v>
      </c>
      <c r="DB179" s="3">
        <f>IF(RTD("tos.rtd",,DB$43,"."&amp;$B$134&amp;$AS$82&amp;"P"&amp;$A179)="N/A",0,RTD("tos.rtd",,DB$43,"."&amp;$B$134&amp;$AS$82&amp;"P"&amp;$A179))</f>
        <v>0.15</v>
      </c>
      <c r="DC179" s="3">
        <f>IF(RTD("tos.rtd",,DC$43,"."&amp;$B$134&amp;$AS$82&amp;"C"&amp;$A179)="N/A",0,RTD("tos.rtd",,DC$43,"."&amp;$B$134&amp;$AS$82&amp;"C"&amp;$A179))</f>
        <v>532</v>
      </c>
      <c r="DD179" s="3">
        <f>IF(RTD("tos.rtd",,DD$43,"."&amp;$B$134&amp;$AS$82&amp;"P"&amp;$A179)="N/A",0,RTD("tos.rtd",,DD$43,"."&amp;$B$134&amp;$AS$82&amp;"P"&amp;$A179))</f>
        <v>0.1</v>
      </c>
      <c r="DE179" s="3">
        <f>IF(RTD("tos.rtd",,DE$43,"."&amp;$B$134&amp;$AS$82&amp;"C"&amp;$A179)="N/A",0,RTD("tos.rtd",,DE$43,"."&amp;$B$134&amp;$AS$82&amp;"C"&amp;$A179))</f>
        <v>466.2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580"/>
        <v>-492</v>
      </c>
      <c r="DH179" s="3">
        <f t="shared" si="548"/>
        <v>0</v>
      </c>
      <c r="DI179" s="3">
        <f t="shared" si="549"/>
        <v>0</v>
      </c>
      <c r="DJ179" s="3">
        <f t="shared" si="550"/>
        <v>0</v>
      </c>
      <c r="DK179" s="3">
        <f t="shared" si="551"/>
        <v>0</v>
      </c>
      <c r="DL179" s="3">
        <f t="shared" si="552"/>
        <v>0</v>
      </c>
      <c r="DM179" s="3">
        <f t="shared" si="553"/>
        <v>0</v>
      </c>
      <c r="DN179" s="64" t="str">
        <f t="shared" si="554"/>
        <v>UNKNOWN</v>
      </c>
      <c r="DO179" s="64" t="str">
        <f t="shared" si="555"/>
        <v>UNKNOWN</v>
      </c>
      <c r="DP179" s="3">
        <f t="shared" si="556"/>
        <v>0</v>
      </c>
      <c r="DQ179" s="3">
        <f t="shared" si="557"/>
        <v>0</v>
      </c>
      <c r="DR179" s="3" t="e">
        <f t="shared" ca="1" si="558"/>
        <v>#NUM!</v>
      </c>
      <c r="DS179" s="3">
        <f t="shared" si="559"/>
        <v>0</v>
      </c>
      <c r="DT179" s="3">
        <f t="shared" si="581"/>
        <v>0</v>
      </c>
      <c r="DU179" s="3">
        <f t="shared" si="582"/>
        <v>0</v>
      </c>
      <c r="DV179" s="3">
        <f t="shared" si="560"/>
        <v>-29</v>
      </c>
      <c r="DW179" s="3">
        <f t="shared" si="561"/>
        <v>68</v>
      </c>
      <c r="DX179" s="3" t="e">
        <f t="shared" ca="1" si="642"/>
        <v>#NUM!</v>
      </c>
      <c r="DY179" s="3" t="e">
        <f t="shared" ca="1" si="643"/>
        <v>#NUM!</v>
      </c>
      <c r="DZ179" s="3">
        <f t="shared" ca="1" si="644"/>
        <v>4.0444107138774967E-4</v>
      </c>
      <c r="EA179" s="3">
        <f t="shared" ca="1" si="645"/>
        <v>-3.9096228992008595E-4</v>
      </c>
      <c r="EB179" s="3">
        <f t="shared" ca="1" si="646"/>
        <v>4.0678453271177735E-4</v>
      </c>
      <c r="EC179" s="3">
        <f t="shared" ca="1" si="647"/>
        <v>-3.9189399580017115E-4</v>
      </c>
      <c r="EE179" s="59">
        <f t="shared" si="568"/>
        <v>0.25</v>
      </c>
      <c r="EF179" s="59">
        <f t="shared" si="569"/>
        <v>1.095</v>
      </c>
      <c r="EG179" s="59">
        <f t="shared" si="570"/>
        <v>0.2389</v>
      </c>
      <c r="EH179" s="59">
        <f t="shared" si="571"/>
        <v>0.25330000000000003</v>
      </c>
      <c r="EI179" s="59">
        <f t="shared" si="572"/>
        <v>0.2364</v>
      </c>
      <c r="EJ179" s="59">
        <f t="shared" si="573"/>
        <v>0.25230000000000002</v>
      </c>
      <c r="EL179" s="3" t="str">
        <f>RTD("tos.rtd",,EL$43,"."&amp;$B$134&amp;$AS$82&amp;"C"&amp;$A179)</f>
        <v>--</v>
      </c>
      <c r="EM179" s="3" t="str">
        <f>RTD("tos.rtd",,EM$43,"."&amp;$B$134&amp;$AS$82&amp;"P"&amp;$A179)</f>
        <v>109.50%</v>
      </c>
      <c r="EN179" s="3" t="str">
        <f>RTD("tos.rtd",,EN$2,"."&amp;$C$134&amp;$AU$82&amp;"C"&amp;$A179)</f>
        <v>23.89%</v>
      </c>
      <c r="EO179" s="3" t="str">
        <f>RTD("tos.rtd",,EO$2,"."&amp;$C$134&amp;$AU$82&amp;"P"&amp;$A179)</f>
        <v>25.33%</v>
      </c>
      <c r="EP179" s="3" t="str">
        <f>RTD("tos.rtd",,EP$2,"."&amp;$D$134&amp;$AW$82&amp;"C"&amp;$A179)</f>
        <v>23.64%</v>
      </c>
      <c r="EQ179" s="3" t="str">
        <f>RTD("tos.rtd",,EQ$2,"."&amp;$D$134&amp;$AW$82&amp;"P"&amp;$A179)</f>
        <v>25.23%</v>
      </c>
      <c r="ET179" s="64" t="str">
        <f t="shared" ca="1" si="574"/>
        <v>19600,00.00</v>
      </c>
      <c r="EU179" s="68">
        <v>564.57000000000005</v>
      </c>
      <c r="EV179" s="68" t="s">
        <v>1452</v>
      </c>
      <c r="EW179" s="68">
        <v>487.45</v>
      </c>
      <c r="EX179" s="68" t="s">
        <v>1453</v>
      </c>
      <c r="EY179" s="68">
        <v>5661.75</v>
      </c>
      <c r="EZ179" s="68" t="s">
        <v>1454</v>
      </c>
      <c r="FA179" s="68">
        <v>20029.75</v>
      </c>
      <c r="FB179" s="68" t="s">
        <v>1455</v>
      </c>
      <c r="FC179" s="68" t="s">
        <v>1456</v>
      </c>
      <c r="FD179" s="68" t="s">
        <v>1457</v>
      </c>
      <c r="FE179" s="68" t="s">
        <v>1458</v>
      </c>
      <c r="FF179" s="68" t="s">
        <v>1459</v>
      </c>
    </row>
    <row r="180" spans="1:162" ht="11.1" customHeight="1" thickBot="1" x14ac:dyDescent="0.25">
      <c r="A180" s="2">
        <f t="shared" si="583"/>
        <v>19580</v>
      </c>
      <c r="B180" s="3">
        <f t="shared" si="619"/>
        <v>8</v>
      </c>
      <c r="C180" s="3">
        <f t="shared" si="620"/>
        <v>0</v>
      </c>
      <c r="D180" s="3">
        <f t="shared" si="621"/>
        <v>0</v>
      </c>
      <c r="E180" s="3">
        <f t="shared" si="622"/>
        <v>8</v>
      </c>
      <c r="F180" s="4">
        <f t="shared" si="623"/>
        <v>19677.45172207844</v>
      </c>
      <c r="G180" s="5">
        <f t="shared" si="624"/>
        <v>476.49994027473622</v>
      </c>
      <c r="AM180" s="1">
        <v>0</v>
      </c>
      <c r="AN180" s="1" t="e">
        <v>#N/A</v>
      </c>
      <c r="AO180" s="1">
        <v>19580</v>
      </c>
      <c r="AP180" s="1">
        <v>0</v>
      </c>
      <c r="AQ180" s="1">
        <v>-20</v>
      </c>
      <c r="AS180" s="54">
        <f>IF(RTD("tos.rtd",,AS$83,"."&amp;$B$134&amp;$AS$82&amp;"C"&amp;$A180)="N/A",0,RTD("tos.rtd",,AS$83,"."&amp;$B$134&amp;$AS$82&amp;"C"&amp;$A180))</f>
        <v>3</v>
      </c>
      <c r="AT180" s="3">
        <f>-IF(RTD("tos.rtd",,AT$83,"."&amp;$B$134&amp;$AS$82&amp;"P"&amp;$A180)="N/A",0,RTD("tos.rtd",,AT$83,"."&amp;$B$134&amp;$AS$82&amp;"P"&amp;$A180))</f>
        <v>-5</v>
      </c>
      <c r="AU180" s="54">
        <f>IF(RTD("tos.rtd",,AU$2,"."&amp;$C$134&amp;$AU$134&amp;"C"&amp;$A180)="N/A",0,RTD("tos.rtd",,AU$2,"."&amp;$C$134&amp;$AU$134&amp;"C"&amp;$A180))</f>
        <v>0</v>
      </c>
      <c r="AV180" s="3">
        <f>-IF(RTD("tos.rtd",,AV$2,"."&amp;$C$134&amp;$AU$134&amp;"P"&amp;$A180)="N/A",0,RTD("tos.rtd",,AV$2,"."&amp;$C$134&amp;$AU$134&amp;"P"&amp;$A180))</f>
        <v>0</v>
      </c>
      <c r="AW180" s="54">
        <f>IF(RTD("tos.rtd",,AW$2,"."&amp;$D$134&amp;$AW$134&amp;"C"&amp;$A180)="N/A",0,RTD("tos.rtd",,AW$2,"."&amp;$D$134&amp;$AW$134&amp;"C"&amp;$A180))</f>
        <v>0</v>
      </c>
      <c r="AX180" s="3">
        <f>-IF(RTD("tos.rtd",,AX$2,"."&amp;$D$134&amp;$AW$134&amp;"P"&amp;$A180)="N/A",0,RTD("tos.rtd",,AX$2,"."&amp;$D$134&amp;$AW$134&amp;"P"&amp;$A180))</f>
        <v>0</v>
      </c>
      <c r="AY180" s="76">
        <f t="shared" si="625"/>
        <v>-2</v>
      </c>
      <c r="AZ180" s="8">
        <f t="shared" si="539"/>
        <v>19580</v>
      </c>
      <c r="BA180" s="54">
        <f>IF(RTD("tos.rtd",,BA$43,"."&amp;$B$134&amp;$AS$82&amp;"C"&amp;$A180)="N/A",0,RTD("tos.rtd",,BA$43,"."&amp;$B$134&amp;$AS$82&amp;"C"&amp;$A180))</f>
        <v>0</v>
      </c>
      <c r="BB180" s="3">
        <f>-IF(RTD("tos.rtd",,BB$43,"."&amp;$B$134&amp;$AS$82&amp;"P"&amp;$A180)="N/A",0,RTD("tos.rtd",,BB$43,"."&amp;$B$134&amp;$AS$82&amp;"P"&amp;$A180))</f>
        <v>-20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0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0</v>
      </c>
      <c r="BG180" s="3" t="e">
        <f ca="1">+Hoja2!Y181</f>
        <v>#N/A</v>
      </c>
      <c r="BH180" s="7" t="e">
        <f t="shared" ca="1" si="540"/>
        <v>#N/A</v>
      </c>
      <c r="BI180" s="32" t="e">
        <f t="shared" ca="1" si="597"/>
        <v>#N/A</v>
      </c>
      <c r="BJ180" s="3" t="e">
        <f ca="1">IF($BP$1=1,DX180,IF(RTD("tos.rtd",,BJ$43,"."&amp;$B$134&amp;$AS$82&amp;"C"&amp;$A180)="N/A",0,RTD("tos.rtd",,BJ$43,"."&amp;$B$134&amp;$AS$82&amp;"C"&amp;$A180)))</f>
        <v>#NUM!</v>
      </c>
      <c r="BK180" s="3" t="e">
        <f ca="1">IF($BP$1=1,DY180,-IF(RTD("tos.rtd",,BK$43,"."&amp;$B$134&amp;$AS$82&amp;"P"&amp;$A180)="N/A",0,RTD("tos.rtd",,BK$43,"."&amp;$B$134&amp;$AS$82&amp;"P"&amp;$A180)))</f>
        <v>#NUM!</v>
      </c>
      <c r="BL180" s="3">
        <f ca="1">IF($BP$1=1,DZ180,IF(RTD("tos.rtd",,BL$2,"."&amp;$C$134&amp;$AU$82&amp;"C"&amp;$A180)="N/A",0,RTD("tos.rtd",,BL$2,"."&amp;$C$134&amp;$AU$82&amp;"C"&amp;$A180)))</f>
        <v>3.8743793307609276E-4</v>
      </c>
      <c r="BM180" s="3">
        <f ca="1">IF($BP$1=1,EA180,-IF(RTD("tos.rtd",,BM$2,"."&amp;$C$134&amp;$AU$82&amp;"P"&amp;$A180)="N/A",0,RTD("tos.rtd",,BM$2,"."&amp;$C$134&amp;$AU$82&amp;"P"&amp;$A180)))</f>
        <v>-3.8743793307609276E-4</v>
      </c>
      <c r="BN180" s="3">
        <f ca="1">IF($BP$1=1,EB180,IF(RTD("tos.rtd",,BN$2,"."&amp;$D$134&amp;$AW$82&amp;"C"&amp;$A180)="N/A",0,RTD("tos.rtd",,BN$2,"."&amp;$D$134&amp;$AW$82&amp;"C"&amp;$A180)))</f>
        <v>3.8743793307609276E-4</v>
      </c>
      <c r="BO180" s="3">
        <f ca="1">IF($BP$1=1,EC180,-IF(RTD("tos.rtd",,BO$2,"."&amp;$D$134&amp;$AW$82&amp;"P"&amp;$A180)="N/A",0,RTD("tos.rtd",,BO$2,"."&amp;$D$134&amp;$AW$82&amp;"P"&amp;$A180)))</f>
        <v>-3.8743793307609276E-4</v>
      </c>
      <c r="BQ180" s="3" t="e">
        <f t="shared" ca="1" si="626"/>
        <v>#NUM!</v>
      </c>
      <c r="BR180" s="3" t="e">
        <f t="shared" ca="1" si="541"/>
        <v>#NUM!</v>
      </c>
      <c r="BS180" s="3">
        <f t="shared" ca="1" si="627"/>
        <v>0</v>
      </c>
      <c r="BT180" s="3" t="str">
        <f t="shared" ca="1" si="542"/>
        <v/>
      </c>
      <c r="BU180" s="3">
        <f t="shared" ca="1" si="628"/>
        <v>0</v>
      </c>
      <c r="BV180" s="3" t="str">
        <f t="shared" ca="1" si="542"/>
        <v/>
      </c>
      <c r="BX180" s="3" t="e">
        <f t="shared" ca="1" si="575"/>
        <v>#NUM!</v>
      </c>
      <c r="BY180" s="3" t="e">
        <f t="shared" ca="1" si="576"/>
        <v>#NUM!</v>
      </c>
      <c r="BZ180" s="3">
        <f t="shared" ca="1" si="577"/>
        <v>0</v>
      </c>
      <c r="CA180" s="3" t="str">
        <f t="shared" ca="1" si="576"/>
        <v/>
      </c>
      <c r="CB180" s="3">
        <f t="shared" ca="1" si="578"/>
        <v>0</v>
      </c>
      <c r="CC180" s="3" t="str">
        <f t="shared" ca="1" si="576"/>
        <v/>
      </c>
      <c r="CD180" s="3">
        <f>IF(RTD("tos.rtd",,CD$43,"."&amp;$B$134&amp;$AS$82&amp;"C"&amp;$A180)="N/A",0,RTD("tos.rtd",,CD$43,"."&amp;$B$134&amp;$AS$82&amp;"C"&amp;$A180))</f>
        <v>1</v>
      </c>
      <c r="CE180" s="3">
        <f>-IF(RTD("tos.rtd",,CE$43,"."&amp;$B$134&amp;$AS$82&amp;"P"&amp;$A180)="N/A",0,RTD("tos.rtd",,CE$43,"."&amp;$B$134&amp;$AS$82&amp;"P"&amp;$A180))</f>
        <v>0.06</v>
      </c>
      <c r="CF180" s="3">
        <f>IF(RTD("tos.rtd",,CF$2,"."&amp;$C$134&amp;$AU$82&amp;"C"&amp;$A180)="N/A",0,RTD("tos.rtd",,CF$2,"."&amp;$C$134&amp;$AU$82&amp;"C"&amp;$A180))</f>
        <v>0</v>
      </c>
      <c r="CG180" s="3">
        <f>-IF(RTD("tos.rtd",,CG$2,"."&amp;$C$134&amp;$AU$82&amp;"P"&amp;$A180)="N/A",0,RTD("tos.rtd",,CG$2,"."&amp;$C$134&amp;$AU$82&amp;"P"&amp;$A180))</f>
        <v>0</v>
      </c>
      <c r="CH180" s="3">
        <f>IF(RTD("tos.rtd",,CH$2,"."&amp;$D$134&amp;$AW$82&amp;"C"&amp;$A180)="N/A",0,RTD("tos.rtd",,CH$2,"."&amp;$D$134&amp;$AW$82&amp;"C"&amp;$A180))</f>
        <v>0</v>
      </c>
      <c r="CI180" s="3">
        <f>-IF(RTD("tos.rtd",,CI$2,"."&amp;$D$134&amp;$AW$82&amp;"P"&amp;$A180)="N/A",0,RTD("tos.rtd",,CI$2,"."&amp;$D$134&amp;$AW$82&amp;"P"&amp;$A180))</f>
        <v>0</v>
      </c>
      <c r="CK180" s="3">
        <f t="shared" si="648"/>
        <v>270</v>
      </c>
      <c r="CL180" s="3"/>
      <c r="CM180" s="3">
        <f t="shared" si="649"/>
        <v>0</v>
      </c>
      <c r="CN180" s="3"/>
      <c r="CO180" s="3">
        <f t="shared" si="650"/>
        <v>0</v>
      </c>
      <c r="CP180" s="3">
        <f t="shared" si="533"/>
        <v>270</v>
      </c>
      <c r="CQ180" s="3">
        <f t="shared" si="543"/>
        <v>-20</v>
      </c>
      <c r="CR180" s="3"/>
      <c r="CS180" s="3">
        <f t="shared" si="544"/>
        <v>0</v>
      </c>
      <c r="CT180" s="3"/>
      <c r="CU180" s="3">
        <f t="shared" si="545"/>
        <v>0</v>
      </c>
      <c r="CV180" s="3"/>
      <c r="CW180" s="3" t="e">
        <f t="shared" ca="1" si="546"/>
        <v>#NUM!</v>
      </c>
      <c r="CY180" s="3" t="e">
        <f t="shared" ca="1" si="547"/>
        <v>#NUM!</v>
      </c>
      <c r="CZ180" s="70" t="e">
        <f t="shared" ca="1" si="579"/>
        <v>#NUM!</v>
      </c>
      <c r="DA180" s="3">
        <f>IF(RTD("tos.rtd",,DA$43,"."&amp;$B$134&amp;$AS$82&amp;"C"&amp;$A180)="N/A",0,RTD("tos.rtd",,DA$43,"."&amp;$B$134&amp;$AS$82&amp;"C"&amp;$A180))</f>
        <v>95.7</v>
      </c>
      <c r="DB180" s="3">
        <f>IF(RTD("tos.rtd",,DB$43,"."&amp;$B$134&amp;$AS$82&amp;"P"&amp;$A180)="N/A",0,RTD("tos.rtd",,DB$43,"."&amp;$B$134&amp;$AS$82&amp;"P"&amp;$A180))</f>
        <v>0.88</v>
      </c>
      <c r="DC180" s="3">
        <f>IF(RTD("tos.rtd",,DC$43,"."&amp;$B$134&amp;$AS$82&amp;"C"&amp;$A180)="N/A",0,RTD("tos.rtd",,DC$43,"."&amp;$B$134&amp;$AS$82&amp;"C"&amp;$A180))</f>
        <v>552</v>
      </c>
      <c r="DD180" s="3">
        <f>IF(RTD("tos.rtd",,DD$43,"."&amp;$B$134&amp;$AS$82&amp;"P"&amp;$A180)="N/A",0,RTD("tos.rtd",,DD$43,"."&amp;$B$134&amp;$AS$82&amp;"P"&amp;$A180))</f>
        <v>19.8</v>
      </c>
      <c r="DE180" s="3">
        <f>IF(RTD("tos.rtd",,DE$43,"."&amp;$B$134&amp;$AS$82&amp;"C"&amp;$A180)="N/A",0,RTD("tos.rtd",,DE$43,"."&amp;$B$134&amp;$AS$82&amp;"C"&amp;$A180))</f>
        <v>486.5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580"/>
        <v>-512</v>
      </c>
      <c r="DH180" s="3">
        <f t="shared" si="548"/>
        <v>0</v>
      </c>
      <c r="DI180" s="3">
        <f t="shared" si="549"/>
        <v>0</v>
      </c>
      <c r="DJ180" s="3">
        <f t="shared" si="550"/>
        <v>0</v>
      </c>
      <c r="DK180" s="3">
        <f t="shared" si="551"/>
        <v>0</v>
      </c>
      <c r="DL180" s="3">
        <f t="shared" si="552"/>
        <v>0</v>
      </c>
      <c r="DM180" s="3">
        <f t="shared" si="553"/>
        <v>0</v>
      </c>
      <c r="DN180" s="64" t="str">
        <f t="shared" si="554"/>
        <v>UNKNOWN</v>
      </c>
      <c r="DO180" s="64" t="str">
        <f t="shared" si="555"/>
        <v>UNKNOWN</v>
      </c>
      <c r="DP180" s="3">
        <f t="shared" si="556"/>
        <v>0</v>
      </c>
      <c r="DQ180" s="3">
        <f t="shared" si="557"/>
        <v>0</v>
      </c>
      <c r="DR180" s="3" t="e">
        <f t="shared" ca="1" si="558"/>
        <v>#NUM!</v>
      </c>
      <c r="DS180" s="3">
        <f t="shared" si="559"/>
        <v>0</v>
      </c>
      <c r="DT180" s="3">
        <f t="shared" si="581"/>
        <v>0</v>
      </c>
      <c r="DU180" s="3">
        <f t="shared" si="582"/>
        <v>0</v>
      </c>
      <c r="DV180" s="3">
        <f t="shared" si="560"/>
        <v>0</v>
      </c>
      <c r="DW180" s="3" t="e">
        <f t="shared" si="561"/>
        <v>#N/A</v>
      </c>
      <c r="DX180" s="3" t="e">
        <f t="shared" ca="1" si="642"/>
        <v>#NUM!</v>
      </c>
      <c r="DY180" s="3" t="e">
        <f t="shared" ca="1" si="643"/>
        <v>#NUM!</v>
      </c>
      <c r="DZ180" s="3">
        <f t="shared" ca="1" si="644"/>
        <v>3.8743793307609276E-4</v>
      </c>
      <c r="EA180" s="3">
        <f t="shared" ca="1" si="645"/>
        <v>-3.8743793307609276E-4</v>
      </c>
      <c r="EB180" s="3">
        <f t="shared" ca="1" si="646"/>
        <v>3.8743793307609276E-4</v>
      </c>
      <c r="EC180" s="3">
        <f t="shared" ca="1" si="647"/>
        <v>-3.8743793307609276E-4</v>
      </c>
      <c r="EE180" s="59">
        <f t="shared" si="568"/>
        <v>0.25</v>
      </c>
      <c r="EF180" s="59">
        <f t="shared" si="569"/>
        <v>2.3092999999999999</v>
      </c>
      <c r="EG180" s="59">
        <f t="shared" si="570"/>
        <v>0.25</v>
      </c>
      <c r="EH180" s="59">
        <f t="shared" si="571"/>
        <v>0.25</v>
      </c>
      <c r="EI180" s="59">
        <f t="shared" si="572"/>
        <v>0.25</v>
      </c>
      <c r="EJ180" s="59">
        <f t="shared" si="573"/>
        <v>0.25</v>
      </c>
      <c r="EL180" s="3" t="str">
        <f>RTD("tos.rtd",,EL$43,"."&amp;$B$134&amp;$AS$82&amp;"C"&amp;$A180)</f>
        <v>--</v>
      </c>
      <c r="EM180" s="3" t="str">
        <f>RTD("tos.rtd",,EM$43,"."&amp;$B$134&amp;$AS$82&amp;"P"&amp;$A180)</f>
        <v>230.93%</v>
      </c>
      <c r="EN180" s="3" t="str">
        <f>RTD("tos.rtd",,EN$2,"."&amp;$C$134&amp;$AU$82&amp;"C"&amp;$A180)</f>
        <v>N/A</v>
      </c>
      <c r="EO180" s="3" t="str">
        <f>RTD("tos.rtd",,EO$2,"."&amp;$C$134&amp;$AU$82&amp;"P"&amp;$A180)</f>
        <v>N/A</v>
      </c>
      <c r="EP180" s="3" t="str">
        <f>RTD("tos.rtd",,EP$2,"."&amp;$D$134&amp;$AW$82&amp;"C"&amp;$A180)</f>
        <v>N/A</v>
      </c>
      <c r="EQ180" s="3" t="str">
        <f>RTD("tos.rtd",,EQ$2,"."&amp;$D$134&amp;$AW$82&amp;"P"&amp;$A180)</f>
        <v>N/A</v>
      </c>
      <c r="ET180" s="64" t="str">
        <f t="shared" ca="1" si="574"/>
        <v>19580,00.00</v>
      </c>
      <c r="EU180" s="68">
        <v>564.55999999999995</v>
      </c>
      <c r="EV180" s="68" t="s">
        <v>1460</v>
      </c>
      <c r="EW180" s="68">
        <v>487.35</v>
      </c>
      <c r="EX180" s="68" t="s">
        <v>1461</v>
      </c>
      <c r="EY180" s="68">
        <v>5661.25</v>
      </c>
      <c r="EZ180" s="68" t="s">
        <v>1462</v>
      </c>
      <c r="FA180" s="68">
        <v>20025.5</v>
      </c>
      <c r="FB180" s="68" t="s">
        <v>1463</v>
      </c>
      <c r="FC180" s="68" t="s">
        <v>1464</v>
      </c>
      <c r="FD180" s="68" t="s">
        <v>1465</v>
      </c>
      <c r="FE180" s="68" t="s">
        <v>1466</v>
      </c>
      <c r="FF180" s="68" t="s">
        <v>1467</v>
      </c>
    </row>
    <row r="181" spans="1:162" ht="11.1" customHeight="1" thickBot="1" x14ac:dyDescent="0.25">
      <c r="A181" s="2">
        <f t="shared" si="583"/>
        <v>19560</v>
      </c>
      <c r="B181" s="3">
        <f t="shared" si="619"/>
        <v>15</v>
      </c>
      <c r="C181" s="3">
        <f t="shared" si="620"/>
        <v>0</v>
      </c>
      <c r="D181" s="3">
        <f t="shared" si="621"/>
        <v>0</v>
      </c>
      <c r="E181" s="3">
        <f t="shared" si="622"/>
        <v>15</v>
      </c>
      <c r="F181" s="4">
        <f t="shared" si="623"/>
        <v>19657.352179972127</v>
      </c>
      <c r="G181" s="5">
        <f t="shared" si="624"/>
        <v>476.01321919171806</v>
      </c>
      <c r="AM181" s="1">
        <v>-2</v>
      </c>
      <c r="AN181" s="1">
        <v>-26</v>
      </c>
      <c r="AO181" s="1">
        <v>19560</v>
      </c>
      <c r="AP181" s="1">
        <v>0</v>
      </c>
      <c r="AQ181" s="1">
        <v>-79</v>
      </c>
      <c r="AS181" s="54">
        <f>IF(RTD("tos.rtd",,AS$83,"."&amp;$B$134&amp;$AS$82&amp;"C"&amp;$A181)="N/A",0,RTD("tos.rtd",,AS$83,"."&amp;$B$134&amp;$AS$82&amp;"C"&amp;$A181))</f>
        <v>2</v>
      </c>
      <c r="AT181" s="3">
        <f>-IF(RTD("tos.rtd",,AT$83,"."&amp;$B$134&amp;$AS$82&amp;"P"&amp;$A181)="N/A",0,RTD("tos.rtd",,AT$83,"."&amp;$B$134&amp;$AS$82&amp;"P"&amp;$A181))</f>
        <v>-13</v>
      </c>
      <c r="AU181" s="54">
        <f>IF(RTD("tos.rtd",,AU$2,"."&amp;$C$134&amp;$AU$134&amp;"C"&amp;$A181)="N/A",0,RTD("tos.rtd",,AU$2,"."&amp;$C$134&amp;$AU$134&amp;"C"&amp;$A181))</f>
        <v>0</v>
      </c>
      <c r="AV181" s="3">
        <f>-IF(RTD("tos.rtd",,AV$2,"."&amp;$C$134&amp;$AU$134&amp;"P"&amp;$A181)="N/A",0,RTD("tos.rtd",,AV$2,"."&amp;$C$134&amp;$AU$134&amp;"P"&amp;$A181))</f>
        <v>0</v>
      </c>
      <c r="AW181" s="54">
        <f>IF(RTD("tos.rtd",,AW$2,"."&amp;$D$134&amp;$AW$134&amp;"C"&amp;$A181)="N/A",0,RTD("tos.rtd",,AW$2,"."&amp;$D$134&amp;$AW$134&amp;"C"&amp;$A181))</f>
        <v>0</v>
      </c>
      <c r="AX181" s="3">
        <f>-IF(RTD("tos.rtd",,AX$2,"."&amp;$D$134&amp;$AW$134&amp;"P"&amp;$A181)="N/A",0,RTD("tos.rtd",,AX$2,"."&amp;$D$134&amp;$AW$134&amp;"P"&amp;$A181))</f>
        <v>0</v>
      </c>
      <c r="AY181" s="76">
        <f t="shared" si="625"/>
        <v>-11</v>
      </c>
      <c r="AZ181" s="8">
        <f t="shared" si="539"/>
        <v>19560</v>
      </c>
      <c r="BA181" s="54">
        <f>IF(RTD("tos.rtd",,BA$43,"."&amp;$B$134&amp;$AS$82&amp;"C"&amp;$A181)="N/A",0,RTD("tos.rtd",,BA$43,"."&amp;$B$134&amp;$AS$82&amp;"C"&amp;$A181))</f>
        <v>0</v>
      </c>
      <c r="BB181" s="3">
        <f>-IF(RTD("tos.rtd",,BB$43,"."&amp;$B$134&amp;$AS$82&amp;"P"&amp;$A181)="N/A",0,RTD("tos.rtd",,BB$43,"."&amp;$B$134&amp;$AS$82&amp;"P"&amp;$A181))</f>
        <v>-79</v>
      </c>
      <c r="BC181" s="54">
        <f>IF(RTD("tos.rtd",,BC$2,"."&amp;$C$134&amp;$AU$82&amp;"C"&amp;$A181)="N/A",0,RTD("tos.rtd",,BC$2,"."&amp;$C$134&amp;$AU$82&amp;"C"&amp;$A181))</f>
        <v>0</v>
      </c>
      <c r="BD181" s="3">
        <f>-IF(RTD("tos.rtd",,BD$2,"."&amp;$C$134&amp;$AU$82&amp;"P"&amp;$A181)="N/A",0,RTD("tos.rtd",,BD$2,"."&amp;$C$134&amp;$AU$82&amp;"P"&amp;$A181))</f>
        <v>0</v>
      </c>
      <c r="BE181" s="54">
        <f>IF(RTD("tos.rtd",,BE$2,"."&amp;$D$134&amp;$AW$82&amp;"C"&amp;$A181)="N/A",0,RTD("tos.rtd",,BE$2,"."&amp;$D$134&amp;$AW$82&amp;"C"&amp;$A181))</f>
        <v>0</v>
      </c>
      <c r="BF181" s="3">
        <f>-IF(RTD("tos.rtd",,BF$2,"."&amp;$D$134&amp;$AW$82&amp;"P"&amp;$A181)="N/A",0,RTD("tos.rtd",,BF$2,"."&amp;$D$134&amp;$AW$82&amp;"P"&amp;$A181))</f>
        <v>0</v>
      </c>
      <c r="BG181" s="3" t="e">
        <f ca="1">+Hoja2!Y182</f>
        <v>#N/A</v>
      </c>
      <c r="BH181" s="7" t="e">
        <f t="shared" ca="1" si="540"/>
        <v>#N/A</v>
      </c>
      <c r="BI181" s="32" t="e">
        <f t="shared" ca="1" si="597"/>
        <v>#N/A</v>
      </c>
      <c r="BJ181" s="3" t="e">
        <f ca="1">IF($BP$1=1,DX181,IF(RTD("tos.rtd",,BJ$43,"."&amp;$B$134&amp;$AS$82&amp;"C"&amp;$A181)="N/A",0,RTD("tos.rtd",,BJ$43,"."&amp;$B$134&amp;$AS$82&amp;"C"&amp;$A181)))</f>
        <v>#NUM!</v>
      </c>
      <c r="BK181" s="3" t="e">
        <f ca="1">IF($BP$1=1,DY181,-IF(RTD("tos.rtd",,BK$43,"."&amp;$B$134&amp;$AS$82&amp;"P"&amp;$A181)="N/A",0,RTD("tos.rtd",,BK$43,"."&amp;$B$134&amp;$AS$82&amp;"P"&amp;$A181)))</f>
        <v>#NUM!</v>
      </c>
      <c r="BL181" s="3">
        <f ca="1">IF($BP$1=1,DZ181,IF(RTD("tos.rtd",,BL$2,"."&amp;$C$134&amp;$AU$82&amp;"C"&amp;$A181)="N/A",0,RTD("tos.rtd",,BL$2,"."&amp;$C$134&amp;$AU$82&amp;"C"&amp;$A181)))</f>
        <v>3.8069777636511542E-4</v>
      </c>
      <c r="BM181" s="3">
        <f ca="1">IF($BP$1=1,EA181,-IF(RTD("tos.rtd",,BM$2,"."&amp;$C$134&amp;$AU$82&amp;"P"&amp;$A181)="N/A",0,RTD("tos.rtd",,BM$2,"."&amp;$C$134&amp;$AU$82&amp;"P"&amp;$A181)))</f>
        <v>-3.8069777636511542E-4</v>
      </c>
      <c r="BN181" s="3">
        <f ca="1">IF($BP$1=1,EB181,IF(RTD("tos.rtd",,BN$2,"."&amp;$D$134&amp;$AW$82&amp;"C"&amp;$A181)="N/A",0,RTD("tos.rtd",,BN$2,"."&amp;$D$134&amp;$AW$82&amp;"C"&amp;$A181)))</f>
        <v>3.8069777636511542E-4</v>
      </c>
      <c r="BO181" s="3">
        <f ca="1">IF($BP$1=1,EC181,-IF(RTD("tos.rtd",,BO$2,"."&amp;$D$134&amp;$AW$82&amp;"P"&amp;$A181)="N/A",0,RTD("tos.rtd",,BO$2,"."&amp;$D$134&amp;$AW$82&amp;"P"&amp;$A181)))</f>
        <v>-3.8069777636511542E-4</v>
      </c>
      <c r="BQ181" s="3" t="e">
        <f t="shared" ca="1" si="626"/>
        <v>#NUM!</v>
      </c>
      <c r="BR181" s="3" t="e">
        <f t="shared" ca="1" si="541"/>
        <v>#NUM!</v>
      </c>
      <c r="BS181" s="3">
        <f t="shared" ca="1" si="627"/>
        <v>0</v>
      </c>
      <c r="BT181" s="3" t="str">
        <f t="shared" ca="1" si="542"/>
        <v/>
      </c>
      <c r="BU181" s="3">
        <f t="shared" ca="1" si="628"/>
        <v>0</v>
      </c>
      <c r="BV181" s="3" t="str">
        <f t="shared" ca="1" si="542"/>
        <v/>
      </c>
      <c r="BX181" s="3" t="e">
        <f t="shared" ca="1" si="575"/>
        <v>#NUM!</v>
      </c>
      <c r="BY181" s="3" t="e">
        <f t="shared" ca="1" si="576"/>
        <v>#NUM!</v>
      </c>
      <c r="BZ181" s="3">
        <f t="shared" ca="1" si="577"/>
        <v>0</v>
      </c>
      <c r="CA181" s="3" t="str">
        <f t="shared" ca="1" si="576"/>
        <v/>
      </c>
      <c r="CB181" s="3">
        <f t="shared" ca="1" si="578"/>
        <v>0</v>
      </c>
      <c r="CC181" s="3" t="str">
        <f t="shared" ca="1" si="576"/>
        <v/>
      </c>
      <c r="CD181" s="3">
        <f>IF(RTD("tos.rtd",,CD$43,"."&amp;$B$134&amp;$AS$82&amp;"C"&amp;$A181)="N/A",0,RTD("tos.rtd",,CD$43,"."&amp;$B$134&amp;$AS$82&amp;"C"&amp;$A181))</f>
        <v>1</v>
      </c>
      <c r="CE181" s="3">
        <f>-IF(RTD("tos.rtd",,CE$43,"."&amp;$B$134&amp;$AS$82&amp;"P"&amp;$A181)="N/A",0,RTD("tos.rtd",,CE$43,"."&amp;$B$134&amp;$AS$82&amp;"P"&amp;$A181))</f>
        <v>0.06</v>
      </c>
      <c r="CF181" s="3">
        <f>IF(RTD("tos.rtd",,CF$2,"."&amp;$C$134&amp;$AU$82&amp;"C"&amp;$A181)="N/A",0,RTD("tos.rtd",,CF$2,"."&amp;$C$134&amp;$AU$82&amp;"C"&amp;$A181))</f>
        <v>0</v>
      </c>
      <c r="CG181" s="3">
        <f>-IF(RTD("tos.rtd",,CG$2,"."&amp;$C$134&amp;$AU$82&amp;"P"&amp;$A181)="N/A",0,RTD("tos.rtd",,CG$2,"."&amp;$C$134&amp;$AU$82&amp;"P"&amp;$A181))</f>
        <v>0</v>
      </c>
      <c r="CH181" s="3">
        <f>IF(RTD("tos.rtd",,CH$2,"."&amp;$D$134&amp;$AW$82&amp;"C"&amp;$A181)="N/A",0,RTD("tos.rtd",,CH$2,"."&amp;$D$134&amp;$AW$82&amp;"C"&amp;$A181))</f>
        <v>0</v>
      </c>
      <c r="CI181" s="3">
        <f>-IF(RTD("tos.rtd",,CI$2,"."&amp;$D$134&amp;$AW$82&amp;"P"&amp;$A181)="N/A",0,RTD("tos.rtd",,CI$2,"."&amp;$D$134&amp;$AW$82&amp;"P"&amp;$A181))</f>
        <v>0</v>
      </c>
      <c r="CK181" s="3">
        <f t="shared" si="648"/>
        <v>122</v>
      </c>
      <c r="CL181" s="3"/>
      <c r="CM181" s="3">
        <f t="shared" si="649"/>
        <v>0</v>
      </c>
      <c r="CN181" s="3"/>
      <c r="CO181" s="3">
        <f t="shared" si="650"/>
        <v>0</v>
      </c>
      <c r="CP181" s="3">
        <f t="shared" si="533"/>
        <v>122</v>
      </c>
      <c r="CQ181" s="3">
        <f t="shared" si="543"/>
        <v>-79</v>
      </c>
      <c r="CR181" s="3"/>
      <c r="CS181" s="3">
        <f t="shared" si="544"/>
        <v>0</v>
      </c>
      <c r="CT181" s="3"/>
      <c r="CU181" s="3">
        <f t="shared" si="545"/>
        <v>0</v>
      </c>
      <c r="CV181" s="3"/>
      <c r="CW181" s="3" t="e">
        <f t="shared" ca="1" si="546"/>
        <v>#NUM!</v>
      </c>
      <c r="CY181" s="3" t="e">
        <f t="shared" ca="1" si="547"/>
        <v>#NUM!</v>
      </c>
      <c r="CZ181" s="70" t="e">
        <f t="shared" ca="1" si="579"/>
        <v>#NUM!</v>
      </c>
      <c r="DA181" s="3">
        <f>IF(RTD("tos.rtd",,DA$43,"."&amp;$B$134&amp;$AS$82&amp;"C"&amp;$A181)="N/A",0,RTD("tos.rtd",,DA$43,"."&amp;$B$134&amp;$AS$82&amp;"C"&amp;$A181))</f>
        <v>368.11</v>
      </c>
      <c r="DB181" s="3">
        <f>IF(RTD("tos.rtd",,DB$43,"."&amp;$B$134&amp;$AS$82&amp;"P"&amp;$A181)="N/A",0,RTD("tos.rtd",,DB$43,"."&amp;$B$134&amp;$AS$82&amp;"P"&amp;$A181))</f>
        <v>0.2</v>
      </c>
      <c r="DC181" s="3">
        <f>IF(RTD("tos.rtd",,DC$43,"."&amp;$B$134&amp;$AS$82&amp;"C"&amp;$A181)="N/A",0,RTD("tos.rtd",,DC$43,"."&amp;$B$134&amp;$AS$82&amp;"C"&amp;$A181))</f>
        <v>572</v>
      </c>
      <c r="DD181" s="3">
        <f>IF(RTD("tos.rtd",,DD$43,"."&amp;$B$134&amp;$AS$82&amp;"P"&amp;$A181)="N/A",0,RTD("tos.rtd",,DD$43,"."&amp;$B$134&amp;$AS$82&amp;"P"&amp;$A181))</f>
        <v>19.8</v>
      </c>
      <c r="DE181" s="3">
        <f>IF(RTD("tos.rtd",,DE$43,"."&amp;$B$134&amp;$AS$82&amp;"C"&amp;$A181)="N/A",0,RTD("tos.rtd",,DE$43,"."&amp;$B$134&amp;$AS$82&amp;"C"&amp;$A181))</f>
        <v>506.7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580"/>
        <v>-532</v>
      </c>
      <c r="DH181" s="3">
        <f t="shared" si="548"/>
        <v>0</v>
      </c>
      <c r="DI181" s="3">
        <f t="shared" si="549"/>
        <v>0</v>
      </c>
      <c r="DJ181" s="3">
        <f t="shared" si="550"/>
        <v>0</v>
      </c>
      <c r="DK181" s="3">
        <f t="shared" si="551"/>
        <v>0</v>
      </c>
      <c r="DL181" s="3">
        <f t="shared" si="552"/>
        <v>0</v>
      </c>
      <c r="DM181" s="3">
        <f t="shared" si="553"/>
        <v>0</v>
      </c>
      <c r="DN181" s="64" t="str">
        <f t="shared" si="554"/>
        <v>UNKNOWN</v>
      </c>
      <c r="DO181" s="64" t="str">
        <f t="shared" si="555"/>
        <v>UNKNOWN</v>
      </c>
      <c r="DP181" s="3">
        <f t="shared" si="556"/>
        <v>0</v>
      </c>
      <c r="DQ181" s="3">
        <f t="shared" si="557"/>
        <v>0</v>
      </c>
      <c r="DR181" s="3" t="e">
        <f t="shared" ca="1" si="558"/>
        <v>#NUM!</v>
      </c>
      <c r="DS181" s="3">
        <f t="shared" si="559"/>
        <v>0</v>
      </c>
      <c r="DT181" s="3">
        <f t="shared" si="581"/>
        <v>0</v>
      </c>
      <c r="DU181" s="3">
        <f t="shared" si="582"/>
        <v>0</v>
      </c>
      <c r="DV181" s="3">
        <f t="shared" si="560"/>
        <v>-2</v>
      </c>
      <c r="DW181" s="3">
        <f t="shared" si="561"/>
        <v>-26</v>
      </c>
      <c r="DX181" s="3" t="e">
        <f t="shared" ca="1" si="642"/>
        <v>#NUM!</v>
      </c>
      <c r="DY181" s="3" t="e">
        <f t="shared" ca="1" si="643"/>
        <v>#NUM!</v>
      </c>
      <c r="DZ181" s="3">
        <f t="shared" ca="1" si="644"/>
        <v>3.8069777636511542E-4</v>
      </c>
      <c r="EA181" s="3">
        <f t="shared" ca="1" si="645"/>
        <v>-3.8069777636511542E-4</v>
      </c>
      <c r="EB181" s="3">
        <f t="shared" ca="1" si="646"/>
        <v>3.8069777636511542E-4</v>
      </c>
      <c r="EC181" s="3">
        <f t="shared" ca="1" si="647"/>
        <v>-3.8069777636511542E-4</v>
      </c>
      <c r="EE181" s="59">
        <f t="shared" si="568"/>
        <v>0.25</v>
      </c>
      <c r="EF181" s="59">
        <f t="shared" si="569"/>
        <v>2.3788</v>
      </c>
      <c r="EG181" s="59">
        <f t="shared" si="570"/>
        <v>0.25</v>
      </c>
      <c r="EH181" s="59">
        <f t="shared" si="571"/>
        <v>0.25</v>
      </c>
      <c r="EI181" s="59">
        <f t="shared" si="572"/>
        <v>0.25</v>
      </c>
      <c r="EJ181" s="59">
        <f t="shared" si="573"/>
        <v>0.25</v>
      </c>
      <c r="EL181" s="3" t="str">
        <f>RTD("tos.rtd",,EL$43,"."&amp;$B$134&amp;$AS$82&amp;"C"&amp;$A181)</f>
        <v>--</v>
      </c>
      <c r="EM181" s="3" t="str">
        <f>RTD("tos.rtd",,EM$43,"."&amp;$B$134&amp;$AS$82&amp;"P"&amp;$A181)</f>
        <v>237.88%</v>
      </c>
      <c r="EN181" s="3" t="str">
        <f>RTD("tos.rtd",,EN$2,"."&amp;$C$134&amp;$AU$82&amp;"C"&amp;$A181)</f>
        <v>N/A</v>
      </c>
      <c r="EO181" s="3" t="str">
        <f>RTD("tos.rtd",,EO$2,"."&amp;$C$134&amp;$AU$82&amp;"P"&amp;$A181)</f>
        <v>N/A</v>
      </c>
      <c r="EP181" s="3" t="str">
        <f>RTD("tos.rtd",,EP$2,"."&amp;$D$134&amp;$AW$82&amp;"C"&amp;$A181)</f>
        <v>N/A</v>
      </c>
      <c r="EQ181" s="3" t="str">
        <f>RTD("tos.rtd",,EQ$2,"."&amp;$D$134&amp;$AW$82&amp;"P"&amp;$A181)</f>
        <v>N/A</v>
      </c>
      <c r="ET181" s="64" t="str">
        <f t="shared" ca="1" si="574"/>
        <v>19560,00.00</v>
      </c>
      <c r="EU181" s="68">
        <v>564.70500000000004</v>
      </c>
      <c r="EV181" s="68" t="s">
        <v>1468</v>
      </c>
      <c r="EW181" s="68">
        <v>487.4</v>
      </c>
      <c r="EX181" s="68" t="s">
        <v>1469</v>
      </c>
      <c r="EY181" s="68">
        <v>5663</v>
      </c>
      <c r="EZ181" s="68" t="s">
        <v>1470</v>
      </c>
      <c r="FA181" s="68">
        <v>20028.25</v>
      </c>
      <c r="FB181" s="68" t="s">
        <v>1471</v>
      </c>
      <c r="FC181" s="68" t="s">
        <v>1472</v>
      </c>
      <c r="FD181" s="68" t="s">
        <v>1473</v>
      </c>
      <c r="FE181" s="68" t="s">
        <v>1474</v>
      </c>
      <c r="FF181" s="68" t="s">
        <v>1475</v>
      </c>
    </row>
    <row r="182" spans="1:162" ht="11.1" customHeight="1" thickBot="1" x14ac:dyDescent="0.25">
      <c r="A182" s="2">
        <f t="shared" si="583"/>
        <v>19540</v>
      </c>
      <c r="B182" s="3">
        <f t="shared" si="616"/>
        <v>5</v>
      </c>
      <c r="C182" s="3">
        <f t="shared" si="617"/>
        <v>0</v>
      </c>
      <c r="D182" s="3">
        <f t="shared" si="618"/>
        <v>0</v>
      </c>
      <c r="E182" s="3">
        <f t="shared" ref="E182:E189" si="651">SUM(B182:D182)</f>
        <v>5</v>
      </c>
      <c r="F182" s="4">
        <f t="shared" si="611"/>
        <v>19637.252637865819</v>
      </c>
      <c r="G182" s="5">
        <f t="shared" ref="G182:G189" si="652">+$G$136/$A$136*A182</f>
        <v>475.52649810869997</v>
      </c>
      <c r="AM182" s="1">
        <v>0</v>
      </c>
      <c r="AN182" s="1">
        <v>14</v>
      </c>
      <c r="AO182" s="1">
        <v>19540</v>
      </c>
      <c r="AP182" s="1">
        <v>0</v>
      </c>
      <c r="AQ182" s="1">
        <v>-25</v>
      </c>
      <c r="AS182" s="54">
        <f>IF(RTD("tos.rtd",,AS$83,"."&amp;$B$134&amp;$AS$82&amp;"C"&amp;$A182)="N/A",0,RTD("tos.rtd",,AS$83,"."&amp;$B$134&amp;$AS$82&amp;"C"&amp;$A182))</f>
        <v>2</v>
      </c>
      <c r="AT182" s="3">
        <f>-IF(RTD("tos.rtd",,AT$83,"."&amp;$B$134&amp;$AS$82&amp;"P"&amp;$A182)="N/A",0,RTD("tos.rtd",,AT$83,"."&amp;$B$134&amp;$AS$82&amp;"P"&amp;$A182))</f>
        <v>-3</v>
      </c>
      <c r="AU182" s="54">
        <f>IF(RTD("tos.rtd",,AU$2,"."&amp;$C$134&amp;$AU$134&amp;"C"&amp;$A182)="N/A",0,RTD("tos.rtd",,AU$2,"."&amp;$C$134&amp;$AU$134&amp;"C"&amp;$A182))</f>
        <v>0</v>
      </c>
      <c r="AV182" s="3">
        <f>-IF(RTD("tos.rtd",,AV$2,"."&amp;$C$134&amp;$AU$134&amp;"P"&amp;$A182)="N/A",0,RTD("tos.rtd",,AV$2,"."&amp;$C$134&amp;$AU$134&amp;"P"&amp;$A182))</f>
        <v>0</v>
      </c>
      <c r="AW182" s="54">
        <f>IF(RTD("tos.rtd",,AW$2,"."&amp;$D$134&amp;$AW$134&amp;"C"&amp;$A182)="N/A",0,RTD("tos.rtd",,AW$2,"."&amp;$D$134&amp;$AW$134&amp;"C"&amp;$A182))</f>
        <v>0</v>
      </c>
      <c r="AX182" s="3">
        <f>-IF(RTD("tos.rtd",,AX$2,"."&amp;$D$134&amp;$AW$134&amp;"P"&amp;$A182)="N/A",0,RTD("tos.rtd",,AX$2,"."&amp;$D$134&amp;$AW$134&amp;"P"&amp;$A182))</f>
        <v>0</v>
      </c>
      <c r="AY182" s="76">
        <f t="shared" si="612"/>
        <v>-1</v>
      </c>
      <c r="AZ182" s="8">
        <f t="shared" si="539"/>
        <v>19540</v>
      </c>
      <c r="BA182" s="54">
        <f>IF(RTD("tos.rtd",,BA$43,"."&amp;$B$134&amp;$AS$82&amp;"C"&amp;$A182)="N/A",0,RTD("tos.rtd",,BA$43,"."&amp;$B$134&amp;$AS$82&amp;"C"&amp;$A182))</f>
        <v>0</v>
      </c>
      <c r="BB182" s="3">
        <f>-IF(RTD("tos.rtd",,BB$43,"."&amp;$B$134&amp;$AS$82&amp;"P"&amp;$A182)="N/A",0,RTD("tos.rtd",,BB$43,"."&amp;$B$134&amp;$AS$82&amp;"P"&amp;$A182))</f>
        <v>-25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0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0</v>
      </c>
      <c r="BG182" s="3" t="e">
        <f ca="1">+Hoja2!Y183</f>
        <v>#N/A</v>
      </c>
      <c r="BH182" s="7" t="e">
        <f t="shared" ca="1" si="540"/>
        <v>#N/A</v>
      </c>
      <c r="BI182" s="32" t="e">
        <f t="shared" ca="1" si="597"/>
        <v>#N/A</v>
      </c>
      <c r="BJ182" s="3" t="e">
        <f ca="1">IF($BP$1=1,DX182,IF(RTD("tos.rtd",,BJ$43,"."&amp;$B$134&amp;$AS$82&amp;"C"&amp;$A182)="N/A",0,RTD("tos.rtd",,BJ$43,"."&amp;$B$134&amp;$AS$82&amp;"C"&amp;$A182)))</f>
        <v>#NUM!</v>
      </c>
      <c r="BK182" s="3" t="e">
        <f ca="1">IF($BP$1=1,DY182,-IF(RTD("tos.rtd",,BK$43,"."&amp;$B$134&amp;$AS$82&amp;"P"&amp;$A182)="N/A",0,RTD("tos.rtd",,BK$43,"."&amp;$B$134&amp;$AS$82&amp;"P"&amp;$A182)))</f>
        <v>#NUM!</v>
      </c>
      <c r="BL182" s="3">
        <f ca="1">IF($BP$1=1,DZ182,IF(RTD("tos.rtd",,BL$2,"."&amp;$C$134&amp;$AU$82&amp;"C"&amp;$A182)="N/A",0,RTD("tos.rtd",,BL$2,"."&amp;$C$134&amp;$AU$82&amp;"C"&amp;$A182)))</f>
        <v>3.7383040073630229E-4</v>
      </c>
      <c r="BM182" s="3">
        <f ca="1">IF($BP$1=1,EA182,-IF(RTD("tos.rtd",,BM$2,"."&amp;$C$134&amp;$AU$82&amp;"P"&amp;$A182)="N/A",0,RTD("tos.rtd",,BM$2,"."&amp;$C$134&amp;$AU$82&amp;"P"&amp;$A182)))</f>
        <v>-3.7383040073630229E-4</v>
      </c>
      <c r="BN182" s="3">
        <f ca="1">IF($BP$1=1,EB182,IF(RTD("tos.rtd",,BN$2,"."&amp;$D$134&amp;$AW$82&amp;"C"&amp;$A182)="N/A",0,RTD("tos.rtd",,BN$2,"."&amp;$D$134&amp;$AW$82&amp;"C"&amp;$A182)))</f>
        <v>3.7383040073630229E-4</v>
      </c>
      <c r="BO182" s="3">
        <f ca="1">IF($BP$1=1,EC182,-IF(RTD("tos.rtd",,BO$2,"."&amp;$D$134&amp;$AW$82&amp;"P"&amp;$A182)="N/A",0,RTD("tos.rtd",,BO$2,"."&amp;$D$134&amp;$AW$82&amp;"P"&amp;$A182)))</f>
        <v>-3.7383040073630229E-4</v>
      </c>
      <c r="BQ182" s="3" t="e">
        <f t="shared" ca="1" si="613"/>
        <v>#NUM!</v>
      </c>
      <c r="BR182" s="3" t="e">
        <f t="shared" ca="1" si="541"/>
        <v>#NUM!</v>
      </c>
      <c r="BS182" s="3">
        <f t="shared" ca="1" si="614"/>
        <v>0</v>
      </c>
      <c r="BT182" s="3" t="str">
        <f t="shared" ca="1" si="542"/>
        <v/>
      </c>
      <c r="BU182" s="3">
        <f t="shared" ca="1" si="615"/>
        <v>0</v>
      </c>
      <c r="BV182" s="3" t="str">
        <f t="shared" ca="1" si="542"/>
        <v/>
      </c>
      <c r="BX182" s="3" t="e">
        <f t="shared" ca="1" si="575"/>
        <v>#NUM!</v>
      </c>
      <c r="BY182" s="3" t="e">
        <f t="shared" ca="1" si="576"/>
        <v>#NUM!</v>
      </c>
      <c r="BZ182" s="3">
        <f t="shared" ca="1" si="577"/>
        <v>0</v>
      </c>
      <c r="CA182" s="3" t="str">
        <f t="shared" ca="1" si="576"/>
        <v/>
      </c>
      <c r="CB182" s="3">
        <f t="shared" ca="1" si="578"/>
        <v>0</v>
      </c>
      <c r="CC182" s="3" t="str">
        <f t="shared" ca="1" si="576"/>
        <v/>
      </c>
      <c r="CD182" s="3">
        <f>IF(RTD("tos.rtd",,CD$43,"."&amp;$B$134&amp;$AS$82&amp;"C"&amp;$A182)="N/A",0,RTD("tos.rtd",,CD$43,"."&amp;$B$134&amp;$AS$82&amp;"C"&amp;$A182))</f>
        <v>1</v>
      </c>
      <c r="CE182" s="3">
        <f>-IF(RTD("tos.rtd",,CE$43,"."&amp;$B$134&amp;$AS$82&amp;"P"&amp;$A182)="N/A",0,RTD("tos.rtd",,CE$43,"."&amp;$B$134&amp;$AS$82&amp;"P"&amp;$A182))</f>
        <v>0.06</v>
      </c>
      <c r="CF182" s="3">
        <f>IF(RTD("tos.rtd",,CF$2,"."&amp;$C$134&amp;$AU$82&amp;"C"&amp;$A182)="N/A",0,RTD("tos.rtd",,CF$2,"."&amp;$C$134&amp;$AU$82&amp;"C"&amp;$A182))</f>
        <v>0</v>
      </c>
      <c r="CG182" s="3">
        <f>-IF(RTD("tos.rtd",,CG$2,"."&amp;$C$134&amp;$AU$82&amp;"P"&amp;$A182)="N/A",0,RTD("tos.rtd",,CG$2,"."&amp;$C$134&amp;$AU$82&amp;"P"&amp;$A182))</f>
        <v>0</v>
      </c>
      <c r="CH182" s="3">
        <f>IF(RTD("tos.rtd",,CH$2,"."&amp;$D$134&amp;$AW$82&amp;"C"&amp;$A182)="N/A",0,RTD("tos.rtd",,CH$2,"."&amp;$D$134&amp;$AW$82&amp;"C"&amp;$A182))</f>
        <v>0</v>
      </c>
      <c r="CI182" s="3">
        <f>-IF(RTD("tos.rtd",,CI$2,"."&amp;$D$134&amp;$AW$82&amp;"P"&amp;$A182)="N/A",0,RTD("tos.rtd",,CI$2,"."&amp;$D$134&amp;$AW$82&amp;"P"&amp;$A182))</f>
        <v>0</v>
      </c>
      <c r="CK182" s="3">
        <f t="shared" si="648"/>
        <v>182</v>
      </c>
      <c r="CL182" s="3"/>
      <c r="CM182" s="3">
        <f t="shared" si="649"/>
        <v>0</v>
      </c>
      <c r="CN182" s="3"/>
      <c r="CO182" s="3">
        <f t="shared" si="650"/>
        <v>0</v>
      </c>
      <c r="CP182" s="3">
        <f t="shared" si="533"/>
        <v>182</v>
      </c>
      <c r="CQ182" s="3">
        <f t="shared" si="543"/>
        <v>-25</v>
      </c>
      <c r="CR182" s="3"/>
      <c r="CS182" s="3">
        <f t="shared" si="544"/>
        <v>0</v>
      </c>
      <c r="CT182" s="3"/>
      <c r="CU182" s="3">
        <f t="shared" si="545"/>
        <v>0</v>
      </c>
      <c r="CV182" s="3"/>
      <c r="CW182" s="3" t="e">
        <f t="shared" ca="1" si="546"/>
        <v>#NUM!</v>
      </c>
      <c r="CY182" s="3" t="e">
        <f t="shared" ca="1" si="547"/>
        <v>#NUM!</v>
      </c>
      <c r="CZ182" s="70" t="e">
        <f t="shared" ca="1" si="579"/>
        <v>#NUM!</v>
      </c>
      <c r="DA182" s="3">
        <f>IF(RTD("tos.rtd",,DA$43,"."&amp;$B$134&amp;$AS$82&amp;"C"&amp;$A182)="N/A",0,RTD("tos.rtd",,DA$43,"."&amp;$B$134&amp;$AS$82&amp;"C"&amp;$A182))</f>
        <v>384.1</v>
      </c>
      <c r="DB182" s="3">
        <f>IF(RTD("tos.rtd",,DB$43,"."&amp;$B$134&amp;$AS$82&amp;"P"&amp;$A182)="N/A",0,RTD("tos.rtd",,DB$43,"."&amp;$B$134&amp;$AS$82&amp;"P"&amp;$A182))</f>
        <v>0.85</v>
      </c>
      <c r="DC182" s="3">
        <f>IF(RTD("tos.rtd",,DC$43,"."&amp;$B$134&amp;$AS$82&amp;"C"&amp;$A182)="N/A",0,RTD("tos.rtd",,DC$43,"."&amp;$B$134&amp;$AS$82&amp;"C"&amp;$A182))</f>
        <v>592</v>
      </c>
      <c r="DD182" s="3">
        <f>IF(RTD("tos.rtd",,DD$43,"."&amp;$B$134&amp;$AS$82&amp;"P"&amp;$A182)="N/A",0,RTD("tos.rtd",,DD$43,"."&amp;$B$134&amp;$AS$82&amp;"P"&amp;$A182))</f>
        <v>19.8</v>
      </c>
      <c r="DE182" s="3">
        <f>IF(RTD("tos.rtd",,DE$43,"."&amp;$B$134&amp;$AS$82&amp;"C"&amp;$A182)="N/A",0,RTD("tos.rtd",,DE$43,"."&amp;$B$134&amp;$AS$82&amp;"C"&amp;$A182))</f>
        <v>526.70000000000005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580"/>
        <v>-552</v>
      </c>
      <c r="DH182" s="3">
        <f t="shared" si="548"/>
        <v>0</v>
      </c>
      <c r="DI182" s="3">
        <f t="shared" si="549"/>
        <v>0</v>
      </c>
      <c r="DJ182" s="3">
        <f t="shared" si="550"/>
        <v>0</v>
      </c>
      <c r="DK182" s="3">
        <f t="shared" si="551"/>
        <v>0</v>
      </c>
      <c r="DL182" s="3">
        <f t="shared" si="552"/>
        <v>0</v>
      </c>
      <c r="DM182" s="3">
        <f t="shared" si="553"/>
        <v>0</v>
      </c>
      <c r="DN182" s="64" t="str">
        <f t="shared" si="554"/>
        <v>UNKNOWN</v>
      </c>
      <c r="DO182" s="64" t="str">
        <f t="shared" si="555"/>
        <v>UNKNOWN</v>
      </c>
      <c r="DP182" s="3">
        <f t="shared" si="556"/>
        <v>0</v>
      </c>
      <c r="DQ182" s="3">
        <f t="shared" si="557"/>
        <v>0</v>
      </c>
      <c r="DR182" s="3" t="e">
        <f t="shared" ca="1" si="558"/>
        <v>#NUM!</v>
      </c>
      <c r="DS182" s="3">
        <f t="shared" si="559"/>
        <v>0</v>
      </c>
      <c r="DT182" s="3">
        <f t="shared" si="581"/>
        <v>0</v>
      </c>
      <c r="DU182" s="3">
        <f t="shared" si="582"/>
        <v>0</v>
      </c>
      <c r="DV182" s="3">
        <f t="shared" si="560"/>
        <v>0</v>
      </c>
      <c r="DW182" s="3">
        <f t="shared" si="561"/>
        <v>14</v>
      </c>
      <c r="DX182" s="3" t="e">
        <f t="shared" ca="1" si="642"/>
        <v>#NUM!</v>
      </c>
      <c r="DY182" s="3" t="e">
        <f t="shared" ca="1" si="643"/>
        <v>#NUM!</v>
      </c>
      <c r="DZ182" s="3">
        <f t="shared" ca="1" si="644"/>
        <v>3.7383040073630229E-4</v>
      </c>
      <c r="EA182" s="3">
        <f t="shared" ca="1" si="645"/>
        <v>-3.7383040073630229E-4</v>
      </c>
      <c r="EB182" s="3">
        <f t="shared" ca="1" si="646"/>
        <v>3.7383040073630229E-4</v>
      </c>
      <c r="EC182" s="3">
        <f t="shared" ca="1" si="647"/>
        <v>-3.7383040073630229E-4</v>
      </c>
      <c r="EE182" s="59">
        <f t="shared" si="568"/>
        <v>0.25</v>
      </c>
      <c r="EF182" s="59">
        <f t="shared" si="569"/>
        <v>2.4481000000000002</v>
      </c>
      <c r="EG182" s="59">
        <f t="shared" si="570"/>
        <v>0.25</v>
      </c>
      <c r="EH182" s="59">
        <f t="shared" si="571"/>
        <v>0.25</v>
      </c>
      <c r="EI182" s="59">
        <f t="shared" si="572"/>
        <v>0.25</v>
      </c>
      <c r="EJ182" s="59">
        <f t="shared" si="573"/>
        <v>0.25</v>
      </c>
      <c r="EL182" s="3" t="str">
        <f>RTD("tos.rtd",,EL$43,"."&amp;$B$134&amp;$AS$82&amp;"C"&amp;$A182)</f>
        <v>--</v>
      </c>
      <c r="EM182" s="3" t="str">
        <f>RTD("tos.rtd",,EM$43,"."&amp;$B$134&amp;$AS$82&amp;"P"&amp;$A182)</f>
        <v>244.81%</v>
      </c>
      <c r="EN182" s="3" t="str">
        <f>RTD("tos.rtd",,EN$2,"."&amp;$C$134&amp;$AU$82&amp;"C"&amp;$A182)</f>
        <v>N/A</v>
      </c>
      <c r="EO182" s="3" t="str">
        <f>RTD("tos.rtd",,EO$2,"."&amp;$C$134&amp;$AU$82&amp;"P"&amp;$A182)</f>
        <v>N/A</v>
      </c>
      <c r="EP182" s="3" t="str">
        <f>RTD("tos.rtd",,EP$2,"."&amp;$D$134&amp;$AW$82&amp;"C"&amp;$A182)</f>
        <v>N/A</v>
      </c>
      <c r="EQ182" s="3" t="str">
        <f>RTD("tos.rtd",,EQ$2,"."&amp;$D$134&amp;$AW$82&amp;"P"&amp;$A182)</f>
        <v>N/A</v>
      </c>
      <c r="ET182" s="64" t="str">
        <f t="shared" ca="1" si="574"/>
        <v>19540,00.00</v>
      </c>
      <c r="EU182" s="68">
        <v>564.80999999999995</v>
      </c>
      <c r="EV182" s="68" t="s">
        <v>1476</v>
      </c>
      <c r="EW182" s="68">
        <v>487.56099999999998</v>
      </c>
      <c r="EX182" s="68" t="s">
        <v>1477</v>
      </c>
      <c r="EY182" s="68">
        <v>5663.75</v>
      </c>
      <c r="EZ182" s="68" t="s">
        <v>1478</v>
      </c>
      <c r="FA182" s="68">
        <v>20033.75</v>
      </c>
      <c r="FB182" s="68" t="s">
        <v>1479</v>
      </c>
      <c r="FC182" s="68" t="s">
        <v>1480</v>
      </c>
      <c r="FD182" s="68" t="s">
        <v>1481</v>
      </c>
      <c r="FE182" s="68" t="s">
        <v>1482</v>
      </c>
      <c r="FF182" s="68" t="s">
        <v>1483</v>
      </c>
    </row>
    <row r="183" spans="1:162" ht="11.1" customHeight="1" thickBot="1" x14ac:dyDescent="0.25">
      <c r="A183" s="2">
        <f t="shared" si="583"/>
        <v>19520</v>
      </c>
      <c r="B183" s="3">
        <f t="shared" si="616"/>
        <v>5</v>
      </c>
      <c r="C183" s="3">
        <f t="shared" si="617"/>
        <v>0</v>
      </c>
      <c r="D183" s="3">
        <f t="shared" si="618"/>
        <v>0</v>
      </c>
      <c r="E183" s="3">
        <f t="shared" si="651"/>
        <v>5</v>
      </c>
      <c r="F183" s="4">
        <f t="shared" si="611"/>
        <v>19617.153095759506</v>
      </c>
      <c r="G183" s="5">
        <f t="shared" si="652"/>
        <v>475.03977702568187</v>
      </c>
      <c r="AM183" s="1">
        <v>-17</v>
      </c>
      <c r="AN183" s="1">
        <v>274</v>
      </c>
      <c r="AO183" s="1">
        <v>19520</v>
      </c>
      <c r="AP183" s="1">
        <v>0</v>
      </c>
      <c r="AQ183" s="1">
        <v>-57</v>
      </c>
      <c r="AS183" s="54">
        <f>IF(RTD("tos.rtd",,AS$83,"."&amp;$B$134&amp;$AS$82&amp;"C"&amp;$A183)="N/A",0,RTD("tos.rtd",,AS$83,"."&amp;$B$134&amp;$AS$82&amp;"C"&amp;$A183))</f>
        <v>1</v>
      </c>
      <c r="AT183" s="3">
        <f>-IF(RTD("tos.rtd",,AT$83,"."&amp;$B$134&amp;$AS$82&amp;"P"&amp;$A183)="N/A",0,RTD("tos.rtd",,AT$83,"."&amp;$B$134&amp;$AS$82&amp;"P"&amp;$A183))</f>
        <v>-4</v>
      </c>
      <c r="AU183" s="54">
        <f>IF(RTD("tos.rtd",,AU$2,"."&amp;$C$134&amp;$AU$134&amp;"C"&amp;$A183)="N/A",0,RTD("tos.rtd",,AU$2,"."&amp;$C$134&amp;$AU$134&amp;"C"&amp;$A183))</f>
        <v>0</v>
      </c>
      <c r="AV183" s="3">
        <f>-IF(RTD("tos.rtd",,AV$2,"."&amp;$C$134&amp;$AU$134&amp;"P"&amp;$A183)="N/A",0,RTD("tos.rtd",,AV$2,"."&amp;$C$134&amp;$AU$134&amp;"P"&amp;$A183))</f>
        <v>0</v>
      </c>
      <c r="AW183" s="54">
        <f>IF(RTD("tos.rtd",,AW$2,"."&amp;$D$134&amp;$AW$134&amp;"C"&amp;$A183)="N/A",0,RTD("tos.rtd",,AW$2,"."&amp;$D$134&amp;$AW$134&amp;"C"&amp;$A183))</f>
        <v>0</v>
      </c>
      <c r="AX183" s="3">
        <f>-IF(RTD("tos.rtd",,AX$2,"."&amp;$D$134&amp;$AW$134&amp;"P"&amp;$A183)="N/A",0,RTD("tos.rtd",,AX$2,"."&amp;$D$134&amp;$AW$134&amp;"P"&amp;$A183))</f>
        <v>0</v>
      </c>
      <c r="AY183" s="76">
        <f t="shared" si="612"/>
        <v>-3</v>
      </c>
      <c r="AZ183" s="8">
        <f t="shared" si="539"/>
        <v>19520</v>
      </c>
      <c r="BA183" s="54">
        <f>IF(RTD("tos.rtd",,BA$43,"."&amp;$B$134&amp;$AS$82&amp;"C"&amp;$A183)="N/A",0,RTD("tos.rtd",,BA$43,"."&amp;$B$134&amp;$AS$82&amp;"C"&amp;$A183))</f>
        <v>0</v>
      </c>
      <c r="BB183" s="3">
        <f>-IF(RTD("tos.rtd",,BB$43,"."&amp;$B$134&amp;$AS$82&amp;"P"&amp;$A183)="N/A",0,RTD("tos.rtd",,BB$43,"."&amp;$B$134&amp;$AS$82&amp;"P"&amp;$A183))</f>
        <v>-57</v>
      </c>
      <c r="BC183" s="54">
        <f>IF(RTD("tos.rtd",,BC$2,"."&amp;$C$134&amp;$AU$82&amp;"C"&amp;$A183)="N/A",0,RTD("tos.rtd",,BC$2,"."&amp;$C$134&amp;$AU$82&amp;"C"&amp;$A183))</f>
        <v>0</v>
      </c>
      <c r="BD183" s="3">
        <f>-IF(RTD("tos.rtd",,BD$2,"."&amp;$C$134&amp;$AU$82&amp;"P"&amp;$A183)="N/A",0,RTD("tos.rtd",,BD$2,"."&amp;$C$134&amp;$AU$82&amp;"P"&amp;$A183))</f>
        <v>0</v>
      </c>
      <c r="BE183" s="54">
        <f>IF(RTD("tos.rtd",,BE$2,"."&amp;$D$134&amp;$AW$82&amp;"C"&amp;$A183)="N/A",0,RTD("tos.rtd",,BE$2,"."&amp;$D$134&amp;$AW$82&amp;"C"&amp;$A183))</f>
        <v>0</v>
      </c>
      <c r="BF183" s="3">
        <f>-IF(RTD("tos.rtd",,BF$2,"."&amp;$D$134&amp;$AW$82&amp;"P"&amp;$A183)="N/A",0,RTD("tos.rtd",,BF$2,"."&amp;$D$134&amp;$AW$82&amp;"P"&amp;$A183))</f>
        <v>0</v>
      </c>
      <c r="BG183" s="3" t="e">
        <f ca="1">+Hoja2!Y184</f>
        <v>#N/A</v>
      </c>
      <c r="BH183" s="7" t="e">
        <f t="shared" ca="1" si="540"/>
        <v>#N/A</v>
      </c>
      <c r="BI183" s="32" t="e">
        <f t="shared" ca="1" si="597"/>
        <v>#N/A</v>
      </c>
      <c r="BJ183" s="3" t="e">
        <f ca="1">IF($BP$1=1,DX183,IF(RTD("tos.rtd",,BJ$43,"."&amp;$B$134&amp;$AS$82&amp;"C"&amp;$A183)="N/A",0,RTD("tos.rtd",,BJ$43,"."&amp;$B$134&amp;$AS$82&amp;"C"&amp;$A183)))</f>
        <v>#NUM!</v>
      </c>
      <c r="BK183" s="3" t="e">
        <f ca="1">IF($BP$1=1,DY183,-IF(RTD("tos.rtd",,BK$43,"."&amp;$B$134&amp;$AS$82&amp;"P"&amp;$A183)="N/A",0,RTD("tos.rtd",,BK$43,"."&amp;$B$134&amp;$AS$82&amp;"P"&amp;$A183)))</f>
        <v>#NUM!</v>
      </c>
      <c r="BL183" s="3">
        <f ca="1">IF($BP$1=1,DZ183,IF(RTD("tos.rtd",,BL$2,"."&amp;$C$134&amp;$AU$82&amp;"C"&amp;$A183)="N/A",0,RTD("tos.rtd",,BL$2,"."&amp;$C$134&amp;$AU$82&amp;"C"&amp;$A183)))</f>
        <v>3.6684626624806883E-4</v>
      </c>
      <c r="BM183" s="3">
        <f ca="1">IF($BP$1=1,EA183,-IF(RTD("tos.rtd",,BM$2,"."&amp;$C$134&amp;$AU$82&amp;"P"&amp;$A183)="N/A",0,RTD("tos.rtd",,BM$2,"."&amp;$C$134&amp;$AU$82&amp;"P"&amp;$A183)))</f>
        <v>-3.6684626624806883E-4</v>
      </c>
      <c r="BN183" s="3">
        <f ca="1">IF($BP$1=1,EB183,IF(RTD("tos.rtd",,BN$2,"."&amp;$D$134&amp;$AW$82&amp;"C"&amp;$A183)="N/A",0,RTD("tos.rtd",,BN$2,"."&amp;$D$134&amp;$AW$82&amp;"C"&amp;$A183)))</f>
        <v>3.6684626624806883E-4</v>
      </c>
      <c r="BO183" s="3">
        <f ca="1">IF($BP$1=1,EC183,-IF(RTD("tos.rtd",,BO$2,"."&amp;$D$134&amp;$AW$82&amp;"P"&amp;$A183)="N/A",0,RTD("tos.rtd",,BO$2,"."&amp;$D$134&amp;$AW$82&amp;"P"&amp;$A183)))</f>
        <v>-3.6684626624806883E-4</v>
      </c>
      <c r="BQ183" s="3" t="e">
        <f t="shared" ca="1" si="613"/>
        <v>#NUM!</v>
      </c>
      <c r="BR183" s="3" t="e">
        <f t="shared" ca="1" si="541"/>
        <v>#NUM!</v>
      </c>
      <c r="BS183" s="3">
        <f t="shared" ca="1" si="614"/>
        <v>0</v>
      </c>
      <c r="BT183" s="3" t="str">
        <f t="shared" ca="1" si="542"/>
        <v/>
      </c>
      <c r="BU183" s="3">
        <f t="shared" ca="1" si="615"/>
        <v>0</v>
      </c>
      <c r="BV183" s="3" t="str">
        <f t="shared" ca="1" si="542"/>
        <v/>
      </c>
      <c r="BX183" s="3" t="e">
        <f t="shared" ca="1" si="575"/>
        <v>#NUM!</v>
      </c>
      <c r="BY183" s="3" t="e">
        <f t="shared" ca="1" si="576"/>
        <v>#NUM!</v>
      </c>
      <c r="BZ183" s="3">
        <f t="shared" ca="1" si="577"/>
        <v>0</v>
      </c>
      <c r="CA183" s="3" t="str">
        <f t="shared" ca="1" si="576"/>
        <v/>
      </c>
      <c r="CB183" s="3">
        <f t="shared" ca="1" si="578"/>
        <v>0</v>
      </c>
      <c r="CC183" s="3" t="str">
        <f t="shared" ca="1" si="576"/>
        <v/>
      </c>
      <c r="CD183" s="3">
        <f>IF(RTD("tos.rtd",,CD$43,"."&amp;$B$134&amp;$AS$82&amp;"C"&amp;$A183)="N/A",0,RTD("tos.rtd",,CD$43,"."&amp;$B$134&amp;$AS$82&amp;"C"&amp;$A183))</f>
        <v>1</v>
      </c>
      <c r="CE183" s="3">
        <f>-IF(RTD("tos.rtd",,CE$43,"."&amp;$B$134&amp;$AS$82&amp;"P"&amp;$A183)="N/A",0,RTD("tos.rtd",,CE$43,"."&amp;$B$134&amp;$AS$82&amp;"P"&amp;$A183))</f>
        <v>0.06</v>
      </c>
      <c r="CF183" s="3">
        <f>IF(RTD("tos.rtd",,CF$2,"."&amp;$C$134&amp;$AU$82&amp;"C"&amp;$A183)="N/A",0,RTD("tos.rtd",,CF$2,"."&amp;$C$134&amp;$AU$82&amp;"C"&amp;$A183))</f>
        <v>0</v>
      </c>
      <c r="CG183" s="3">
        <f>-IF(RTD("tos.rtd",,CG$2,"."&amp;$C$134&amp;$AU$82&amp;"P"&amp;$A183)="N/A",0,RTD("tos.rtd",,CG$2,"."&amp;$C$134&amp;$AU$82&amp;"P"&amp;$A183))</f>
        <v>0</v>
      </c>
      <c r="CH183" s="3">
        <f>IF(RTD("tos.rtd",,CH$2,"."&amp;$D$134&amp;$AW$82&amp;"C"&amp;$A183)="N/A",0,RTD("tos.rtd",,CH$2,"."&amp;$D$134&amp;$AW$82&amp;"C"&amp;$A183))</f>
        <v>0</v>
      </c>
      <c r="CI183" s="3">
        <f>-IF(RTD("tos.rtd",,CI$2,"."&amp;$D$134&amp;$AW$82&amp;"P"&amp;$A183)="N/A",0,RTD("tos.rtd",,CI$2,"."&amp;$D$134&amp;$AW$82&amp;"P"&amp;$A183))</f>
        <v>0</v>
      </c>
      <c r="CK183" s="3">
        <f t="shared" si="648"/>
        <v>76</v>
      </c>
      <c r="CL183" s="3"/>
      <c r="CM183" s="3">
        <f t="shared" si="649"/>
        <v>0</v>
      </c>
      <c r="CN183" s="3"/>
      <c r="CO183" s="3">
        <f t="shared" si="650"/>
        <v>0</v>
      </c>
      <c r="CP183" s="3">
        <f t="shared" si="533"/>
        <v>76</v>
      </c>
      <c r="CQ183" s="3">
        <f t="shared" si="543"/>
        <v>-57</v>
      </c>
      <c r="CR183" s="3"/>
      <c r="CS183" s="3">
        <f t="shared" si="544"/>
        <v>0</v>
      </c>
      <c r="CT183" s="3"/>
      <c r="CU183" s="3">
        <f t="shared" si="545"/>
        <v>0</v>
      </c>
      <c r="CV183" s="3"/>
      <c r="CW183" s="3" t="e">
        <f t="shared" ca="1" si="546"/>
        <v>#NUM!</v>
      </c>
      <c r="CY183" s="3" t="e">
        <f t="shared" ca="1" si="547"/>
        <v>#NUM!</v>
      </c>
      <c r="CZ183" s="70" t="e">
        <f t="shared" ca="1" si="579"/>
        <v>#NUM!</v>
      </c>
      <c r="DA183" s="3">
        <f>IF(RTD("tos.rtd",,DA$43,"."&amp;$B$134&amp;$AS$82&amp;"C"&amp;$A183)="N/A",0,RTD("tos.rtd",,DA$43,"."&amp;$B$134&amp;$AS$82&amp;"C"&amp;$A183))</f>
        <v>258.8</v>
      </c>
      <c r="DB183" s="3">
        <f>IF(RTD("tos.rtd",,DB$43,"."&amp;$B$134&amp;$AS$82&amp;"P"&amp;$A183)="N/A",0,RTD("tos.rtd",,DB$43,"."&amp;$B$134&amp;$AS$82&amp;"P"&amp;$A183))</f>
        <v>0.1</v>
      </c>
      <c r="DC183" s="3">
        <f>IF(RTD("tos.rtd",,DC$43,"."&amp;$B$134&amp;$AS$82&amp;"C"&amp;$A183)="N/A",0,RTD("tos.rtd",,DC$43,"."&amp;$B$134&amp;$AS$82&amp;"C"&amp;$A183))</f>
        <v>612</v>
      </c>
      <c r="DD183" s="3">
        <f>IF(RTD("tos.rtd",,DD$43,"."&amp;$B$134&amp;$AS$82&amp;"P"&amp;$A183)="N/A",0,RTD("tos.rtd",,DD$43,"."&amp;$B$134&amp;$AS$82&amp;"P"&amp;$A183))</f>
        <v>19.8</v>
      </c>
      <c r="DE183" s="3">
        <f>IF(RTD("tos.rtd",,DE$43,"."&amp;$B$134&amp;$AS$82&amp;"C"&amp;$A183)="N/A",0,RTD("tos.rtd",,DE$43,"."&amp;$B$134&amp;$AS$82&amp;"C"&amp;$A183))</f>
        <v>546.5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580"/>
        <v>-572</v>
      </c>
      <c r="DH183" s="3">
        <f t="shared" si="548"/>
        <v>0</v>
      </c>
      <c r="DI183" s="3">
        <f t="shared" si="549"/>
        <v>0</v>
      </c>
      <c r="DJ183" s="3">
        <f t="shared" si="550"/>
        <v>0</v>
      </c>
      <c r="DK183" s="3">
        <f t="shared" si="551"/>
        <v>0</v>
      </c>
      <c r="DL183" s="3">
        <f t="shared" si="552"/>
        <v>0</v>
      </c>
      <c r="DM183" s="3">
        <f t="shared" si="553"/>
        <v>0</v>
      </c>
      <c r="DN183" s="64" t="str">
        <f t="shared" si="554"/>
        <v>UNKNOWN</v>
      </c>
      <c r="DO183" s="64" t="str">
        <f t="shared" si="555"/>
        <v>UNKNOWN</v>
      </c>
      <c r="DP183" s="3">
        <f t="shared" si="556"/>
        <v>0</v>
      </c>
      <c r="DQ183" s="3">
        <f t="shared" si="557"/>
        <v>0</v>
      </c>
      <c r="DR183" s="3" t="e">
        <f t="shared" ca="1" si="558"/>
        <v>#NUM!</v>
      </c>
      <c r="DS183" s="3">
        <f t="shared" si="559"/>
        <v>0</v>
      </c>
      <c r="DT183" s="3">
        <f t="shared" si="581"/>
        <v>0</v>
      </c>
      <c r="DU183" s="3">
        <f t="shared" si="582"/>
        <v>0</v>
      </c>
      <c r="DV183" s="3">
        <f t="shared" si="560"/>
        <v>-17</v>
      </c>
      <c r="DW183" s="3">
        <f t="shared" si="561"/>
        <v>274</v>
      </c>
      <c r="DX183" s="3" t="e">
        <f t="shared" ca="1" si="642"/>
        <v>#NUM!</v>
      </c>
      <c r="DY183" s="3" t="e">
        <f t="shared" ca="1" si="643"/>
        <v>#NUM!</v>
      </c>
      <c r="DZ183" s="3">
        <f t="shared" ca="1" si="644"/>
        <v>3.6684626624806883E-4</v>
      </c>
      <c r="EA183" s="3">
        <f t="shared" ca="1" si="645"/>
        <v>-3.6684626624806883E-4</v>
      </c>
      <c r="EB183" s="3">
        <f t="shared" ca="1" si="646"/>
        <v>3.6684626624806883E-4</v>
      </c>
      <c r="EC183" s="3">
        <f t="shared" ca="1" si="647"/>
        <v>-3.6684626624806883E-4</v>
      </c>
      <c r="EE183" s="59">
        <f t="shared" si="568"/>
        <v>0.25</v>
      </c>
      <c r="EF183" s="59">
        <f t="shared" si="569"/>
        <v>2.5169999999999999</v>
      </c>
      <c r="EG183" s="59">
        <f t="shared" si="570"/>
        <v>0.25</v>
      </c>
      <c r="EH183" s="59">
        <f t="shared" si="571"/>
        <v>0.25</v>
      </c>
      <c r="EI183" s="59">
        <f t="shared" si="572"/>
        <v>0.25</v>
      </c>
      <c r="EJ183" s="59">
        <f t="shared" si="573"/>
        <v>0.25</v>
      </c>
      <c r="EL183" s="3" t="str">
        <f>RTD("tos.rtd",,EL$43,"."&amp;$B$134&amp;$AS$82&amp;"C"&amp;$A183)</f>
        <v>--</v>
      </c>
      <c r="EM183" s="3" t="str">
        <f>RTD("tos.rtd",,EM$43,"."&amp;$B$134&amp;$AS$82&amp;"P"&amp;$A183)</f>
        <v>251.70%</v>
      </c>
      <c r="EN183" s="3" t="str">
        <f>RTD("tos.rtd",,EN$2,"."&amp;$C$134&amp;$AU$82&amp;"C"&amp;$A183)</f>
        <v>N/A</v>
      </c>
      <c r="EO183" s="3" t="str">
        <f>RTD("tos.rtd",,EO$2,"."&amp;$C$134&amp;$AU$82&amp;"P"&amp;$A183)</f>
        <v>N/A</v>
      </c>
      <c r="EP183" s="3" t="str">
        <f>RTD("tos.rtd",,EP$2,"."&amp;$D$134&amp;$AW$82&amp;"C"&amp;$A183)</f>
        <v>N/A</v>
      </c>
      <c r="EQ183" s="3" t="str">
        <f>RTD("tos.rtd",,EQ$2,"."&amp;$D$134&amp;$AW$82&amp;"P"&amp;$A183)</f>
        <v>N/A</v>
      </c>
      <c r="ET183" s="64" t="str">
        <f t="shared" ca="1" si="574"/>
        <v>19520,00.00</v>
      </c>
      <c r="EU183" s="68">
        <v>565.16</v>
      </c>
      <c r="EV183" s="68" t="s">
        <v>1484</v>
      </c>
      <c r="EW183" s="68">
        <v>487.93</v>
      </c>
      <c r="EX183" s="68" t="s">
        <v>1485</v>
      </c>
      <c r="EY183" s="68">
        <v>5667.25</v>
      </c>
      <c r="EZ183" s="68" t="s">
        <v>1486</v>
      </c>
      <c r="FA183" s="68">
        <v>20049.5</v>
      </c>
      <c r="FB183" s="68" t="s">
        <v>1487</v>
      </c>
      <c r="FC183" s="68" t="s">
        <v>1488</v>
      </c>
      <c r="FD183" s="68" t="s">
        <v>1489</v>
      </c>
      <c r="FE183" s="68" t="s">
        <v>1490</v>
      </c>
      <c r="FF183" s="68" t="s">
        <v>1491</v>
      </c>
    </row>
    <row r="184" spans="1:162" ht="11.1" customHeight="1" thickBot="1" x14ac:dyDescent="0.25">
      <c r="A184" s="2">
        <f t="shared" si="583"/>
        <v>19500</v>
      </c>
      <c r="B184" s="3">
        <f t="shared" si="616"/>
        <v>152</v>
      </c>
      <c r="C184" s="3">
        <f t="shared" si="617"/>
        <v>30</v>
      </c>
      <c r="D184" s="3">
        <f t="shared" si="618"/>
        <v>175</v>
      </c>
      <c r="E184" s="3">
        <f t="shared" si="651"/>
        <v>357</v>
      </c>
      <c r="F184" s="4">
        <f t="shared" si="611"/>
        <v>19597.053553653197</v>
      </c>
      <c r="G184" s="5">
        <f t="shared" si="652"/>
        <v>474.55305594266372</v>
      </c>
      <c r="AM184" s="1">
        <v>2</v>
      </c>
      <c r="AN184" s="1">
        <v>-6</v>
      </c>
      <c r="AO184" s="1">
        <v>19500</v>
      </c>
      <c r="AP184" s="1">
        <v>56</v>
      </c>
      <c r="AQ184" s="1">
        <v>-310</v>
      </c>
      <c r="AS184" s="54">
        <f>IF(RTD("tos.rtd",,AS$83,"."&amp;$B$134&amp;$AS$82&amp;"C"&amp;$A184)="N/A",0,RTD("tos.rtd",,AS$83,"."&amp;$B$134&amp;$AS$82&amp;"C"&amp;$A184))</f>
        <v>70</v>
      </c>
      <c r="AT184" s="3">
        <f>-IF(RTD("tos.rtd",,AT$83,"."&amp;$B$134&amp;$AS$82&amp;"P"&amp;$A184)="N/A",0,RTD("tos.rtd",,AT$83,"."&amp;$B$134&amp;$AS$82&amp;"P"&amp;$A184))</f>
        <v>-82</v>
      </c>
      <c r="AU184" s="54">
        <f>IF(RTD("tos.rtd",,AU$2,"."&amp;$C$134&amp;$AU$134&amp;"C"&amp;$A184)="N/A",0,RTD("tos.rtd",,AU$2,"."&amp;$C$134&amp;$AU$134&amp;"C"&amp;$A184))</f>
        <v>18</v>
      </c>
      <c r="AV184" s="3">
        <f>-IF(RTD("tos.rtd",,AV$2,"."&amp;$C$134&amp;$AU$134&amp;"P"&amp;$A184)="N/A",0,RTD("tos.rtd",,AV$2,"."&amp;$C$134&amp;$AU$134&amp;"P"&amp;$A184))</f>
        <v>-12</v>
      </c>
      <c r="AW184" s="54">
        <f>IF(RTD("tos.rtd",,AW$2,"."&amp;$D$134&amp;$AW$134&amp;"C"&amp;$A184)="N/A",0,RTD("tos.rtd",,AW$2,"."&amp;$D$134&amp;$AW$134&amp;"C"&amp;$A184))</f>
        <v>78</v>
      </c>
      <c r="AX184" s="3">
        <f>-IF(RTD("tos.rtd",,AX$2,"."&amp;$D$134&amp;$AW$134&amp;"P"&amp;$A184)="N/A",0,RTD("tos.rtd",,AX$2,"."&amp;$D$134&amp;$AW$134&amp;"P"&amp;$A184))</f>
        <v>-97</v>
      </c>
      <c r="AY184" s="76">
        <f t="shared" si="612"/>
        <v>-25</v>
      </c>
      <c r="AZ184" s="8">
        <f t="shared" si="539"/>
        <v>19500</v>
      </c>
      <c r="BA184" s="54">
        <f>IF(RTD("tos.rtd",,BA$43,"."&amp;$B$134&amp;$AS$82&amp;"C"&amp;$A184)="N/A",0,RTD("tos.rtd",,BA$43,"."&amp;$B$134&amp;$AS$82&amp;"C"&amp;$A184))</f>
        <v>56</v>
      </c>
      <c r="BB184" s="3">
        <f>-IF(RTD("tos.rtd",,BB$43,"."&amp;$B$134&amp;$AS$82&amp;"P"&amp;$A184)="N/A",0,RTD("tos.rtd",,BB$43,"."&amp;$B$134&amp;$AS$82&amp;"P"&amp;$A184))</f>
        <v>-310</v>
      </c>
      <c r="BC184" s="54">
        <f>IF(RTD("tos.rtd",,BC$2,"."&amp;$C$134&amp;$AU$82&amp;"C"&amp;$A184)="N/A",0,RTD("tos.rtd",,BC$2,"."&amp;$C$134&amp;$AU$82&amp;"C"&amp;$A184))</f>
        <v>7</v>
      </c>
      <c r="BD184" s="3">
        <f>-IF(RTD("tos.rtd",,BD$2,"."&amp;$C$134&amp;$AU$82&amp;"P"&amp;$A184)="N/A",0,RTD("tos.rtd",,BD$2,"."&amp;$C$134&amp;$AU$82&amp;"P"&amp;$A184))</f>
        <v>-25</v>
      </c>
      <c r="BE184" s="54">
        <f>IF(RTD("tos.rtd",,BE$2,"."&amp;$D$134&amp;$AW$82&amp;"C"&amp;$A184)="N/A",0,RTD("tos.rtd",,BE$2,"."&amp;$D$134&amp;$AW$82&amp;"C"&amp;$A184))</f>
        <v>0</v>
      </c>
      <c r="BF184" s="3">
        <f>-IF(RTD("tos.rtd",,BF$2,"."&amp;$D$134&amp;$AW$82&amp;"P"&amp;$A184)="N/A",0,RTD("tos.rtd",,BF$2,"."&amp;$D$134&amp;$AW$82&amp;"P"&amp;$A184))</f>
        <v>-34</v>
      </c>
      <c r="BG184" s="3" t="e">
        <f ca="1">+Hoja2!Y185</f>
        <v>#N/A</v>
      </c>
      <c r="BH184" s="7" t="e">
        <f t="shared" ca="1" si="540"/>
        <v>#N/A</v>
      </c>
      <c r="BI184" s="32" t="e">
        <f t="shared" ca="1" si="597"/>
        <v>#N/A</v>
      </c>
      <c r="BJ184" s="3" t="e">
        <f ca="1">IF($BP$1=1,DX184,IF(RTD("tos.rtd",,BJ$43,"."&amp;$B$134&amp;$AS$82&amp;"C"&amp;$A184)="N/A",0,RTD("tos.rtd",,BJ$43,"."&amp;$B$134&amp;$AS$82&amp;"C"&amp;$A184)))</f>
        <v>#NUM!</v>
      </c>
      <c r="BK184" s="3" t="e">
        <f ca="1">IF($BP$1=1,DY184,-IF(RTD("tos.rtd",,BK$43,"."&amp;$B$134&amp;$AS$82&amp;"P"&amp;$A184)="N/A",0,RTD("tos.rtd",,BK$43,"."&amp;$B$134&amp;$AS$82&amp;"P"&amp;$A184)))</f>
        <v>#NUM!</v>
      </c>
      <c r="BL184" s="3">
        <f ca="1">IF($BP$1=1,DZ184,IF(RTD("tos.rtd",,BL$2,"."&amp;$C$134&amp;$AU$82&amp;"C"&amp;$A184)="N/A",0,RTD("tos.rtd",,BL$2,"."&amp;$C$134&amp;$AU$82&amp;"C"&amp;$A184)))</f>
        <v>3.6316549892523195E-4</v>
      </c>
      <c r="BM184" s="3">
        <f ca="1">IF($BP$1=1,EA184,-IF(RTD("tos.rtd",,BM$2,"."&amp;$C$134&amp;$AU$82&amp;"P"&amp;$A184)="N/A",0,RTD("tos.rtd",,BM$2,"."&amp;$C$134&amp;$AU$82&amp;"P"&amp;$A184)))</f>
        <v>-3.5456219263687493E-4</v>
      </c>
      <c r="BN184" s="3">
        <f ca="1">IF($BP$1=1,EB184,IF(RTD("tos.rtd",,BN$2,"."&amp;$D$134&amp;$AW$82&amp;"C"&amp;$A184)="N/A",0,RTD("tos.rtd",,BN$2,"."&amp;$D$134&amp;$AW$82&amp;"C"&amp;$A184)))</f>
        <v>3.6538059618076041E-4</v>
      </c>
      <c r="BO184" s="3">
        <f ca="1">IF($BP$1=1,EC184,-IF(RTD("tos.rtd",,BO$2,"."&amp;$D$134&amp;$AW$82&amp;"P"&amp;$A184)="N/A",0,RTD("tos.rtd",,BO$2,"."&amp;$D$134&amp;$AW$82&amp;"P"&amp;$A184)))</f>
        <v>-3.5549287627304155E-4</v>
      </c>
      <c r="BQ184" s="3" t="e">
        <f t="shared" ca="1" si="613"/>
        <v>#NUM!</v>
      </c>
      <c r="BR184" s="3" t="e">
        <f t="shared" ca="1" si="541"/>
        <v>#NUM!</v>
      </c>
      <c r="BS184" s="3">
        <f t="shared" ca="1" si="614"/>
        <v>73779.454154979758</v>
      </c>
      <c r="BT184" s="3" t="str">
        <f t="shared" ca="1" si="542"/>
        <v/>
      </c>
      <c r="BU184" s="3">
        <f t="shared" ca="1" si="615"/>
        <v>-193420.90660584613</v>
      </c>
      <c r="BV184" s="3" t="str">
        <f t="shared" ca="1" si="542"/>
        <v/>
      </c>
      <c r="BX184" s="3" t="e">
        <f t="shared" ca="1" si="575"/>
        <v>#NUM!</v>
      </c>
      <c r="BY184" s="3" t="e">
        <f t="shared" ca="1" si="576"/>
        <v>#NUM!</v>
      </c>
      <c r="BZ184" s="3">
        <f t="shared" ca="1" si="577"/>
        <v>-1511.4508682894125</v>
      </c>
      <c r="CA184" s="3" t="str">
        <f t="shared" ca="1" si="576"/>
        <v/>
      </c>
      <c r="CB184" s="3">
        <f t="shared" ca="1" si="578"/>
        <v>-2889.724795661662</v>
      </c>
      <c r="CC184" s="3" t="str">
        <f t="shared" ca="1" si="576"/>
        <v/>
      </c>
      <c r="CD184" s="3">
        <f>IF(RTD("tos.rtd",,CD$43,"."&amp;$B$134&amp;$AS$82&amp;"C"&amp;$A184)="N/A",0,RTD("tos.rtd",,CD$43,"."&amp;$B$134&amp;$AS$82&amp;"C"&amp;$A184))</f>
        <v>1</v>
      </c>
      <c r="CE184" s="3">
        <f>-IF(RTD("tos.rtd",,CE$43,"."&amp;$B$134&amp;$AS$82&amp;"P"&amp;$A184)="N/A",0,RTD("tos.rtd",,CE$43,"."&amp;$B$134&amp;$AS$82&amp;"P"&amp;$A184))</f>
        <v>0</v>
      </c>
      <c r="CF184" s="3">
        <f>IF(RTD("tos.rtd",,CF$2,"."&amp;$C$134&amp;$AU$82&amp;"C"&amp;$A184)="N/A",0,RTD("tos.rtd",,CF$2,"."&amp;$C$134&amp;$AU$82&amp;"C"&amp;$A184))</f>
        <v>0.83</v>
      </c>
      <c r="CG184" s="3">
        <f>-IF(RTD("tos.rtd",,CG$2,"."&amp;$C$134&amp;$AU$82&amp;"P"&amp;$A184)="N/A",0,RTD("tos.rtd",,CG$2,"."&amp;$C$134&amp;$AU$82&amp;"P"&amp;$A184))</f>
        <v>0.19</v>
      </c>
      <c r="CH184" s="3">
        <f>IF(RTD("tos.rtd",,CH$2,"."&amp;$D$134&amp;$AW$82&amp;"C"&amp;$A184)="N/A",0,RTD("tos.rtd",,CH$2,"."&amp;$D$134&amp;$AW$82&amp;"C"&amp;$A184))</f>
        <v>0.76</v>
      </c>
      <c r="CI184" s="3">
        <f>-IF(RTD("tos.rtd",,CI$2,"."&amp;$D$134&amp;$AW$82&amp;"P"&amp;$A184)="N/A",0,RTD("tos.rtd",,CI$2,"."&amp;$D$134&amp;$AW$82&amp;"P"&amp;$A184))</f>
        <v>0.25</v>
      </c>
      <c r="CK184" s="3">
        <f t="shared" si="648"/>
        <v>7000</v>
      </c>
      <c r="CL184" s="3"/>
      <c r="CM184" s="3">
        <f t="shared" si="649"/>
        <v>1266</v>
      </c>
      <c r="CN184" s="3"/>
      <c r="CO184" s="3">
        <f t="shared" si="650"/>
        <v>3503</v>
      </c>
      <c r="CP184" s="3">
        <f t="shared" si="533"/>
        <v>11769</v>
      </c>
      <c r="CQ184" s="3">
        <f t="shared" si="543"/>
        <v>-254</v>
      </c>
      <c r="CR184" s="3"/>
      <c r="CS184" s="3">
        <f t="shared" si="544"/>
        <v>-18</v>
      </c>
      <c r="CT184" s="3"/>
      <c r="CU184" s="3">
        <f t="shared" si="545"/>
        <v>-34</v>
      </c>
      <c r="CV184" s="3"/>
      <c r="CW184" s="3" t="e">
        <f t="shared" ca="1" si="546"/>
        <v>#NUM!</v>
      </c>
      <c r="CY184" s="3" t="e">
        <f t="shared" ca="1" si="547"/>
        <v>#NUM!</v>
      </c>
      <c r="CZ184" s="70" t="e">
        <f t="shared" ca="1" si="579"/>
        <v>#NUM!</v>
      </c>
      <c r="DA184" s="3">
        <f>IF(RTD("tos.rtd",,DA$43,"."&amp;$B$134&amp;$AS$82&amp;"C"&amp;$A184)="N/A",0,RTD("tos.rtd",,DA$43,"."&amp;$B$134&amp;$AS$82&amp;"C"&amp;$A184))</f>
        <v>615.80999999999995</v>
      </c>
      <c r="DB184" s="3">
        <f>IF(RTD("tos.rtd",,DB$43,"."&amp;$B$134&amp;$AS$82&amp;"P"&amp;$A184)="N/A",0,RTD("tos.rtd",,DB$43,"."&amp;$B$134&amp;$AS$82&amp;"P"&amp;$A184))</f>
        <v>0.25</v>
      </c>
      <c r="DC184" s="3">
        <f>IF(RTD("tos.rtd",,DC$43,"."&amp;$B$134&amp;$AS$82&amp;"C"&amp;$A184)="N/A",0,RTD("tos.rtd",,DC$43,"."&amp;$B$134&amp;$AS$82&amp;"C"&amp;$A184))</f>
        <v>632</v>
      </c>
      <c r="DD184" s="3">
        <f>IF(RTD("tos.rtd",,DD$43,"."&amp;$B$134&amp;$AS$82&amp;"P"&amp;$A184)="N/A",0,RTD("tos.rtd",,DD$43,"."&amp;$B$134&amp;$AS$82&amp;"P"&amp;$A184))</f>
        <v>0.45</v>
      </c>
      <c r="DE184" s="3">
        <f>IF(RTD("tos.rtd",,DE$43,"."&amp;$B$134&amp;$AS$82&amp;"C"&amp;$A184)="N/A",0,RTD("tos.rtd",,DE$43,"."&amp;$B$134&amp;$AS$82&amp;"C"&amp;$A184))</f>
        <v>566.5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580"/>
        <v>-592</v>
      </c>
      <c r="DH184" s="3">
        <f t="shared" si="548"/>
        <v>0</v>
      </c>
      <c r="DI184" s="3">
        <f t="shared" si="549"/>
        <v>0</v>
      </c>
      <c r="DJ184" s="3">
        <f t="shared" si="550"/>
        <v>0</v>
      </c>
      <c r="DK184" s="3">
        <f t="shared" si="551"/>
        <v>0</v>
      </c>
      <c r="DL184" s="3">
        <f t="shared" si="552"/>
        <v>0</v>
      </c>
      <c r="DM184" s="3">
        <f t="shared" si="553"/>
        <v>0</v>
      </c>
      <c r="DN184" s="64" t="str">
        <f t="shared" si="554"/>
        <v>UNKNOWN</v>
      </c>
      <c r="DO184" s="64" t="str">
        <f t="shared" si="555"/>
        <v>UNKNOWN</v>
      </c>
      <c r="DP184" s="3">
        <f t="shared" si="556"/>
        <v>0</v>
      </c>
      <c r="DQ184" s="3">
        <f t="shared" si="557"/>
        <v>0</v>
      </c>
      <c r="DR184" s="3" t="e">
        <f t="shared" ca="1" si="558"/>
        <v>#NUM!</v>
      </c>
      <c r="DS184" s="3">
        <f t="shared" si="559"/>
        <v>0</v>
      </c>
      <c r="DT184" s="3">
        <f t="shared" si="581"/>
        <v>0</v>
      </c>
      <c r="DU184" s="3">
        <f t="shared" si="582"/>
        <v>0</v>
      </c>
      <c r="DV184" s="3">
        <f t="shared" si="560"/>
        <v>2</v>
      </c>
      <c r="DW184" s="3">
        <f t="shared" si="561"/>
        <v>-6</v>
      </c>
      <c r="DX184" s="3" t="e">
        <f t="shared" ca="1" si="642"/>
        <v>#NUM!</v>
      </c>
      <c r="DY184" s="3" t="e">
        <f t="shared" ca="1" si="643"/>
        <v>#NUM!</v>
      </c>
      <c r="DZ184" s="3">
        <f t="shared" ca="1" si="644"/>
        <v>3.6316549892523195E-4</v>
      </c>
      <c r="EA184" s="3">
        <f t="shared" ca="1" si="645"/>
        <v>-3.5456219263687493E-4</v>
      </c>
      <c r="EB184" s="3">
        <f t="shared" ca="1" si="646"/>
        <v>3.6538059618076041E-4</v>
      </c>
      <c r="EC184" s="3">
        <f t="shared" ca="1" si="647"/>
        <v>-3.5549287627304155E-4</v>
      </c>
      <c r="EE184" s="59">
        <f t="shared" si="568"/>
        <v>0.25</v>
      </c>
      <c r="EF184" s="59">
        <f t="shared" si="569"/>
        <v>1.4851000000000001</v>
      </c>
      <c r="EG184" s="59">
        <f t="shared" si="570"/>
        <v>0.2442</v>
      </c>
      <c r="EH184" s="59">
        <f t="shared" si="571"/>
        <v>0.25850000000000001</v>
      </c>
      <c r="EI184" s="59">
        <f t="shared" si="572"/>
        <v>0.24030000000000001</v>
      </c>
      <c r="EJ184" s="59">
        <f t="shared" si="573"/>
        <v>0.25700000000000001</v>
      </c>
      <c r="EL184" s="3" t="str">
        <f>RTD("tos.rtd",,EL$43,"."&amp;$B$134&amp;$AS$82&amp;"C"&amp;$A184)</f>
        <v>--</v>
      </c>
      <c r="EM184" s="3" t="str">
        <f>RTD("tos.rtd",,EM$43,"."&amp;$B$134&amp;$AS$82&amp;"P"&amp;$A184)</f>
        <v>148.51%</v>
      </c>
      <c r="EN184" s="3" t="str">
        <f>RTD("tos.rtd",,EN$2,"."&amp;$C$134&amp;$AU$82&amp;"C"&amp;$A184)</f>
        <v>24.42%</v>
      </c>
      <c r="EO184" s="3" t="str">
        <f>RTD("tos.rtd",,EO$2,"."&amp;$C$134&amp;$AU$82&amp;"P"&amp;$A184)</f>
        <v>25.85%</v>
      </c>
      <c r="EP184" s="3" t="str">
        <f>RTD("tos.rtd",,EP$2,"."&amp;$D$134&amp;$AW$82&amp;"C"&amp;$A184)</f>
        <v>24.03%</v>
      </c>
      <c r="EQ184" s="3" t="str">
        <f>RTD("tos.rtd",,EQ$2,"."&amp;$D$134&amp;$AW$82&amp;"P"&amp;$A184)</f>
        <v>25.70%</v>
      </c>
      <c r="ET184" s="64" t="str">
        <f t="shared" ca="1" si="574"/>
        <v>19500,00.00</v>
      </c>
      <c r="EU184" s="68">
        <v>564.88</v>
      </c>
      <c r="EV184" s="68" t="s">
        <v>1492</v>
      </c>
      <c r="EW184" s="68">
        <v>487.68</v>
      </c>
      <c r="EX184" s="68" t="s">
        <v>1493</v>
      </c>
      <c r="EY184" s="68">
        <v>5664.5</v>
      </c>
      <c r="EZ184" s="68" t="s">
        <v>1494</v>
      </c>
      <c r="FA184" s="68">
        <v>20038.5</v>
      </c>
      <c r="FB184" s="68" t="s">
        <v>1495</v>
      </c>
      <c r="FC184" s="68" t="s">
        <v>1496</v>
      </c>
      <c r="FD184" s="68" t="s">
        <v>1497</v>
      </c>
      <c r="FE184" s="68" t="s">
        <v>1498</v>
      </c>
      <c r="FF184" s="68" t="s">
        <v>1499</v>
      </c>
    </row>
    <row r="185" spans="1:162" ht="11.1" customHeight="1" thickBot="1" x14ac:dyDescent="0.25">
      <c r="A185" s="2">
        <f t="shared" si="583"/>
        <v>19480</v>
      </c>
      <c r="B185" s="3">
        <f t="shared" si="616"/>
        <v>7</v>
      </c>
      <c r="C185" s="3">
        <f t="shared" si="617"/>
        <v>0</v>
      </c>
      <c r="D185" s="3">
        <f t="shared" si="618"/>
        <v>0</v>
      </c>
      <c r="E185" s="3">
        <f t="shared" si="651"/>
        <v>7</v>
      </c>
      <c r="F185" s="4">
        <f t="shared" si="611"/>
        <v>19576.954011546884</v>
      </c>
      <c r="G185" s="5">
        <f t="shared" si="652"/>
        <v>474.06633485964562</v>
      </c>
      <c r="AM185" s="1">
        <v>0</v>
      </c>
      <c r="AN185" s="1">
        <v>85</v>
      </c>
      <c r="AO185" s="1">
        <v>19480</v>
      </c>
      <c r="AP185" s="1">
        <v>0</v>
      </c>
      <c r="AQ185" s="1">
        <v>-4</v>
      </c>
      <c r="AS185" s="54">
        <f>IF(RTD("tos.rtd",,AS$83,"."&amp;$B$134&amp;$AS$82&amp;"C"&amp;$A185)="N/A",0,RTD("tos.rtd",,AS$83,"."&amp;$B$134&amp;$AS$82&amp;"C"&amp;$A185))</f>
        <v>4</v>
      </c>
      <c r="AT185" s="3">
        <f>-IF(RTD("tos.rtd",,AT$83,"."&amp;$B$134&amp;$AS$82&amp;"P"&amp;$A185)="N/A",0,RTD("tos.rtd",,AT$83,"."&amp;$B$134&amp;$AS$82&amp;"P"&amp;$A185))</f>
        <v>-3</v>
      </c>
      <c r="AU185" s="54">
        <f>IF(RTD("tos.rtd",,AU$2,"."&amp;$C$134&amp;$AU$134&amp;"C"&amp;$A185)="N/A",0,RTD("tos.rtd",,AU$2,"."&amp;$C$134&amp;$AU$134&amp;"C"&amp;$A185))</f>
        <v>0</v>
      </c>
      <c r="AV185" s="3">
        <f>-IF(RTD("tos.rtd",,AV$2,"."&amp;$C$134&amp;$AU$134&amp;"P"&amp;$A185)="N/A",0,RTD("tos.rtd",,AV$2,"."&amp;$C$134&amp;$AU$134&amp;"P"&amp;$A185))</f>
        <v>0</v>
      </c>
      <c r="AW185" s="54">
        <f>IF(RTD("tos.rtd",,AW$2,"."&amp;$D$134&amp;$AW$134&amp;"C"&amp;$A185)="N/A",0,RTD("tos.rtd",,AW$2,"."&amp;$D$134&amp;$AW$134&amp;"C"&amp;$A185))</f>
        <v>0</v>
      </c>
      <c r="AX185" s="3">
        <f>-IF(RTD("tos.rtd",,AX$2,"."&amp;$D$134&amp;$AW$134&amp;"P"&amp;$A185)="N/A",0,RTD("tos.rtd",,AX$2,"."&amp;$D$134&amp;$AW$134&amp;"P"&amp;$A185))</f>
        <v>0</v>
      </c>
      <c r="AY185" s="76">
        <f t="shared" si="612"/>
        <v>1</v>
      </c>
      <c r="AZ185" s="8">
        <f t="shared" si="539"/>
        <v>19480</v>
      </c>
      <c r="BA185" s="54">
        <f>IF(RTD("tos.rtd",,BA$43,"."&amp;$B$134&amp;$AS$82&amp;"C"&amp;$A185)="N/A",0,RTD("tos.rtd",,BA$43,"."&amp;$B$134&amp;$AS$82&amp;"C"&amp;$A185))</f>
        <v>0</v>
      </c>
      <c r="BB185" s="3">
        <f>-IF(RTD("tos.rtd",,BB$43,"."&amp;$B$134&amp;$AS$82&amp;"P"&amp;$A185)="N/A",0,RTD("tos.rtd",,BB$43,"."&amp;$B$134&amp;$AS$82&amp;"P"&amp;$A185))</f>
        <v>-4</v>
      </c>
      <c r="BC185" s="54">
        <f>IF(RTD("tos.rtd",,BC$2,"."&amp;$C$134&amp;$AU$82&amp;"C"&amp;$A185)="N/A",0,RTD("tos.rtd",,BC$2,"."&amp;$C$134&amp;$AU$82&amp;"C"&amp;$A185))</f>
        <v>0</v>
      </c>
      <c r="BD185" s="3">
        <f>-IF(RTD("tos.rtd",,BD$2,"."&amp;$C$134&amp;$AU$82&amp;"P"&amp;$A185)="N/A",0,RTD("tos.rtd",,BD$2,"."&amp;$C$134&amp;$AU$82&amp;"P"&amp;$A185))</f>
        <v>0</v>
      </c>
      <c r="BE185" s="54">
        <f>IF(RTD("tos.rtd",,BE$2,"."&amp;$D$134&amp;$AW$82&amp;"C"&amp;$A185)="N/A",0,RTD("tos.rtd",,BE$2,"."&amp;$D$134&amp;$AW$82&amp;"C"&amp;$A185))</f>
        <v>0</v>
      </c>
      <c r="BF185" s="3">
        <f>-IF(RTD("tos.rtd",,BF$2,"."&amp;$D$134&amp;$AW$82&amp;"P"&amp;$A185)="N/A",0,RTD("tos.rtd",,BF$2,"."&amp;$D$134&amp;$AW$82&amp;"P"&amp;$A185))</f>
        <v>0</v>
      </c>
      <c r="BG185" s="3" t="e">
        <f ca="1">+Hoja2!Y186</f>
        <v>#N/A</v>
      </c>
      <c r="BH185" s="7" t="e">
        <f t="shared" ca="1" si="540"/>
        <v>#N/A</v>
      </c>
      <c r="BI185" s="32" t="e">
        <f t="shared" ca="1" si="597"/>
        <v>#N/A</v>
      </c>
      <c r="BJ185" s="3" t="e">
        <f ca="1">IF($BP$1=1,DX185,IF(RTD("tos.rtd",,BJ$43,"."&amp;$B$134&amp;$AS$82&amp;"C"&amp;$A185)="N/A",0,RTD("tos.rtd",,BJ$43,"."&amp;$B$134&amp;$AS$82&amp;"C"&amp;$A185)))</f>
        <v>#NUM!</v>
      </c>
      <c r="BK185" s="3" t="e">
        <f ca="1">IF($BP$1=1,DY185,-IF(RTD("tos.rtd",,BK$43,"."&amp;$B$134&amp;$AS$82&amp;"P"&amp;$A185)="N/A",0,RTD("tos.rtd",,BK$43,"."&amp;$B$134&amp;$AS$82&amp;"P"&amp;$A185)))</f>
        <v>#NUM!</v>
      </c>
      <c r="BL185" s="3">
        <f ca="1">IF($BP$1=1,DZ185,IF(RTD("tos.rtd",,BL$2,"."&amp;$C$134&amp;$AU$82&amp;"C"&amp;$A185)="N/A",0,RTD("tos.rtd",,BL$2,"."&amp;$C$134&amp;$AU$82&amp;"C"&amp;$A185)))</f>
        <v>3.5256990229787661E-4</v>
      </c>
      <c r="BM185" s="3">
        <f ca="1">IF($BP$1=1,EA185,-IF(RTD("tos.rtd",,BM$2,"."&amp;$C$134&amp;$AU$82&amp;"P"&amp;$A185)="N/A",0,RTD("tos.rtd",,BM$2,"."&amp;$C$134&amp;$AU$82&amp;"P"&amp;$A185)))</f>
        <v>-3.5256990229787661E-4</v>
      </c>
      <c r="BN185" s="3">
        <f ca="1">IF($BP$1=1,EB185,IF(RTD("tos.rtd",,BN$2,"."&amp;$D$134&amp;$AW$82&amp;"C"&amp;$A185)="N/A",0,RTD("tos.rtd",,BN$2,"."&amp;$D$134&amp;$AW$82&amp;"C"&amp;$A185)))</f>
        <v>3.5256990229787661E-4</v>
      </c>
      <c r="BO185" s="3">
        <f ca="1">IF($BP$1=1,EC185,-IF(RTD("tos.rtd",,BO$2,"."&amp;$D$134&amp;$AW$82&amp;"P"&amp;$A185)="N/A",0,RTD("tos.rtd",,BO$2,"."&amp;$D$134&amp;$AW$82&amp;"P"&amp;$A185)))</f>
        <v>-3.5256990229787661E-4</v>
      </c>
      <c r="BQ185" s="3" t="e">
        <f t="shared" ca="1" si="613"/>
        <v>#NUM!</v>
      </c>
      <c r="BR185" s="3" t="e">
        <f t="shared" ca="1" si="541"/>
        <v>#NUM!</v>
      </c>
      <c r="BS185" s="3">
        <f t="shared" ca="1" si="614"/>
        <v>0</v>
      </c>
      <c r="BT185" s="3" t="str">
        <f t="shared" ca="1" si="542"/>
        <v/>
      </c>
      <c r="BU185" s="3">
        <f t="shared" ca="1" si="615"/>
        <v>0</v>
      </c>
      <c r="BV185" s="3" t="str">
        <f t="shared" ca="1" si="542"/>
        <v/>
      </c>
      <c r="BX185" s="3" t="e">
        <f t="shared" ca="1" si="575"/>
        <v>#NUM!</v>
      </c>
      <c r="BY185" s="3" t="e">
        <f t="shared" ca="1" si="576"/>
        <v>#NUM!</v>
      </c>
      <c r="BZ185" s="3">
        <f t="shared" ca="1" si="577"/>
        <v>0</v>
      </c>
      <c r="CA185" s="3" t="str">
        <f t="shared" ca="1" si="576"/>
        <v/>
      </c>
      <c r="CB185" s="3">
        <f t="shared" ca="1" si="578"/>
        <v>0</v>
      </c>
      <c r="CC185" s="3" t="str">
        <f t="shared" ca="1" si="576"/>
        <v/>
      </c>
      <c r="CD185" s="3">
        <f>IF(RTD("tos.rtd",,CD$43,"."&amp;$B$134&amp;$AS$82&amp;"C"&amp;$A185)="N/A",0,RTD("tos.rtd",,CD$43,"."&amp;$B$134&amp;$AS$82&amp;"C"&amp;$A185))</f>
        <v>1</v>
      </c>
      <c r="CE185" s="3">
        <f>-IF(RTD("tos.rtd",,CE$43,"."&amp;$B$134&amp;$AS$82&amp;"P"&amp;$A185)="N/A",0,RTD("tos.rtd",,CE$43,"."&amp;$B$134&amp;$AS$82&amp;"P"&amp;$A185))</f>
        <v>0.06</v>
      </c>
      <c r="CF185" s="3">
        <f>IF(RTD("tos.rtd",,CF$2,"."&amp;$C$134&amp;$AU$82&amp;"C"&amp;$A185)="N/A",0,RTD("tos.rtd",,CF$2,"."&amp;$C$134&amp;$AU$82&amp;"C"&amp;$A185))</f>
        <v>0</v>
      </c>
      <c r="CG185" s="3">
        <f>-IF(RTD("tos.rtd",,CG$2,"."&amp;$C$134&amp;$AU$82&amp;"P"&amp;$A185)="N/A",0,RTD("tos.rtd",,CG$2,"."&amp;$C$134&amp;$AU$82&amp;"P"&amp;$A185))</f>
        <v>0</v>
      </c>
      <c r="CH185" s="3">
        <f>IF(RTD("tos.rtd",,CH$2,"."&amp;$D$134&amp;$AW$82&amp;"C"&amp;$A185)="N/A",0,RTD("tos.rtd",,CH$2,"."&amp;$D$134&amp;$AW$82&amp;"C"&amp;$A185))</f>
        <v>0</v>
      </c>
      <c r="CI185" s="3">
        <f>-IF(RTD("tos.rtd",,CI$2,"."&amp;$D$134&amp;$AW$82&amp;"P"&amp;$A185)="N/A",0,RTD("tos.rtd",,CI$2,"."&amp;$D$134&amp;$AW$82&amp;"P"&amp;$A185))</f>
        <v>0</v>
      </c>
      <c r="CK185" s="3">
        <f t="shared" si="648"/>
        <v>382</v>
      </c>
      <c r="CL185" s="3"/>
      <c r="CM185" s="3">
        <f t="shared" si="649"/>
        <v>0</v>
      </c>
      <c r="CN185" s="3"/>
      <c r="CO185" s="3">
        <f t="shared" si="650"/>
        <v>0</v>
      </c>
      <c r="CP185" s="3">
        <f t="shared" si="533"/>
        <v>382</v>
      </c>
      <c r="CQ185" s="3">
        <f t="shared" si="543"/>
        <v>-4</v>
      </c>
      <c r="CR185" s="3"/>
      <c r="CS185" s="3">
        <f t="shared" si="544"/>
        <v>0</v>
      </c>
      <c r="CT185" s="3"/>
      <c r="CU185" s="3">
        <f t="shared" si="545"/>
        <v>0</v>
      </c>
      <c r="CV185" s="3"/>
      <c r="CW185" s="3" t="e">
        <f t="shared" ca="1" si="546"/>
        <v>#NUM!</v>
      </c>
      <c r="CY185" s="3" t="e">
        <f t="shared" ca="1" si="547"/>
        <v>#NUM!</v>
      </c>
      <c r="CZ185" s="70" t="e">
        <f t="shared" ca="1" si="579"/>
        <v>#NUM!</v>
      </c>
      <c r="DA185" s="3">
        <f>IF(RTD("tos.rtd",,DA$43,"."&amp;$B$134&amp;$AS$82&amp;"C"&amp;$A185)="N/A",0,RTD("tos.rtd",,DA$43,"."&amp;$B$134&amp;$AS$82&amp;"C"&amp;$A185))</f>
        <v>286.8</v>
      </c>
      <c r="DB185" s="3">
        <f>IF(RTD("tos.rtd",,DB$43,"."&amp;$B$134&amp;$AS$82&amp;"P"&amp;$A185)="N/A",0,RTD("tos.rtd",,DB$43,"."&amp;$B$134&amp;$AS$82&amp;"P"&amp;$A185))</f>
        <v>0.4</v>
      </c>
      <c r="DC185" s="3">
        <f>IF(RTD("tos.rtd",,DC$43,"."&amp;$B$134&amp;$AS$82&amp;"C"&amp;$A185)="N/A",0,RTD("tos.rtd",,DC$43,"."&amp;$B$134&amp;$AS$82&amp;"C"&amp;$A185))</f>
        <v>652</v>
      </c>
      <c r="DD185" s="3">
        <f>IF(RTD("tos.rtd",,DD$43,"."&amp;$B$134&amp;$AS$82&amp;"P"&amp;$A185)="N/A",0,RTD("tos.rtd",,DD$43,"."&amp;$B$134&amp;$AS$82&amp;"P"&amp;$A185))</f>
        <v>19.8</v>
      </c>
      <c r="DE185" s="3">
        <f>IF(RTD("tos.rtd",,DE$43,"."&amp;$B$134&amp;$AS$82&amp;"C"&amp;$A185)="N/A",0,RTD("tos.rtd",,DE$43,"."&amp;$B$134&amp;$AS$82&amp;"C"&amp;$A185))</f>
        <v>586.5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580"/>
        <v>-612</v>
      </c>
      <c r="DH185" s="3">
        <f t="shared" si="548"/>
        <v>0</v>
      </c>
      <c r="DI185" s="3">
        <f t="shared" si="549"/>
        <v>0</v>
      </c>
      <c r="DJ185" s="3">
        <f t="shared" si="550"/>
        <v>0</v>
      </c>
      <c r="DK185" s="3">
        <f t="shared" si="551"/>
        <v>0</v>
      </c>
      <c r="DL185" s="3">
        <f t="shared" si="552"/>
        <v>0</v>
      </c>
      <c r="DM185" s="3">
        <f t="shared" si="553"/>
        <v>0</v>
      </c>
      <c r="DN185" s="64" t="str">
        <f t="shared" si="554"/>
        <v>UNKNOWN</v>
      </c>
      <c r="DO185" s="64" t="str">
        <f t="shared" si="555"/>
        <v>UNKNOWN</v>
      </c>
      <c r="DP185" s="3">
        <f t="shared" si="556"/>
        <v>0</v>
      </c>
      <c r="DQ185" s="3">
        <f t="shared" si="557"/>
        <v>0</v>
      </c>
      <c r="DR185" s="3" t="e">
        <f t="shared" ca="1" si="558"/>
        <v>#NUM!</v>
      </c>
      <c r="DS185" s="3">
        <f t="shared" si="559"/>
        <v>0</v>
      </c>
      <c r="DT185" s="3">
        <f t="shared" si="581"/>
        <v>0</v>
      </c>
      <c r="DU185" s="3">
        <f t="shared" si="582"/>
        <v>0</v>
      </c>
      <c r="DV185" s="3">
        <f t="shared" si="560"/>
        <v>0</v>
      </c>
      <c r="DW185" s="3">
        <f t="shared" si="561"/>
        <v>85</v>
      </c>
      <c r="DX185" s="3" t="e">
        <f t="shared" ca="1" si="642"/>
        <v>#NUM!</v>
      </c>
      <c r="DY185" s="3" t="e">
        <f t="shared" ca="1" si="643"/>
        <v>#NUM!</v>
      </c>
      <c r="DZ185" s="3">
        <f t="shared" ca="1" si="644"/>
        <v>3.5256990229787661E-4</v>
      </c>
      <c r="EA185" s="3">
        <f t="shared" ca="1" si="645"/>
        <v>-3.5256990229787661E-4</v>
      </c>
      <c r="EB185" s="3">
        <f t="shared" ca="1" si="646"/>
        <v>3.5256990229787661E-4</v>
      </c>
      <c r="EC185" s="3">
        <f t="shared" ca="1" si="647"/>
        <v>-3.5256990229787661E-4</v>
      </c>
      <c r="EE185" s="59">
        <f t="shared" si="568"/>
        <v>0.25</v>
      </c>
      <c r="EF185" s="59">
        <f t="shared" si="569"/>
        <v>2.6541999999999999</v>
      </c>
      <c r="EG185" s="59">
        <f t="shared" si="570"/>
        <v>0.25</v>
      </c>
      <c r="EH185" s="59">
        <f t="shared" si="571"/>
        <v>0.25</v>
      </c>
      <c r="EI185" s="59">
        <f t="shared" si="572"/>
        <v>0.25</v>
      </c>
      <c r="EJ185" s="59">
        <f t="shared" si="573"/>
        <v>0.25</v>
      </c>
      <c r="EL185" s="3" t="str">
        <f>RTD("tos.rtd",,EL$43,"."&amp;$B$134&amp;$AS$82&amp;"C"&amp;$A185)</f>
        <v>--</v>
      </c>
      <c r="EM185" s="3" t="str">
        <f>RTD("tos.rtd",,EM$43,"."&amp;$B$134&amp;$AS$82&amp;"P"&amp;$A185)</f>
        <v>265.42%</v>
      </c>
      <c r="EN185" s="3" t="str">
        <f>RTD("tos.rtd",,EN$2,"."&amp;$C$134&amp;$AU$82&amp;"C"&amp;$A185)</f>
        <v>N/A</v>
      </c>
      <c r="EO185" s="3" t="str">
        <f>RTD("tos.rtd",,EO$2,"."&amp;$C$134&amp;$AU$82&amp;"P"&amp;$A185)</f>
        <v>N/A</v>
      </c>
      <c r="EP185" s="3" t="str">
        <f>RTD("tos.rtd",,EP$2,"."&amp;$D$134&amp;$AW$82&amp;"C"&amp;$A185)</f>
        <v>N/A</v>
      </c>
      <c r="EQ185" s="3" t="str">
        <f>RTD("tos.rtd",,EQ$2,"."&amp;$D$134&amp;$AW$82&amp;"P"&amp;$A185)</f>
        <v>N/A</v>
      </c>
      <c r="ET185" s="64" t="str">
        <f t="shared" ca="1" si="574"/>
        <v>19480,00.00</v>
      </c>
      <c r="EU185" s="68">
        <v>564.87</v>
      </c>
      <c r="EV185" s="68" t="s">
        <v>1500</v>
      </c>
      <c r="EW185" s="68">
        <v>487.60599999999999</v>
      </c>
      <c r="EX185" s="68" t="s">
        <v>1501</v>
      </c>
      <c r="EY185" s="68">
        <v>5664.25</v>
      </c>
      <c r="EZ185" s="68" t="s">
        <v>1502</v>
      </c>
      <c r="FA185" s="68">
        <v>20036.25</v>
      </c>
      <c r="FB185" s="68" t="s">
        <v>1503</v>
      </c>
      <c r="FC185" s="68" t="s">
        <v>1504</v>
      </c>
      <c r="FD185" s="68" t="s">
        <v>1505</v>
      </c>
      <c r="FE185" s="68" t="s">
        <v>1506</v>
      </c>
      <c r="FF185" s="68" t="s">
        <v>1507</v>
      </c>
    </row>
    <row r="186" spans="1:162" ht="11.1" customHeight="1" thickBot="1" x14ac:dyDescent="0.25">
      <c r="A186" s="2">
        <f t="shared" si="583"/>
        <v>19460</v>
      </c>
      <c r="B186" s="3">
        <f t="shared" si="616"/>
        <v>13</v>
      </c>
      <c r="C186" s="3">
        <f t="shared" si="617"/>
        <v>0</v>
      </c>
      <c r="D186" s="3">
        <f t="shared" si="618"/>
        <v>0</v>
      </c>
      <c r="E186" s="3">
        <f t="shared" si="651"/>
        <v>13</v>
      </c>
      <c r="F186" s="4">
        <f t="shared" si="611"/>
        <v>19556.854469440575</v>
      </c>
      <c r="G186" s="5">
        <f t="shared" si="652"/>
        <v>473.57961377662747</v>
      </c>
      <c r="AM186" s="1" t="e">
        <v>#N/A</v>
      </c>
      <c r="AN186" s="1" t="e">
        <v>#N/A</v>
      </c>
      <c r="AO186" s="1">
        <v>19460</v>
      </c>
      <c r="AP186" s="1">
        <v>1</v>
      </c>
      <c r="AQ186" s="1">
        <v>-20</v>
      </c>
      <c r="AS186" s="54">
        <f>IF(RTD("tos.rtd",,AS$83,"."&amp;$B$134&amp;$AS$82&amp;"C"&amp;$A186)="N/A",0,RTD("tos.rtd",,AS$83,"."&amp;$B$134&amp;$AS$82&amp;"C"&amp;$A186))</f>
        <v>12</v>
      </c>
      <c r="AT186" s="3">
        <f>-IF(RTD("tos.rtd",,AT$83,"."&amp;$B$134&amp;$AS$82&amp;"P"&amp;$A186)="N/A",0,RTD("tos.rtd",,AT$83,"."&amp;$B$134&amp;$AS$82&amp;"P"&amp;$A186))</f>
        <v>-1</v>
      </c>
      <c r="AU186" s="54">
        <f>IF(RTD("tos.rtd",,AU$2,"."&amp;$C$134&amp;$AU$134&amp;"C"&amp;$A186)="N/A",0,RTD("tos.rtd",,AU$2,"."&amp;$C$134&amp;$AU$134&amp;"C"&amp;$A186))</f>
        <v>0</v>
      </c>
      <c r="AV186" s="3">
        <f>-IF(RTD("tos.rtd",,AV$2,"."&amp;$C$134&amp;$AU$134&amp;"P"&amp;$A186)="N/A",0,RTD("tos.rtd",,AV$2,"."&amp;$C$134&amp;$AU$134&amp;"P"&amp;$A186))</f>
        <v>0</v>
      </c>
      <c r="AW186" s="54">
        <f>IF(RTD("tos.rtd",,AW$2,"."&amp;$D$134&amp;$AW$134&amp;"C"&amp;$A186)="N/A",0,RTD("tos.rtd",,AW$2,"."&amp;$D$134&amp;$AW$134&amp;"C"&amp;$A186))</f>
        <v>0</v>
      </c>
      <c r="AX186" s="3">
        <f>-IF(RTD("tos.rtd",,AX$2,"."&amp;$D$134&amp;$AW$134&amp;"P"&amp;$A186)="N/A",0,RTD("tos.rtd",,AX$2,"."&amp;$D$134&amp;$AW$134&amp;"P"&amp;$A186))</f>
        <v>0</v>
      </c>
      <c r="AY186" s="76">
        <f t="shared" si="612"/>
        <v>11</v>
      </c>
      <c r="AZ186" s="8">
        <f t="shared" si="539"/>
        <v>19460</v>
      </c>
      <c r="BA186" s="54">
        <f>IF(RTD("tos.rtd",,BA$43,"."&amp;$B$134&amp;$AS$82&amp;"C"&amp;$A186)="N/A",0,RTD("tos.rtd",,BA$43,"."&amp;$B$134&amp;$AS$82&amp;"C"&amp;$A186))</f>
        <v>1</v>
      </c>
      <c r="BB186" s="3">
        <f>-IF(RTD("tos.rtd",,BB$43,"."&amp;$B$134&amp;$AS$82&amp;"P"&amp;$A186)="N/A",0,RTD("tos.rtd",,BB$43,"."&amp;$B$134&amp;$AS$82&amp;"P"&amp;$A186))</f>
        <v>-20</v>
      </c>
      <c r="BC186" s="54">
        <f>IF(RTD("tos.rtd",,BC$2,"."&amp;$C$134&amp;$AU$82&amp;"C"&amp;$A186)="N/A",0,RTD("tos.rtd",,BC$2,"."&amp;$C$134&amp;$AU$82&amp;"C"&amp;$A186))</f>
        <v>0</v>
      </c>
      <c r="BD186" s="3">
        <f>-IF(RTD("tos.rtd",,BD$2,"."&amp;$C$134&amp;$AU$82&amp;"P"&amp;$A186)="N/A",0,RTD("tos.rtd",,BD$2,"."&amp;$C$134&amp;$AU$82&amp;"P"&amp;$A186))</f>
        <v>0</v>
      </c>
      <c r="BE186" s="54">
        <f>IF(RTD("tos.rtd",,BE$2,"."&amp;$D$134&amp;$AW$82&amp;"C"&amp;$A186)="N/A",0,RTD("tos.rtd",,BE$2,"."&amp;$D$134&amp;$AW$82&amp;"C"&amp;$A186))</f>
        <v>0</v>
      </c>
      <c r="BF186" s="3">
        <f>-IF(RTD("tos.rtd",,BF$2,"."&amp;$D$134&amp;$AW$82&amp;"P"&amp;$A186)="N/A",0,RTD("tos.rtd",,BF$2,"."&amp;$D$134&amp;$AW$82&amp;"P"&amp;$A186))</f>
        <v>0</v>
      </c>
      <c r="BG186" s="3" t="e">
        <f ca="1">+Hoja2!Y187</f>
        <v>#N/A</v>
      </c>
      <c r="BH186" s="7" t="e">
        <f t="shared" ca="1" si="540"/>
        <v>#N/A</v>
      </c>
      <c r="BI186" s="32" t="e">
        <f t="shared" ca="1" si="597"/>
        <v>#N/A</v>
      </c>
      <c r="BJ186" s="3" t="e">
        <f ca="1">IF($BP$1=1,DX186,IF(RTD("tos.rtd",,BJ$43,"."&amp;$B$134&amp;$AS$82&amp;"C"&amp;$A186)="N/A",0,RTD("tos.rtd",,BJ$43,"."&amp;$B$134&amp;$AS$82&amp;"C"&amp;$A186)))</f>
        <v>#NUM!</v>
      </c>
      <c r="BK186" s="3" t="e">
        <f ca="1">IF($BP$1=1,DY186,-IF(RTD("tos.rtd",,BK$43,"."&amp;$B$134&amp;$AS$82&amp;"P"&amp;$A186)="N/A",0,RTD("tos.rtd",,BK$43,"."&amp;$B$134&amp;$AS$82&amp;"P"&amp;$A186)))</f>
        <v>#NUM!</v>
      </c>
      <c r="BL186" s="3">
        <f ca="1">IF($BP$1=1,DZ186,IF(RTD("tos.rtd",,BL$2,"."&amp;$C$134&amp;$AU$82&amp;"C"&amp;$A186)="N/A",0,RTD("tos.rtd",,BL$2,"."&amp;$C$134&amp;$AU$82&amp;"C"&amp;$A186)))</f>
        <v>3.4529885271015088E-4</v>
      </c>
      <c r="BM186" s="3">
        <f ca="1">IF($BP$1=1,EA186,-IF(RTD("tos.rtd",,BM$2,"."&amp;$C$134&amp;$AU$82&amp;"P"&amp;$A186)="N/A",0,RTD("tos.rtd",,BM$2,"."&amp;$C$134&amp;$AU$82&amp;"P"&amp;$A186)))</f>
        <v>-3.4529885271015088E-4</v>
      </c>
      <c r="BN186" s="3">
        <f ca="1">IF($BP$1=1,EB186,IF(RTD("tos.rtd",,BN$2,"."&amp;$D$134&amp;$AW$82&amp;"C"&amp;$A186)="N/A",0,RTD("tos.rtd",,BN$2,"."&amp;$D$134&amp;$AW$82&amp;"C"&amp;$A186)))</f>
        <v>3.4529885271015088E-4</v>
      </c>
      <c r="BO186" s="3">
        <f ca="1">IF($BP$1=1,EC186,-IF(RTD("tos.rtd",,BO$2,"."&amp;$D$134&amp;$AW$82&amp;"P"&amp;$A186)="N/A",0,RTD("tos.rtd",,BO$2,"."&amp;$D$134&amp;$AW$82&amp;"P"&amp;$A186)))</f>
        <v>-3.4529885271015088E-4</v>
      </c>
      <c r="BQ186" s="3" t="e">
        <f t="shared" ca="1" si="613"/>
        <v>#NUM!</v>
      </c>
      <c r="BR186" s="3" t="e">
        <f t="shared" ca="1" si="541"/>
        <v>#NUM!</v>
      </c>
      <c r="BS186" s="3">
        <f t="shared" ca="1" si="614"/>
        <v>0</v>
      </c>
      <c r="BT186" s="3" t="str">
        <f t="shared" ca="1" si="542"/>
        <v/>
      </c>
      <c r="BU186" s="3">
        <f t="shared" ca="1" si="615"/>
        <v>0</v>
      </c>
      <c r="BV186" s="3" t="str">
        <f t="shared" ca="1" si="542"/>
        <v/>
      </c>
      <c r="BX186" s="3" t="e">
        <f t="shared" ca="1" si="575"/>
        <v>#NUM!</v>
      </c>
      <c r="BY186" s="3" t="e">
        <f t="shared" ca="1" si="576"/>
        <v>#NUM!</v>
      </c>
      <c r="BZ186" s="3">
        <f t="shared" ca="1" si="577"/>
        <v>0</v>
      </c>
      <c r="CA186" s="3" t="str">
        <f t="shared" ca="1" si="576"/>
        <v/>
      </c>
      <c r="CB186" s="3">
        <f t="shared" ca="1" si="578"/>
        <v>0</v>
      </c>
      <c r="CC186" s="3" t="str">
        <f t="shared" ca="1" si="576"/>
        <v/>
      </c>
      <c r="CD186" s="3">
        <f>IF(RTD("tos.rtd",,CD$43,"."&amp;$B$134&amp;$AS$82&amp;"C"&amp;$A186)="N/A",0,RTD("tos.rtd",,CD$43,"."&amp;$B$134&amp;$AS$82&amp;"C"&amp;$A186))</f>
        <v>1</v>
      </c>
      <c r="CE186" s="3">
        <f>-IF(RTD("tos.rtd",,CE$43,"."&amp;$B$134&amp;$AS$82&amp;"P"&amp;$A186)="N/A",0,RTD("tos.rtd",,CE$43,"."&amp;$B$134&amp;$AS$82&amp;"P"&amp;$A186))</f>
        <v>0.06</v>
      </c>
      <c r="CF186" s="3">
        <f>IF(RTD("tos.rtd",,CF$2,"."&amp;$C$134&amp;$AU$82&amp;"C"&amp;$A186)="N/A",0,RTD("tos.rtd",,CF$2,"."&amp;$C$134&amp;$AU$82&amp;"C"&amp;$A186))</f>
        <v>0</v>
      </c>
      <c r="CG186" s="3">
        <f>-IF(RTD("tos.rtd",,CG$2,"."&amp;$C$134&amp;$AU$82&amp;"P"&amp;$A186)="N/A",0,RTD("tos.rtd",,CG$2,"."&amp;$C$134&amp;$AU$82&amp;"P"&amp;$A186))</f>
        <v>0</v>
      </c>
      <c r="CH186" s="3">
        <f>IF(RTD("tos.rtd",,CH$2,"."&amp;$D$134&amp;$AW$82&amp;"C"&amp;$A186)="N/A",0,RTD("tos.rtd",,CH$2,"."&amp;$D$134&amp;$AW$82&amp;"C"&amp;$A186))</f>
        <v>0</v>
      </c>
      <c r="CI186" s="3">
        <f>-IF(RTD("tos.rtd",,CI$2,"."&amp;$D$134&amp;$AW$82&amp;"P"&amp;$A186)="N/A",0,RTD("tos.rtd",,CI$2,"."&amp;$D$134&amp;$AW$82&amp;"P"&amp;$A186))</f>
        <v>0</v>
      </c>
      <c r="CK186" s="3">
        <f t="shared" si="648"/>
        <v>1194</v>
      </c>
      <c r="CL186" s="3"/>
      <c r="CM186" s="3">
        <f t="shared" si="649"/>
        <v>0</v>
      </c>
      <c r="CN186" s="3"/>
      <c r="CO186" s="3">
        <f t="shared" si="650"/>
        <v>0</v>
      </c>
      <c r="CP186" s="3">
        <f t="shared" si="533"/>
        <v>1194</v>
      </c>
      <c r="CQ186" s="3">
        <f t="shared" si="543"/>
        <v>-19</v>
      </c>
      <c r="CR186" s="3"/>
      <c r="CS186" s="3">
        <f t="shared" si="544"/>
        <v>0</v>
      </c>
      <c r="CT186" s="3"/>
      <c r="CU186" s="3">
        <f t="shared" si="545"/>
        <v>0</v>
      </c>
      <c r="CV186" s="3"/>
      <c r="CW186" s="3" t="e">
        <f t="shared" ca="1" si="546"/>
        <v>#NUM!</v>
      </c>
      <c r="CY186" s="3" t="e">
        <f t="shared" ca="1" si="547"/>
        <v>#NUM!</v>
      </c>
      <c r="CZ186" s="70" t="e">
        <f t="shared" ca="1" si="579"/>
        <v>#NUM!</v>
      </c>
      <c r="DA186" s="3">
        <f>IF(RTD("tos.rtd",,DA$43,"."&amp;$B$134&amp;$AS$82&amp;"C"&amp;$A186)="N/A",0,RTD("tos.rtd",,DA$43,"."&amp;$B$134&amp;$AS$82&amp;"C"&amp;$A186))</f>
        <v>682.99</v>
      </c>
      <c r="DB186" s="3">
        <f>IF(RTD("tos.rtd",,DB$43,"."&amp;$B$134&amp;$AS$82&amp;"P"&amp;$A186)="N/A",0,RTD("tos.rtd",,DB$43,"."&amp;$B$134&amp;$AS$82&amp;"P"&amp;$A186))</f>
        <v>0.3</v>
      </c>
      <c r="DC186" s="3">
        <f>IF(RTD("tos.rtd",,DC$43,"."&amp;$B$134&amp;$AS$82&amp;"C"&amp;$A186)="N/A",0,RTD("tos.rtd",,DC$43,"."&amp;$B$134&amp;$AS$82&amp;"C"&amp;$A186))</f>
        <v>672</v>
      </c>
      <c r="DD186" s="3">
        <f>IF(RTD("tos.rtd",,DD$43,"."&amp;$B$134&amp;$AS$82&amp;"P"&amp;$A186)="N/A",0,RTD("tos.rtd",,DD$43,"."&amp;$B$134&amp;$AS$82&amp;"P"&amp;$A186))</f>
        <v>19.8</v>
      </c>
      <c r="DE186" s="3">
        <f>IF(RTD("tos.rtd",,DE$43,"."&amp;$B$134&amp;$AS$82&amp;"C"&amp;$A186)="N/A",0,RTD("tos.rtd",,DE$43,"."&amp;$B$134&amp;$AS$82&amp;"C"&amp;$A186))</f>
        <v>606.5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580"/>
        <v>-632</v>
      </c>
      <c r="DH186" s="3">
        <f t="shared" si="548"/>
        <v>0</v>
      </c>
      <c r="DI186" s="3">
        <f t="shared" si="549"/>
        <v>0</v>
      </c>
      <c r="DJ186" s="3">
        <f t="shared" si="550"/>
        <v>0</v>
      </c>
      <c r="DK186" s="3">
        <f t="shared" si="551"/>
        <v>0</v>
      </c>
      <c r="DL186" s="3">
        <f t="shared" si="552"/>
        <v>0</v>
      </c>
      <c r="DM186" s="3">
        <f t="shared" si="553"/>
        <v>0</v>
      </c>
      <c r="DN186" s="64" t="str">
        <f t="shared" si="554"/>
        <v>UNKNOWN</v>
      </c>
      <c r="DO186" s="64" t="str">
        <f t="shared" si="555"/>
        <v>UNKNOWN</v>
      </c>
      <c r="DP186" s="3">
        <f t="shared" si="556"/>
        <v>0</v>
      </c>
      <c r="DQ186" s="3">
        <f t="shared" si="557"/>
        <v>0</v>
      </c>
      <c r="DR186" s="3" t="e">
        <f t="shared" ca="1" si="558"/>
        <v>#NUM!</v>
      </c>
      <c r="DS186" s="3">
        <f t="shared" si="559"/>
        <v>0</v>
      </c>
      <c r="DT186" s="3">
        <f t="shared" si="581"/>
        <v>0</v>
      </c>
      <c r="DU186" s="3">
        <f t="shared" si="582"/>
        <v>0</v>
      </c>
      <c r="DV186" s="3" t="e">
        <f t="shared" si="560"/>
        <v>#N/A</v>
      </c>
      <c r="DW186" s="3" t="e">
        <f t="shared" si="561"/>
        <v>#N/A</v>
      </c>
      <c r="DX186" s="3" t="e">
        <f t="shared" ca="1" si="642"/>
        <v>#NUM!</v>
      </c>
      <c r="DY186" s="3" t="e">
        <f t="shared" ca="1" si="643"/>
        <v>#NUM!</v>
      </c>
      <c r="DZ186" s="3">
        <f t="shared" ca="1" si="644"/>
        <v>3.4529885271015088E-4</v>
      </c>
      <c r="EA186" s="3">
        <f t="shared" ca="1" si="645"/>
        <v>-3.4529885271015088E-4</v>
      </c>
      <c r="EB186" s="3">
        <f t="shared" ca="1" si="646"/>
        <v>3.4529885271015088E-4</v>
      </c>
      <c r="EC186" s="3">
        <f t="shared" ca="1" si="647"/>
        <v>-3.4529885271015088E-4</v>
      </c>
      <c r="EE186" s="59">
        <f t="shared" si="568"/>
        <v>0.25</v>
      </c>
      <c r="EF186" s="59">
        <f t="shared" si="569"/>
        <v>2.7223999999999999</v>
      </c>
      <c r="EG186" s="59">
        <f t="shared" si="570"/>
        <v>0.25</v>
      </c>
      <c r="EH186" s="59">
        <f t="shared" si="571"/>
        <v>0.25</v>
      </c>
      <c r="EI186" s="59">
        <f t="shared" si="572"/>
        <v>0.25</v>
      </c>
      <c r="EJ186" s="59">
        <f t="shared" si="573"/>
        <v>0.25</v>
      </c>
      <c r="EL186" s="3" t="str">
        <f>RTD("tos.rtd",,EL$43,"."&amp;$B$134&amp;$AS$82&amp;"C"&amp;$A186)</f>
        <v>--</v>
      </c>
      <c r="EM186" s="3" t="str">
        <f>RTD("tos.rtd",,EM$43,"."&amp;$B$134&amp;$AS$82&amp;"P"&amp;$A186)</f>
        <v>272.24%</v>
      </c>
      <c r="EN186" s="3" t="str">
        <f>RTD("tos.rtd",,EN$2,"."&amp;$C$134&amp;$AU$82&amp;"C"&amp;$A186)</f>
        <v>N/A</v>
      </c>
      <c r="EO186" s="3" t="str">
        <f>RTD("tos.rtd",,EO$2,"."&amp;$C$134&amp;$AU$82&amp;"P"&amp;$A186)</f>
        <v>N/A</v>
      </c>
      <c r="EP186" s="3" t="str">
        <f>RTD("tos.rtd",,EP$2,"."&amp;$D$134&amp;$AW$82&amp;"C"&amp;$A186)</f>
        <v>N/A</v>
      </c>
      <c r="EQ186" s="3" t="str">
        <f>RTD("tos.rtd",,EQ$2,"."&amp;$D$134&amp;$AW$82&amp;"P"&amp;$A186)</f>
        <v>N/A</v>
      </c>
      <c r="ET186" s="64" t="str">
        <f t="shared" ca="1" si="574"/>
        <v>19460,00.00</v>
      </c>
      <c r="EU186" s="68">
        <v>565.05999999999995</v>
      </c>
      <c r="EV186" s="68" t="s">
        <v>1508</v>
      </c>
      <c r="EW186" s="68">
        <v>487.71</v>
      </c>
      <c r="EX186" s="68" t="s">
        <v>1509</v>
      </c>
      <c r="EY186" s="68">
        <v>5665.75</v>
      </c>
      <c r="EZ186" s="68" t="s">
        <v>1510</v>
      </c>
      <c r="FA186" s="68">
        <v>20040.5</v>
      </c>
      <c r="FB186" s="68" t="s">
        <v>1511</v>
      </c>
      <c r="FC186" s="68" t="s">
        <v>1512</v>
      </c>
      <c r="FD186" s="68" t="s">
        <v>1513</v>
      </c>
      <c r="FE186" s="68" t="s">
        <v>1514</v>
      </c>
      <c r="FF186" s="68" t="s">
        <v>1515</v>
      </c>
    </row>
    <row r="187" spans="1:162" ht="11.1" customHeight="1" thickBot="1" x14ac:dyDescent="0.25">
      <c r="A187" s="2">
        <f t="shared" si="583"/>
        <v>19440</v>
      </c>
      <c r="B187" s="3">
        <f t="shared" si="616"/>
        <v>6</v>
      </c>
      <c r="C187" s="3">
        <f t="shared" si="617"/>
        <v>0</v>
      </c>
      <c r="D187" s="3">
        <f t="shared" si="618"/>
        <v>0</v>
      </c>
      <c r="E187" s="3">
        <f t="shared" si="651"/>
        <v>6</v>
      </c>
      <c r="F187" s="4">
        <f t="shared" si="611"/>
        <v>19536.754927334263</v>
      </c>
      <c r="G187" s="5">
        <f t="shared" si="652"/>
        <v>473.09289269360937</v>
      </c>
      <c r="AM187" s="1">
        <v>-9</v>
      </c>
      <c r="AN187" s="1">
        <v>5</v>
      </c>
      <c r="AO187" s="1">
        <v>19440</v>
      </c>
      <c r="AP187" s="1">
        <v>0</v>
      </c>
      <c r="AQ187" s="1">
        <v>-4</v>
      </c>
      <c r="AS187" s="54">
        <f>IF(RTD("tos.rtd",,AS$83,"."&amp;$B$134&amp;$AS$82&amp;"C"&amp;$A187)="N/A",0,RTD("tos.rtd",,AS$83,"."&amp;$B$134&amp;$AS$82&amp;"C"&amp;$A187))</f>
        <v>4</v>
      </c>
      <c r="AT187" s="3">
        <f>-IF(RTD("tos.rtd",,AT$83,"."&amp;$B$134&amp;$AS$82&amp;"P"&amp;$A187)="N/A",0,RTD("tos.rtd",,AT$83,"."&amp;$B$134&amp;$AS$82&amp;"P"&amp;$A187))</f>
        <v>-2</v>
      </c>
      <c r="AU187" s="54">
        <f>IF(RTD("tos.rtd",,AU$2,"."&amp;$C$134&amp;$AU$134&amp;"C"&amp;$A187)="N/A",0,RTD("tos.rtd",,AU$2,"."&amp;$C$134&amp;$AU$134&amp;"C"&amp;$A187))</f>
        <v>0</v>
      </c>
      <c r="AV187" s="3">
        <f>-IF(RTD("tos.rtd",,AV$2,"."&amp;$C$134&amp;$AU$134&amp;"P"&amp;$A187)="N/A",0,RTD("tos.rtd",,AV$2,"."&amp;$C$134&amp;$AU$134&amp;"P"&amp;$A187))</f>
        <v>0</v>
      </c>
      <c r="AW187" s="54">
        <f>IF(RTD("tos.rtd",,AW$2,"."&amp;$D$134&amp;$AW$134&amp;"C"&amp;$A187)="N/A",0,RTD("tos.rtd",,AW$2,"."&amp;$D$134&amp;$AW$134&amp;"C"&amp;$A187))</f>
        <v>0</v>
      </c>
      <c r="AX187" s="3">
        <f>-IF(RTD("tos.rtd",,AX$2,"."&amp;$D$134&amp;$AW$134&amp;"P"&amp;$A187)="N/A",0,RTD("tos.rtd",,AX$2,"."&amp;$D$134&amp;$AW$134&amp;"P"&amp;$A187))</f>
        <v>0</v>
      </c>
      <c r="AY187" s="76">
        <f t="shared" si="612"/>
        <v>2</v>
      </c>
      <c r="AZ187" s="8">
        <f t="shared" si="539"/>
        <v>19440</v>
      </c>
      <c r="BA187" s="54">
        <f>IF(RTD("tos.rtd",,BA$43,"."&amp;$B$134&amp;$AS$82&amp;"C"&amp;$A187)="N/A",0,RTD("tos.rtd",,BA$43,"."&amp;$B$134&amp;$AS$82&amp;"C"&amp;$A187))</f>
        <v>0</v>
      </c>
      <c r="BB187" s="3">
        <f>-IF(RTD("tos.rtd",,BB$43,"."&amp;$B$134&amp;$AS$82&amp;"P"&amp;$A187)="N/A",0,RTD("tos.rtd",,BB$43,"."&amp;$B$134&amp;$AS$82&amp;"P"&amp;$A187))</f>
        <v>-4</v>
      </c>
      <c r="BC187" s="54">
        <f>IF(RTD("tos.rtd",,BC$2,"."&amp;$C$134&amp;$AU$82&amp;"C"&amp;$A187)="N/A",0,RTD("tos.rtd",,BC$2,"."&amp;$C$134&amp;$AU$82&amp;"C"&amp;$A187))</f>
        <v>0</v>
      </c>
      <c r="BD187" s="3">
        <f>-IF(RTD("tos.rtd",,BD$2,"."&amp;$C$134&amp;$AU$82&amp;"P"&amp;$A187)="N/A",0,RTD("tos.rtd",,BD$2,"."&amp;$C$134&amp;$AU$82&amp;"P"&amp;$A187))</f>
        <v>0</v>
      </c>
      <c r="BE187" s="54">
        <f>IF(RTD("tos.rtd",,BE$2,"."&amp;$D$134&amp;$AW$82&amp;"C"&amp;$A187)="N/A",0,RTD("tos.rtd",,BE$2,"."&amp;$D$134&amp;$AW$82&amp;"C"&amp;$A187))</f>
        <v>0</v>
      </c>
      <c r="BF187" s="3">
        <f>-IF(RTD("tos.rtd",,BF$2,"."&amp;$D$134&amp;$AW$82&amp;"P"&amp;$A187)="N/A",0,RTD("tos.rtd",,BF$2,"."&amp;$D$134&amp;$AW$82&amp;"P"&amp;$A187))</f>
        <v>0</v>
      </c>
      <c r="BG187" s="3" t="e">
        <f ca="1">+Hoja2!Y188</f>
        <v>#N/A</v>
      </c>
      <c r="BH187" s="7" t="e">
        <f t="shared" ca="1" si="540"/>
        <v>#N/A</v>
      </c>
      <c r="BI187" s="32" t="e">
        <f t="shared" ca="1" si="597"/>
        <v>#N/A</v>
      </c>
      <c r="BJ187" s="3" t="e">
        <f ca="1">IF($BP$1=1,DX187,IF(RTD("tos.rtd",,BJ$43,"."&amp;$B$134&amp;$AS$82&amp;"C"&amp;$A187)="N/A",0,RTD("tos.rtd",,BJ$43,"."&amp;$B$134&amp;$AS$82&amp;"C"&amp;$A187)))</f>
        <v>#NUM!</v>
      </c>
      <c r="BK187" s="3" t="e">
        <f ca="1">IF($BP$1=1,DY187,-IF(RTD("tos.rtd",,BK$43,"."&amp;$B$134&amp;$AS$82&amp;"P"&amp;$A187)="N/A",0,RTD("tos.rtd",,BK$43,"."&amp;$B$134&amp;$AS$82&amp;"P"&amp;$A187)))</f>
        <v>#NUM!</v>
      </c>
      <c r="BL187" s="3">
        <f ca="1">IF($BP$1=1,DZ187,IF(RTD("tos.rtd",,BL$2,"."&amp;$C$134&amp;$AU$82&amp;"C"&amp;$A187)="N/A",0,RTD("tos.rtd",,BL$2,"."&amp;$C$134&amp;$AU$82&amp;"C"&amp;$A187)))</f>
        <v>3.3795335009161401E-4</v>
      </c>
      <c r="BM187" s="3">
        <f ca="1">IF($BP$1=1,EA187,-IF(RTD("tos.rtd",,BM$2,"."&amp;$C$134&amp;$AU$82&amp;"P"&amp;$A187)="N/A",0,RTD("tos.rtd",,BM$2,"."&amp;$C$134&amp;$AU$82&amp;"P"&amp;$A187)))</f>
        <v>-3.3795335009161401E-4</v>
      </c>
      <c r="BN187" s="3">
        <f ca="1">IF($BP$1=1,EB187,IF(RTD("tos.rtd",,BN$2,"."&amp;$D$134&amp;$AW$82&amp;"C"&amp;$A187)="N/A",0,RTD("tos.rtd",,BN$2,"."&amp;$D$134&amp;$AW$82&amp;"C"&amp;$A187)))</f>
        <v>3.3795335009161401E-4</v>
      </c>
      <c r="BO187" s="3">
        <f ca="1">IF($BP$1=1,EC187,-IF(RTD("tos.rtd",,BO$2,"."&amp;$D$134&amp;$AW$82&amp;"P"&amp;$A187)="N/A",0,RTD("tos.rtd",,BO$2,"."&amp;$D$134&amp;$AW$82&amp;"P"&amp;$A187)))</f>
        <v>-3.3795335009161401E-4</v>
      </c>
      <c r="BQ187" s="3" t="e">
        <f t="shared" ca="1" si="613"/>
        <v>#NUM!</v>
      </c>
      <c r="BR187" s="3" t="e">
        <f t="shared" ca="1" si="541"/>
        <v>#NUM!</v>
      </c>
      <c r="BS187" s="3">
        <f t="shared" ca="1" si="614"/>
        <v>0</v>
      </c>
      <c r="BT187" s="3" t="str">
        <f t="shared" ca="1" si="542"/>
        <v/>
      </c>
      <c r="BU187" s="3">
        <f t="shared" ca="1" si="615"/>
        <v>0</v>
      </c>
      <c r="BV187" s="3" t="str">
        <f t="shared" ca="1" si="542"/>
        <v/>
      </c>
      <c r="BX187" s="3" t="e">
        <f t="shared" ca="1" si="575"/>
        <v>#NUM!</v>
      </c>
      <c r="BY187" s="3" t="e">
        <f t="shared" ca="1" si="576"/>
        <v>#NUM!</v>
      </c>
      <c r="BZ187" s="3">
        <f t="shared" ca="1" si="577"/>
        <v>0</v>
      </c>
      <c r="CA187" s="3" t="str">
        <f t="shared" ca="1" si="576"/>
        <v/>
      </c>
      <c r="CB187" s="3">
        <f t="shared" ca="1" si="578"/>
        <v>0</v>
      </c>
      <c r="CC187" s="3" t="str">
        <f t="shared" ca="1" si="576"/>
        <v/>
      </c>
      <c r="CD187" s="3">
        <f>IF(RTD("tos.rtd",,CD$43,"."&amp;$B$134&amp;$AS$82&amp;"C"&amp;$A187)="N/A",0,RTD("tos.rtd",,CD$43,"."&amp;$B$134&amp;$AS$82&amp;"C"&amp;$A187))</f>
        <v>1</v>
      </c>
      <c r="CE187" s="3">
        <f>-IF(RTD("tos.rtd",,CE$43,"."&amp;$B$134&amp;$AS$82&amp;"P"&amp;$A187)="N/A",0,RTD("tos.rtd",,CE$43,"."&amp;$B$134&amp;$AS$82&amp;"P"&amp;$A187))</f>
        <v>0.05</v>
      </c>
      <c r="CF187" s="3">
        <f>IF(RTD("tos.rtd",,CF$2,"."&amp;$C$134&amp;$AU$82&amp;"C"&amp;$A187)="N/A",0,RTD("tos.rtd",,CF$2,"."&amp;$C$134&amp;$AU$82&amp;"C"&amp;$A187))</f>
        <v>0</v>
      </c>
      <c r="CG187" s="3">
        <f>-IF(RTD("tos.rtd",,CG$2,"."&amp;$C$134&amp;$AU$82&amp;"P"&amp;$A187)="N/A",0,RTD("tos.rtd",,CG$2,"."&amp;$C$134&amp;$AU$82&amp;"P"&amp;$A187))</f>
        <v>0</v>
      </c>
      <c r="CH187" s="3">
        <f>IF(RTD("tos.rtd",,CH$2,"."&amp;$D$134&amp;$AW$82&amp;"C"&amp;$A187)="N/A",0,RTD("tos.rtd",,CH$2,"."&amp;$D$134&amp;$AW$82&amp;"C"&amp;$A187))</f>
        <v>0</v>
      </c>
      <c r="CI187" s="3">
        <f>-IF(RTD("tos.rtd",,CI$2,"."&amp;$D$134&amp;$AW$82&amp;"P"&amp;$A187)="N/A",0,RTD("tos.rtd",,CI$2,"."&amp;$D$134&amp;$AW$82&amp;"P"&amp;$A187))</f>
        <v>0</v>
      </c>
      <c r="CK187" s="3">
        <f t="shared" si="648"/>
        <v>390</v>
      </c>
      <c r="CL187" s="3"/>
      <c r="CM187" s="3">
        <f t="shared" si="649"/>
        <v>0</v>
      </c>
      <c r="CN187" s="3"/>
      <c r="CO187" s="3">
        <f t="shared" si="650"/>
        <v>0</v>
      </c>
      <c r="CP187" s="3">
        <f t="shared" si="533"/>
        <v>390</v>
      </c>
      <c r="CQ187" s="3">
        <f t="shared" si="543"/>
        <v>-4</v>
      </c>
      <c r="CR187" s="3"/>
      <c r="CS187" s="3">
        <f t="shared" si="544"/>
        <v>0</v>
      </c>
      <c r="CT187" s="3"/>
      <c r="CU187" s="3">
        <f t="shared" si="545"/>
        <v>0</v>
      </c>
      <c r="CV187" s="3"/>
      <c r="CW187" s="3" t="e">
        <f t="shared" ca="1" si="546"/>
        <v>#NUM!</v>
      </c>
      <c r="CY187" s="3" t="e">
        <f t="shared" ca="1" si="547"/>
        <v>#NUM!</v>
      </c>
      <c r="CZ187" s="70" t="e">
        <f t="shared" ca="1" si="579"/>
        <v>#NUM!</v>
      </c>
      <c r="DA187" s="3">
        <f>IF(RTD("tos.rtd",,DA$43,"."&amp;$B$134&amp;$AS$82&amp;"C"&amp;$A187)="N/A",0,RTD("tos.rtd",,DA$43,"."&amp;$B$134&amp;$AS$82&amp;"C"&amp;$A187))</f>
        <v>390.45</v>
      </c>
      <c r="DB187" s="3">
        <f>IF(RTD("tos.rtd",,DB$43,"."&amp;$B$134&amp;$AS$82&amp;"P"&amp;$A187)="N/A",0,RTD("tos.rtd",,DB$43,"."&amp;$B$134&amp;$AS$82&amp;"P"&amp;$A187))</f>
        <v>1.4</v>
      </c>
      <c r="DC187" s="3">
        <f>IF(RTD("tos.rtd",,DC$43,"."&amp;$B$134&amp;$AS$82&amp;"C"&amp;$A187)="N/A",0,RTD("tos.rtd",,DC$43,"."&amp;$B$134&amp;$AS$82&amp;"C"&amp;$A187))</f>
        <v>692</v>
      </c>
      <c r="DD187" s="3">
        <f>IF(RTD("tos.rtd",,DD$43,"."&amp;$B$134&amp;$AS$82&amp;"P"&amp;$A187)="N/A",0,RTD("tos.rtd",,DD$43,"."&amp;$B$134&amp;$AS$82&amp;"P"&amp;$A187))</f>
        <v>19.8</v>
      </c>
      <c r="DE187" s="3">
        <f>IF(RTD("tos.rtd",,DE$43,"."&amp;$B$134&amp;$AS$82&amp;"C"&amp;$A187)="N/A",0,RTD("tos.rtd",,DE$43,"."&amp;$B$134&amp;$AS$82&amp;"C"&amp;$A187))</f>
        <v>626.5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580"/>
        <v>-652</v>
      </c>
      <c r="DH187" s="3">
        <f t="shared" si="548"/>
        <v>0</v>
      </c>
      <c r="DI187" s="3">
        <f t="shared" si="549"/>
        <v>0</v>
      </c>
      <c r="DJ187" s="3">
        <f t="shared" si="550"/>
        <v>0</v>
      </c>
      <c r="DK187" s="3">
        <f t="shared" si="551"/>
        <v>0</v>
      </c>
      <c r="DL187" s="3">
        <f t="shared" si="552"/>
        <v>0</v>
      </c>
      <c r="DM187" s="3">
        <f t="shared" si="553"/>
        <v>0</v>
      </c>
      <c r="DN187" s="64" t="str">
        <f t="shared" si="554"/>
        <v>UNKNOWN</v>
      </c>
      <c r="DO187" s="64" t="str">
        <f t="shared" si="555"/>
        <v>UNKNOWN</v>
      </c>
      <c r="DP187" s="3">
        <f t="shared" si="556"/>
        <v>0</v>
      </c>
      <c r="DQ187" s="3">
        <f t="shared" si="557"/>
        <v>0</v>
      </c>
      <c r="DR187" s="3" t="e">
        <f t="shared" ca="1" si="558"/>
        <v>#NUM!</v>
      </c>
      <c r="DS187" s="3">
        <f t="shared" si="559"/>
        <v>0</v>
      </c>
      <c r="DT187" s="3">
        <f t="shared" si="581"/>
        <v>0</v>
      </c>
      <c r="DU187" s="3">
        <f t="shared" si="582"/>
        <v>0</v>
      </c>
      <c r="DV187" s="3">
        <f t="shared" si="560"/>
        <v>-9</v>
      </c>
      <c r="DW187" s="3">
        <f t="shared" si="561"/>
        <v>5</v>
      </c>
      <c r="DX187" s="3" t="e">
        <f t="shared" ca="1" si="642"/>
        <v>#NUM!</v>
      </c>
      <c r="DY187" s="3" t="e">
        <f t="shared" ca="1" si="643"/>
        <v>#NUM!</v>
      </c>
      <c r="DZ187" s="3">
        <f t="shared" ca="1" si="644"/>
        <v>3.3795335009161401E-4</v>
      </c>
      <c r="EA187" s="3">
        <f t="shared" ca="1" si="645"/>
        <v>-3.3795335009161401E-4</v>
      </c>
      <c r="EB187" s="3">
        <f t="shared" ca="1" si="646"/>
        <v>3.3795335009161401E-4</v>
      </c>
      <c r="EC187" s="3">
        <f t="shared" ca="1" si="647"/>
        <v>-3.3795335009161401E-4</v>
      </c>
      <c r="EE187" s="59">
        <f t="shared" si="568"/>
        <v>0.25</v>
      </c>
      <c r="EF187" s="59">
        <f t="shared" si="569"/>
        <v>2.7904</v>
      </c>
      <c r="EG187" s="59">
        <f t="shared" si="570"/>
        <v>0.25</v>
      </c>
      <c r="EH187" s="59">
        <f t="shared" si="571"/>
        <v>0.25</v>
      </c>
      <c r="EI187" s="59">
        <f t="shared" si="572"/>
        <v>0.25</v>
      </c>
      <c r="EJ187" s="59">
        <f t="shared" si="573"/>
        <v>0.25</v>
      </c>
      <c r="EL187" s="3" t="str">
        <f>RTD("tos.rtd",,EL$43,"."&amp;$B$134&amp;$AS$82&amp;"C"&amp;$A187)</f>
        <v>--</v>
      </c>
      <c r="EM187" s="3" t="str">
        <f>RTD("tos.rtd",,EM$43,"."&amp;$B$134&amp;$AS$82&amp;"P"&amp;$A187)</f>
        <v>279.04%</v>
      </c>
      <c r="EN187" s="3" t="str">
        <f>RTD("tos.rtd",,EN$2,"."&amp;$C$134&amp;$AU$82&amp;"C"&amp;$A187)</f>
        <v>N/A</v>
      </c>
      <c r="EO187" s="3" t="str">
        <f>RTD("tos.rtd",,EO$2,"."&amp;$C$134&amp;$AU$82&amp;"P"&amp;$A187)</f>
        <v>N/A</v>
      </c>
      <c r="EP187" s="3" t="str">
        <f>RTD("tos.rtd",,EP$2,"."&amp;$D$134&amp;$AW$82&amp;"C"&amp;$A187)</f>
        <v>N/A</v>
      </c>
      <c r="EQ187" s="3" t="str">
        <f>RTD("tos.rtd",,EQ$2,"."&amp;$D$134&amp;$AW$82&amp;"P"&amp;$A187)</f>
        <v>N/A</v>
      </c>
      <c r="ET187" s="64" t="str">
        <f t="shared" ca="1" si="574"/>
        <v>19440,00.00</v>
      </c>
      <c r="EU187" s="68">
        <v>565.19000000000005</v>
      </c>
      <c r="EV187" s="68" t="s">
        <v>1516</v>
      </c>
      <c r="EW187" s="68">
        <v>487.87</v>
      </c>
      <c r="EX187" s="68" t="s">
        <v>1517</v>
      </c>
      <c r="EY187" s="68">
        <v>5667.75</v>
      </c>
      <c r="EZ187" s="68" t="s">
        <v>1518</v>
      </c>
      <c r="FA187" s="68">
        <v>20048</v>
      </c>
      <c r="FB187" s="68" t="s">
        <v>1519</v>
      </c>
      <c r="FC187" s="68" t="s">
        <v>1520</v>
      </c>
      <c r="FD187" s="68" t="s">
        <v>1521</v>
      </c>
      <c r="FE187" s="68" t="s">
        <v>1522</v>
      </c>
      <c r="FF187" s="68" t="s">
        <v>1523</v>
      </c>
    </row>
    <row r="188" spans="1:162" ht="11.1" customHeight="1" thickBot="1" x14ac:dyDescent="0.25">
      <c r="A188" s="2">
        <f t="shared" si="583"/>
        <v>19420</v>
      </c>
      <c r="B188" s="3">
        <f t="shared" si="616"/>
        <v>14</v>
      </c>
      <c r="C188" s="3">
        <f t="shared" si="617"/>
        <v>0</v>
      </c>
      <c r="D188" s="3">
        <f t="shared" si="618"/>
        <v>0</v>
      </c>
      <c r="E188" s="3">
        <f t="shared" si="651"/>
        <v>14</v>
      </c>
      <c r="F188" s="11">
        <f t="shared" si="611"/>
        <v>19516.65538522795</v>
      </c>
      <c r="G188" s="5">
        <f t="shared" si="652"/>
        <v>472.60617161059128</v>
      </c>
      <c r="AM188" s="1" t="e">
        <v>#N/A</v>
      </c>
      <c r="AN188" s="1" t="e">
        <v>#N/A</v>
      </c>
      <c r="AO188" s="1">
        <v>19420</v>
      </c>
      <c r="AP188" s="1">
        <v>1</v>
      </c>
      <c r="AQ188" s="1">
        <v>-32</v>
      </c>
      <c r="AS188" s="54">
        <f>IF(RTD("tos.rtd",,AS$83,"."&amp;$B$134&amp;$AS$82&amp;"C"&amp;$A188)="N/A",0,RTD("tos.rtd",,AS$83,"."&amp;$B$134&amp;$AS$82&amp;"C"&amp;$A188))</f>
        <v>7</v>
      </c>
      <c r="AT188" s="3">
        <f>-IF(RTD("tos.rtd",,AT$83,"."&amp;$B$134&amp;$AS$82&amp;"P"&amp;$A188)="N/A",0,RTD("tos.rtd",,AT$83,"."&amp;$B$134&amp;$AS$82&amp;"P"&amp;$A188))</f>
        <v>-7</v>
      </c>
      <c r="AU188" s="54">
        <f>IF(RTD("tos.rtd",,AU$2,"."&amp;$C$134&amp;$AU$134&amp;"C"&amp;$A188)="N/A",0,RTD("tos.rtd",,AU$2,"."&amp;$C$134&amp;$AU$134&amp;"C"&amp;$A188))</f>
        <v>0</v>
      </c>
      <c r="AV188" s="3">
        <f>-IF(RTD("tos.rtd",,AV$2,"."&amp;$C$134&amp;$AU$134&amp;"P"&amp;$A188)="N/A",0,RTD("tos.rtd",,AV$2,"."&amp;$C$134&amp;$AU$134&amp;"P"&amp;$A188))</f>
        <v>0</v>
      </c>
      <c r="AW188" s="54">
        <f>IF(RTD("tos.rtd",,AW$2,"."&amp;$D$134&amp;$AW$134&amp;"C"&amp;$A188)="N/A",0,RTD("tos.rtd",,AW$2,"."&amp;$D$134&amp;$AW$134&amp;"C"&amp;$A188))</f>
        <v>0</v>
      </c>
      <c r="AX188" s="3">
        <f>-IF(RTD("tos.rtd",,AX$2,"."&amp;$D$134&amp;$AW$134&amp;"P"&amp;$A188)="N/A",0,RTD("tos.rtd",,AX$2,"."&amp;$D$134&amp;$AW$134&amp;"P"&amp;$A188))</f>
        <v>0</v>
      </c>
      <c r="AY188" s="76">
        <f t="shared" si="612"/>
        <v>0</v>
      </c>
      <c r="AZ188" s="8">
        <f t="shared" si="539"/>
        <v>19420</v>
      </c>
      <c r="BA188" s="54">
        <f>IF(RTD("tos.rtd",,BA$43,"."&amp;$B$134&amp;$AS$82&amp;"C"&amp;$A188)="N/A",0,RTD("tos.rtd",,BA$43,"."&amp;$B$134&amp;$AS$82&amp;"C"&amp;$A188))</f>
        <v>1</v>
      </c>
      <c r="BB188" s="3">
        <f>-IF(RTD("tos.rtd",,BB$43,"."&amp;$B$134&amp;$AS$82&amp;"P"&amp;$A188)="N/A",0,RTD("tos.rtd",,BB$43,"."&amp;$B$134&amp;$AS$82&amp;"P"&amp;$A188))</f>
        <v>-32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0</v>
      </c>
      <c r="BE188" s="54">
        <f>IF(RTD("tos.rtd",,BE$2,"."&amp;$D$134&amp;$AW$82&amp;"C"&amp;$A188)="N/A",0,RTD("tos.rtd",,BE$2,"."&amp;$D$134&amp;$AW$82&amp;"C"&amp;$A188))</f>
        <v>0</v>
      </c>
      <c r="BF188" s="3">
        <f>-IF(RTD("tos.rtd",,BF$2,"."&amp;$D$134&amp;$AW$82&amp;"P"&amp;$A188)="N/A",0,RTD("tos.rtd",,BF$2,"."&amp;$D$134&amp;$AW$82&amp;"P"&amp;$A188))</f>
        <v>0</v>
      </c>
      <c r="BG188" s="3" t="e">
        <f ca="1">+Hoja2!Y189</f>
        <v>#N/A</v>
      </c>
      <c r="BH188" s="7" t="e">
        <f t="shared" ca="1" si="540"/>
        <v>#N/A</v>
      </c>
      <c r="BI188" s="32" t="e">
        <f t="shared" ca="1" si="597"/>
        <v>#N/A</v>
      </c>
      <c r="BJ188" s="3" t="e">
        <f ca="1">IF($BP$1=1,DX188,IF(RTD("tos.rtd",,BJ$43,"."&amp;$B$134&amp;$AS$82&amp;"C"&amp;$A188)="N/A",0,RTD("tos.rtd",,BJ$43,"."&amp;$B$134&amp;$AS$82&amp;"C"&amp;$A188)))</f>
        <v>#NUM!</v>
      </c>
      <c r="BK188" s="3" t="e">
        <f ca="1">IF($BP$1=1,DY188,-IF(RTD("tos.rtd",,BK$43,"."&amp;$B$134&amp;$AS$82&amp;"P"&amp;$A188)="N/A",0,RTD("tos.rtd",,BK$43,"."&amp;$B$134&amp;$AS$82&amp;"P"&amp;$A188)))</f>
        <v>#NUM!</v>
      </c>
      <c r="BL188" s="3">
        <f ca="1">IF($BP$1=1,DZ188,IF(RTD("tos.rtd",,BL$2,"."&amp;$C$134&amp;$AU$82&amp;"C"&amp;$A188)="N/A",0,RTD("tos.rtd",,BL$2,"."&amp;$C$134&amp;$AU$82&amp;"C"&amp;$A188)))</f>
        <v>3.3054395269695836E-4</v>
      </c>
      <c r="BM188" s="3">
        <f ca="1">IF($BP$1=1,EA188,-IF(RTD("tos.rtd",,BM$2,"."&amp;$C$134&amp;$AU$82&amp;"P"&amp;$A188)="N/A",0,RTD("tos.rtd",,BM$2,"."&amp;$C$134&amp;$AU$82&amp;"P"&amp;$A188)))</f>
        <v>-3.3054395269695836E-4</v>
      </c>
      <c r="BN188" s="3">
        <f ca="1">IF($BP$1=1,EB188,IF(RTD("tos.rtd",,BN$2,"."&amp;$D$134&amp;$AW$82&amp;"C"&amp;$A188)="N/A",0,RTD("tos.rtd",,BN$2,"."&amp;$D$134&amp;$AW$82&amp;"C"&amp;$A188)))</f>
        <v>3.3054395269695836E-4</v>
      </c>
      <c r="BO188" s="3">
        <f ca="1">IF($BP$1=1,EC188,-IF(RTD("tos.rtd",,BO$2,"."&amp;$D$134&amp;$AW$82&amp;"P"&amp;$A188)="N/A",0,RTD("tos.rtd",,BO$2,"."&amp;$D$134&amp;$AW$82&amp;"P"&amp;$A188)))</f>
        <v>-3.3054395269695836E-4</v>
      </c>
      <c r="BQ188" s="3" t="e">
        <f t="shared" ca="1" si="613"/>
        <v>#NUM!</v>
      </c>
      <c r="BR188" s="3" t="e">
        <f t="shared" ca="1" si="541"/>
        <v>#NUM!</v>
      </c>
      <c r="BS188" s="3">
        <f t="shared" ca="1" si="614"/>
        <v>0</v>
      </c>
      <c r="BT188" s="3" t="str">
        <f t="shared" ca="1" si="542"/>
        <v/>
      </c>
      <c r="BU188" s="3">
        <f t="shared" ca="1" si="615"/>
        <v>0</v>
      </c>
      <c r="BV188" s="3" t="str">
        <f t="shared" ca="1" si="542"/>
        <v/>
      </c>
      <c r="BX188" s="3" t="e">
        <f t="shared" ca="1" si="575"/>
        <v>#NUM!</v>
      </c>
      <c r="BY188" s="3" t="e">
        <f t="shared" ca="1" si="576"/>
        <v>#NUM!</v>
      </c>
      <c r="BZ188" s="3">
        <f t="shared" ca="1" si="577"/>
        <v>0</v>
      </c>
      <c r="CA188" s="3" t="str">
        <f t="shared" ca="1" si="576"/>
        <v/>
      </c>
      <c r="CB188" s="3">
        <f t="shared" ca="1" si="578"/>
        <v>0</v>
      </c>
      <c r="CC188" s="3" t="str">
        <f t="shared" ca="1" si="576"/>
        <v/>
      </c>
      <c r="CD188" s="3">
        <f>IF(RTD("tos.rtd",,CD$43,"."&amp;$B$134&amp;$AS$82&amp;"C"&amp;$A188)="N/A",0,RTD("tos.rtd",,CD$43,"."&amp;$B$134&amp;$AS$82&amp;"C"&amp;$A188))</f>
        <v>1</v>
      </c>
      <c r="CE188" s="3">
        <f>-IF(RTD("tos.rtd",,CE$43,"."&amp;$B$134&amp;$AS$82&amp;"P"&amp;$A188)="N/A",0,RTD("tos.rtd",,CE$43,"."&amp;$B$134&amp;$AS$82&amp;"P"&amp;$A188))</f>
        <v>0.05</v>
      </c>
      <c r="CF188" s="3">
        <f>IF(RTD("tos.rtd",,CF$2,"."&amp;$C$134&amp;$AU$82&amp;"C"&amp;$A188)="N/A",0,RTD("tos.rtd",,CF$2,"."&amp;$C$134&amp;$AU$82&amp;"C"&amp;$A188))</f>
        <v>0</v>
      </c>
      <c r="CG188" s="3">
        <f>-IF(RTD("tos.rtd",,CG$2,"."&amp;$C$134&amp;$AU$82&amp;"P"&amp;$A188)="N/A",0,RTD("tos.rtd",,CG$2,"."&amp;$C$134&amp;$AU$82&amp;"P"&amp;$A188))</f>
        <v>0</v>
      </c>
      <c r="CH188" s="3">
        <f>IF(RTD("tos.rtd",,CH$2,"."&amp;$D$134&amp;$AW$82&amp;"C"&amp;$A188)="N/A",0,RTD("tos.rtd",,CH$2,"."&amp;$D$134&amp;$AW$82&amp;"C"&amp;$A188))</f>
        <v>0</v>
      </c>
      <c r="CI188" s="3">
        <f>-IF(RTD("tos.rtd",,CI$2,"."&amp;$D$134&amp;$AW$82&amp;"P"&amp;$A188)="N/A",0,RTD("tos.rtd",,CI$2,"."&amp;$D$134&amp;$AW$82&amp;"P"&amp;$A188))</f>
        <v>0</v>
      </c>
      <c r="CK188" s="3">
        <f t="shared" si="648"/>
        <v>665</v>
      </c>
      <c r="CL188" s="3"/>
      <c r="CM188" s="3">
        <f t="shared" si="649"/>
        <v>0</v>
      </c>
      <c r="CN188" s="3"/>
      <c r="CO188" s="3">
        <f t="shared" si="650"/>
        <v>0</v>
      </c>
      <c r="CP188" s="3">
        <f t="shared" si="533"/>
        <v>665</v>
      </c>
      <c r="CQ188" s="3">
        <f t="shared" si="543"/>
        <v>-31</v>
      </c>
      <c r="CR188" s="3"/>
      <c r="CS188" s="3">
        <f t="shared" si="544"/>
        <v>0</v>
      </c>
      <c r="CT188" s="3"/>
      <c r="CU188" s="3">
        <f t="shared" si="545"/>
        <v>0</v>
      </c>
      <c r="CV188" s="3"/>
      <c r="CW188" s="3" t="e">
        <f t="shared" ca="1" si="546"/>
        <v>#NUM!</v>
      </c>
      <c r="CY188" s="3" t="e">
        <f t="shared" ca="1" si="547"/>
        <v>#NUM!</v>
      </c>
      <c r="CZ188" s="70" t="e">
        <f t="shared" ca="1" si="579"/>
        <v>#NUM!</v>
      </c>
      <c r="DA188" s="3">
        <f>IF(RTD("tos.rtd",,DA$43,"."&amp;$B$134&amp;$AS$82&amp;"C"&amp;$A188)="N/A",0,RTD("tos.rtd",,DA$43,"."&amp;$B$134&amp;$AS$82&amp;"C"&amp;$A188))</f>
        <v>662.6</v>
      </c>
      <c r="DB188" s="3">
        <f>IF(RTD("tos.rtd",,DB$43,"."&amp;$B$134&amp;$AS$82&amp;"P"&amp;$A188)="N/A",0,RTD("tos.rtd",,DB$43,"."&amp;$B$134&amp;$AS$82&amp;"P"&amp;$A188))</f>
        <v>0.46</v>
      </c>
      <c r="DC188" s="3">
        <f>IF(RTD("tos.rtd",,DC$43,"."&amp;$B$134&amp;$AS$82&amp;"C"&amp;$A188)="N/A",0,RTD("tos.rtd",,DC$43,"."&amp;$B$134&amp;$AS$82&amp;"C"&amp;$A188))</f>
        <v>710.3</v>
      </c>
      <c r="DD188" s="3">
        <f>IF(RTD("tos.rtd",,DD$43,"."&amp;$B$134&amp;$AS$82&amp;"P"&amp;$A188)="N/A",0,RTD("tos.rtd",,DD$43,"."&amp;$B$134&amp;$AS$82&amp;"P"&amp;$A188))</f>
        <v>19.8</v>
      </c>
      <c r="DE188" s="3">
        <f>IF(RTD("tos.rtd",,DE$43,"."&amp;$B$134&amp;$AS$82&amp;"C"&amp;$A188)="N/A",0,RTD("tos.rtd",,DE$43,"."&amp;$B$134&amp;$AS$82&amp;"C"&amp;$A188))</f>
        <v>645.79999999999995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580"/>
        <v>-672</v>
      </c>
      <c r="DH188" s="3">
        <f t="shared" si="548"/>
        <v>0</v>
      </c>
      <c r="DI188" s="3">
        <f t="shared" si="549"/>
        <v>0</v>
      </c>
      <c r="DJ188" s="3">
        <f t="shared" si="550"/>
        <v>0</v>
      </c>
      <c r="DK188" s="3">
        <f t="shared" si="551"/>
        <v>0</v>
      </c>
      <c r="DL188" s="3">
        <f t="shared" si="552"/>
        <v>0</v>
      </c>
      <c r="DM188" s="3">
        <f t="shared" si="553"/>
        <v>0</v>
      </c>
      <c r="DN188" s="64" t="str">
        <f t="shared" si="554"/>
        <v>UNKNOWN</v>
      </c>
      <c r="DO188" s="64" t="str">
        <f t="shared" si="555"/>
        <v>UNKNOWN</v>
      </c>
      <c r="DP188" s="3">
        <f t="shared" si="556"/>
        <v>0</v>
      </c>
      <c r="DQ188" s="3">
        <f t="shared" si="557"/>
        <v>0</v>
      </c>
      <c r="DR188" s="3" t="e">
        <f t="shared" ca="1" si="558"/>
        <v>#NUM!</v>
      </c>
      <c r="DS188" s="3">
        <f t="shared" si="559"/>
        <v>0</v>
      </c>
      <c r="DT188" s="3">
        <f t="shared" si="581"/>
        <v>0</v>
      </c>
      <c r="DU188" s="3">
        <f t="shared" si="582"/>
        <v>0</v>
      </c>
      <c r="DV188" s="3" t="e">
        <f t="shared" si="560"/>
        <v>#N/A</v>
      </c>
      <c r="DW188" s="3" t="e">
        <f t="shared" si="561"/>
        <v>#N/A</v>
      </c>
      <c r="DX188" s="3" t="e">
        <f t="shared" ca="1" si="642"/>
        <v>#NUM!</v>
      </c>
      <c r="DY188" s="3" t="e">
        <f t="shared" ca="1" si="643"/>
        <v>#NUM!</v>
      </c>
      <c r="DZ188" s="3">
        <f t="shared" ca="1" si="644"/>
        <v>3.3054395269695836E-4</v>
      </c>
      <c r="EA188" s="3">
        <f t="shared" ca="1" si="645"/>
        <v>-3.3054395269695836E-4</v>
      </c>
      <c r="EB188" s="3">
        <f t="shared" ca="1" si="646"/>
        <v>3.3054395269695836E-4</v>
      </c>
      <c r="EC188" s="3">
        <f t="shared" ca="1" si="647"/>
        <v>-3.3054395269695836E-4</v>
      </c>
      <c r="EE188" s="59">
        <f t="shared" si="568"/>
        <v>0.25</v>
      </c>
      <c r="EF188" s="59">
        <f t="shared" si="569"/>
        <v>2.8580999999999999</v>
      </c>
      <c r="EG188" s="59">
        <f t="shared" si="570"/>
        <v>0.25</v>
      </c>
      <c r="EH188" s="59">
        <f t="shared" si="571"/>
        <v>0.25</v>
      </c>
      <c r="EI188" s="59">
        <f t="shared" si="572"/>
        <v>0.25</v>
      </c>
      <c r="EJ188" s="59">
        <f t="shared" si="573"/>
        <v>0.25</v>
      </c>
      <c r="EL188" s="3" t="str">
        <f>RTD("tos.rtd",,EL$43,"."&amp;$B$134&amp;$AS$82&amp;"C"&amp;$A188)</f>
        <v>--</v>
      </c>
      <c r="EM188" s="3" t="str">
        <f>RTD("tos.rtd",,EM$43,"."&amp;$B$134&amp;$AS$82&amp;"P"&amp;$A188)</f>
        <v>285.81%</v>
      </c>
      <c r="EN188" s="3" t="str">
        <f>RTD("tos.rtd",,EN$2,"."&amp;$C$134&amp;$AU$82&amp;"C"&amp;$A188)</f>
        <v>N/A</v>
      </c>
      <c r="EO188" s="3" t="str">
        <f>RTD("tos.rtd",,EO$2,"."&amp;$C$134&amp;$AU$82&amp;"P"&amp;$A188)</f>
        <v>N/A</v>
      </c>
      <c r="EP188" s="3" t="str">
        <f>RTD("tos.rtd",,EP$2,"."&amp;$D$134&amp;$AW$82&amp;"C"&amp;$A188)</f>
        <v>N/A</v>
      </c>
      <c r="EQ188" s="3" t="str">
        <f>RTD("tos.rtd",,EQ$2,"."&amp;$D$134&amp;$AW$82&amp;"P"&amp;$A188)</f>
        <v>N/A</v>
      </c>
      <c r="ET188" s="64" t="str">
        <f t="shared" ca="1" si="574"/>
        <v>19420,00.00</v>
      </c>
      <c r="EU188" s="68">
        <v>565.37</v>
      </c>
      <c r="EV188" s="68" t="s">
        <v>1524</v>
      </c>
      <c r="EW188" s="68">
        <v>488.03</v>
      </c>
      <c r="EX188" s="68" t="s">
        <v>1525</v>
      </c>
      <c r="EY188" s="68">
        <v>5669.5</v>
      </c>
      <c r="EZ188" s="68" t="s">
        <v>1526</v>
      </c>
      <c r="FA188" s="68">
        <v>20054.25</v>
      </c>
      <c r="FB188" s="68" t="s">
        <v>1527</v>
      </c>
      <c r="FC188" s="68" t="s">
        <v>1528</v>
      </c>
      <c r="FD188" s="68" t="s">
        <v>1529</v>
      </c>
      <c r="FE188" s="68" t="s">
        <v>1530</v>
      </c>
      <c r="FF188" s="68" t="s">
        <v>1531</v>
      </c>
    </row>
    <row r="189" spans="1:162" ht="11.1" customHeight="1" thickBot="1" x14ac:dyDescent="0.25">
      <c r="A189" s="2">
        <f t="shared" si="583"/>
        <v>19400</v>
      </c>
      <c r="B189" s="3">
        <f t="shared" si="616"/>
        <v>100</v>
      </c>
      <c r="C189" s="3">
        <f t="shared" si="617"/>
        <v>17</v>
      </c>
      <c r="D189" s="3">
        <f t="shared" si="618"/>
        <v>107</v>
      </c>
      <c r="E189" s="3">
        <f t="shared" si="651"/>
        <v>224</v>
      </c>
      <c r="F189" s="11">
        <f t="shared" si="611"/>
        <v>19496.555843121641</v>
      </c>
      <c r="G189" s="5">
        <f t="shared" si="652"/>
        <v>472.11945052757312</v>
      </c>
      <c r="AM189" s="1">
        <v>0</v>
      </c>
      <c r="AN189" s="1">
        <v>-14</v>
      </c>
      <c r="AO189" s="1">
        <v>19400</v>
      </c>
      <c r="AP189" s="1">
        <v>20</v>
      </c>
      <c r="AQ189" s="1">
        <v>-575</v>
      </c>
      <c r="AS189" s="56">
        <f>IF(RTD("tos.rtd",,AS$83,"."&amp;$B$134&amp;$AS$82&amp;"C"&amp;$A189)="N/A",0,RTD("tos.rtd",,AS$83,"."&amp;$B$134&amp;$AS$82&amp;"C"&amp;$A189))</f>
        <v>21</v>
      </c>
      <c r="AT189" s="35">
        <f>-IF(RTD("tos.rtd",,AT$83,"."&amp;$B$134&amp;$AS$82&amp;"P"&amp;$A189)="N/A",0,RTD("tos.rtd",,AT$83,"."&amp;$B$134&amp;$AS$82&amp;"P"&amp;$A189))</f>
        <v>-79</v>
      </c>
      <c r="AU189" s="16">
        <f>IF(RTD("tos.rtd",,AU$2,"."&amp;$C$134&amp;$AU$134&amp;"C"&amp;$A189)="N/A",0,RTD("tos.rtd",,AU$2,"."&amp;$C$134&amp;$AU$134&amp;"C"&amp;$A189))</f>
        <v>8</v>
      </c>
      <c r="AV189" s="16">
        <f>-IF(RTD("tos.rtd",,AV$2,"."&amp;$C$134&amp;$AU$134&amp;"P"&amp;$A189)="N/A",0,RTD("tos.rtd",,AV$2,"."&amp;$C$134&amp;$AU$134&amp;"P"&amp;$A189))</f>
        <v>-9</v>
      </c>
      <c r="AW189" s="56">
        <f>IF(RTD("tos.rtd",,AW$2,"."&amp;$D$134&amp;$AW$134&amp;"C"&amp;$A189)="N/A",0,RTD("tos.rtd",,AW$2,"."&amp;$D$134&amp;$AW$134&amp;"C"&amp;$A189))</f>
        <v>45</v>
      </c>
      <c r="AX189" s="35">
        <f>-IF(RTD("tos.rtd",,AX$2,"."&amp;$D$134&amp;$AW$134&amp;"P"&amp;$A189)="N/A",0,RTD("tos.rtd",,AX$2,"."&amp;$D$134&amp;$AW$134&amp;"P"&amp;$A189))</f>
        <v>-62</v>
      </c>
      <c r="AY189" s="77">
        <f t="shared" si="612"/>
        <v>-76</v>
      </c>
      <c r="AZ189" s="8">
        <f t="shared" si="539"/>
        <v>19400</v>
      </c>
      <c r="BA189" s="56">
        <f>IF(RTD("tos.rtd",,BA$43,"."&amp;$B$134&amp;$AS$82&amp;"C"&amp;$A189)="N/A",0,RTD("tos.rtd",,BA$43,"."&amp;$B$134&amp;$AS$82&amp;"C"&amp;$A189))</f>
        <v>20</v>
      </c>
      <c r="BB189" s="35">
        <f>-IF(RTD("tos.rtd",,BB$43,"."&amp;$B$134&amp;$AS$82&amp;"P"&amp;$A189)="N/A",0,RTD("tos.rtd",,BB$43,"."&amp;$B$134&amp;$AS$82&amp;"P"&amp;$A189))</f>
        <v>-575</v>
      </c>
      <c r="BC189" s="16">
        <f>IF(RTD("tos.rtd",,BC$2,"."&amp;$C$134&amp;$AU$82&amp;"C"&amp;$A189)="N/A",0,RTD("tos.rtd",,BC$2,"."&amp;$C$134&amp;$AU$82&amp;"C"&amp;$A189))</f>
        <v>3</v>
      </c>
      <c r="BD189" s="16">
        <f>-IF(RTD("tos.rtd",,BD$2,"."&amp;$C$134&amp;$AU$82&amp;"P"&amp;$A189)="N/A",0,RTD("tos.rtd",,BD$2,"."&amp;$C$134&amp;$AU$82&amp;"P"&amp;$A189))</f>
        <v>-30</v>
      </c>
      <c r="BE189" s="56">
        <f>IF(RTD("tos.rtd",,BE$2,"."&amp;$D$134&amp;$AW$82&amp;"C"&amp;$A189)="N/A",0,RTD("tos.rtd",,BE$2,"."&amp;$D$134&amp;$AW$82&amp;"C"&amp;$A189))</f>
        <v>1</v>
      </c>
      <c r="BF189" s="35">
        <f>-IF(RTD("tos.rtd",,BF$2,"."&amp;$D$134&amp;$AW$82&amp;"P"&amp;$A189)="N/A",0,RTD("tos.rtd",,BF$2,"."&amp;$D$134&amp;$AW$82&amp;"P"&amp;$A189))</f>
        <v>-10</v>
      </c>
      <c r="BG189" s="35" t="e">
        <f ca="1">+Hoja2!Y190</f>
        <v>#N/A</v>
      </c>
      <c r="BH189" s="36" t="e">
        <f t="shared" ca="1" si="540"/>
        <v>#N/A</v>
      </c>
      <c r="BI189" s="32" t="e">
        <f t="shared" ca="1" si="597"/>
        <v>#N/A</v>
      </c>
      <c r="BJ189" s="3" t="e">
        <f ca="1">IF($BP$1=1,DX189,IF(RTD("tos.rtd",,BJ$43,"."&amp;$B$134&amp;$AS$82&amp;"C"&amp;$A189)="N/A",0,RTD("tos.rtd",,BJ$43,"."&amp;$B$134&amp;$AS$82&amp;"C"&amp;$A189)))</f>
        <v>#NUM!</v>
      </c>
      <c r="BK189" s="3" t="e">
        <f ca="1">IF($BP$1=1,DY189,-IF(RTD("tos.rtd",,BK$43,"."&amp;$B$134&amp;$AS$82&amp;"P"&amp;$A189)="N/A",0,RTD("tos.rtd",,BK$43,"."&amp;$B$134&amp;$AS$82&amp;"P"&amp;$A189)))</f>
        <v>#NUM!</v>
      </c>
      <c r="BL189" s="83">
        <f ca="1">IF($BP$1=1,DZ189,IF(RTD("tos.rtd",,BL$2,"."&amp;$C$134&amp;$AU$82&amp;"C"&amp;$A189)="N/A",0,RTD("tos.rtd",,BL$2,"."&amp;$C$134&amp;$AU$82&amp;"C"&amp;$A189)))</f>
        <v>3.23624389444967E-4</v>
      </c>
      <c r="BM189" s="83">
        <f ca="1">IF($BP$1=1,EA189,-IF(RTD("tos.rtd",,BM$2,"."&amp;$C$134&amp;$AU$82&amp;"P"&amp;$A189)="N/A",0,RTD("tos.rtd",,BM$2,"."&amp;$C$134&amp;$AU$82&amp;"P"&amp;$A189)))</f>
        <v>-3.1878491502453321E-4</v>
      </c>
      <c r="BN189" s="3">
        <f ca="1">IF($BP$1=1,EB189,IF(RTD("tos.rtd",,BN$2,"."&amp;$D$134&amp;$AW$82&amp;"C"&amp;$A189)="N/A",0,RTD("tos.rtd",,BN$2,"."&amp;$D$134&amp;$AW$82&amp;"C"&amp;$A189)))</f>
        <v>3.2491076583478153E-4</v>
      </c>
      <c r="BO189" s="3">
        <f ca="1">IF($BP$1=1,EC189,-IF(RTD("tos.rtd",,BO$2,"."&amp;$D$134&amp;$AW$82&amp;"P"&amp;$A189)="N/A",0,RTD("tos.rtd",,BO$2,"."&amp;$D$134&amp;$AW$82&amp;"P"&amp;$A189)))</f>
        <v>-3.1943575221576133E-4</v>
      </c>
      <c r="BQ189" s="3" t="e">
        <f t="shared" ca="1" si="613"/>
        <v>#NUM!</v>
      </c>
      <c r="BR189" s="3"/>
      <c r="BS189" s="83">
        <f t="shared" ca="1" si="614"/>
        <v>-9054.0053408345993</v>
      </c>
      <c r="BT189" s="83"/>
      <c r="BU189" s="3">
        <f t="shared" ca="1" si="615"/>
        <v>-167588.11201537825</v>
      </c>
      <c r="BV189" s="3" t="str">
        <f t="shared" ref="BV189" ca="1" si="653">IF(AND(BU189&lt;0,BU188&gt;0), "Cruce -", IF(AND(BU189&gt;0,BU188&lt;0),"Cruce +", ""))</f>
        <v/>
      </c>
      <c r="BX189" s="3" t="e">
        <f t="shared" ca="1" si="575"/>
        <v>#NUM!</v>
      </c>
      <c r="BY189" s="3" t="e">
        <f t="shared" ca="1" si="576"/>
        <v>#NUM!</v>
      </c>
      <c r="BZ189" s="83">
        <f t="shared" ca="1" si="577"/>
        <v>-2054.3527354123835</v>
      </c>
      <c r="CA189" s="83" t="str">
        <f t="shared" ca="1" si="576"/>
        <v/>
      </c>
      <c r="CB189" s="3">
        <f t="shared" ca="1" si="578"/>
        <v>-686.03272965267934</v>
      </c>
      <c r="CC189" s="3" t="str">
        <f t="shared" ca="1" si="576"/>
        <v/>
      </c>
      <c r="CD189" s="3">
        <f>IF(RTD("tos.rtd",,CD$43,"."&amp;$B$134&amp;$AS$82&amp;"C"&amp;$A189)="N/A",0,RTD("tos.rtd",,CD$43,"."&amp;$B$134&amp;$AS$82&amp;"C"&amp;$A189))</f>
        <v>1</v>
      </c>
      <c r="CE189" s="3">
        <f>-IF(RTD("tos.rtd",,CE$43,"."&amp;$B$134&amp;$AS$82&amp;"P"&amp;$A189)="N/A",0,RTD("tos.rtd",,CE$43,"."&amp;$B$134&amp;$AS$82&amp;"P"&amp;$A189))</f>
        <v>0.03</v>
      </c>
      <c r="CF189" s="83">
        <f>IF(RTD("tos.rtd",,CF$2,"."&amp;$C$134&amp;$AU$82&amp;"C"&amp;$A189)="N/A",0,RTD("tos.rtd",,CF$2,"."&amp;$C$134&amp;$AU$82&amp;"C"&amp;$A189))</f>
        <v>0.86</v>
      </c>
      <c r="CG189" s="83">
        <f>-IF(RTD("tos.rtd",,CG$2,"."&amp;$C$134&amp;$AU$82&amp;"P"&amp;$A189)="N/A",0,RTD("tos.rtd",,CG$2,"."&amp;$C$134&amp;$AU$82&amp;"P"&amp;$A189))</f>
        <v>0.16</v>
      </c>
      <c r="CH189" s="3">
        <f>IF(RTD("tos.rtd",,CH$2,"."&amp;$D$134&amp;$AW$82&amp;"C"&amp;$A189)="N/A",0,RTD("tos.rtd",,CH$2,"."&amp;$D$134&amp;$AW$82&amp;"C"&amp;$A189))</f>
        <v>0.79</v>
      </c>
      <c r="CI189" s="3">
        <f>-IF(RTD("tos.rtd",,CI$2,"."&amp;$D$134&amp;$AW$82&amp;"P"&amp;$A189)="N/A",0,RTD("tos.rtd",,CI$2,"."&amp;$D$134&amp;$AW$82&amp;"P"&amp;$A189))</f>
        <v>0.22</v>
      </c>
      <c r="CK189" s="3">
        <f t="shared" si="648"/>
        <v>1863</v>
      </c>
      <c r="CL189" s="3"/>
      <c r="CM189" s="83">
        <f t="shared" si="649"/>
        <v>544</v>
      </c>
      <c r="CN189" s="83"/>
      <c r="CO189" s="3">
        <f t="shared" si="650"/>
        <v>2191.0000000000005</v>
      </c>
      <c r="CP189" s="3">
        <f t="shared" si="533"/>
        <v>4598</v>
      </c>
      <c r="CQ189" s="3">
        <f t="shared" si="543"/>
        <v>-555</v>
      </c>
      <c r="CR189" s="3"/>
      <c r="CS189" s="83">
        <f t="shared" si="544"/>
        <v>-27</v>
      </c>
      <c r="CT189" s="83"/>
      <c r="CU189" s="3">
        <f t="shared" si="545"/>
        <v>-9</v>
      </c>
      <c r="CV189" s="3"/>
      <c r="CW189" s="3" t="e">
        <f t="shared" ca="1" si="546"/>
        <v>#NUM!</v>
      </c>
      <c r="CY189" s="3" t="e">
        <f t="shared" ca="1" si="547"/>
        <v>#NUM!</v>
      </c>
      <c r="CZ189" s="70" t="e">
        <f t="shared" ca="1" si="579"/>
        <v>#NUM!</v>
      </c>
      <c r="DA189" s="3">
        <f>IF(RTD("tos.rtd",,DA$43,"."&amp;$B$134&amp;$AS$82&amp;"C"&amp;$A189)="N/A",0,RTD("tos.rtd",,DA$43,"."&amp;$B$134&amp;$AS$82&amp;"C"&amp;$A189))</f>
        <v>652.5</v>
      </c>
      <c r="DB189" s="3">
        <f>IF(RTD("tos.rtd",,DB$43,"."&amp;$B$134&amp;$AS$82&amp;"P"&amp;$A189)="N/A",0,RTD("tos.rtd",,DB$43,"."&amp;$B$134&amp;$AS$82&amp;"P"&amp;$A189))</f>
        <v>0.2</v>
      </c>
      <c r="DC189" s="3">
        <f>IF(RTD("tos.rtd",,DC$43,"."&amp;$B$134&amp;$AS$82&amp;"C"&amp;$A189)="N/A",0,RTD("tos.rtd",,DC$43,"."&amp;$B$134&amp;$AS$82&amp;"C"&amp;$A189))</f>
        <v>732</v>
      </c>
      <c r="DD189" s="3">
        <f>IF(RTD("tos.rtd",,DD$43,"."&amp;$B$134&amp;$AS$82&amp;"P"&amp;$A189)="N/A",0,RTD("tos.rtd",,DD$43,"."&amp;$B$134&amp;$AS$82&amp;"P"&amp;$A189))</f>
        <v>10</v>
      </c>
      <c r="DE189" s="3">
        <f>IF(RTD("tos.rtd",,DE$43,"."&amp;$B$134&amp;$AS$82&amp;"C"&amp;$A189)="N/A",0,RTD("tos.rtd",,DE$43,"."&amp;$B$134&amp;$AS$82&amp;"C"&amp;$A189))</f>
        <v>666.5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580"/>
        <v>-692</v>
      </c>
      <c r="DH189" s="3">
        <f t="shared" si="548"/>
        <v>0</v>
      </c>
      <c r="DI189" s="3">
        <f t="shared" si="549"/>
        <v>0</v>
      </c>
      <c r="DJ189" s="3">
        <f t="shared" ref="DJ189" si="654">IF(DA189&gt;=(DE189+(DC189-DE189)*0.6),(BA189-AP189),IF(DA189&lt;=(DE189+(DC189-DE189)*0.4),-(BA189-AP189),0))</f>
        <v>0</v>
      </c>
      <c r="DK189" s="3">
        <f t="shared" ref="DK189" si="655">IF(DB189&lt;=(DF189+(DD189-DF189)*0.4),-(BB189-AQ189),IF(DB189&gt;=(DF189+(DD189-DF189)*0.6),(BB189-AQ189),0))</f>
        <v>0</v>
      </c>
      <c r="DL189" s="3">
        <f t="shared" si="552"/>
        <v>0</v>
      </c>
      <c r="DM189" s="3">
        <f t="shared" si="553"/>
        <v>0</v>
      </c>
      <c r="DN189" s="64" t="str">
        <f t="shared" si="554"/>
        <v>UNKNOWN</v>
      </c>
      <c r="DO189" s="64" t="str">
        <f t="shared" si="555"/>
        <v>UNKNOWN</v>
      </c>
      <c r="DP189" s="3">
        <f t="shared" si="556"/>
        <v>0</v>
      </c>
      <c r="DQ189" s="3">
        <f t="shared" si="557"/>
        <v>0</v>
      </c>
      <c r="DR189" s="83" t="e">
        <f t="shared" ca="1" si="558"/>
        <v>#NUM!</v>
      </c>
      <c r="DS189" s="83">
        <f t="shared" si="559"/>
        <v>0</v>
      </c>
      <c r="DT189" s="3">
        <f t="shared" si="581"/>
        <v>0</v>
      </c>
      <c r="DU189" s="3">
        <f t="shared" si="582"/>
        <v>0</v>
      </c>
      <c r="DV189" s="3">
        <f t="shared" si="560"/>
        <v>0</v>
      </c>
      <c r="DW189" s="3">
        <f t="shared" si="561"/>
        <v>-14</v>
      </c>
      <c r="DX189" s="3" t="e">
        <f t="shared" ca="1" si="642"/>
        <v>#NUM!</v>
      </c>
      <c r="DY189" s="3" t="e">
        <f t="shared" ca="1" si="643"/>
        <v>#NUM!</v>
      </c>
      <c r="DZ189" s="83">
        <f t="shared" ca="1" si="644"/>
        <v>3.23624389444967E-4</v>
      </c>
      <c r="EA189" s="83">
        <f t="shared" ca="1" si="645"/>
        <v>-3.1878491502453321E-4</v>
      </c>
      <c r="EB189" s="3">
        <f t="shared" ca="1" si="646"/>
        <v>3.2491076583478153E-4</v>
      </c>
      <c r="EC189" s="3">
        <f t="shared" ca="1" si="647"/>
        <v>-3.1943575221576133E-4</v>
      </c>
      <c r="EE189" s="59">
        <f t="shared" si="568"/>
        <v>0.25</v>
      </c>
      <c r="EF189" s="59">
        <f t="shared" si="569"/>
        <v>2.5670999999999999</v>
      </c>
      <c r="EG189" s="84">
        <f t="shared" si="570"/>
        <v>0.24790000000000001</v>
      </c>
      <c r="EH189" s="84">
        <f t="shared" si="571"/>
        <v>0.26390000000000002</v>
      </c>
      <c r="EI189" s="59">
        <f t="shared" si="572"/>
        <v>0.24229999999999999</v>
      </c>
      <c r="EJ189" s="59">
        <f t="shared" si="573"/>
        <v>0.26200000000000001</v>
      </c>
      <c r="EL189" s="3" t="str">
        <f>RTD("tos.rtd",,EL$43,"."&amp;$B$134&amp;$AS$82&amp;"C"&amp;$A189)</f>
        <v>--</v>
      </c>
      <c r="EM189" s="3" t="str">
        <f>RTD("tos.rtd",,EM$43,"."&amp;$B$134&amp;$AS$82&amp;"P"&amp;$A189)</f>
        <v>256.71%</v>
      </c>
      <c r="EN189" s="83" t="str">
        <f>RTD("tos.rtd",,EN$2,"."&amp;$C$134&amp;$AU$82&amp;"C"&amp;$A189)</f>
        <v>24.79%</v>
      </c>
      <c r="EO189" s="83" t="str">
        <f>RTD("tos.rtd",,EO$2,"."&amp;$C$134&amp;$AU$82&amp;"P"&amp;$A189)</f>
        <v>26.39%</v>
      </c>
      <c r="EP189" s="3" t="str">
        <f>RTD("tos.rtd",,EP$2,"."&amp;$D$134&amp;$AW$82&amp;"C"&amp;$A189)</f>
        <v>24.23%</v>
      </c>
      <c r="EQ189" s="3" t="str">
        <f>RTD("tos.rtd",,EQ$2,"."&amp;$D$134&amp;$AW$82&amp;"P"&amp;$A189)</f>
        <v>26.20%</v>
      </c>
      <c r="ET189" s="64" t="str">
        <f t="shared" ca="1" si="574"/>
        <v>19400,00.00</v>
      </c>
      <c r="EU189" s="68">
        <v>565.79999999999995</v>
      </c>
      <c r="EV189" s="68" t="s">
        <v>1532</v>
      </c>
      <c r="EW189" s="68">
        <v>488.42</v>
      </c>
      <c r="EX189" s="68" t="s">
        <v>1533</v>
      </c>
      <c r="EY189" s="68">
        <v>5674</v>
      </c>
      <c r="EZ189" s="68" t="s">
        <v>1534</v>
      </c>
      <c r="FA189" s="68">
        <v>20069.25</v>
      </c>
      <c r="FB189" s="68" t="s">
        <v>1535</v>
      </c>
      <c r="FC189" s="68" t="s">
        <v>1536</v>
      </c>
      <c r="FD189" s="68" t="s">
        <v>1537</v>
      </c>
      <c r="FE189" s="68" t="s">
        <v>1538</v>
      </c>
      <c r="FF189" s="68" t="s">
        <v>1539</v>
      </c>
    </row>
    <row r="190" spans="1:162" ht="13.5" thickBot="1" x14ac:dyDescent="0.25">
      <c r="A190" s="56"/>
      <c r="C190" s="35"/>
      <c r="D190" s="35"/>
      <c r="E190" s="35"/>
      <c r="F190" s="57"/>
      <c r="BH190" s="1" t="e">
        <f ca="1">MIN(BH137:BH189)</f>
        <v>#N/A</v>
      </c>
      <c r="BI190" s="1" t="str">
        <f ca="1">IFERROR(IF(MIN(BH137:BH189)&lt;&gt;0,INDEX(A137:A189,MATCH(MIN(BH137:BH189),BH137:BH189,0)),""),"")</f>
        <v/>
      </c>
      <c r="BP190" s="64" t="e">
        <f ca="1">INDEX(BQ190:BU190,MATCH(MAX(BQ136:BU136),BQ136:BU136,0))</f>
        <v>#NUM!</v>
      </c>
      <c r="BQ190" s="1" t="e">
        <f ca="1">IF(AND(BQ136&gt;0,ABS(MAX(BQ137:BQ189))&gt;ABS(MIN(BQ137:BQ189))),IF(MAX(BQ137:BQ189)&lt;&gt;0,INDEX($A137:$A189,MATCH(MAX(BQ137:BQ189),BQ137:BQ189,0)),""),"")</f>
        <v>#NUM!</v>
      </c>
      <c r="BS190" s="1">
        <f ca="1">IF(AND(BS136&gt;0,ABS(MAX(BS137:BS189))&gt;ABS(MIN(BS137:BS189))),IF(MAX(BS137:BS189)&lt;&gt;0,INDEX($A137:$A189,MATCH(MAX(BS137:BS189),BS137:BS189,0)),""),"")</f>
        <v>20000</v>
      </c>
      <c r="BU190" s="1">
        <f ca="1">IF(AND(BU136&gt;0,ABS(MAX(BU137:BU189))&gt;ABS(MIN(BU137:BU189))),IF(MAX(BU137:BU189)&lt;&gt;0,INDEX($A137:$A189,MATCH(MAX(BU137:BU189),BU137:BU189,0)),""),"")</f>
        <v>20100</v>
      </c>
      <c r="BW190" s="64" t="e">
        <f ca="1">INDEX(BX190:CB190,MATCH(MAX(BX136:CB136),BX136:CB136,0))</f>
        <v>#NUM!</v>
      </c>
      <c r="BX190" s="1" t="e">
        <f ca="1">IF(AND(BX136&gt;0,ABS(MAX(BX137:BX189))&gt;ABS(MIN(BX137:BX189))),IF(MAX(BX137:BX189)&lt;&gt;0,INDEX($A137:$A189,MATCH(MAX(BX137:BX189),BX137:BX189,0)),""),"")</f>
        <v>#NUM!</v>
      </c>
      <c r="BY190" s="1" t="e">
        <f ca="1">INDEX($A$137:$A$189,MATCH("Cruce -",BY137:BY189,)+1)</f>
        <v>#N/A</v>
      </c>
      <c r="BZ190" s="1">
        <f ca="1">IF(AND(BZ136&gt;0,ABS(MAX(BZ137:BZ189))&gt;ABS(MIN(BZ137:BZ189))),IF(MAX(BZ137:BZ189)&lt;&gt;0,INDEX($A137:$A189,MATCH(MAX(BZ137:BZ189),BZ137:BZ189,0)),""),"")</f>
        <v>19800</v>
      </c>
      <c r="CB190" s="1" t="str">
        <f ca="1">IF(AND(CB136&gt;0,ABS(MAX(CB137:CB189))&gt;ABS(MIN(CB137:CB189))),IF(MAX(CB137:CB189)&lt;&gt;0,INDEX($A137:$A189,MATCH(MAX(CB137:CB189),CB137:CB189,0)),""),"")</f>
        <v/>
      </c>
      <c r="CJ190" s="64">
        <f>INDEX(CK190:CO190,MATCH(MAX(CK136:CO136),CK136:CO136,0))</f>
        <v>19800</v>
      </c>
      <c r="CK190" s="1">
        <f>IF(AND(CK136&gt;0,ABS(MAX(CK137:CK189))&gt;ABS(MIN(CK137:CK189))),IF(MAX(CK137:CK189)&lt;&gt;0,INDEX($A137:$A189,MATCH(MAX(CK137:CK189),CK137:CK189,0)),""),"")</f>
        <v>19800</v>
      </c>
      <c r="CM190" s="1">
        <f>IF(AND(CM136&gt;0,ABS(MAX(CM137:CM189))&gt;ABS(MIN(CM137:CM189))),IF(MAX(CM137:CM189)&lt;&gt;0,INDEX($A137:$A189,MATCH(MAX(CM137:CM189),CM137:CM189,0)),""),"")</f>
        <v>19500</v>
      </c>
      <c r="CO190" s="1">
        <f>IF(AND(CO136&gt;0,ABS(MAX(CO137:CO189))&gt;ABS(MIN(CO137:CO189))),IF(MAX(CO137:CO189)&lt;&gt;0,INDEX($A137:$A189,MATCH(MAX(CO137:CO189),CO137:CO189,0)),""),"")</f>
        <v>20000</v>
      </c>
      <c r="CP190" s="1">
        <f>IF(ABS(MAX(CP137:CP189))&gt;ABS(MIN(CP137:CP189)),IF(MAX(CP137:CP189)&lt;&gt;0,INDEX($A137:$A189,MATCH(MAX(CP137:CP189),CP137:CP189,0)),""),"")</f>
        <v>20000</v>
      </c>
      <c r="CW190" s="1" t="e">
        <f ca="1">IF(AND(CW136&gt;0,ABS(MAX(CW137:CW189))&gt;ABS(MIN(CW137:CW189))),IF(MAX(CW137:CW189)&lt;&gt;0,INDEX($A137:$A189,MATCH(MAX(CW137:CW189),CW137:CW189,0)),""),"")</f>
        <v>#NUM!</v>
      </c>
      <c r="CY190" s="1" t="e">
        <f ca="1">IF(AND(CY136&gt;0,ABS(MAX(CY137:CY189))&gt;ABS(MIN(CY137:CY189))),IF(MAX(CY137:CY189)&lt;&gt;0,INDEX($A137:$A189,MATCH(MAX(CY137:CY189),CY137:CY189,0)),""),"")</f>
        <v>#NUM!</v>
      </c>
      <c r="DH190" s="1" t="e">
        <f t="shared" ref="DH190:DM190" si="656">IF(AND(DH136&gt;0,ABS(MAX(DH137:DH189))&gt;ABS(MIN(DH137:DH189))),IF(MAX(DH137:DH189)&lt;&gt;0,INDEX($A137:$A189,MATCH(MAX(DH137:DH189),DH137:DH189,0)),""),"")</f>
        <v>#DIV/0!</v>
      </c>
      <c r="DI190" s="1" t="e">
        <f t="shared" si="656"/>
        <v>#DIV/0!</v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e">
        <f t="shared" si="656"/>
        <v>#DIV/0!</v>
      </c>
      <c r="DM190" s="1" t="str">
        <f t="shared" si="656"/>
        <v/>
      </c>
      <c r="DN190" s="64" t="str">
        <f>DJ190&amp;","&amp;DJ191&amp;","&amp;DK190&amp;","&amp;DK191</f>
        <v>,,,</v>
      </c>
      <c r="DP190" s="1" t="e">
        <f>IF(AND(DP136&gt;0,ABS(MAX(DP137:DP189))&gt;ABS(MIN(DP137:DP189))),IF(MAX(DP137:DP189)&lt;&gt;0,INDEX($A137:$A189,MATCH(MAX(DP137:DP189),DP137:DP189,0)),""),"")</f>
        <v>#DIV/0!</v>
      </c>
      <c r="DQ190" s="1" t="str">
        <f>IF(AND(DQ136&gt;0,ABS(MAX(DQ137:DQ189))&gt;ABS(MIN(DQ137:DQ189))),IF(MAX(DQ137:DQ189)&lt;&gt;0,INDEX($A137:$A189,MATCH(MAX(DQ137:DQ189),DQ137:DQ189,0)),""),"")</f>
        <v/>
      </c>
      <c r="DR190" s="1" t="e">
        <f ca="1">IF(AND(DR136&gt;0,ABS(MAX(DR137:DR189))&gt;ABS(MIN(DR137:DR189))),IF(MAX(DR137:DR189)&lt;&gt;0,INDEX($A137:$A189,MATCH(MAX(DR137:DR189),DR137:DR189,0)),""),"")</f>
        <v>#NUM!</v>
      </c>
      <c r="EU190" s="68">
        <v>565.66</v>
      </c>
      <c r="EV190" s="68" t="s">
        <v>1540</v>
      </c>
      <c r="EW190" s="68">
        <v>488.26</v>
      </c>
      <c r="EX190" s="68" t="s">
        <v>1541</v>
      </c>
      <c r="EY190" s="68">
        <v>5672.5</v>
      </c>
      <c r="EZ190" s="68" t="s">
        <v>1542</v>
      </c>
      <c r="FA190" s="68">
        <v>20064</v>
      </c>
      <c r="FB190" s="68" t="s">
        <v>1543</v>
      </c>
      <c r="FC190" s="68" t="s">
        <v>1544</v>
      </c>
      <c r="FD190" s="68" t="s">
        <v>1545</v>
      </c>
      <c r="FE190" s="68" t="s">
        <v>1546</v>
      </c>
      <c r="FF190" s="68" t="s">
        <v>1547</v>
      </c>
    </row>
    <row r="191" spans="1:162" x14ac:dyDescent="0.2">
      <c r="BP191" s="64" t="e">
        <f ca="1">INDEX(BQ191:BU191,MATCH(MIN(BQ136:BU136),BQ136:BU136,0))</f>
        <v>#NUM!</v>
      </c>
      <c r="BQ191" s="1" t="e">
        <f ca="1">IF(AND(BQ136&lt;0,ABS(MIN(BQ137:BQ189))&gt;ABS(MAX(BQ137:BQ189))),IF(MIN(BQ137:BQ189)&lt;&gt;0,INDEX($A137:$A189,MATCH(MIN(BQ137:BQ189),BQ137:BQ189,0)),""),"")</f>
        <v>#NUM!</v>
      </c>
      <c r="BS191" s="1" t="str">
        <f ca="1">IF(AND(BS136&lt;0,ABS(MIN(BS137:BS189))&gt;ABS(MAX(BS137:BS189))),IF(MIN(BS137:BS189)&lt;&gt;0,INDEX($A137:$A189,MATCH(MIN(BS137:BS189),BS137:BS189,0)),""),"")</f>
        <v/>
      </c>
      <c r="BU191" s="1" t="str">
        <f ca="1">IF(AND(BU136&lt;0,ABS(MIN(BU137:BU189))&gt;ABS(MAX(BU137:BU189))),IF(MIN(BU137:BU189)&lt;&gt;0,INDEX($A137:$A189,MATCH(MIN(BU137:BU189),BU137:BU189,0)),""),"")</f>
        <v/>
      </c>
      <c r="BW191" s="64" t="e">
        <f ca="1">INDEX(BX191:CB191,MATCH(MIN(BX136:CB136),BX136:CB136,0))</f>
        <v>#NUM!</v>
      </c>
      <c r="BX191" s="1" t="e">
        <f ca="1">IF(AND(BX136&lt;0,ABS(MIN(BX137:BX189))&gt;ABS(MAX(BX137:BX189))),IF(MIN(BX137:BX189)&lt;&gt;0,INDEX($A137:$A189,MATCH(MIN(BX137:BX189),BX137:BX189,0)),""),"")</f>
        <v>#NUM!</v>
      </c>
      <c r="BY191" s="1" t="e">
        <f ca="1">INDEX($A$137:$A$189,MATCH("Cruce -",BY137:BY189,)-1)</f>
        <v>#N/A</v>
      </c>
      <c r="BZ191" s="1" t="str">
        <f ca="1">IF(AND(BZ136&lt;0,ABS(MIN(BZ137:BZ189))&gt;ABS(MAX(BZ137:BZ189))),IF(MIN(BZ137:BZ189)&lt;&gt;0,INDEX($A137:$A189,MATCH(MIN(BZ137:BZ189),BZ137:BZ189,0)),""),"")</f>
        <v/>
      </c>
      <c r="CB191" s="1">
        <f ca="1">IF(AND(CB136&lt;0,ABS(MIN(CB137:CB189))&gt;ABS(MAX(CB137:CB189))),IF(MIN(CB137:CB189)&lt;&gt;0,INDEX($A137:$A189,MATCH(MIN(CB137:CB189),CB137:CB189,0)),""),"")</f>
        <v>19500</v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e">
        <f ca="1">IF(AND(CW136&lt;0,ABS(MIN(CW137:CW189))&gt;ABS(MAX(CW137:CW189))),IF(MIN(CW137:CW189)&lt;&gt;0,INDEX($A137:$A189,MATCH(MIN(CW137:CW189),CW137:CW189,0)),""),"")</f>
        <v>#NUM!</v>
      </c>
      <c r="CY191" s="1" t="e">
        <f ca="1">IF(AND(CY136&lt;0,ABS(MIN(CY137:CY189))&gt;ABS(MAX(CY137:CY189))),IF(MIN(CY137:CY189)&lt;&gt;0,INDEX($A137:$A189,MATCH(MIN(CY137:CY189),CY137:CY189,0)),""),"")</f>
        <v>#NUM!</v>
      </c>
      <c r="DH191" s="1" t="e">
        <f t="shared" ref="DH191:DM191" si="657">IF(AND(DH136&lt;0,ABS(MIN(DH137:DH189))&gt;ABS(MAX(DH137:DH189))),IF(MIN(DH137:DH189)&lt;&gt;0,INDEX($A137:$A189,MATCH(MIN(DH137:DH189),DH137:DH189,0)),""),"")</f>
        <v>#DIV/0!</v>
      </c>
      <c r="DI191" s="1" t="e">
        <f t="shared" si="657"/>
        <v>#DIV/0!</v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e">
        <f t="shared" si="657"/>
        <v>#DIV/0!</v>
      </c>
      <c r="DM191" s="1" t="str">
        <f t="shared" si="657"/>
        <v/>
      </c>
      <c r="DN191" s="64" t="str">
        <f ca="1">BI134&amp;","&amp;BI190</f>
        <v>,</v>
      </c>
      <c r="DP191" s="1" t="e">
        <f>IF(AND(DP136&lt;0,ABS(MIN(DP137:DP189))&gt;ABS(MAX(DP137:DP189))),IF(MIN(DP137:DP189)&lt;&gt;0,INDEX($A137:$A189,MATCH(MIN(DP137:DP189),DP137:DP189,0)),""),"")</f>
        <v>#DIV/0!</v>
      </c>
      <c r="DQ191" s="1" t="str">
        <f>IF(AND(DQ136&lt;0,ABS(MIN(DQ137:DQ189))&gt;ABS(MAX(DQ137:DQ189))),IF(MIN(DQ137:DQ189)&lt;&gt;0,INDEX($A137:$A189,MATCH(MIN(DQ137:DQ189),DQ137:DQ189,0)),""),"")</f>
        <v/>
      </c>
      <c r="DR191" s="1" t="e">
        <f ca="1">IF(AND(DR136&lt;0,ABS(MIN(DR137:DR189))&gt;ABS(MAX(DR137:DR189))),IF(MIN(DR137:DR189)&lt;&gt;0,INDEX($A137:$A189,MATCH(MIN(DR137:DR189),DR137:DR189,0)),""),"")</f>
        <v>#NUM!</v>
      </c>
      <c r="EU191" s="68">
        <v>565.58000000000004</v>
      </c>
      <c r="EV191" s="68" t="s">
        <v>1548</v>
      </c>
      <c r="EW191" s="68">
        <v>488.16500000000002</v>
      </c>
      <c r="EX191" s="68" t="s">
        <v>1549</v>
      </c>
      <c r="EY191" s="68">
        <v>5671.75</v>
      </c>
      <c r="EZ191" s="68" t="s">
        <v>1550</v>
      </c>
      <c r="FA191" s="68">
        <v>20059.75</v>
      </c>
      <c r="FB191" s="68" t="s">
        <v>1551</v>
      </c>
      <c r="FC191" s="68" t="s">
        <v>1552</v>
      </c>
      <c r="FD191" s="68" t="s">
        <v>1553</v>
      </c>
      <c r="FE191" s="68" t="s">
        <v>1554</v>
      </c>
      <c r="FF191" s="68" t="s">
        <v>1555</v>
      </c>
    </row>
    <row r="192" spans="1:162" x14ac:dyDescent="0.2">
      <c r="ET192" s="64">
        <v>250410</v>
      </c>
      <c r="EU192" s="68">
        <v>564.63</v>
      </c>
      <c r="EV192" s="68" t="s">
        <v>1556</v>
      </c>
      <c r="EW192" s="68">
        <v>487.06</v>
      </c>
      <c r="EX192" s="68" t="s">
        <v>1557</v>
      </c>
      <c r="EY192" s="68">
        <v>5662.25</v>
      </c>
      <c r="EZ192" s="68" t="s">
        <v>1558</v>
      </c>
      <c r="FA192" s="68">
        <v>20013.25</v>
      </c>
      <c r="FB192" s="68" t="s">
        <v>1559</v>
      </c>
      <c r="FC192" s="68" t="s">
        <v>1560</v>
      </c>
      <c r="FD192" s="68" t="s">
        <v>1561</v>
      </c>
      <c r="FE192" s="68" t="s">
        <v>1562</v>
      </c>
      <c r="FF192" s="68" t="s">
        <v>1563</v>
      </c>
    </row>
    <row r="193" spans="151:162" x14ac:dyDescent="0.2">
      <c r="EU193" s="67">
        <v>564.77</v>
      </c>
      <c r="EV193" s="67" t="s">
        <v>1564</v>
      </c>
      <c r="EW193" s="67">
        <v>487.327</v>
      </c>
      <c r="EX193" s="67" t="s">
        <v>1565</v>
      </c>
      <c r="EY193" s="67">
        <v>5664</v>
      </c>
      <c r="EZ193" s="67" t="s">
        <v>1566</v>
      </c>
      <c r="FA193" s="67">
        <v>20025.5</v>
      </c>
      <c r="FB193" s="67" t="s">
        <v>1567</v>
      </c>
      <c r="FC193" s="67" t="s">
        <v>1568</v>
      </c>
      <c r="FD193" s="67" t="s">
        <v>1569</v>
      </c>
      <c r="FE193" s="68" t="s">
        <v>1570</v>
      </c>
      <c r="FF193" s="68" t="s">
        <v>1571</v>
      </c>
    </row>
    <row r="194" spans="151:162" x14ac:dyDescent="0.2">
      <c r="EU194" s="67">
        <v>565.12</v>
      </c>
      <c r="EV194" s="67" t="s">
        <v>1572</v>
      </c>
      <c r="EW194" s="67">
        <v>487.55</v>
      </c>
      <c r="EX194" s="67" t="s">
        <v>1573</v>
      </c>
      <c r="EY194" s="67">
        <v>5666.25</v>
      </c>
      <c r="EZ194" s="67" t="s">
        <v>1574</v>
      </c>
      <c r="FA194" s="67">
        <v>20034</v>
      </c>
      <c r="FB194" s="67" t="s">
        <v>1575</v>
      </c>
      <c r="FC194" s="67" t="s">
        <v>1576</v>
      </c>
      <c r="FD194" s="67" t="s">
        <v>1577</v>
      </c>
      <c r="FE194" s="68" t="s">
        <v>1578</v>
      </c>
      <c r="FF194" s="68" t="s">
        <v>1579</v>
      </c>
    </row>
    <row r="195" spans="151:162" x14ac:dyDescent="0.2">
      <c r="EU195" s="67">
        <v>564.85</v>
      </c>
      <c r="EV195" s="67" t="s">
        <v>1580</v>
      </c>
      <c r="EW195" s="67">
        <v>487.23</v>
      </c>
      <c r="EX195" s="67" t="s">
        <v>1581</v>
      </c>
      <c r="EY195" s="67">
        <v>5664.5</v>
      </c>
      <c r="EZ195" s="67" t="s">
        <v>1582</v>
      </c>
      <c r="FA195" s="67">
        <v>20020.5</v>
      </c>
      <c r="FB195" s="67" t="s">
        <v>1583</v>
      </c>
      <c r="FC195" s="67" t="s">
        <v>1584</v>
      </c>
      <c r="FD195" s="67" t="s">
        <v>1585</v>
      </c>
      <c r="FE195" s="68" t="s">
        <v>1586</v>
      </c>
      <c r="FF195" s="68" t="s">
        <v>1587</v>
      </c>
    </row>
    <row r="196" spans="151:162" x14ac:dyDescent="0.2">
      <c r="EU196" s="67">
        <v>565.23599999999999</v>
      </c>
      <c r="EV196" s="67" t="s">
        <v>1588</v>
      </c>
      <c r="EW196" s="67">
        <v>487.55</v>
      </c>
      <c r="EX196" s="67" t="s">
        <v>1589</v>
      </c>
      <c r="EY196" s="67">
        <v>5668.25</v>
      </c>
      <c r="EZ196" s="67" t="s">
        <v>1590</v>
      </c>
      <c r="FA196" s="67">
        <v>20034.25</v>
      </c>
      <c r="FB196" s="67" t="s">
        <v>1591</v>
      </c>
      <c r="FC196" s="67" t="s">
        <v>1592</v>
      </c>
      <c r="FD196" s="67" t="s">
        <v>1593</v>
      </c>
      <c r="FE196" s="68" t="s">
        <v>1594</v>
      </c>
      <c r="FF196" s="68" t="s">
        <v>1595</v>
      </c>
    </row>
    <row r="197" spans="151:162" x14ac:dyDescent="0.2">
      <c r="EU197" s="67">
        <v>565.46</v>
      </c>
      <c r="EV197" s="67" t="s">
        <v>1596</v>
      </c>
      <c r="EW197" s="67">
        <v>487.76</v>
      </c>
      <c r="EX197" s="67" t="s">
        <v>1597</v>
      </c>
      <c r="EY197" s="67">
        <v>5670.5</v>
      </c>
      <c r="EZ197" s="67" t="s">
        <v>1598</v>
      </c>
      <c r="FA197" s="67">
        <v>20044.5</v>
      </c>
      <c r="FB197" s="67" t="s">
        <v>1599</v>
      </c>
      <c r="FC197" s="67" t="s">
        <v>1600</v>
      </c>
      <c r="FD197" s="67" t="s">
        <v>1601</v>
      </c>
      <c r="FE197" s="68" t="s">
        <v>1602</v>
      </c>
      <c r="FF197" s="68" t="s">
        <v>1603</v>
      </c>
    </row>
    <row r="198" spans="151:162" x14ac:dyDescent="0.2">
      <c r="EU198" s="67">
        <v>565.84</v>
      </c>
      <c r="EV198" s="67" t="s">
        <v>1604</v>
      </c>
      <c r="EW198" s="67">
        <v>488.28199999999998</v>
      </c>
      <c r="EX198" s="67" t="s">
        <v>1605</v>
      </c>
      <c r="EY198" s="67">
        <v>5674.75</v>
      </c>
      <c r="EZ198" s="67" t="s">
        <v>1606</v>
      </c>
      <c r="FA198" s="67">
        <v>20062.75</v>
      </c>
      <c r="FB198" s="67" t="s">
        <v>1607</v>
      </c>
      <c r="FC198" s="67" t="s">
        <v>1608</v>
      </c>
      <c r="FD198" s="67" t="s">
        <v>1609</v>
      </c>
      <c r="FE198" s="68" t="s">
        <v>1610</v>
      </c>
      <c r="FF198" s="68" t="s">
        <v>1611</v>
      </c>
    </row>
    <row r="199" spans="151:162" x14ac:dyDescent="0.2">
      <c r="EU199" s="67">
        <v>565.80999999999995</v>
      </c>
      <c r="EV199" s="67" t="s">
        <v>1612</v>
      </c>
      <c r="EW199" s="67">
        <v>488.23</v>
      </c>
      <c r="EX199" s="67" t="s">
        <v>1613</v>
      </c>
      <c r="EY199" s="67">
        <v>5674.5</v>
      </c>
      <c r="EZ199" s="67" t="s">
        <v>1614</v>
      </c>
      <c r="FA199" s="67">
        <v>20062.25</v>
      </c>
      <c r="FB199" s="67" t="s">
        <v>1615</v>
      </c>
      <c r="FC199" s="67" t="s">
        <v>1616</v>
      </c>
      <c r="FD199" s="67" t="s">
        <v>1617</v>
      </c>
      <c r="FE199" s="68" t="s">
        <v>1618</v>
      </c>
      <c r="FF199" s="68" t="s">
        <v>1619</v>
      </c>
    </row>
    <row r="200" spans="151:162" x14ac:dyDescent="0.2">
      <c r="EU200" s="67">
        <v>566.14</v>
      </c>
      <c r="EV200" s="67" t="s">
        <v>1620</v>
      </c>
      <c r="EW200" s="67">
        <v>488.36</v>
      </c>
      <c r="EX200" s="67" t="s">
        <v>1621</v>
      </c>
      <c r="EY200" s="67">
        <v>5675.5</v>
      </c>
      <c r="EZ200" s="67" t="s">
        <v>1622</v>
      </c>
      <c r="FA200" s="67">
        <v>20074.75</v>
      </c>
      <c r="FB200" s="67" t="s">
        <v>1623</v>
      </c>
      <c r="FC200" s="67" t="s">
        <v>1624</v>
      </c>
      <c r="FD200" s="67" t="s">
        <v>1625</v>
      </c>
      <c r="FE200" s="68" t="s">
        <v>1626</v>
      </c>
      <c r="FF200" s="68" t="s">
        <v>1627</v>
      </c>
    </row>
    <row r="201" spans="151:162" x14ac:dyDescent="0.2">
      <c r="EU201" s="67">
        <v>566.29</v>
      </c>
      <c r="EV201" s="67" t="s">
        <v>1628</v>
      </c>
      <c r="EW201" s="67">
        <v>488.6</v>
      </c>
      <c r="EX201" s="67" t="s">
        <v>1629</v>
      </c>
      <c r="EY201" s="67">
        <v>5679</v>
      </c>
      <c r="EZ201" s="67" t="s">
        <v>1630</v>
      </c>
      <c r="FA201" s="67">
        <v>20078.25</v>
      </c>
      <c r="FB201" s="67" t="s">
        <v>1631</v>
      </c>
      <c r="FC201" s="67" t="s">
        <v>1632</v>
      </c>
      <c r="FD201" s="67" t="s">
        <v>1633</v>
      </c>
      <c r="FE201" s="68" t="s">
        <v>1634</v>
      </c>
      <c r="FF201" s="68" t="s">
        <v>1635</v>
      </c>
    </row>
    <row r="202" spans="151:162" x14ac:dyDescent="0.2">
      <c r="EU202" s="67">
        <v>566.048</v>
      </c>
      <c r="EV202" s="67" t="s">
        <v>1636</v>
      </c>
      <c r="EW202" s="67">
        <v>488.34</v>
      </c>
      <c r="EX202" s="67" t="s">
        <v>1637</v>
      </c>
      <c r="EY202" s="67">
        <v>5676.75</v>
      </c>
      <c r="EZ202" s="67" t="s">
        <v>1638</v>
      </c>
      <c r="FA202" s="67">
        <v>20066</v>
      </c>
      <c r="FB202" s="67" t="s">
        <v>1639</v>
      </c>
      <c r="FC202" s="67" t="s">
        <v>1640</v>
      </c>
      <c r="FD202" s="67" t="s">
        <v>1641</v>
      </c>
      <c r="FE202" s="68" t="s">
        <v>1642</v>
      </c>
      <c r="FF202" s="68" t="s">
        <v>1643</v>
      </c>
    </row>
    <row r="203" spans="151:162" x14ac:dyDescent="0.2">
      <c r="EU203" s="67">
        <v>565.47</v>
      </c>
      <c r="EV203" s="67" t="s">
        <v>1644</v>
      </c>
      <c r="EW203" s="67">
        <v>487.81</v>
      </c>
      <c r="EX203" s="67" t="s">
        <v>1645</v>
      </c>
      <c r="EY203" s="67">
        <v>5670.75</v>
      </c>
      <c r="EZ203" s="67" t="s">
        <v>1646</v>
      </c>
      <c r="FA203" s="67">
        <v>20045.5</v>
      </c>
      <c r="FB203" s="67" t="s">
        <v>1647</v>
      </c>
      <c r="FC203" s="67" t="s">
        <v>1648</v>
      </c>
      <c r="FD203" s="67" t="s">
        <v>1649</v>
      </c>
      <c r="FE203" s="68" t="s">
        <v>1650</v>
      </c>
      <c r="FF203" s="68" t="s">
        <v>1651</v>
      </c>
    </row>
    <row r="204" spans="151:162" x14ac:dyDescent="0.2">
      <c r="EU204" s="67">
        <v>565.80999999999995</v>
      </c>
      <c r="EV204" s="67" t="s">
        <v>1652</v>
      </c>
      <c r="EW204" s="67">
        <v>488.09</v>
      </c>
      <c r="EX204" s="67" t="s">
        <v>1653</v>
      </c>
      <c r="EY204" s="67">
        <v>5674.5</v>
      </c>
      <c r="EZ204" s="67" t="s">
        <v>1654</v>
      </c>
      <c r="FA204" s="67">
        <v>20057</v>
      </c>
      <c r="FB204" s="67" t="s">
        <v>1655</v>
      </c>
      <c r="FC204" s="67" t="s">
        <v>1656</v>
      </c>
      <c r="FD204" s="67" t="s">
        <v>1657</v>
      </c>
      <c r="FE204" s="68" t="s">
        <v>1658</v>
      </c>
      <c r="FF204" s="68" t="s">
        <v>1659</v>
      </c>
    </row>
    <row r="205" spans="151:162" x14ac:dyDescent="0.2">
      <c r="EU205" s="67">
        <v>565.41</v>
      </c>
      <c r="EV205" s="67" t="s">
        <v>1660</v>
      </c>
      <c r="EW205" s="67">
        <v>487.76</v>
      </c>
      <c r="EX205" s="67" t="s">
        <v>1661</v>
      </c>
      <c r="EY205" s="67">
        <v>5670.5</v>
      </c>
      <c r="EZ205" s="67" t="s">
        <v>1662</v>
      </c>
      <c r="FA205" s="67">
        <v>20043.25</v>
      </c>
      <c r="FB205" s="67" t="s">
        <v>1663</v>
      </c>
      <c r="FC205" s="67" t="s">
        <v>1664</v>
      </c>
      <c r="FD205" s="67" t="s">
        <v>1665</v>
      </c>
      <c r="FE205" s="68" t="s">
        <v>1666</v>
      </c>
      <c r="FF205" s="68" t="s">
        <v>1667</v>
      </c>
    </row>
    <row r="206" spans="151:162" x14ac:dyDescent="0.2">
      <c r="EU206" s="67">
        <v>565.60500000000002</v>
      </c>
      <c r="EV206" s="67" t="s">
        <v>1668</v>
      </c>
      <c r="EW206" s="67">
        <v>487.93599999999998</v>
      </c>
      <c r="EX206" s="67" t="s">
        <v>1669</v>
      </c>
      <c r="EY206" s="67">
        <v>5672.25</v>
      </c>
      <c r="EZ206" s="67" t="s">
        <v>1670</v>
      </c>
      <c r="FA206" s="67">
        <v>20050.5</v>
      </c>
      <c r="FB206" s="67" t="s">
        <v>1671</v>
      </c>
      <c r="FC206" s="67" t="s">
        <v>1672</v>
      </c>
      <c r="FD206" s="67" t="s">
        <v>1673</v>
      </c>
      <c r="FE206" s="68" t="s">
        <v>1674</v>
      </c>
      <c r="FF206" s="68" t="s">
        <v>1675</v>
      </c>
    </row>
    <row r="207" spans="151:162" x14ac:dyDescent="0.2">
      <c r="EU207" s="67">
        <v>565.73500000000001</v>
      </c>
      <c r="EV207" s="67" t="s">
        <v>1676</v>
      </c>
      <c r="EW207" s="67">
        <v>488.1</v>
      </c>
      <c r="EX207" s="67" t="s">
        <v>1677</v>
      </c>
      <c r="EY207" s="67">
        <v>5673.5</v>
      </c>
      <c r="EZ207" s="67" t="s">
        <v>1678</v>
      </c>
      <c r="FA207" s="67">
        <v>20057.25</v>
      </c>
      <c r="FB207" s="67" t="s">
        <v>1679</v>
      </c>
      <c r="FC207" s="67" t="s">
        <v>1680</v>
      </c>
      <c r="FD207" s="67" t="s">
        <v>1681</v>
      </c>
      <c r="FE207" s="68" t="s">
        <v>1682</v>
      </c>
      <c r="FF207" s="68" t="s">
        <v>1683</v>
      </c>
    </row>
    <row r="208" spans="151:162" x14ac:dyDescent="0.2">
      <c r="EU208" s="67">
        <v>565.67999999999995</v>
      </c>
      <c r="EV208" s="67" t="s">
        <v>1684</v>
      </c>
      <c r="EW208" s="67">
        <v>488.14</v>
      </c>
      <c r="EX208" s="67" t="s">
        <v>1685</v>
      </c>
      <c r="EY208" s="67">
        <v>5673.5</v>
      </c>
      <c r="EZ208" s="67" t="s">
        <v>1686</v>
      </c>
      <c r="FA208" s="67">
        <v>20055.5</v>
      </c>
      <c r="FB208" s="67" t="s">
        <v>1687</v>
      </c>
      <c r="FC208" s="67" t="s">
        <v>1688</v>
      </c>
      <c r="FD208" s="67" t="s">
        <v>1689</v>
      </c>
      <c r="FE208" s="68" t="s">
        <v>1690</v>
      </c>
      <c r="FF208" s="68" t="s">
        <v>1691</v>
      </c>
    </row>
    <row r="209" spans="151:162" x14ac:dyDescent="0.2">
      <c r="EU209" s="67">
        <v>565.42999999999995</v>
      </c>
      <c r="EV209" s="67" t="s">
        <v>1692</v>
      </c>
      <c r="EW209" s="67">
        <v>487.9</v>
      </c>
      <c r="EX209" s="67" t="s">
        <v>1693</v>
      </c>
      <c r="EY209" s="67">
        <v>5670.5</v>
      </c>
      <c r="EZ209" s="67" t="s">
        <v>1694</v>
      </c>
      <c r="FA209" s="67">
        <v>20052.25</v>
      </c>
      <c r="FB209" s="67" t="s">
        <v>1695</v>
      </c>
      <c r="FC209" s="67" t="s">
        <v>1696</v>
      </c>
      <c r="FD209" s="67" t="s">
        <v>1697</v>
      </c>
      <c r="FE209" s="68" t="s">
        <v>1698</v>
      </c>
      <c r="FF209" s="68" t="s">
        <v>1699</v>
      </c>
    </row>
    <row r="210" spans="151:162" x14ac:dyDescent="0.2">
      <c r="EU210" s="67">
        <v>565.35</v>
      </c>
      <c r="EV210" s="67" t="s">
        <v>1700</v>
      </c>
      <c r="EW210" s="67">
        <v>487.89</v>
      </c>
      <c r="EX210" s="67" t="s">
        <v>1701</v>
      </c>
      <c r="EY210" s="67">
        <v>5669.75</v>
      </c>
      <c r="EZ210" s="67" t="s">
        <v>1702</v>
      </c>
      <c r="FA210" s="67">
        <v>20049.5</v>
      </c>
      <c r="FB210" s="67" t="s">
        <v>1703</v>
      </c>
      <c r="FC210" s="67" t="s">
        <v>1704</v>
      </c>
      <c r="FD210" s="67" t="s">
        <v>1705</v>
      </c>
      <c r="FE210" s="68" t="s">
        <v>1706</v>
      </c>
      <c r="FF210" s="68" t="s">
        <v>1707</v>
      </c>
    </row>
    <row r="211" spans="151:162" x14ac:dyDescent="0.2">
      <c r="EU211" s="67">
        <v>565.82000000000005</v>
      </c>
      <c r="EV211" s="67" t="s">
        <v>1708</v>
      </c>
      <c r="EW211" s="67">
        <v>488.25799999999998</v>
      </c>
      <c r="EX211" s="67" t="s">
        <v>1709</v>
      </c>
      <c r="EY211" s="67">
        <v>5674.75</v>
      </c>
      <c r="EZ211" s="67" t="s">
        <v>1710</v>
      </c>
      <c r="FA211" s="67">
        <v>20066.25</v>
      </c>
      <c r="FB211" s="67" t="s">
        <v>1711</v>
      </c>
      <c r="FC211" s="67" t="s">
        <v>1712</v>
      </c>
      <c r="FD211" s="67" t="s">
        <v>1713</v>
      </c>
      <c r="FE211" s="68" t="s">
        <v>1714</v>
      </c>
      <c r="FF211" s="68" t="s">
        <v>1715</v>
      </c>
    </row>
    <row r="212" spans="151:162" x14ac:dyDescent="0.2">
      <c r="EU212" s="67">
        <v>565.79</v>
      </c>
      <c r="EV212" s="67" t="s">
        <v>1716</v>
      </c>
      <c r="EW212" s="67">
        <v>488.29</v>
      </c>
      <c r="EX212" s="67" t="s">
        <v>1717</v>
      </c>
      <c r="EY212" s="67">
        <v>5674.25</v>
      </c>
      <c r="EZ212" s="67" t="s">
        <v>1718</v>
      </c>
      <c r="FA212" s="67">
        <v>20065.25</v>
      </c>
      <c r="FB212" s="67" t="s">
        <v>1719</v>
      </c>
      <c r="FC212" s="67" t="s">
        <v>1720</v>
      </c>
      <c r="FD212" s="67" t="s">
        <v>1721</v>
      </c>
      <c r="FE212" s="68" t="s">
        <v>1722</v>
      </c>
      <c r="FF212" s="68" t="s">
        <v>1723</v>
      </c>
    </row>
    <row r="213" spans="151:162" x14ac:dyDescent="0.2">
      <c r="EU213" s="67">
        <v>565.27</v>
      </c>
      <c r="EV213" s="67" t="s">
        <v>1724</v>
      </c>
      <c r="EW213" s="67">
        <v>487.81</v>
      </c>
      <c r="EX213" s="67" t="s">
        <v>1725</v>
      </c>
      <c r="EY213" s="67">
        <v>5669.75</v>
      </c>
      <c r="EZ213" s="67" t="s">
        <v>1726</v>
      </c>
      <c r="FA213" s="67">
        <v>20041.25</v>
      </c>
      <c r="FB213" s="67" t="s">
        <v>1727</v>
      </c>
      <c r="FC213" s="67" t="s">
        <v>1728</v>
      </c>
      <c r="FD213" s="67" t="s">
        <v>1729</v>
      </c>
      <c r="FE213" s="68" t="s">
        <v>1730</v>
      </c>
      <c r="FF213" s="68" t="s">
        <v>1731</v>
      </c>
    </row>
    <row r="214" spans="151:162" x14ac:dyDescent="0.2">
      <c r="EU214" s="67">
        <v>565.05499999999995</v>
      </c>
      <c r="EV214" s="67" t="s">
        <v>1732</v>
      </c>
      <c r="EW214" s="67">
        <v>487.5</v>
      </c>
      <c r="EX214" s="67" t="s">
        <v>1733</v>
      </c>
      <c r="EY214" s="67">
        <v>5665.75</v>
      </c>
      <c r="EZ214" s="67" t="s">
        <v>1734</v>
      </c>
      <c r="FA214" s="67">
        <v>20036.25</v>
      </c>
      <c r="FB214" s="67" t="s">
        <v>1735</v>
      </c>
      <c r="FC214" s="67" t="s">
        <v>1736</v>
      </c>
      <c r="FD214" s="67" t="s">
        <v>1737</v>
      </c>
      <c r="FE214" s="68" t="s">
        <v>1738</v>
      </c>
      <c r="FF214" s="68" t="s">
        <v>1739</v>
      </c>
    </row>
    <row r="215" spans="151:162" x14ac:dyDescent="0.2">
      <c r="EU215" s="67">
        <v>564.98500000000001</v>
      </c>
      <c r="EV215" s="67" t="s">
        <v>1740</v>
      </c>
      <c r="EW215" s="67">
        <v>487.59</v>
      </c>
      <c r="EX215" s="67" t="s">
        <v>1741</v>
      </c>
      <c r="EY215" s="67">
        <v>5666.25</v>
      </c>
      <c r="EZ215" s="67" t="s">
        <v>1742</v>
      </c>
      <c r="FA215" s="67">
        <v>20036.25</v>
      </c>
      <c r="FB215" s="67" t="s">
        <v>1743</v>
      </c>
      <c r="FC215" s="67" t="s">
        <v>1744</v>
      </c>
      <c r="FD215" s="67" t="s">
        <v>1745</v>
      </c>
      <c r="FE215" s="68" t="s">
        <v>1746</v>
      </c>
      <c r="FF215" s="68" t="s">
        <v>1747</v>
      </c>
    </row>
    <row r="216" spans="151:162" x14ac:dyDescent="0.2">
      <c r="EU216" s="67">
        <v>565.25</v>
      </c>
      <c r="EV216" s="67" t="s">
        <v>1748</v>
      </c>
      <c r="EW216" s="67">
        <v>487.87</v>
      </c>
      <c r="EX216" s="67" t="s">
        <v>1749</v>
      </c>
      <c r="EY216" s="67">
        <v>5668.75</v>
      </c>
      <c r="EZ216" s="67" t="s">
        <v>1750</v>
      </c>
      <c r="FA216" s="67">
        <v>20048.5</v>
      </c>
      <c r="FB216" s="67" t="s">
        <v>1751</v>
      </c>
      <c r="FC216" s="67" t="s">
        <v>1752</v>
      </c>
      <c r="FD216" s="67" t="s">
        <v>1753</v>
      </c>
      <c r="FE216" s="68" t="s">
        <v>1754</v>
      </c>
      <c r="FF216" s="68" t="s">
        <v>1755</v>
      </c>
    </row>
    <row r="217" spans="151:162" x14ac:dyDescent="0.2">
      <c r="EU217" s="67">
        <v>565.12</v>
      </c>
      <c r="EV217" s="67" t="s">
        <v>1756</v>
      </c>
      <c r="EW217" s="67">
        <v>487.78</v>
      </c>
      <c r="EX217" s="67" t="s">
        <v>1757</v>
      </c>
      <c r="EY217" s="67">
        <v>5667.5</v>
      </c>
      <c r="EZ217" s="67" t="s">
        <v>1758</v>
      </c>
      <c r="FA217" s="67">
        <v>20044.5</v>
      </c>
      <c r="FB217" s="67" t="s">
        <v>1759</v>
      </c>
      <c r="FC217" s="67" t="s">
        <v>1760</v>
      </c>
      <c r="FD217" s="67" t="s">
        <v>1761</v>
      </c>
      <c r="FE217" s="68" t="s">
        <v>1762</v>
      </c>
      <c r="FF217" s="68" t="s">
        <v>1763</v>
      </c>
    </row>
    <row r="218" spans="151:162" x14ac:dyDescent="0.2">
      <c r="EU218" s="67">
        <v>565.14</v>
      </c>
      <c r="EV218" s="67" t="s">
        <v>1764</v>
      </c>
      <c r="EW218" s="67">
        <v>487.72</v>
      </c>
      <c r="EX218" s="67" t="s">
        <v>1765</v>
      </c>
      <c r="EY218" s="67">
        <v>5667.75</v>
      </c>
      <c r="EZ218" s="67" t="s">
        <v>1766</v>
      </c>
      <c r="FA218" s="67">
        <v>20045</v>
      </c>
      <c r="FB218" s="67" t="s">
        <v>1767</v>
      </c>
      <c r="FC218" s="67" t="s">
        <v>1768</v>
      </c>
      <c r="FD218" s="67" t="s">
        <v>1769</v>
      </c>
      <c r="FE218" s="68" t="s">
        <v>1770</v>
      </c>
      <c r="FF218" s="68" t="s">
        <v>1771</v>
      </c>
    </row>
    <row r="219" spans="151:162" x14ac:dyDescent="0.2">
      <c r="EU219" s="67">
        <v>565.52</v>
      </c>
      <c r="EV219" s="67" t="s">
        <v>1772</v>
      </c>
      <c r="EW219" s="67">
        <v>488.07</v>
      </c>
      <c r="EX219" s="67" t="s">
        <v>1773</v>
      </c>
      <c r="EY219" s="67">
        <v>5671.25</v>
      </c>
      <c r="EZ219" s="67" t="s">
        <v>1774</v>
      </c>
      <c r="FA219" s="67">
        <v>20057.75</v>
      </c>
      <c r="FB219" s="67" t="s">
        <v>1775</v>
      </c>
      <c r="FC219" s="67" t="s">
        <v>1776</v>
      </c>
      <c r="FD219" s="67" t="s">
        <v>1777</v>
      </c>
      <c r="FE219" s="68" t="s">
        <v>1778</v>
      </c>
      <c r="FF219" s="68" t="s">
        <v>1779</v>
      </c>
    </row>
    <row r="220" spans="151:162" x14ac:dyDescent="0.2">
      <c r="EU220" s="67">
        <v>565.57000000000005</v>
      </c>
      <c r="EV220" s="67" t="s">
        <v>1780</v>
      </c>
      <c r="EW220" s="67">
        <v>488.11500000000001</v>
      </c>
      <c r="EX220" s="67" t="s">
        <v>1781</v>
      </c>
      <c r="EY220" s="67">
        <v>5672.25</v>
      </c>
      <c r="EZ220" s="67" t="s">
        <v>1782</v>
      </c>
      <c r="FA220" s="67">
        <v>20056</v>
      </c>
      <c r="FB220" s="67" t="s">
        <v>1783</v>
      </c>
      <c r="FC220" s="67" t="s">
        <v>1784</v>
      </c>
      <c r="FD220" s="67" t="s">
        <v>1785</v>
      </c>
      <c r="FE220" s="68" t="s">
        <v>1786</v>
      </c>
      <c r="FF220" s="68" t="s">
        <v>1787</v>
      </c>
    </row>
    <row r="221" spans="151:162" x14ac:dyDescent="0.2">
      <c r="EU221" s="67">
        <v>565.36</v>
      </c>
      <c r="EV221" s="67" t="s">
        <v>1788</v>
      </c>
      <c r="EW221" s="67">
        <v>487.93</v>
      </c>
      <c r="EX221" s="67" t="s">
        <v>1789</v>
      </c>
      <c r="EY221" s="67">
        <v>5669.75</v>
      </c>
      <c r="EZ221" s="67" t="s">
        <v>1790</v>
      </c>
      <c r="FA221" s="67">
        <v>20052.25</v>
      </c>
      <c r="FB221" s="67" t="s">
        <v>1791</v>
      </c>
      <c r="FC221" s="67" t="s">
        <v>1792</v>
      </c>
      <c r="FD221" s="67" t="s">
        <v>1793</v>
      </c>
      <c r="FE221" s="68" t="s">
        <v>1794</v>
      </c>
      <c r="FF221" s="68" t="s">
        <v>1795</v>
      </c>
    </row>
    <row r="222" spans="151:162" x14ac:dyDescent="0.2">
      <c r="EU222" s="67">
        <v>565.44000000000005</v>
      </c>
      <c r="EV222" s="67" t="s">
        <v>1796</v>
      </c>
      <c r="EW222" s="67">
        <v>487.75</v>
      </c>
      <c r="EX222" s="67" t="s">
        <v>1797</v>
      </c>
      <c r="EY222" s="67">
        <v>5670.75</v>
      </c>
      <c r="EZ222" s="67" t="s">
        <v>1798</v>
      </c>
      <c r="FA222" s="67">
        <v>20049.5</v>
      </c>
      <c r="FB222" s="67" t="s">
        <v>1799</v>
      </c>
      <c r="FC222" s="67" t="s">
        <v>1800</v>
      </c>
      <c r="FD222" s="67" t="s">
        <v>1801</v>
      </c>
      <c r="FE222" s="68" t="s">
        <v>1802</v>
      </c>
      <c r="FF222" s="68" t="s">
        <v>1803</v>
      </c>
    </row>
    <row r="223" spans="151:162" x14ac:dyDescent="0.2">
      <c r="EU223" s="67">
        <v>565.33000000000004</v>
      </c>
      <c r="EV223" s="67" t="s">
        <v>1804</v>
      </c>
      <c r="EW223" s="67">
        <v>487.84</v>
      </c>
      <c r="EX223" s="67" t="s">
        <v>1805</v>
      </c>
      <c r="EY223" s="67">
        <v>5669.5</v>
      </c>
      <c r="EZ223" s="67" t="s">
        <v>1806</v>
      </c>
      <c r="FA223" s="67">
        <v>20047</v>
      </c>
      <c r="FB223" s="67" t="s">
        <v>1807</v>
      </c>
      <c r="FC223" s="67" t="s">
        <v>1808</v>
      </c>
      <c r="FD223" s="67" t="s">
        <v>1809</v>
      </c>
      <c r="FE223" s="68" t="s">
        <v>1810</v>
      </c>
      <c r="FF223" s="68" t="s">
        <v>1811</v>
      </c>
    </row>
    <row r="224" spans="151:162" x14ac:dyDescent="0.2">
      <c r="EU224" s="67">
        <v>565.41099999999994</v>
      </c>
      <c r="EV224" s="67" t="s">
        <v>1812</v>
      </c>
      <c r="EW224" s="67">
        <v>487.94</v>
      </c>
      <c r="EX224" s="67" t="s">
        <v>1813</v>
      </c>
      <c r="EY224" s="67">
        <v>5670.75</v>
      </c>
      <c r="EZ224" s="67" t="s">
        <v>1814</v>
      </c>
      <c r="FA224" s="67">
        <v>20053</v>
      </c>
      <c r="FB224" s="67" t="s">
        <v>1815</v>
      </c>
      <c r="FC224" s="67" t="s">
        <v>1816</v>
      </c>
      <c r="FD224" s="67" t="s">
        <v>1817</v>
      </c>
      <c r="FE224" s="68" t="s">
        <v>1818</v>
      </c>
      <c r="FF224" s="68" t="s">
        <v>1819</v>
      </c>
    </row>
    <row r="225" spans="151:162" x14ac:dyDescent="0.2">
      <c r="EU225" s="67">
        <v>564.86300000000006</v>
      </c>
      <c r="EV225" s="67" t="s">
        <v>1820</v>
      </c>
      <c r="EW225" s="67">
        <v>487.43</v>
      </c>
      <c r="EX225" s="67" t="s">
        <v>1821</v>
      </c>
      <c r="EY225" s="67">
        <v>5664.75</v>
      </c>
      <c r="EZ225" s="67" t="s">
        <v>1822</v>
      </c>
      <c r="FA225" s="67">
        <v>20028.75</v>
      </c>
      <c r="FB225" s="67" t="s">
        <v>1823</v>
      </c>
      <c r="FC225" s="67" t="s">
        <v>1824</v>
      </c>
      <c r="FD225" s="67" t="s">
        <v>1825</v>
      </c>
      <c r="FE225" s="68" t="s">
        <v>1826</v>
      </c>
      <c r="FF225" s="68" t="s">
        <v>1827</v>
      </c>
    </row>
    <row r="226" spans="151:162" x14ac:dyDescent="0.2">
      <c r="EU226" s="67">
        <v>565.4</v>
      </c>
      <c r="EV226" s="67" t="s">
        <v>1828</v>
      </c>
      <c r="EW226" s="67">
        <v>487.95</v>
      </c>
      <c r="EX226" s="67" t="s">
        <v>1829</v>
      </c>
      <c r="EY226" s="67">
        <v>5670.25</v>
      </c>
      <c r="EZ226" s="67" t="s">
        <v>1830</v>
      </c>
      <c r="FA226" s="67">
        <v>20052.25</v>
      </c>
      <c r="FB226" s="67" t="s">
        <v>1831</v>
      </c>
      <c r="FC226" s="67" t="s">
        <v>1832</v>
      </c>
      <c r="FD226" s="67" t="s">
        <v>1833</v>
      </c>
      <c r="FE226" s="68" t="s">
        <v>1834</v>
      </c>
      <c r="FF226" s="68" t="s">
        <v>1835</v>
      </c>
    </row>
    <row r="227" spans="151:162" x14ac:dyDescent="0.2">
      <c r="EU227" s="67">
        <v>565.55999999999995</v>
      </c>
      <c r="EV227" s="67" t="s">
        <v>1836</v>
      </c>
      <c r="EW227" s="67">
        <v>488.01</v>
      </c>
      <c r="EX227" s="67" t="s">
        <v>1837</v>
      </c>
      <c r="EY227" s="67">
        <v>5671.75</v>
      </c>
      <c r="EZ227" s="67" t="s">
        <v>1838</v>
      </c>
      <c r="FA227" s="67">
        <v>20053.75</v>
      </c>
      <c r="FB227" s="67" t="s">
        <v>1839</v>
      </c>
      <c r="FC227" s="67" t="s">
        <v>1840</v>
      </c>
      <c r="FD227" s="67" t="s">
        <v>1841</v>
      </c>
      <c r="FE227" s="68" t="s">
        <v>1842</v>
      </c>
      <c r="FF227" s="68" t="s">
        <v>1843</v>
      </c>
    </row>
    <row r="228" spans="151:162" x14ac:dyDescent="0.2">
      <c r="EU228" s="67">
        <v>565.48</v>
      </c>
      <c r="EV228" s="67" t="s">
        <v>1844</v>
      </c>
      <c r="EW228" s="67">
        <v>487.9</v>
      </c>
      <c r="EX228" s="67" t="s">
        <v>1845</v>
      </c>
      <c r="EY228" s="67">
        <v>5671.25</v>
      </c>
      <c r="EZ228" s="67" t="s">
        <v>1846</v>
      </c>
      <c r="FA228" s="67">
        <v>20050.25</v>
      </c>
      <c r="FB228" s="67" t="s">
        <v>1847</v>
      </c>
      <c r="FC228" s="67" t="s">
        <v>1848</v>
      </c>
      <c r="FD228" s="67" t="s">
        <v>1849</v>
      </c>
      <c r="FE228" s="68" t="s">
        <v>1850</v>
      </c>
      <c r="FF228" s="68" t="s">
        <v>1851</v>
      </c>
    </row>
    <row r="229" spans="151:162" x14ac:dyDescent="0.2">
      <c r="EU229" s="67">
        <v>565.37</v>
      </c>
      <c r="EV229" s="67" t="s">
        <v>1852</v>
      </c>
      <c r="EW229" s="67">
        <v>487.76</v>
      </c>
      <c r="EX229" s="67" t="s">
        <v>1853</v>
      </c>
      <c r="EY229" s="67">
        <v>5670.25</v>
      </c>
      <c r="EZ229" s="67" t="s">
        <v>1854</v>
      </c>
      <c r="FA229" s="67">
        <v>20045</v>
      </c>
      <c r="FB229" s="67" t="s">
        <v>1855</v>
      </c>
      <c r="FC229" s="67" t="s">
        <v>1856</v>
      </c>
      <c r="FD229" s="67" t="s">
        <v>1857</v>
      </c>
      <c r="FE229" s="68" t="s">
        <v>1858</v>
      </c>
      <c r="FF229" s="68" t="s">
        <v>1859</v>
      </c>
    </row>
    <row r="230" spans="151:162" x14ac:dyDescent="0.2">
      <c r="EU230" s="67">
        <v>565.26</v>
      </c>
      <c r="EV230" s="67" t="s">
        <v>1860</v>
      </c>
      <c r="EW230" s="67">
        <v>487.73</v>
      </c>
      <c r="EX230" s="67" t="s">
        <v>1861</v>
      </c>
      <c r="EY230" s="67">
        <v>5669</v>
      </c>
      <c r="EZ230" s="67" t="s">
        <v>1862</v>
      </c>
      <c r="FA230" s="67">
        <v>20043</v>
      </c>
      <c r="FB230" s="67" t="s">
        <v>1863</v>
      </c>
      <c r="FC230" s="67" t="s">
        <v>1864</v>
      </c>
      <c r="FD230" s="67" t="s">
        <v>1865</v>
      </c>
      <c r="FE230" s="68" t="s">
        <v>1866</v>
      </c>
      <c r="FF230" s="68" t="s">
        <v>1867</v>
      </c>
    </row>
    <row r="231" spans="151:162" x14ac:dyDescent="0.2">
      <c r="EU231" s="67">
        <v>565.74</v>
      </c>
      <c r="EV231" s="67" t="s">
        <v>1868</v>
      </c>
      <c r="EW231" s="67">
        <v>488.21</v>
      </c>
      <c r="EX231" s="67" t="s">
        <v>1869</v>
      </c>
      <c r="EY231" s="67">
        <v>5674</v>
      </c>
      <c r="EZ231" s="67" t="s">
        <v>1870</v>
      </c>
      <c r="FA231" s="67">
        <v>20063</v>
      </c>
      <c r="FB231" s="67" t="s">
        <v>1871</v>
      </c>
      <c r="FC231" s="67" t="s">
        <v>1872</v>
      </c>
      <c r="FD231" s="67" t="s">
        <v>1873</v>
      </c>
      <c r="FE231" s="68" t="s">
        <v>1874</v>
      </c>
      <c r="FF231" s="68" t="s">
        <v>1875</v>
      </c>
    </row>
    <row r="232" spans="151:162" x14ac:dyDescent="0.2">
      <c r="EU232" s="67">
        <v>565.83000000000004</v>
      </c>
      <c r="EV232" s="67" t="s">
        <v>1876</v>
      </c>
      <c r="EW232" s="67">
        <v>488.25</v>
      </c>
      <c r="EX232" s="67" t="s">
        <v>1877</v>
      </c>
      <c r="EY232" s="67">
        <v>5674.75</v>
      </c>
      <c r="EZ232" s="67" t="s">
        <v>1878</v>
      </c>
      <c r="FA232" s="67">
        <v>20064</v>
      </c>
      <c r="FB232" s="67" t="s">
        <v>1879</v>
      </c>
      <c r="FC232" s="67" t="s">
        <v>1880</v>
      </c>
      <c r="FD232" s="67" t="s">
        <v>1881</v>
      </c>
      <c r="FE232" s="68" t="s">
        <v>1882</v>
      </c>
      <c r="FF232" s="68" t="s">
        <v>1883</v>
      </c>
    </row>
    <row r="233" spans="151:162" x14ac:dyDescent="0.2">
      <c r="EU233" s="67">
        <v>565.96</v>
      </c>
      <c r="EV233" s="67" t="s">
        <v>1884</v>
      </c>
      <c r="EW233" s="67">
        <v>488.47</v>
      </c>
      <c r="EX233" s="67" t="s">
        <v>1885</v>
      </c>
      <c r="EY233" s="67">
        <v>5676</v>
      </c>
      <c r="EZ233" s="67" t="s">
        <v>1886</v>
      </c>
      <c r="FA233" s="67">
        <v>20073</v>
      </c>
      <c r="FB233" s="67" t="s">
        <v>1887</v>
      </c>
      <c r="FC233" s="67" t="s">
        <v>1888</v>
      </c>
      <c r="FD233" s="67" t="s">
        <v>1889</v>
      </c>
      <c r="FE233" s="68" t="s">
        <v>1890</v>
      </c>
      <c r="FF233" s="68" t="s">
        <v>1891</v>
      </c>
    </row>
    <row r="234" spans="151:162" x14ac:dyDescent="0.2">
      <c r="EU234" s="67">
        <v>565.75</v>
      </c>
      <c r="EV234" s="67" t="s">
        <v>1892</v>
      </c>
      <c r="EW234" s="67">
        <v>488.18</v>
      </c>
      <c r="EX234" s="67" t="s">
        <v>1893</v>
      </c>
      <c r="EY234" s="67">
        <v>5672.5</v>
      </c>
      <c r="EZ234" s="67" t="s">
        <v>1894</v>
      </c>
      <c r="FA234" s="67">
        <v>20060</v>
      </c>
      <c r="FB234" s="67" t="s">
        <v>1895</v>
      </c>
      <c r="FC234" s="67" t="s">
        <v>1896</v>
      </c>
      <c r="FD234" s="67" t="s">
        <v>1897</v>
      </c>
      <c r="FE234" s="68" t="s">
        <v>1898</v>
      </c>
      <c r="FF234" s="68" t="s">
        <v>1899</v>
      </c>
    </row>
    <row r="235" spans="151:162" x14ac:dyDescent="0.2">
      <c r="EU235" s="67">
        <v>565.54499999999996</v>
      </c>
      <c r="EV235" s="67" t="s">
        <v>1900</v>
      </c>
      <c r="EW235" s="67">
        <v>488.16</v>
      </c>
      <c r="EX235" s="67" t="s">
        <v>1901</v>
      </c>
      <c r="EY235" s="67">
        <v>5671.75</v>
      </c>
      <c r="EZ235" s="67" t="s">
        <v>1902</v>
      </c>
      <c r="FA235" s="67">
        <v>20060.5</v>
      </c>
      <c r="FB235" s="67" t="s">
        <v>1903</v>
      </c>
      <c r="FC235" s="67" t="s">
        <v>1904</v>
      </c>
      <c r="FD235" s="67" t="s">
        <v>1905</v>
      </c>
      <c r="FE235" s="68" t="s">
        <v>1906</v>
      </c>
      <c r="FF235" s="68" t="s">
        <v>1907</v>
      </c>
    </row>
    <row r="236" spans="151:162" x14ac:dyDescent="0.2">
      <c r="EU236" s="67">
        <v>565.5</v>
      </c>
      <c r="EV236" s="67" t="s">
        <v>1908</v>
      </c>
      <c r="EW236" s="67">
        <v>488.15</v>
      </c>
      <c r="EX236" s="67" t="s">
        <v>1909</v>
      </c>
      <c r="EY236" s="67">
        <v>5672</v>
      </c>
      <c r="EZ236" s="67" t="s">
        <v>1910</v>
      </c>
      <c r="FA236" s="67">
        <v>20059.5</v>
      </c>
      <c r="FB236" s="67" t="s">
        <v>1911</v>
      </c>
      <c r="FC236" s="67" t="s">
        <v>1912</v>
      </c>
      <c r="FD236" s="67" t="s">
        <v>1913</v>
      </c>
      <c r="FE236" s="68" t="s">
        <v>1914</v>
      </c>
      <c r="FF236" s="68" t="s">
        <v>1915</v>
      </c>
    </row>
    <row r="237" spans="151:162" x14ac:dyDescent="0.2">
      <c r="EU237" s="67">
        <v>565.67999999999995</v>
      </c>
      <c r="EV237" s="67" t="s">
        <v>1916</v>
      </c>
      <c r="EW237" s="67">
        <v>488.14</v>
      </c>
      <c r="EX237" s="67" t="s">
        <v>1917</v>
      </c>
      <c r="EY237" s="67">
        <v>5672</v>
      </c>
      <c r="EZ237" s="67" t="s">
        <v>1918</v>
      </c>
      <c r="FA237" s="67">
        <v>20058.5</v>
      </c>
      <c r="FB237" s="67" t="s">
        <v>1919</v>
      </c>
      <c r="FC237" s="67" t="s">
        <v>1920</v>
      </c>
      <c r="FD237" s="67" t="s">
        <v>1921</v>
      </c>
      <c r="FE237" s="68" t="s">
        <v>1922</v>
      </c>
      <c r="FF237" s="68" t="s">
        <v>1923</v>
      </c>
    </row>
    <row r="238" spans="151:162" x14ac:dyDescent="0.2">
      <c r="EU238" s="67">
        <v>565.625</v>
      </c>
      <c r="EV238" s="67" t="s">
        <v>1924</v>
      </c>
      <c r="EW238" s="67">
        <v>488.28</v>
      </c>
      <c r="EX238" s="67" t="s">
        <v>1925</v>
      </c>
      <c r="EY238" s="67">
        <v>5672.75</v>
      </c>
      <c r="EZ238" s="67" t="s">
        <v>1926</v>
      </c>
      <c r="FA238" s="67">
        <v>20064</v>
      </c>
      <c r="FB238" s="67" t="s">
        <v>1927</v>
      </c>
      <c r="FC238" s="67" t="s">
        <v>1928</v>
      </c>
      <c r="FD238" s="67" t="s">
        <v>1929</v>
      </c>
      <c r="FE238" s="68" t="s">
        <v>1930</v>
      </c>
      <c r="FF238" s="68" t="s">
        <v>1931</v>
      </c>
    </row>
    <row r="239" spans="151:162" x14ac:dyDescent="0.2">
      <c r="EU239" s="67">
        <v>565.79999999999995</v>
      </c>
      <c r="EV239" s="67" t="s">
        <v>1932</v>
      </c>
      <c r="EW239" s="67">
        <v>488.48</v>
      </c>
      <c r="EX239" s="67" t="s">
        <v>1933</v>
      </c>
      <c r="EY239" s="67">
        <v>5675</v>
      </c>
      <c r="EZ239" s="67" t="s">
        <v>1934</v>
      </c>
      <c r="FA239" s="67">
        <v>20073.25</v>
      </c>
      <c r="FB239" s="67" t="s">
        <v>1935</v>
      </c>
      <c r="FC239" s="67" t="s">
        <v>1936</v>
      </c>
      <c r="FD239" s="67" t="s">
        <v>1937</v>
      </c>
      <c r="FE239" s="68" t="s">
        <v>1938</v>
      </c>
      <c r="FF239" s="68" t="s">
        <v>1939</v>
      </c>
    </row>
    <row r="240" spans="151:162" x14ac:dyDescent="0.2">
      <c r="EU240" s="67">
        <v>565.48500000000001</v>
      </c>
      <c r="EV240" s="67" t="s">
        <v>1940</v>
      </c>
      <c r="EW240" s="67">
        <v>488.18</v>
      </c>
      <c r="EX240" s="67" t="s">
        <v>1941</v>
      </c>
      <c r="EY240" s="67">
        <v>5671</v>
      </c>
      <c r="EZ240" s="67" t="s">
        <v>1942</v>
      </c>
      <c r="FA240" s="67">
        <v>20060.25</v>
      </c>
      <c r="FB240" s="67" t="s">
        <v>1943</v>
      </c>
      <c r="FC240" s="67" t="s">
        <v>1944</v>
      </c>
      <c r="FD240" s="67" t="s">
        <v>1945</v>
      </c>
      <c r="FE240" s="68" t="s">
        <v>1946</v>
      </c>
      <c r="FF240" s="68" t="s">
        <v>1947</v>
      </c>
    </row>
    <row r="241" spans="151:162" x14ac:dyDescent="0.2">
      <c r="EU241" s="67">
        <v>565.69000000000005</v>
      </c>
      <c r="EV241" s="67" t="s">
        <v>1948</v>
      </c>
      <c r="EW241" s="67">
        <v>488.43</v>
      </c>
      <c r="EX241" s="67" t="s">
        <v>1949</v>
      </c>
      <c r="EY241" s="67">
        <v>5673.25</v>
      </c>
      <c r="EZ241" s="67" t="s">
        <v>1950</v>
      </c>
      <c r="FA241" s="67">
        <v>20070.75</v>
      </c>
      <c r="FB241" s="67" t="s">
        <v>1951</v>
      </c>
      <c r="FC241" s="67" t="s">
        <v>1952</v>
      </c>
      <c r="FD241" s="67" t="s">
        <v>1953</v>
      </c>
      <c r="FE241" s="68" t="s">
        <v>1954</v>
      </c>
      <c r="FF241" s="68" t="s">
        <v>1955</v>
      </c>
    </row>
    <row r="242" spans="151:162" x14ac:dyDescent="0.2">
      <c r="EU242" s="67">
        <v>565.44500000000005</v>
      </c>
      <c r="EV242" s="67" t="s">
        <v>1956</v>
      </c>
      <c r="EW242" s="67">
        <v>488.18</v>
      </c>
      <c r="EX242" s="67" t="s">
        <v>1957</v>
      </c>
      <c r="EY242" s="67">
        <v>5671</v>
      </c>
      <c r="EZ242" s="67" t="s">
        <v>1958</v>
      </c>
      <c r="FA242" s="67">
        <v>20060.25</v>
      </c>
      <c r="FB242" s="67" t="s">
        <v>1959</v>
      </c>
      <c r="FC242" s="67" t="s">
        <v>1960</v>
      </c>
      <c r="FD242" s="67" t="s">
        <v>1961</v>
      </c>
      <c r="FE242" s="68" t="s">
        <v>1962</v>
      </c>
      <c r="FF242" s="68" t="s">
        <v>1963</v>
      </c>
    </row>
    <row r="243" spans="151:162" x14ac:dyDescent="0.2">
      <c r="EU243" s="67">
        <v>565.47</v>
      </c>
      <c r="EV243" s="67" t="s">
        <v>1964</v>
      </c>
      <c r="EW243" s="67">
        <v>488.21499999999997</v>
      </c>
      <c r="EX243" s="67" t="s">
        <v>1965</v>
      </c>
      <c r="EY243" s="67">
        <v>5671.25</v>
      </c>
      <c r="EZ243" s="67" t="s">
        <v>1966</v>
      </c>
      <c r="FA243" s="67">
        <v>20062.25</v>
      </c>
      <c r="FB243" s="67" t="s">
        <v>1967</v>
      </c>
      <c r="FC243" s="67" t="s">
        <v>1968</v>
      </c>
      <c r="FD243" s="67" t="s">
        <v>1969</v>
      </c>
      <c r="FE243" s="68" t="s">
        <v>1970</v>
      </c>
      <c r="FF243" s="68" t="s">
        <v>1971</v>
      </c>
    </row>
    <row r="244" spans="151:162" x14ac:dyDescent="0.2">
      <c r="EU244" s="67">
        <v>565.59</v>
      </c>
      <c r="EV244" s="67" t="s">
        <v>1972</v>
      </c>
      <c r="EW244" s="67">
        <v>488.33</v>
      </c>
      <c r="EX244" s="67" t="s">
        <v>1973</v>
      </c>
      <c r="EY244" s="67">
        <v>5672.25</v>
      </c>
      <c r="EZ244" s="67" t="s">
        <v>1974</v>
      </c>
      <c r="FA244" s="67">
        <v>20068</v>
      </c>
      <c r="FB244" s="67" t="s">
        <v>1975</v>
      </c>
      <c r="FC244" s="67" t="s">
        <v>1976</v>
      </c>
      <c r="FD244" s="67" t="s">
        <v>1977</v>
      </c>
      <c r="FE244" s="68" t="s">
        <v>1978</v>
      </c>
      <c r="FF244" s="68" t="s">
        <v>1979</v>
      </c>
    </row>
    <row r="245" spans="151:162" x14ac:dyDescent="0.2">
      <c r="EU245" s="67">
        <v>565.52</v>
      </c>
      <c r="EV245" s="67" t="s">
        <v>1980</v>
      </c>
      <c r="EW245" s="67">
        <v>488.38</v>
      </c>
      <c r="EX245" s="67" t="s">
        <v>1981</v>
      </c>
      <c r="EY245" s="67">
        <v>5671.5</v>
      </c>
      <c r="EZ245" s="67" t="s">
        <v>1982</v>
      </c>
      <c r="FA245" s="67">
        <v>20069.25</v>
      </c>
      <c r="FB245" s="67" t="s">
        <v>1983</v>
      </c>
      <c r="FC245" s="67" t="s">
        <v>1984</v>
      </c>
      <c r="FD245" s="67" t="s">
        <v>1985</v>
      </c>
      <c r="FE245" s="68" t="s">
        <v>1986</v>
      </c>
      <c r="FF245" s="68" t="s">
        <v>1987</v>
      </c>
    </row>
    <row r="246" spans="151:162" x14ac:dyDescent="0.2">
      <c r="EU246" s="67">
        <v>565.59</v>
      </c>
      <c r="EV246" s="67" t="s">
        <v>1988</v>
      </c>
      <c r="EW246" s="67">
        <v>488.44</v>
      </c>
      <c r="EX246" s="67" t="s">
        <v>1989</v>
      </c>
      <c r="EY246" s="67">
        <v>5672.5</v>
      </c>
      <c r="EZ246" s="67" t="s">
        <v>1990</v>
      </c>
      <c r="FA246" s="67">
        <v>20072.25</v>
      </c>
      <c r="FB246" s="67" t="s">
        <v>1991</v>
      </c>
      <c r="FC246" s="67" t="s">
        <v>1992</v>
      </c>
      <c r="FD246" s="67" t="s">
        <v>1993</v>
      </c>
      <c r="FE246" s="68" t="s">
        <v>1994</v>
      </c>
      <c r="FF246" s="68" t="s">
        <v>1995</v>
      </c>
    </row>
    <row r="247" spans="151:162" x14ac:dyDescent="0.2">
      <c r="EU247" s="67">
        <v>565.61</v>
      </c>
      <c r="EV247" s="67" t="s">
        <v>1996</v>
      </c>
      <c r="EW247" s="67">
        <v>488.48</v>
      </c>
      <c r="EX247" s="67" t="s">
        <v>1997</v>
      </c>
      <c r="EY247" s="67">
        <v>5672.5</v>
      </c>
      <c r="EZ247" s="67" t="s">
        <v>1998</v>
      </c>
      <c r="FA247" s="67">
        <v>20074</v>
      </c>
      <c r="FB247" s="67" t="s">
        <v>1999</v>
      </c>
      <c r="FC247" s="67" t="s">
        <v>2000</v>
      </c>
      <c r="FD247" s="67" t="s">
        <v>2001</v>
      </c>
      <c r="FE247" s="68" t="s">
        <v>2002</v>
      </c>
      <c r="FF247" s="68" t="s">
        <v>2003</v>
      </c>
    </row>
    <row r="248" spans="151:162" x14ac:dyDescent="0.2">
      <c r="EU248" s="67">
        <v>565.80999999999995</v>
      </c>
      <c r="EV248" s="67" t="s">
        <v>2004</v>
      </c>
      <c r="EW248" s="67">
        <v>488.82</v>
      </c>
      <c r="EX248" s="67" t="s">
        <v>2005</v>
      </c>
      <c r="EY248" s="67">
        <v>5674.5</v>
      </c>
      <c r="EZ248" s="67" t="s">
        <v>2006</v>
      </c>
      <c r="FA248" s="67">
        <v>20088</v>
      </c>
      <c r="FB248" s="67" t="s">
        <v>2007</v>
      </c>
      <c r="FC248" s="67" t="s">
        <v>2008</v>
      </c>
      <c r="FD248" s="67" t="s">
        <v>2009</v>
      </c>
      <c r="FE248" s="68" t="s">
        <v>2010</v>
      </c>
      <c r="FF248" s="68" t="s">
        <v>2011</v>
      </c>
    </row>
    <row r="249" spans="151:162" x14ac:dyDescent="0.2">
      <c r="EU249" s="67">
        <v>566.07000000000005</v>
      </c>
      <c r="EV249" s="67" t="s">
        <v>2012</v>
      </c>
      <c r="EW249" s="67">
        <v>488.92099999999999</v>
      </c>
      <c r="EX249" s="67" t="s">
        <v>2013</v>
      </c>
      <c r="EY249" s="67">
        <v>5677</v>
      </c>
      <c r="EZ249" s="67" t="s">
        <v>2014</v>
      </c>
      <c r="FA249" s="67">
        <v>20091.75</v>
      </c>
      <c r="FB249" s="67" t="s">
        <v>2015</v>
      </c>
      <c r="FC249" s="67" t="s">
        <v>2016</v>
      </c>
      <c r="FD249" s="67" t="s">
        <v>2017</v>
      </c>
      <c r="FE249" s="68" t="s">
        <v>2018</v>
      </c>
      <c r="FF249" s="68" t="s">
        <v>2019</v>
      </c>
    </row>
    <row r="250" spans="151:162" x14ac:dyDescent="0.2">
      <c r="EU250" s="67">
        <v>566</v>
      </c>
      <c r="EV250" s="67" t="s">
        <v>2020</v>
      </c>
      <c r="EW250" s="67">
        <v>488.91</v>
      </c>
      <c r="EX250" s="67" t="s">
        <v>2021</v>
      </c>
      <c r="EY250" s="67">
        <v>5676.25</v>
      </c>
      <c r="EZ250" s="67" t="s">
        <v>2022</v>
      </c>
      <c r="FA250" s="67">
        <v>20091.75</v>
      </c>
      <c r="FB250" s="67" t="s">
        <v>2023</v>
      </c>
      <c r="FC250" s="67" t="s">
        <v>2024</v>
      </c>
      <c r="FD250" s="67" t="s">
        <v>2025</v>
      </c>
      <c r="FE250" s="68" t="s">
        <v>2026</v>
      </c>
      <c r="FF250" s="68" t="s">
        <v>2027</v>
      </c>
    </row>
    <row r="251" spans="151:162" x14ac:dyDescent="0.2">
      <c r="EU251" s="67">
        <v>565.66999999999996</v>
      </c>
      <c r="EV251" s="67" t="s">
        <v>2028</v>
      </c>
      <c r="EW251" s="67">
        <v>488.55</v>
      </c>
      <c r="EX251" s="67" t="s">
        <v>2029</v>
      </c>
      <c r="EY251" s="67">
        <v>5672.5</v>
      </c>
      <c r="EZ251" s="67" t="s">
        <v>2030</v>
      </c>
      <c r="FA251" s="67">
        <v>20075.25</v>
      </c>
      <c r="FB251" s="67" t="s">
        <v>2031</v>
      </c>
      <c r="FC251" s="67" t="s">
        <v>2032</v>
      </c>
      <c r="FD251" s="67" t="s">
        <v>2033</v>
      </c>
      <c r="FE251" s="68" t="s">
        <v>2034</v>
      </c>
      <c r="FF251" s="68" t="s">
        <v>2035</v>
      </c>
    </row>
    <row r="252" spans="151:162" x14ac:dyDescent="0.2">
      <c r="EU252" s="67">
        <v>565.54999999999995</v>
      </c>
      <c r="EV252" s="67" t="s">
        <v>2036</v>
      </c>
      <c r="EW252" s="67">
        <v>488.37099999999998</v>
      </c>
      <c r="EX252" s="67" t="s">
        <v>2037</v>
      </c>
      <c r="EY252" s="67">
        <v>5671.75</v>
      </c>
      <c r="EZ252" s="67" t="s">
        <v>2038</v>
      </c>
      <c r="FA252" s="67">
        <v>20070.25</v>
      </c>
      <c r="FB252" s="67" t="s">
        <v>2039</v>
      </c>
      <c r="FC252" s="67" t="s">
        <v>2040</v>
      </c>
      <c r="FD252" s="67" t="s">
        <v>2041</v>
      </c>
      <c r="FE252" s="68" t="s">
        <v>2042</v>
      </c>
      <c r="FF252" s="68" t="s">
        <v>2043</v>
      </c>
    </row>
    <row r="253" spans="151:162" x14ac:dyDescent="0.2">
      <c r="EU253" s="67">
        <v>565.54499999999996</v>
      </c>
      <c r="EV253" s="67" t="s">
        <v>2044</v>
      </c>
      <c r="EW253" s="67">
        <v>488.45</v>
      </c>
      <c r="EX253" s="67" t="s">
        <v>2045</v>
      </c>
      <c r="EY253" s="67">
        <v>5671.75</v>
      </c>
      <c r="EZ253" s="67" t="s">
        <v>2046</v>
      </c>
      <c r="FA253" s="67">
        <v>20072.75</v>
      </c>
      <c r="FB253" s="67" t="s">
        <v>2047</v>
      </c>
      <c r="FC253" s="67" t="s">
        <v>2048</v>
      </c>
      <c r="FD253" s="67" t="s">
        <v>2049</v>
      </c>
      <c r="FE253" s="68" t="s">
        <v>2050</v>
      </c>
      <c r="FF253" s="68" t="s">
        <v>2051</v>
      </c>
    </row>
    <row r="254" spans="151:162" x14ac:dyDescent="0.2">
      <c r="EU254" s="67">
        <v>565.17999999999995</v>
      </c>
      <c r="EV254" s="67" t="s">
        <v>2052</v>
      </c>
      <c r="EW254" s="67">
        <v>487.96</v>
      </c>
      <c r="EX254" s="67" t="s">
        <v>2053</v>
      </c>
      <c r="EY254" s="67">
        <v>5667.5</v>
      </c>
      <c r="EZ254" s="67" t="s">
        <v>2054</v>
      </c>
      <c r="FA254" s="67">
        <v>20054.5</v>
      </c>
      <c r="FB254" s="67" t="s">
        <v>2055</v>
      </c>
      <c r="FC254" s="67" t="s">
        <v>2056</v>
      </c>
      <c r="FD254" s="67" t="s">
        <v>2057</v>
      </c>
      <c r="FE254" s="68" t="s">
        <v>2058</v>
      </c>
      <c r="FF254" s="68" t="s">
        <v>2059</v>
      </c>
    </row>
    <row r="255" spans="151:162" x14ac:dyDescent="0.2">
      <c r="EU255" s="67">
        <v>565.15</v>
      </c>
      <c r="EV255" s="67" t="s">
        <v>2060</v>
      </c>
      <c r="EW255" s="67">
        <v>487.92</v>
      </c>
      <c r="EX255" s="67" t="s">
        <v>2061</v>
      </c>
      <c r="EY255" s="67">
        <v>5667</v>
      </c>
      <c r="EZ255" s="67" t="s">
        <v>2062</v>
      </c>
      <c r="FA255" s="67">
        <v>20055.25</v>
      </c>
      <c r="FB255" s="67" t="s">
        <v>2063</v>
      </c>
      <c r="FC255" s="67" t="s">
        <v>2064</v>
      </c>
      <c r="FD255" s="67" t="s">
        <v>2065</v>
      </c>
      <c r="FE255" s="68" t="s">
        <v>2066</v>
      </c>
      <c r="FF255" s="68" t="s">
        <v>2067</v>
      </c>
    </row>
    <row r="256" spans="151:162" x14ac:dyDescent="0.2">
      <c r="EU256" s="67">
        <v>565.24</v>
      </c>
      <c r="EV256" s="67" t="s">
        <v>2068</v>
      </c>
      <c r="EW256" s="67">
        <v>488.2</v>
      </c>
      <c r="EX256" s="67" t="s">
        <v>2069</v>
      </c>
      <c r="EY256" s="67">
        <v>5668.75</v>
      </c>
      <c r="EZ256" s="67" t="s">
        <v>2070</v>
      </c>
      <c r="FA256" s="67">
        <v>20062.75</v>
      </c>
      <c r="FB256" s="67" t="s">
        <v>2071</v>
      </c>
      <c r="FC256" s="67" t="s">
        <v>2072</v>
      </c>
      <c r="FD256" s="67" t="s">
        <v>2073</v>
      </c>
      <c r="FE256" s="68" t="s">
        <v>2074</v>
      </c>
      <c r="FF256" s="68" t="s">
        <v>2075</v>
      </c>
    </row>
    <row r="257" spans="151:162" x14ac:dyDescent="0.2">
      <c r="EU257" s="67">
        <v>565.03</v>
      </c>
      <c r="EV257" s="67" t="s">
        <v>2076</v>
      </c>
      <c r="EW257" s="67">
        <v>487.98</v>
      </c>
      <c r="EX257" s="67" t="s">
        <v>2077</v>
      </c>
      <c r="EY257" s="67">
        <v>5666.75</v>
      </c>
      <c r="EZ257" s="67" t="s">
        <v>2078</v>
      </c>
      <c r="FA257" s="67">
        <v>20054.25</v>
      </c>
      <c r="FB257" s="67" t="s">
        <v>2079</v>
      </c>
      <c r="FC257" s="67" t="s">
        <v>2080</v>
      </c>
      <c r="FD257" s="67" t="s">
        <v>2081</v>
      </c>
      <c r="FE257" s="68" t="s">
        <v>2082</v>
      </c>
      <c r="FF257" s="68" t="s">
        <v>2083</v>
      </c>
    </row>
    <row r="258" spans="151:162" x14ac:dyDescent="0.2">
      <c r="EU258" s="67">
        <v>564.79999999999995</v>
      </c>
      <c r="EV258" s="67" t="s">
        <v>2084</v>
      </c>
      <c r="EW258" s="67">
        <v>487.74</v>
      </c>
      <c r="EX258" s="67" t="s">
        <v>2085</v>
      </c>
      <c r="EY258" s="67">
        <v>5664</v>
      </c>
      <c r="EZ258" s="67" t="s">
        <v>2086</v>
      </c>
      <c r="FA258" s="67">
        <v>20045.5</v>
      </c>
      <c r="FB258" s="67" t="s">
        <v>2087</v>
      </c>
      <c r="FC258" s="67" t="s">
        <v>2088</v>
      </c>
      <c r="FD258" s="67" t="s">
        <v>2089</v>
      </c>
      <c r="FE258" s="68" t="s">
        <v>2090</v>
      </c>
      <c r="FF258" s="68" t="s">
        <v>2091</v>
      </c>
    </row>
    <row r="259" spans="151:162" x14ac:dyDescent="0.2">
      <c r="EU259" s="67">
        <v>564.74</v>
      </c>
      <c r="EV259" s="67" t="s">
        <v>2092</v>
      </c>
      <c r="EW259" s="67">
        <v>487.78</v>
      </c>
      <c r="EX259" s="67" t="s">
        <v>2093</v>
      </c>
      <c r="EY259" s="67">
        <v>5663.75</v>
      </c>
      <c r="EZ259" s="67" t="s">
        <v>2094</v>
      </c>
      <c r="FA259" s="67">
        <v>20045.75</v>
      </c>
      <c r="FB259" s="67" t="s">
        <v>2095</v>
      </c>
      <c r="FC259" s="67" t="s">
        <v>2096</v>
      </c>
      <c r="FD259" s="67" t="s">
        <v>2097</v>
      </c>
      <c r="FE259" s="68" t="s">
        <v>2098</v>
      </c>
      <c r="FF259" s="68" t="s">
        <v>2099</v>
      </c>
    </row>
    <row r="260" spans="151:162" x14ac:dyDescent="0.2">
      <c r="EU260" s="67">
        <v>564.69000000000005</v>
      </c>
      <c r="EV260" s="67" t="s">
        <v>2100</v>
      </c>
      <c r="EW260" s="67">
        <v>487.81</v>
      </c>
      <c r="EX260" s="67" t="s">
        <v>2101</v>
      </c>
      <c r="EY260" s="67">
        <v>5663.25</v>
      </c>
      <c r="EZ260" s="67" t="s">
        <v>2102</v>
      </c>
      <c r="FA260" s="67">
        <v>20046.75</v>
      </c>
      <c r="FB260" s="67" t="s">
        <v>2103</v>
      </c>
      <c r="FC260" s="67" t="s">
        <v>2104</v>
      </c>
      <c r="FD260" s="67" t="s">
        <v>2105</v>
      </c>
      <c r="FE260" s="68" t="s">
        <v>2106</v>
      </c>
      <c r="FF260" s="68" t="s">
        <v>2107</v>
      </c>
    </row>
    <row r="261" spans="151:162" x14ac:dyDescent="0.2">
      <c r="EU261" s="67">
        <v>564.69000000000005</v>
      </c>
      <c r="EV261" s="67" t="s">
        <v>2108</v>
      </c>
      <c r="EW261" s="67">
        <v>487.68</v>
      </c>
      <c r="EX261" s="67" t="s">
        <v>2109</v>
      </c>
      <c r="EY261" s="67">
        <v>5663</v>
      </c>
      <c r="EZ261" s="67" t="s">
        <v>2110</v>
      </c>
      <c r="FA261" s="67">
        <v>20042.75</v>
      </c>
      <c r="FB261" s="67" t="s">
        <v>2111</v>
      </c>
      <c r="FC261" s="67" t="s">
        <v>2112</v>
      </c>
      <c r="FD261" s="67" t="s">
        <v>2113</v>
      </c>
      <c r="FE261" s="68" t="s">
        <v>2114</v>
      </c>
      <c r="FF261" s="68" t="s">
        <v>2115</v>
      </c>
    </row>
    <row r="262" spans="151:162" x14ac:dyDescent="0.2">
      <c r="EU262" s="67">
        <v>564.72</v>
      </c>
      <c r="EV262" s="67" t="s">
        <v>2116</v>
      </c>
      <c r="EW262" s="67">
        <v>487.64</v>
      </c>
      <c r="EX262" s="67" t="s">
        <v>2117</v>
      </c>
      <c r="EY262" s="67">
        <v>5663.75</v>
      </c>
      <c r="EZ262" s="67" t="s">
        <v>2118</v>
      </c>
      <c r="FA262" s="67">
        <v>20040</v>
      </c>
      <c r="FB262" s="67" t="s">
        <v>2119</v>
      </c>
      <c r="FC262" s="67" t="s">
        <v>2120</v>
      </c>
      <c r="FD262" s="67" t="s">
        <v>2121</v>
      </c>
      <c r="FE262" s="68" t="s">
        <v>2122</v>
      </c>
      <c r="FF262" s="68" t="s">
        <v>2123</v>
      </c>
    </row>
    <row r="263" spans="151:162" x14ac:dyDescent="0.2">
      <c r="EU263" s="67">
        <v>565.33000000000004</v>
      </c>
      <c r="EV263" s="67" t="s">
        <v>2124</v>
      </c>
      <c r="EW263" s="67">
        <v>488.18</v>
      </c>
      <c r="EX263" s="67" t="s">
        <v>2125</v>
      </c>
      <c r="EY263" s="67">
        <v>5670.25</v>
      </c>
      <c r="EZ263" s="67" t="s">
        <v>2126</v>
      </c>
      <c r="FA263" s="67">
        <v>20061.5</v>
      </c>
      <c r="FB263" s="67" t="s">
        <v>2127</v>
      </c>
      <c r="FC263" s="67" t="s">
        <v>2128</v>
      </c>
      <c r="FD263" s="67" t="s">
        <v>2129</v>
      </c>
      <c r="FE263" s="68" t="s">
        <v>2130</v>
      </c>
      <c r="FF263" s="68" t="s">
        <v>2131</v>
      </c>
    </row>
    <row r="264" spans="151:162" x14ac:dyDescent="0.2">
      <c r="EU264" s="67">
        <v>565.20699999999999</v>
      </c>
      <c r="EV264" s="67" t="s">
        <v>2132</v>
      </c>
      <c r="EW264" s="67">
        <v>487.98</v>
      </c>
      <c r="EX264" s="67" t="s">
        <v>2133</v>
      </c>
      <c r="EY264" s="67">
        <v>5668.5</v>
      </c>
      <c r="EZ264" s="67" t="s">
        <v>2134</v>
      </c>
      <c r="FA264" s="67">
        <v>20054</v>
      </c>
      <c r="FB264" s="67" t="s">
        <v>2135</v>
      </c>
      <c r="FC264" s="67" t="s">
        <v>2136</v>
      </c>
      <c r="FD264" s="67" t="s">
        <v>2137</v>
      </c>
      <c r="FE264" s="68" t="s">
        <v>2138</v>
      </c>
      <c r="FF264" s="68" t="s">
        <v>2139</v>
      </c>
    </row>
    <row r="265" spans="151:162" x14ac:dyDescent="0.2">
      <c r="EU265" s="67">
        <v>565.42999999999995</v>
      </c>
      <c r="EV265" s="67" t="s">
        <v>2140</v>
      </c>
      <c r="EW265" s="67">
        <v>488.16</v>
      </c>
      <c r="EX265" s="67" t="s">
        <v>2141</v>
      </c>
      <c r="EY265" s="67">
        <v>5670.75</v>
      </c>
      <c r="EZ265" s="67" t="s">
        <v>2142</v>
      </c>
      <c r="FA265" s="67">
        <v>20061.5</v>
      </c>
      <c r="FB265" s="67" t="s">
        <v>2143</v>
      </c>
      <c r="FC265" s="67" t="s">
        <v>2144</v>
      </c>
      <c r="FD265" s="67" t="s">
        <v>2145</v>
      </c>
      <c r="FE265" s="68" t="s">
        <v>2146</v>
      </c>
      <c r="FF265" s="68" t="s">
        <v>2147</v>
      </c>
    </row>
    <row r="266" spans="151:162" x14ac:dyDescent="0.2">
      <c r="EU266" s="67">
        <v>565.22500000000002</v>
      </c>
      <c r="EV266" s="67" t="s">
        <v>2148</v>
      </c>
      <c r="EW266" s="67">
        <v>487.98</v>
      </c>
      <c r="EX266" s="67" t="s">
        <v>2149</v>
      </c>
      <c r="EY266" s="67">
        <v>5668.75</v>
      </c>
      <c r="EZ266" s="67" t="s">
        <v>2150</v>
      </c>
      <c r="FA266" s="67">
        <v>20054.25</v>
      </c>
      <c r="FB266" s="67" t="s">
        <v>2151</v>
      </c>
      <c r="FC266" s="67" t="s">
        <v>2152</v>
      </c>
      <c r="FD266" s="67" t="s">
        <v>2153</v>
      </c>
      <c r="FE266" s="68" t="s">
        <v>2154</v>
      </c>
      <c r="FF266" s="68" t="s">
        <v>2155</v>
      </c>
    </row>
    <row r="267" spans="151:162" x14ac:dyDescent="0.2">
      <c r="EU267" s="67">
        <v>565.28</v>
      </c>
      <c r="EV267" s="67" t="s">
        <v>2156</v>
      </c>
      <c r="EW267" s="67">
        <v>488.08</v>
      </c>
      <c r="EX267" s="67" t="s">
        <v>2157</v>
      </c>
      <c r="EY267" s="67">
        <v>5669</v>
      </c>
      <c r="EZ267" s="67" t="s">
        <v>2158</v>
      </c>
      <c r="FA267" s="67">
        <v>20057.25</v>
      </c>
      <c r="FB267" s="67" t="s">
        <v>2159</v>
      </c>
      <c r="FC267" s="67" t="s">
        <v>2160</v>
      </c>
      <c r="FD267" s="67" t="s">
        <v>2161</v>
      </c>
      <c r="FE267" s="68" t="s">
        <v>2162</v>
      </c>
      <c r="FF267" s="68" t="s">
        <v>2163</v>
      </c>
    </row>
    <row r="268" spans="151:162" x14ac:dyDescent="0.2">
      <c r="EU268" s="67">
        <v>565.46500000000003</v>
      </c>
      <c r="EV268" s="67" t="s">
        <v>2164</v>
      </c>
      <c r="EW268" s="67">
        <v>488.25</v>
      </c>
      <c r="EX268" s="67" t="s">
        <v>2165</v>
      </c>
      <c r="EY268" s="67">
        <v>5671</v>
      </c>
      <c r="EZ268" s="67" t="s">
        <v>2166</v>
      </c>
      <c r="FA268" s="67">
        <v>20064.75</v>
      </c>
      <c r="FB268" s="67" t="s">
        <v>2167</v>
      </c>
      <c r="FC268" s="67" t="s">
        <v>2168</v>
      </c>
      <c r="FD268" s="67" t="s">
        <v>2169</v>
      </c>
      <c r="FE268" s="68" t="s">
        <v>2170</v>
      </c>
      <c r="FF268" s="68" t="s">
        <v>2171</v>
      </c>
    </row>
    <row r="269" spans="151:162" x14ac:dyDescent="0.2">
      <c r="EU269" s="67">
        <v>565.36</v>
      </c>
      <c r="EV269" s="67" t="s">
        <v>2172</v>
      </c>
      <c r="EW269" s="67">
        <v>488.16</v>
      </c>
      <c r="EX269" s="67" t="s">
        <v>2173</v>
      </c>
      <c r="EY269" s="67">
        <v>5670</v>
      </c>
      <c r="EZ269" s="67" t="s">
        <v>2174</v>
      </c>
      <c r="FA269" s="67">
        <v>20061.25</v>
      </c>
      <c r="FB269" s="67" t="s">
        <v>2175</v>
      </c>
      <c r="FC269" s="67" t="s">
        <v>2176</v>
      </c>
      <c r="FD269" s="67" t="s">
        <v>2177</v>
      </c>
      <c r="FE269" s="68" t="s">
        <v>2178</v>
      </c>
      <c r="FF269" s="68" t="s">
        <v>2179</v>
      </c>
    </row>
    <row r="270" spans="151:162" x14ac:dyDescent="0.2">
      <c r="EU270" s="67">
        <v>565.73</v>
      </c>
      <c r="EV270" s="67" t="s">
        <v>2180</v>
      </c>
      <c r="EW270" s="67">
        <v>488.47500000000002</v>
      </c>
      <c r="EX270" s="67" t="s">
        <v>2181</v>
      </c>
      <c r="EY270" s="67">
        <v>5673.75</v>
      </c>
      <c r="EZ270" s="67" t="s">
        <v>2182</v>
      </c>
      <c r="FA270" s="67">
        <v>20073</v>
      </c>
      <c r="FB270" s="67" t="s">
        <v>2183</v>
      </c>
      <c r="FC270" s="67" t="s">
        <v>2184</v>
      </c>
      <c r="FD270" s="67" t="s">
        <v>2185</v>
      </c>
      <c r="FE270" s="68" t="s">
        <v>2186</v>
      </c>
      <c r="FF270" s="68" t="s">
        <v>2187</v>
      </c>
    </row>
    <row r="271" spans="151:162" x14ac:dyDescent="0.2">
      <c r="EU271" s="67">
        <v>565.79</v>
      </c>
      <c r="EV271" s="67" t="s">
        <v>2188</v>
      </c>
      <c r="EW271" s="67">
        <v>488.41</v>
      </c>
      <c r="EX271" s="67" t="s">
        <v>2189</v>
      </c>
      <c r="EY271" s="67">
        <v>5674.5</v>
      </c>
      <c r="EZ271" s="67" t="s">
        <v>2190</v>
      </c>
      <c r="FA271" s="67">
        <v>20072.25</v>
      </c>
      <c r="FB271" s="67" t="s">
        <v>2191</v>
      </c>
      <c r="FC271" s="67" t="s">
        <v>2192</v>
      </c>
      <c r="FD271" s="67" t="s">
        <v>2193</v>
      </c>
      <c r="FE271" s="68" t="s">
        <v>2194</v>
      </c>
      <c r="FF271" s="68" t="s">
        <v>2195</v>
      </c>
    </row>
    <row r="272" spans="151:162" x14ac:dyDescent="0.2">
      <c r="EU272" s="67">
        <v>565.71</v>
      </c>
      <c r="EV272" s="67" t="s">
        <v>2196</v>
      </c>
      <c r="EW272" s="67">
        <v>488.4</v>
      </c>
      <c r="EX272" s="67" t="s">
        <v>2197</v>
      </c>
      <c r="EY272" s="67">
        <v>5673.5</v>
      </c>
      <c r="EZ272" s="67" t="s">
        <v>2198</v>
      </c>
      <c r="FA272" s="67">
        <v>20070.5</v>
      </c>
      <c r="FB272" s="67" t="s">
        <v>2199</v>
      </c>
      <c r="FC272" s="67" t="s">
        <v>2200</v>
      </c>
      <c r="FD272" s="67" t="s">
        <v>2201</v>
      </c>
      <c r="FE272" s="68" t="s">
        <v>2202</v>
      </c>
      <c r="FF272" s="68" t="s">
        <v>2203</v>
      </c>
    </row>
    <row r="273" spans="151:162" x14ac:dyDescent="0.2">
      <c r="EU273" s="67">
        <v>565.79999999999995</v>
      </c>
      <c r="EV273" s="67" t="s">
        <v>2204</v>
      </c>
      <c r="EW273" s="67">
        <v>488.63</v>
      </c>
      <c r="EX273" s="67" t="s">
        <v>2205</v>
      </c>
      <c r="EY273" s="67">
        <v>5674.75</v>
      </c>
      <c r="EZ273" s="67" t="s">
        <v>2206</v>
      </c>
      <c r="FA273" s="67">
        <v>20080.5</v>
      </c>
      <c r="FB273" s="67" t="s">
        <v>2207</v>
      </c>
      <c r="FC273" s="67" t="s">
        <v>2208</v>
      </c>
      <c r="FD273" s="67" t="s">
        <v>2209</v>
      </c>
      <c r="FE273" s="68" t="s">
        <v>2210</v>
      </c>
      <c r="FF273" s="68" t="s">
        <v>2211</v>
      </c>
    </row>
    <row r="274" spans="151:162" x14ac:dyDescent="0.2">
      <c r="EU274" s="67">
        <v>565.86</v>
      </c>
      <c r="EV274" s="67" t="s">
        <v>2212</v>
      </c>
      <c r="EW274" s="67">
        <v>488.66</v>
      </c>
      <c r="EX274" s="67" t="s">
        <v>2213</v>
      </c>
      <c r="EY274" s="67">
        <v>5675</v>
      </c>
      <c r="EZ274" s="67" t="s">
        <v>2214</v>
      </c>
      <c r="FA274" s="67">
        <v>20082</v>
      </c>
      <c r="FB274" s="67" t="s">
        <v>2215</v>
      </c>
      <c r="FC274" s="67" t="s">
        <v>2216</v>
      </c>
      <c r="FD274" s="67" t="s">
        <v>2217</v>
      </c>
      <c r="FE274" s="68" t="s">
        <v>2218</v>
      </c>
      <c r="FF274" s="68" t="s">
        <v>2219</v>
      </c>
    </row>
    <row r="275" spans="151:162" x14ac:dyDescent="0.2">
      <c r="EU275" s="67">
        <v>565.84</v>
      </c>
      <c r="EV275" s="67" t="s">
        <v>2220</v>
      </c>
      <c r="EW275" s="67">
        <v>488.72</v>
      </c>
      <c r="EX275" s="67" t="s">
        <v>2221</v>
      </c>
      <c r="EY275" s="67">
        <v>5675</v>
      </c>
      <c r="EZ275" s="67" t="s">
        <v>2222</v>
      </c>
      <c r="FA275" s="67">
        <v>20085.5</v>
      </c>
      <c r="FB275" s="67" t="s">
        <v>2223</v>
      </c>
      <c r="FC275" s="67" t="s">
        <v>2224</v>
      </c>
      <c r="FD275" s="67" t="s">
        <v>2225</v>
      </c>
      <c r="FE275" s="68" t="s">
        <v>2226</v>
      </c>
      <c r="FF275" s="68" t="s">
        <v>2227</v>
      </c>
    </row>
    <row r="276" spans="151:162" x14ac:dyDescent="0.2">
      <c r="EU276" s="67">
        <v>565.91999999999996</v>
      </c>
      <c r="EV276" s="67" t="s">
        <v>2228</v>
      </c>
      <c r="EW276" s="67">
        <v>488.71</v>
      </c>
      <c r="EX276" s="67" t="s">
        <v>2229</v>
      </c>
      <c r="EY276" s="67">
        <v>5675.5</v>
      </c>
      <c r="EZ276" s="67" t="s">
        <v>2230</v>
      </c>
      <c r="FA276" s="67">
        <v>20085.75</v>
      </c>
      <c r="FB276" s="67" t="s">
        <v>2231</v>
      </c>
      <c r="FC276" s="67" t="s">
        <v>2232</v>
      </c>
      <c r="FD276" s="67" t="s">
        <v>2233</v>
      </c>
      <c r="FE276" s="68" t="s">
        <v>2234</v>
      </c>
      <c r="FF276" s="68" t="s">
        <v>2235</v>
      </c>
    </row>
    <row r="277" spans="151:162" x14ac:dyDescent="0.2">
      <c r="EU277" s="67">
        <v>565.98</v>
      </c>
      <c r="EV277" s="67" t="s">
        <v>2236</v>
      </c>
      <c r="EW277" s="67">
        <v>488.79</v>
      </c>
      <c r="EX277" s="67" t="s">
        <v>2237</v>
      </c>
      <c r="EY277" s="67">
        <v>5676.5</v>
      </c>
      <c r="EZ277" s="67" t="s">
        <v>2238</v>
      </c>
      <c r="FA277" s="67">
        <v>20088</v>
      </c>
      <c r="FB277" s="67" t="s">
        <v>2239</v>
      </c>
      <c r="FC277" s="67" t="s">
        <v>2240</v>
      </c>
      <c r="FD277" s="67" t="s">
        <v>2241</v>
      </c>
      <c r="FE277" s="68" t="s">
        <v>2242</v>
      </c>
      <c r="FF277" s="68" t="s">
        <v>2243</v>
      </c>
    </row>
    <row r="278" spans="151:162" x14ac:dyDescent="0.2">
      <c r="EU278" s="67">
        <v>565.94000000000005</v>
      </c>
      <c r="EV278" s="67" t="s">
        <v>2244</v>
      </c>
      <c r="EW278" s="67">
        <v>488.82</v>
      </c>
      <c r="EX278" s="67" t="s">
        <v>2245</v>
      </c>
      <c r="EY278" s="67">
        <v>5676</v>
      </c>
      <c r="EZ278" s="67" t="s">
        <v>2246</v>
      </c>
      <c r="FA278" s="67">
        <v>20088.75</v>
      </c>
      <c r="FB278" s="67" t="s">
        <v>2247</v>
      </c>
      <c r="FC278" s="67" t="s">
        <v>2248</v>
      </c>
      <c r="FD278" s="67" t="s">
        <v>2249</v>
      </c>
      <c r="FE278" s="68" t="s">
        <v>2250</v>
      </c>
      <c r="FF278" s="68" t="s">
        <v>2251</v>
      </c>
    </row>
    <row r="279" spans="151:162" x14ac:dyDescent="0.2">
      <c r="EU279" s="67">
        <v>566.08000000000004</v>
      </c>
      <c r="EV279" s="67" t="s">
        <v>2252</v>
      </c>
      <c r="EW279" s="67">
        <v>488.92</v>
      </c>
      <c r="EX279" s="67" t="s">
        <v>2253</v>
      </c>
      <c r="EY279" s="67">
        <v>5677.25</v>
      </c>
      <c r="EZ279" s="67" t="s">
        <v>2254</v>
      </c>
      <c r="FA279" s="67">
        <v>20093.75</v>
      </c>
      <c r="FB279" s="67" t="s">
        <v>2255</v>
      </c>
      <c r="FC279" s="67" t="s">
        <v>2256</v>
      </c>
      <c r="FD279" s="67" t="s">
        <v>2257</v>
      </c>
      <c r="FE279" s="68" t="s">
        <v>2258</v>
      </c>
      <c r="FF279" s="68" t="s">
        <v>2259</v>
      </c>
    </row>
    <row r="280" spans="151:162" x14ac:dyDescent="0.2">
      <c r="EU280" s="67">
        <v>566.09</v>
      </c>
      <c r="EV280" s="67" t="s">
        <v>2260</v>
      </c>
      <c r="EW280" s="67">
        <v>488.96</v>
      </c>
      <c r="EX280" s="67" t="s">
        <v>2261</v>
      </c>
      <c r="EY280" s="67">
        <v>5677.75</v>
      </c>
      <c r="EZ280" s="67" t="s">
        <v>2262</v>
      </c>
      <c r="FA280" s="67">
        <v>20094</v>
      </c>
      <c r="FB280" s="67" t="s">
        <v>2263</v>
      </c>
      <c r="FC280" s="67" t="s">
        <v>2264</v>
      </c>
      <c r="FD280" s="67" t="s">
        <v>2265</v>
      </c>
      <c r="FE280" s="68" t="s">
        <v>2266</v>
      </c>
      <c r="FF280" s="68" t="s">
        <v>2267</v>
      </c>
    </row>
    <row r="281" spans="151:162" x14ac:dyDescent="0.2">
      <c r="EU281" s="67">
        <v>566.20000000000005</v>
      </c>
      <c r="EV281" s="67" t="s">
        <v>2268</v>
      </c>
      <c r="EW281" s="67">
        <v>488.85</v>
      </c>
      <c r="EX281" s="67" t="s">
        <v>2269</v>
      </c>
      <c r="EY281" s="67">
        <v>5678.75</v>
      </c>
      <c r="EZ281" s="67" t="s">
        <v>2270</v>
      </c>
      <c r="FA281" s="67">
        <v>20095</v>
      </c>
      <c r="FB281" s="67" t="s">
        <v>2271</v>
      </c>
      <c r="FC281" s="67" t="s">
        <v>2272</v>
      </c>
      <c r="FD281" s="67" t="s">
        <v>2273</v>
      </c>
      <c r="FE281" s="68" t="s">
        <v>2274</v>
      </c>
      <c r="FF281" s="68" t="s">
        <v>2275</v>
      </c>
    </row>
    <row r="282" spans="151:162" x14ac:dyDescent="0.2">
      <c r="EU282" s="67">
        <v>565.87</v>
      </c>
      <c r="EV282" s="67" t="s">
        <v>2276</v>
      </c>
      <c r="EW282" s="67">
        <v>488.75</v>
      </c>
      <c r="EX282" s="67" t="s">
        <v>2277</v>
      </c>
      <c r="EY282" s="67">
        <v>5675.75</v>
      </c>
      <c r="EZ282" s="67" t="s">
        <v>2278</v>
      </c>
      <c r="FA282" s="67">
        <v>20085.25</v>
      </c>
      <c r="FB282" s="67" t="s">
        <v>2279</v>
      </c>
      <c r="FC282" s="67" t="s">
        <v>2280</v>
      </c>
      <c r="FD282" s="67" t="s">
        <v>2281</v>
      </c>
      <c r="FE282" s="68" t="s">
        <v>2282</v>
      </c>
      <c r="FF282" s="68" t="s">
        <v>2283</v>
      </c>
    </row>
    <row r="283" spans="151:162" x14ac:dyDescent="0.2">
      <c r="EU283" s="67">
        <v>565.64499999999998</v>
      </c>
      <c r="EV283" s="67" t="s">
        <v>2284</v>
      </c>
      <c r="EW283" s="67">
        <v>488.45</v>
      </c>
      <c r="EX283" s="67" t="s">
        <v>2285</v>
      </c>
      <c r="EY283" s="67">
        <v>5673</v>
      </c>
      <c r="EZ283" s="67" t="s">
        <v>2286</v>
      </c>
      <c r="FA283" s="67">
        <v>20073.5</v>
      </c>
      <c r="FB283" s="67" t="s">
        <v>2287</v>
      </c>
      <c r="FC283" s="67" t="s">
        <v>2288</v>
      </c>
      <c r="FD283" s="67" t="s">
        <v>2289</v>
      </c>
      <c r="FE283" s="68" t="s">
        <v>2290</v>
      </c>
      <c r="FF283" s="68" t="s">
        <v>2291</v>
      </c>
    </row>
    <row r="284" spans="151:162" x14ac:dyDescent="0.2">
      <c r="EU284" s="67">
        <v>566.05999999999995</v>
      </c>
      <c r="EV284" s="67" t="s">
        <v>2292</v>
      </c>
      <c r="EW284" s="67">
        <v>488.72</v>
      </c>
      <c r="EX284" s="67" t="s">
        <v>2293</v>
      </c>
      <c r="EY284" s="67">
        <v>5677.25</v>
      </c>
      <c r="EZ284" s="67" t="s">
        <v>2294</v>
      </c>
      <c r="FA284" s="67">
        <v>20085</v>
      </c>
      <c r="FB284" s="67" t="s">
        <v>2295</v>
      </c>
      <c r="FC284" s="67" t="s">
        <v>2296</v>
      </c>
      <c r="FD284" s="67" t="s">
        <v>2297</v>
      </c>
      <c r="FE284" s="68" t="s">
        <v>2298</v>
      </c>
      <c r="FF284" s="68" t="s">
        <v>2299</v>
      </c>
    </row>
    <row r="285" spans="151:162" x14ac:dyDescent="0.2">
      <c r="EU285" s="67">
        <v>565.80999999999995</v>
      </c>
      <c r="EV285" s="67" t="s">
        <v>2300</v>
      </c>
      <c r="EW285" s="67">
        <v>488.45100000000002</v>
      </c>
      <c r="EX285" s="67" t="s">
        <v>2301</v>
      </c>
      <c r="EY285" s="67">
        <v>5674.75</v>
      </c>
      <c r="EZ285" s="67" t="s">
        <v>2302</v>
      </c>
      <c r="FA285" s="67">
        <v>20074.25</v>
      </c>
      <c r="FB285" s="67" t="s">
        <v>2303</v>
      </c>
      <c r="FC285" s="67" t="s">
        <v>2304</v>
      </c>
      <c r="FD285" s="67" t="s">
        <v>2305</v>
      </c>
      <c r="FE285" s="68" t="s">
        <v>2306</v>
      </c>
      <c r="FF285" s="68" t="s">
        <v>2307</v>
      </c>
    </row>
    <row r="286" spans="151:162" x14ac:dyDescent="0.2">
      <c r="EU286" s="67">
        <v>566.04999999999995</v>
      </c>
      <c r="EV286" s="67" t="s">
        <v>2308</v>
      </c>
      <c r="EW286" s="67">
        <v>488.72</v>
      </c>
      <c r="EX286" s="67" t="s">
        <v>2309</v>
      </c>
      <c r="EY286" s="67">
        <v>5677.25</v>
      </c>
      <c r="EZ286" s="67" t="s">
        <v>2310</v>
      </c>
      <c r="FA286" s="67">
        <v>20085.25</v>
      </c>
      <c r="FB286" s="67" t="s">
        <v>2311</v>
      </c>
      <c r="FC286" s="67" t="s">
        <v>2312</v>
      </c>
      <c r="FD286" s="67" t="s">
        <v>2313</v>
      </c>
      <c r="FE286" s="68" t="s">
        <v>2314</v>
      </c>
      <c r="FF286" s="68" t="s">
        <v>2315</v>
      </c>
    </row>
    <row r="287" spans="151:162" x14ac:dyDescent="0.2">
      <c r="EU287" s="67">
        <v>566.17999999999995</v>
      </c>
      <c r="EV287" s="67" t="s">
        <v>2316</v>
      </c>
      <c r="EW287" s="67">
        <v>488.88</v>
      </c>
      <c r="EX287" s="67" t="s">
        <v>2317</v>
      </c>
      <c r="EY287" s="67">
        <v>5678.75</v>
      </c>
      <c r="EZ287" s="67" t="s">
        <v>2318</v>
      </c>
      <c r="FA287" s="67">
        <v>20091.75</v>
      </c>
      <c r="FB287" s="67" t="s">
        <v>2319</v>
      </c>
      <c r="FC287" s="67" t="s">
        <v>2320</v>
      </c>
      <c r="FD287" s="67" t="s">
        <v>2321</v>
      </c>
      <c r="FE287" s="68" t="s">
        <v>2322</v>
      </c>
      <c r="FF287" s="68" t="s">
        <v>2323</v>
      </c>
    </row>
    <row r="288" spans="151:162" x14ac:dyDescent="0.2">
      <c r="EU288" s="67">
        <v>566.16999999999996</v>
      </c>
      <c r="EV288" s="67" t="s">
        <v>2324</v>
      </c>
      <c r="EW288" s="67">
        <v>488.91</v>
      </c>
      <c r="EX288" s="67" t="s">
        <v>2325</v>
      </c>
      <c r="EY288" s="67">
        <v>5678.25</v>
      </c>
      <c r="EZ288" s="67" t="s">
        <v>2326</v>
      </c>
      <c r="FA288" s="67">
        <v>20093.75</v>
      </c>
      <c r="FB288" s="67" t="s">
        <v>2327</v>
      </c>
      <c r="FC288" s="67" t="s">
        <v>2328</v>
      </c>
      <c r="FD288" s="67" t="s">
        <v>2329</v>
      </c>
      <c r="FE288" s="68" t="s">
        <v>2330</v>
      </c>
      <c r="FF288" s="68" t="s">
        <v>2331</v>
      </c>
    </row>
    <row r="289" spans="151:162" x14ac:dyDescent="0.2">
      <c r="EU289" s="67">
        <v>566.37</v>
      </c>
      <c r="EV289" s="67" t="s">
        <v>2332</v>
      </c>
      <c r="EW289" s="67">
        <v>489.18</v>
      </c>
      <c r="EX289" s="67" t="s">
        <v>2333</v>
      </c>
      <c r="EY289" s="67">
        <v>5680.5</v>
      </c>
      <c r="EZ289" s="67" t="s">
        <v>2334</v>
      </c>
      <c r="FA289" s="67">
        <v>20103.75</v>
      </c>
      <c r="FB289" s="67" t="s">
        <v>2335</v>
      </c>
      <c r="FC289" s="67" t="s">
        <v>2336</v>
      </c>
      <c r="FD289" s="67" t="s">
        <v>2337</v>
      </c>
      <c r="FE289" s="68" t="s">
        <v>2338</v>
      </c>
      <c r="FF289" s="68" t="s">
        <v>2339</v>
      </c>
    </row>
    <row r="290" spans="151:162" x14ac:dyDescent="0.2">
      <c r="EU290" s="67">
        <v>566.27</v>
      </c>
      <c r="EV290" s="67" t="s">
        <v>2340</v>
      </c>
      <c r="EW290" s="67">
        <v>489.06</v>
      </c>
      <c r="EX290" s="67" t="s">
        <v>2341</v>
      </c>
      <c r="EY290" s="67">
        <v>5679.5</v>
      </c>
      <c r="EZ290" s="67" t="s">
        <v>2342</v>
      </c>
      <c r="FA290" s="67">
        <v>20098.25</v>
      </c>
      <c r="FB290" s="67" t="s">
        <v>2343</v>
      </c>
      <c r="FC290" s="67" t="s">
        <v>2344</v>
      </c>
      <c r="FD290" s="67" t="s">
        <v>2345</v>
      </c>
      <c r="FE290" s="68" t="s">
        <v>2346</v>
      </c>
      <c r="FF290" s="68" t="s">
        <v>2347</v>
      </c>
    </row>
    <row r="291" spans="151:162" x14ac:dyDescent="0.2">
      <c r="EU291" s="67">
        <v>567.5</v>
      </c>
      <c r="EV291" s="67" t="s">
        <v>2348</v>
      </c>
      <c r="EW291" s="67">
        <v>490.24</v>
      </c>
      <c r="EX291" s="67" t="s">
        <v>2349</v>
      </c>
      <c r="EY291" s="67">
        <v>5693.25</v>
      </c>
      <c r="EZ291" s="67" t="s">
        <v>2350</v>
      </c>
      <c r="FA291" s="67">
        <v>20147.25</v>
      </c>
      <c r="FB291" s="67" t="s">
        <v>2351</v>
      </c>
      <c r="FC291" s="67" t="s">
        <v>2352</v>
      </c>
      <c r="FD291" s="67" t="s">
        <v>2353</v>
      </c>
      <c r="FE291" s="68" t="s">
        <v>2354</v>
      </c>
      <c r="FF291" s="68" t="s">
        <v>2355</v>
      </c>
    </row>
    <row r="292" spans="151:162" x14ac:dyDescent="0.2">
      <c r="EU292" s="67">
        <v>566.98</v>
      </c>
      <c r="EV292" s="67" t="s">
        <v>2356</v>
      </c>
      <c r="EW292" s="67">
        <v>489.6</v>
      </c>
      <c r="EX292" s="67" t="s">
        <v>2357</v>
      </c>
      <c r="EY292" s="67">
        <v>5686.25</v>
      </c>
      <c r="EZ292" s="67" t="s">
        <v>2358</v>
      </c>
      <c r="FA292" s="67">
        <v>20119.5</v>
      </c>
      <c r="FB292" s="67" t="s">
        <v>2359</v>
      </c>
      <c r="FC292" s="67" t="s">
        <v>2360</v>
      </c>
      <c r="FD292" s="67" t="s">
        <v>2361</v>
      </c>
      <c r="FE292" s="68" t="s">
        <v>2362</v>
      </c>
      <c r="FF292" s="68" t="s">
        <v>2363</v>
      </c>
    </row>
    <row r="293" spans="151:162" x14ac:dyDescent="0.2">
      <c r="EU293" s="67">
        <v>567.73</v>
      </c>
      <c r="EV293" s="67" t="s">
        <v>2364</v>
      </c>
      <c r="EW293" s="67">
        <v>490.33100000000002</v>
      </c>
      <c r="EX293" s="67" t="s">
        <v>2365</v>
      </c>
      <c r="EY293" s="67">
        <v>5694.25</v>
      </c>
      <c r="EZ293" s="67" t="s">
        <v>2366</v>
      </c>
      <c r="FA293" s="67">
        <v>20151</v>
      </c>
      <c r="FB293" s="67" t="s">
        <v>2367</v>
      </c>
      <c r="FC293" s="67" t="s">
        <v>2368</v>
      </c>
      <c r="FD293" s="67" t="s">
        <v>2369</v>
      </c>
      <c r="FE293" s="68" t="s">
        <v>2370</v>
      </c>
      <c r="FF293" s="68" t="s">
        <v>2371</v>
      </c>
    </row>
    <row r="294" spans="151:162" x14ac:dyDescent="0.2">
      <c r="EU294" s="67">
        <v>567.5</v>
      </c>
      <c r="EV294" s="67" t="s">
        <v>2372</v>
      </c>
      <c r="EW294" s="67">
        <v>490.17</v>
      </c>
      <c r="EX294" s="67" t="s">
        <v>2373</v>
      </c>
      <c r="EY294" s="67">
        <v>5691.75</v>
      </c>
      <c r="EZ294" s="67" t="s">
        <v>2374</v>
      </c>
      <c r="FA294" s="67">
        <v>20144</v>
      </c>
      <c r="FB294" s="67" t="s">
        <v>2375</v>
      </c>
      <c r="FC294" s="67" t="s">
        <v>2376</v>
      </c>
      <c r="FD294" s="67" t="s">
        <v>2377</v>
      </c>
      <c r="FE294" s="68" t="s">
        <v>2378</v>
      </c>
      <c r="FF294" s="68" t="s">
        <v>2379</v>
      </c>
    </row>
    <row r="295" spans="151:162" x14ac:dyDescent="0.2">
      <c r="EU295" s="67">
        <v>567.76</v>
      </c>
      <c r="EV295" s="67" t="s">
        <v>2380</v>
      </c>
      <c r="EW295" s="67">
        <v>490.43</v>
      </c>
      <c r="EX295" s="67" t="s">
        <v>2381</v>
      </c>
      <c r="EY295" s="67">
        <v>5694.75</v>
      </c>
      <c r="EZ295" s="67" t="s">
        <v>2382</v>
      </c>
      <c r="FA295" s="67">
        <v>20150.5</v>
      </c>
      <c r="FB295" s="67" t="s">
        <v>2383</v>
      </c>
      <c r="FC295" s="67" t="s">
        <v>2384</v>
      </c>
      <c r="FD295" s="67" t="s">
        <v>2385</v>
      </c>
      <c r="FE295" s="68" t="s">
        <v>2386</v>
      </c>
      <c r="FF295" s="68" t="s">
        <v>2387</v>
      </c>
    </row>
    <row r="296" spans="151:162" x14ac:dyDescent="0.2">
      <c r="EU296" s="67">
        <v>567.83000000000004</v>
      </c>
      <c r="EV296" s="67" t="s">
        <v>2388</v>
      </c>
      <c r="EW296" s="67">
        <v>490.48</v>
      </c>
      <c r="EX296" s="67" t="s">
        <v>2389</v>
      </c>
      <c r="EY296" s="67">
        <v>5695.25</v>
      </c>
      <c r="EZ296" s="67" t="s">
        <v>2390</v>
      </c>
      <c r="FA296" s="67">
        <v>20156.25</v>
      </c>
      <c r="FB296" s="67" t="s">
        <v>2391</v>
      </c>
      <c r="FC296" s="67" t="s">
        <v>2392</v>
      </c>
      <c r="FD296" s="67" t="s">
        <v>2393</v>
      </c>
      <c r="FE296" s="68" t="s">
        <v>2394</v>
      </c>
      <c r="FF296" s="68" t="s">
        <v>2395</v>
      </c>
    </row>
    <row r="297" spans="151:162" x14ac:dyDescent="0.2">
      <c r="EU297" s="67">
        <v>567.52</v>
      </c>
      <c r="EV297" s="67" t="s">
        <v>2396</v>
      </c>
      <c r="EW297" s="67">
        <v>490.11900000000003</v>
      </c>
      <c r="EX297" s="67" t="s">
        <v>2397</v>
      </c>
      <c r="EY297" s="67">
        <v>5692</v>
      </c>
      <c r="EZ297" s="67" t="s">
        <v>2398</v>
      </c>
      <c r="FA297" s="67">
        <v>20142</v>
      </c>
      <c r="FB297" s="67" t="s">
        <v>2399</v>
      </c>
      <c r="FC297" s="67" t="s">
        <v>2400</v>
      </c>
      <c r="FD297" s="67" t="s">
        <v>2401</v>
      </c>
      <c r="FE297" s="68" t="s">
        <v>2402</v>
      </c>
      <c r="FF297" s="68" t="s">
        <v>2403</v>
      </c>
    </row>
    <row r="298" spans="151:162" x14ac:dyDescent="0.2">
      <c r="EU298" s="67">
        <v>567.21</v>
      </c>
      <c r="EV298" s="67" t="s">
        <v>2404</v>
      </c>
      <c r="EW298" s="67">
        <v>489.78</v>
      </c>
      <c r="EX298" s="67" t="s">
        <v>2405</v>
      </c>
      <c r="EY298" s="67">
        <v>5688.75</v>
      </c>
      <c r="EZ298" s="67" t="s">
        <v>2406</v>
      </c>
      <c r="FA298" s="67">
        <v>20127.5</v>
      </c>
      <c r="FB298" s="67" t="s">
        <v>2407</v>
      </c>
      <c r="FC298" s="67" t="s">
        <v>2408</v>
      </c>
      <c r="FD298" s="67" t="s">
        <v>2409</v>
      </c>
      <c r="FE298" s="68" t="s">
        <v>2410</v>
      </c>
      <c r="FF298" s="68" t="s">
        <v>2411</v>
      </c>
    </row>
    <row r="299" spans="151:162" x14ac:dyDescent="0.2">
      <c r="EU299" s="67">
        <v>567.08000000000004</v>
      </c>
      <c r="EV299" s="67" t="s">
        <v>2412</v>
      </c>
      <c r="EW299" s="67">
        <v>489.58499999999998</v>
      </c>
      <c r="EX299" s="67" t="s">
        <v>2413</v>
      </c>
      <c r="EY299" s="67">
        <v>5687.5</v>
      </c>
      <c r="EZ299" s="67" t="s">
        <v>2414</v>
      </c>
      <c r="FA299" s="67">
        <v>20118.75</v>
      </c>
      <c r="FB299" s="67" t="s">
        <v>2415</v>
      </c>
      <c r="FC299" s="67" t="s">
        <v>2416</v>
      </c>
      <c r="FD299" s="67" t="s">
        <v>2417</v>
      </c>
      <c r="FE299" s="68" t="s">
        <v>2418</v>
      </c>
      <c r="FF299" s="68" t="s">
        <v>2419</v>
      </c>
    </row>
    <row r="300" spans="151:162" x14ac:dyDescent="0.2">
      <c r="EU300" s="67">
        <v>567.00099999999998</v>
      </c>
      <c r="EV300" s="67" t="s">
        <v>2420</v>
      </c>
      <c r="EW300" s="67">
        <v>489.51</v>
      </c>
      <c r="EX300" s="67" t="s">
        <v>2421</v>
      </c>
      <c r="EY300" s="67">
        <v>5686.75</v>
      </c>
      <c r="EZ300" s="67" t="s">
        <v>2422</v>
      </c>
      <c r="FA300" s="67">
        <v>20118.25</v>
      </c>
      <c r="FB300" s="67" t="s">
        <v>2423</v>
      </c>
      <c r="FC300" s="67" t="s">
        <v>2424</v>
      </c>
      <c r="FD300" s="67" t="s">
        <v>2425</v>
      </c>
      <c r="FE300" s="68" t="s">
        <v>2426</v>
      </c>
      <c r="FF300" s="68" t="s">
        <v>2427</v>
      </c>
    </row>
    <row r="301" spans="151:162" x14ac:dyDescent="0.2">
      <c r="EU301" s="67">
        <v>567.54</v>
      </c>
      <c r="EV301" s="67" t="s">
        <v>2428</v>
      </c>
      <c r="EW301" s="67">
        <v>490.02</v>
      </c>
      <c r="EX301" s="67" t="s">
        <v>2429</v>
      </c>
      <c r="EY301" s="67">
        <v>5691.75</v>
      </c>
      <c r="EZ301" s="67" t="s">
        <v>2430</v>
      </c>
      <c r="FA301" s="67">
        <v>20139.75</v>
      </c>
      <c r="FB301" s="67" t="s">
        <v>2431</v>
      </c>
      <c r="FC301" s="67" t="s">
        <v>2432</v>
      </c>
      <c r="FD301" s="67" t="s">
        <v>2433</v>
      </c>
      <c r="FE301" s="68" t="s">
        <v>2434</v>
      </c>
      <c r="FF301" s="68" t="s">
        <v>2435</v>
      </c>
    </row>
    <row r="302" spans="151:162" x14ac:dyDescent="0.2">
      <c r="EU302" s="67">
        <v>567.80999999999995</v>
      </c>
      <c r="EV302" s="67" t="s">
        <v>2436</v>
      </c>
      <c r="EW302" s="67">
        <v>490.33499999999998</v>
      </c>
      <c r="EX302" s="67" t="s">
        <v>2437</v>
      </c>
      <c r="EY302" s="67">
        <v>5694.75</v>
      </c>
      <c r="EZ302" s="67" t="s">
        <v>2438</v>
      </c>
      <c r="FA302" s="67">
        <v>20150.25</v>
      </c>
      <c r="FB302" s="67" t="s">
        <v>2439</v>
      </c>
      <c r="FC302" s="67" t="s">
        <v>2440</v>
      </c>
      <c r="FD302" s="67" t="s">
        <v>2441</v>
      </c>
      <c r="FE302" s="68" t="s">
        <v>2442</v>
      </c>
      <c r="FF302" s="68" t="s">
        <v>2443</v>
      </c>
    </row>
    <row r="303" spans="151:162" x14ac:dyDescent="0.2">
      <c r="EU303" s="67">
        <v>567.82000000000005</v>
      </c>
      <c r="EV303" s="67" t="s">
        <v>2444</v>
      </c>
      <c r="EW303" s="67">
        <v>490.33</v>
      </c>
      <c r="EX303" s="67" t="s">
        <v>2445</v>
      </c>
      <c r="EY303" s="67">
        <v>5694.75</v>
      </c>
      <c r="EZ303" s="67" t="s">
        <v>2446</v>
      </c>
      <c r="FA303" s="67">
        <v>20151.5</v>
      </c>
      <c r="FB303" s="67" t="s">
        <v>2447</v>
      </c>
      <c r="FC303" s="67" t="s">
        <v>2448</v>
      </c>
      <c r="FD303" s="67" t="s">
        <v>2449</v>
      </c>
      <c r="FE303" s="68" t="s">
        <v>2450</v>
      </c>
      <c r="FF303" s="68" t="s">
        <v>2451</v>
      </c>
    </row>
    <row r="304" spans="151:162" x14ac:dyDescent="0.2">
      <c r="EU304" s="67">
        <v>567.82000000000005</v>
      </c>
      <c r="EV304" s="67" t="s">
        <v>2452</v>
      </c>
      <c r="EW304" s="67">
        <v>490.30200000000002</v>
      </c>
      <c r="EX304" s="67" t="s">
        <v>2453</v>
      </c>
      <c r="EY304" s="67">
        <v>5695</v>
      </c>
      <c r="EZ304" s="67" t="s">
        <v>2454</v>
      </c>
      <c r="FA304" s="67">
        <v>20149.5</v>
      </c>
      <c r="FB304" s="67" t="s">
        <v>2455</v>
      </c>
      <c r="FC304" s="67" t="s">
        <v>2456</v>
      </c>
      <c r="FD304" s="67" t="s">
        <v>2457</v>
      </c>
      <c r="FE304" s="68" t="s">
        <v>2458</v>
      </c>
      <c r="FF304" s="68" t="s">
        <v>2459</v>
      </c>
    </row>
    <row r="305" spans="151:162" x14ac:dyDescent="0.2">
      <c r="EU305" s="67">
        <v>567.75</v>
      </c>
      <c r="EV305" s="67" t="s">
        <v>2460</v>
      </c>
      <c r="EW305" s="67">
        <v>490.23</v>
      </c>
      <c r="EX305" s="67" t="s">
        <v>2461</v>
      </c>
      <c r="EY305" s="67">
        <v>5694.5</v>
      </c>
      <c r="EZ305" s="67" t="s">
        <v>2462</v>
      </c>
      <c r="FA305" s="67">
        <v>20146.25</v>
      </c>
      <c r="FB305" s="67" t="s">
        <v>2463</v>
      </c>
      <c r="FC305" s="67" t="s">
        <v>2464</v>
      </c>
      <c r="FD305" s="67" t="s">
        <v>2465</v>
      </c>
      <c r="FE305" s="68" t="s">
        <v>2466</v>
      </c>
      <c r="FF305" s="68" t="s">
        <v>2467</v>
      </c>
    </row>
    <row r="306" spans="151:162" x14ac:dyDescent="0.2">
      <c r="EU306" s="67">
        <v>567.52</v>
      </c>
      <c r="EV306" s="67" t="s">
        <v>2468</v>
      </c>
      <c r="EW306" s="67">
        <v>490.02499999999998</v>
      </c>
      <c r="EX306" s="67" t="s">
        <v>2469</v>
      </c>
      <c r="EY306" s="67">
        <v>5692</v>
      </c>
      <c r="EZ306" s="67" t="s">
        <v>2470</v>
      </c>
      <c r="FA306" s="67">
        <v>20139.25</v>
      </c>
      <c r="FB306" s="67" t="s">
        <v>2471</v>
      </c>
      <c r="FC306" s="67" t="s">
        <v>2472</v>
      </c>
      <c r="FD306" s="67" t="s">
        <v>2473</v>
      </c>
      <c r="FE306" s="68" t="s">
        <v>2474</v>
      </c>
      <c r="FF306" s="68" t="s">
        <v>2475</v>
      </c>
    </row>
    <row r="307" spans="151:162" x14ac:dyDescent="0.2">
      <c r="EU307" s="67">
        <v>567.54</v>
      </c>
      <c r="EV307" s="67" t="s">
        <v>2476</v>
      </c>
      <c r="EW307" s="67">
        <v>490.02</v>
      </c>
      <c r="EX307" s="67" t="s">
        <v>2477</v>
      </c>
      <c r="EY307" s="67">
        <v>5692</v>
      </c>
      <c r="EZ307" s="67" t="s">
        <v>2478</v>
      </c>
      <c r="FA307" s="67">
        <v>20138.75</v>
      </c>
      <c r="FB307" s="67" t="s">
        <v>2479</v>
      </c>
      <c r="FC307" s="67" t="s">
        <v>2480</v>
      </c>
      <c r="FD307" s="67" t="s">
        <v>2481</v>
      </c>
      <c r="FE307" s="68" t="s">
        <v>2482</v>
      </c>
      <c r="FF307" s="68" t="s">
        <v>2483</v>
      </c>
    </row>
    <row r="308" spans="151:162" x14ac:dyDescent="0.2">
      <c r="EU308" s="67">
        <v>567.42999999999995</v>
      </c>
      <c r="EV308" s="67" t="s">
        <v>2484</v>
      </c>
      <c r="EW308" s="67">
        <v>489.89</v>
      </c>
      <c r="EX308" s="67" t="s">
        <v>2485</v>
      </c>
      <c r="EY308" s="67">
        <v>5691.25</v>
      </c>
      <c r="EZ308" s="67" t="s">
        <v>2486</v>
      </c>
      <c r="FA308" s="67">
        <v>20134</v>
      </c>
      <c r="FB308" s="67" t="s">
        <v>2487</v>
      </c>
      <c r="FC308" s="67" t="s">
        <v>2488</v>
      </c>
      <c r="FD308" s="67" t="s">
        <v>2489</v>
      </c>
      <c r="FE308" s="68" t="s">
        <v>2490</v>
      </c>
      <c r="FF308" s="68" t="s">
        <v>2491</v>
      </c>
    </row>
    <row r="309" spans="151:162" x14ac:dyDescent="0.2">
      <c r="EU309" s="67">
        <v>567.37</v>
      </c>
      <c r="EV309" s="67" t="s">
        <v>2492</v>
      </c>
      <c r="EW309" s="67">
        <v>489.96</v>
      </c>
      <c r="EX309" s="67" t="s">
        <v>2493</v>
      </c>
      <c r="EY309" s="67">
        <v>5690.25</v>
      </c>
      <c r="EZ309" s="67" t="s">
        <v>2494</v>
      </c>
      <c r="FA309" s="67">
        <v>20136.25</v>
      </c>
      <c r="FB309" s="67" t="s">
        <v>2495</v>
      </c>
      <c r="FC309" s="67" t="s">
        <v>2496</v>
      </c>
      <c r="FD309" s="67" t="s">
        <v>2497</v>
      </c>
      <c r="FE309" s="68" t="s">
        <v>2498</v>
      </c>
      <c r="FF309" s="68" t="s">
        <v>2499</v>
      </c>
    </row>
    <row r="310" spans="151:162" x14ac:dyDescent="0.2">
      <c r="EU310" s="67">
        <v>567.6</v>
      </c>
      <c r="EV310" s="67" t="s">
        <v>2500</v>
      </c>
      <c r="EW310" s="67">
        <v>490.2</v>
      </c>
      <c r="EX310" s="67" t="s">
        <v>2501</v>
      </c>
      <c r="EY310" s="67">
        <v>5692.75</v>
      </c>
      <c r="EZ310" s="67" t="s">
        <v>2502</v>
      </c>
      <c r="FA310" s="67">
        <v>20145.75</v>
      </c>
      <c r="FB310" s="67" t="s">
        <v>2503</v>
      </c>
      <c r="FC310" s="67" t="s">
        <v>2504</v>
      </c>
      <c r="FD310" s="67" t="s">
        <v>2505</v>
      </c>
      <c r="FE310" s="68" t="s">
        <v>2506</v>
      </c>
      <c r="FF310" s="68" t="s">
        <v>2507</v>
      </c>
    </row>
    <row r="311" spans="151:162" x14ac:dyDescent="0.2">
      <c r="EU311" s="67">
        <v>567.91999999999996</v>
      </c>
      <c r="EV311" s="67" t="s">
        <v>2508</v>
      </c>
      <c r="EW311" s="67">
        <v>490.53500000000003</v>
      </c>
      <c r="EX311" s="67" t="s">
        <v>2509</v>
      </c>
      <c r="EY311" s="67">
        <v>5696</v>
      </c>
      <c r="EZ311" s="67" t="s">
        <v>2510</v>
      </c>
      <c r="FA311" s="67">
        <v>20160</v>
      </c>
      <c r="FB311" s="67" t="s">
        <v>2511</v>
      </c>
      <c r="FC311" s="67" t="s">
        <v>2512</v>
      </c>
      <c r="FD311" s="67" t="s">
        <v>2513</v>
      </c>
      <c r="FE311" s="68" t="s">
        <v>2514</v>
      </c>
      <c r="FF311" s="68" t="s">
        <v>2515</v>
      </c>
    </row>
    <row r="312" spans="151:162" x14ac:dyDescent="0.2">
      <c r="EU312" s="67">
        <v>567.97</v>
      </c>
      <c r="EV312" s="67" t="s">
        <v>2516</v>
      </c>
      <c r="EW312" s="67">
        <v>490.56</v>
      </c>
      <c r="EX312" s="67" t="s">
        <v>2517</v>
      </c>
      <c r="EY312" s="67">
        <v>5696.5</v>
      </c>
      <c r="EZ312" s="67" t="s">
        <v>2518</v>
      </c>
      <c r="FA312" s="67">
        <v>20160.25</v>
      </c>
      <c r="FB312" s="67" t="s">
        <v>2519</v>
      </c>
      <c r="FC312" s="67" t="s">
        <v>2520</v>
      </c>
      <c r="FD312" s="67" t="s">
        <v>2521</v>
      </c>
      <c r="FE312" s="68" t="s">
        <v>2522</v>
      </c>
      <c r="FF312" s="68" t="s">
        <v>2523</v>
      </c>
    </row>
    <row r="313" spans="151:162" x14ac:dyDescent="0.2">
      <c r="EU313" s="67">
        <v>567.95000000000005</v>
      </c>
      <c r="EV313" s="67" t="s">
        <v>2524</v>
      </c>
      <c r="EW313" s="67">
        <v>490.58</v>
      </c>
      <c r="EX313" s="67" t="s">
        <v>2525</v>
      </c>
      <c r="EY313" s="67">
        <v>5696</v>
      </c>
      <c r="EZ313" s="67" t="s">
        <v>2526</v>
      </c>
      <c r="FA313" s="67">
        <v>20161</v>
      </c>
      <c r="FB313" s="67" t="s">
        <v>2527</v>
      </c>
      <c r="FC313" s="67" t="s">
        <v>2528</v>
      </c>
      <c r="FD313" s="67" t="s">
        <v>2529</v>
      </c>
      <c r="FE313" s="68" t="s">
        <v>2530</v>
      </c>
      <c r="FF313" s="68" t="s">
        <v>2531</v>
      </c>
    </row>
    <row r="314" spans="151:162" x14ac:dyDescent="0.2">
      <c r="EU314" s="67">
        <v>567.59</v>
      </c>
      <c r="EV314" s="67" t="s">
        <v>2532</v>
      </c>
      <c r="EW314" s="67">
        <v>490.22399999999999</v>
      </c>
      <c r="EX314" s="67" t="s">
        <v>2533</v>
      </c>
      <c r="EY314" s="67">
        <v>5692.75</v>
      </c>
      <c r="EZ314" s="67" t="s">
        <v>2534</v>
      </c>
      <c r="FA314" s="67">
        <v>20146.75</v>
      </c>
      <c r="FB314" s="67" t="s">
        <v>2535</v>
      </c>
      <c r="FC314" s="67" t="s">
        <v>2536</v>
      </c>
      <c r="FD314" s="67" t="s">
        <v>2537</v>
      </c>
      <c r="FE314" s="68" t="s">
        <v>2538</v>
      </c>
      <c r="FF314" s="68" t="s">
        <v>2539</v>
      </c>
    </row>
    <row r="315" spans="151:162" x14ac:dyDescent="0.2">
      <c r="EU315" s="67">
        <v>567.63</v>
      </c>
      <c r="EV315" s="67" t="s">
        <v>2540</v>
      </c>
      <c r="EW315" s="67">
        <v>490.23500000000001</v>
      </c>
      <c r="EX315" s="67" t="s">
        <v>2541</v>
      </c>
      <c r="EY315" s="67">
        <v>5693</v>
      </c>
      <c r="EZ315" s="67" t="s">
        <v>2542</v>
      </c>
      <c r="FA315" s="67">
        <v>20147.25</v>
      </c>
      <c r="FB315" s="67" t="s">
        <v>2543</v>
      </c>
      <c r="FC315" s="67" t="s">
        <v>2544</v>
      </c>
      <c r="FD315" s="67" t="s">
        <v>2545</v>
      </c>
      <c r="FE315" s="68" t="s">
        <v>2546</v>
      </c>
      <c r="FF315" s="68" t="s">
        <v>2547</v>
      </c>
    </row>
    <row r="316" spans="151:162" x14ac:dyDescent="0.2">
      <c r="EU316" s="67">
        <v>567.80999999999995</v>
      </c>
      <c r="EV316" s="67" t="s">
        <v>2548</v>
      </c>
      <c r="EW316" s="67">
        <v>490.45</v>
      </c>
      <c r="EX316" s="67" t="s">
        <v>2549</v>
      </c>
      <c r="EY316" s="67">
        <v>5694.75</v>
      </c>
      <c r="EZ316" s="67" t="s">
        <v>2550</v>
      </c>
      <c r="FA316" s="67">
        <v>20156.25</v>
      </c>
      <c r="FB316" s="67" t="s">
        <v>2551</v>
      </c>
      <c r="FC316" s="67" t="s">
        <v>2552</v>
      </c>
      <c r="FD316" s="67" t="s">
        <v>2553</v>
      </c>
      <c r="FE316" s="68" t="s">
        <v>2554</v>
      </c>
      <c r="FF316" s="68" t="s">
        <v>2555</v>
      </c>
    </row>
    <row r="317" spans="151:162" x14ac:dyDescent="0.2">
      <c r="EU317" s="67">
        <v>567.92999999999995</v>
      </c>
      <c r="EV317" s="67" t="s">
        <v>2556</v>
      </c>
      <c r="EW317" s="67">
        <v>490.59</v>
      </c>
      <c r="EX317" s="67" t="s">
        <v>2557</v>
      </c>
      <c r="EY317" s="67">
        <v>5696</v>
      </c>
      <c r="EZ317" s="67" t="s">
        <v>2558</v>
      </c>
      <c r="FA317" s="67">
        <v>20161.75</v>
      </c>
      <c r="FB317" s="67" t="s">
        <v>2559</v>
      </c>
      <c r="FC317" s="67" t="s">
        <v>2560</v>
      </c>
      <c r="FD317" s="67" t="s">
        <v>2561</v>
      </c>
      <c r="FE317" s="68" t="s">
        <v>2562</v>
      </c>
      <c r="FF317" s="68" t="s">
        <v>2563</v>
      </c>
    </row>
    <row r="318" spans="151:162" x14ac:dyDescent="0.2">
      <c r="EU318" s="67">
        <v>567.79</v>
      </c>
      <c r="EV318" s="67" t="s">
        <v>2564</v>
      </c>
      <c r="EW318" s="67">
        <v>490.47</v>
      </c>
      <c r="EX318" s="67" t="s">
        <v>2565</v>
      </c>
      <c r="EY318" s="67">
        <v>5694.75</v>
      </c>
      <c r="EZ318" s="67" t="s">
        <v>2566</v>
      </c>
      <c r="FA318" s="67">
        <v>20157.25</v>
      </c>
      <c r="FB318" s="67" t="s">
        <v>2567</v>
      </c>
      <c r="FC318" s="67" t="s">
        <v>2568</v>
      </c>
      <c r="FD318" s="67" t="s">
        <v>2569</v>
      </c>
      <c r="FE318" s="68" t="s">
        <v>2570</v>
      </c>
      <c r="FF318" s="68" t="s">
        <v>2571</v>
      </c>
    </row>
    <row r="319" spans="151:162" x14ac:dyDescent="0.2">
      <c r="EU319" s="67">
        <v>567.84</v>
      </c>
      <c r="EV319" s="67" t="s">
        <v>2572</v>
      </c>
      <c r="EW319" s="67">
        <v>490.52</v>
      </c>
      <c r="EX319" s="67" t="s">
        <v>2573</v>
      </c>
      <c r="EY319" s="67">
        <v>5695.5</v>
      </c>
      <c r="EZ319" s="67" t="s">
        <v>2574</v>
      </c>
      <c r="FA319" s="67">
        <v>20160</v>
      </c>
      <c r="FB319" s="67" t="s">
        <v>2575</v>
      </c>
      <c r="FC319" s="67" t="s">
        <v>2576</v>
      </c>
      <c r="FD319" s="67" t="s">
        <v>2577</v>
      </c>
      <c r="FE319" s="68" t="s">
        <v>2578</v>
      </c>
      <c r="FF319" s="68" t="s">
        <v>2579</v>
      </c>
    </row>
    <row r="320" spans="151:162" x14ac:dyDescent="0.2">
      <c r="EU320" s="67">
        <v>567.83500000000004</v>
      </c>
      <c r="EV320" s="67" t="s">
        <v>2580</v>
      </c>
      <c r="EW320" s="67">
        <v>490.58</v>
      </c>
      <c r="EX320" s="67" t="s">
        <v>2581</v>
      </c>
      <c r="EY320" s="67">
        <v>5695.25</v>
      </c>
      <c r="EZ320" s="67" t="s">
        <v>2582</v>
      </c>
      <c r="FA320" s="67">
        <v>20162.5</v>
      </c>
      <c r="FB320" s="67" t="s">
        <v>2583</v>
      </c>
      <c r="FC320" s="67" t="s">
        <v>2584</v>
      </c>
      <c r="FD320" s="67" t="s">
        <v>2585</v>
      </c>
      <c r="FE320" s="68" t="s">
        <v>2586</v>
      </c>
      <c r="FF320" s="68" t="s">
        <v>2587</v>
      </c>
    </row>
    <row r="321" spans="151:162" x14ac:dyDescent="0.2">
      <c r="EU321" s="67">
        <v>567.79</v>
      </c>
      <c r="EV321" s="67" t="s">
        <v>2588</v>
      </c>
      <c r="EW321" s="67">
        <v>490.49</v>
      </c>
      <c r="EX321" s="67" t="s">
        <v>2589</v>
      </c>
      <c r="EY321" s="67">
        <v>5694.75</v>
      </c>
      <c r="EZ321" s="67" t="s">
        <v>2590</v>
      </c>
      <c r="FA321" s="67">
        <v>20158.25</v>
      </c>
      <c r="FB321" s="67" t="s">
        <v>2591</v>
      </c>
      <c r="FC321" s="67" t="s">
        <v>2592</v>
      </c>
      <c r="FD321" s="67" t="s">
        <v>2593</v>
      </c>
      <c r="FE321" s="68" t="s">
        <v>2594</v>
      </c>
      <c r="FF321" s="68" t="s">
        <v>2595</v>
      </c>
    </row>
    <row r="322" spans="151:162" x14ac:dyDescent="0.2">
      <c r="EU322" s="67">
        <v>567.79</v>
      </c>
      <c r="EV322" s="67" t="s">
        <v>2596</v>
      </c>
      <c r="EW322" s="67">
        <v>490.46</v>
      </c>
      <c r="EX322" s="67" t="s">
        <v>2597</v>
      </c>
      <c r="EY322" s="67">
        <v>5694.5</v>
      </c>
      <c r="EZ322" s="67" t="s">
        <v>2598</v>
      </c>
      <c r="FA322" s="67">
        <v>20157.25</v>
      </c>
      <c r="FB322" s="67" t="s">
        <v>2599</v>
      </c>
      <c r="FC322" s="67" t="s">
        <v>2600</v>
      </c>
      <c r="FD322" s="67" t="s">
        <v>2601</v>
      </c>
      <c r="FE322" s="68" t="s">
        <v>2602</v>
      </c>
      <c r="FF322" s="68" t="s">
        <v>2603</v>
      </c>
    </row>
    <row r="323" spans="151:162" x14ac:dyDescent="0.2">
      <c r="EU323" s="67">
        <v>567.54999999999995</v>
      </c>
      <c r="EV323" s="67" t="s">
        <v>2604</v>
      </c>
      <c r="EW323" s="67">
        <v>490.24</v>
      </c>
      <c r="EX323" s="67" t="s">
        <v>2605</v>
      </c>
      <c r="EY323" s="67">
        <v>5692.25</v>
      </c>
      <c r="EZ323" s="67" t="s">
        <v>2606</v>
      </c>
      <c r="FA323" s="67">
        <v>20148.75</v>
      </c>
      <c r="FB323" s="67" t="s">
        <v>2607</v>
      </c>
      <c r="FC323" s="67" t="s">
        <v>2608</v>
      </c>
      <c r="FD323" s="67" t="s">
        <v>2609</v>
      </c>
      <c r="FE323" s="68" t="s">
        <v>2610</v>
      </c>
      <c r="FF323" s="68" t="s">
        <v>2611</v>
      </c>
    </row>
    <row r="324" spans="151:162" x14ac:dyDescent="0.2">
      <c r="EU324" s="67">
        <v>567.35</v>
      </c>
      <c r="EV324" s="67" t="s">
        <v>2612</v>
      </c>
      <c r="EW324" s="67">
        <v>490.11</v>
      </c>
      <c r="EX324" s="67" t="s">
        <v>2613</v>
      </c>
      <c r="EY324" s="67">
        <v>5690.25</v>
      </c>
      <c r="EZ324" s="67" t="s">
        <v>2614</v>
      </c>
      <c r="FA324" s="67">
        <v>20142.25</v>
      </c>
      <c r="FB324" s="67" t="s">
        <v>2615</v>
      </c>
      <c r="FC324" s="67" t="s">
        <v>2616</v>
      </c>
      <c r="FD324" s="67" t="s">
        <v>2617</v>
      </c>
      <c r="FE324" s="68" t="s">
        <v>2618</v>
      </c>
      <c r="FF324" s="68" t="s">
        <v>2619</v>
      </c>
    </row>
    <row r="325" spans="151:162" x14ac:dyDescent="0.2">
      <c r="EU325" s="67">
        <v>567.52</v>
      </c>
      <c r="EV325" s="67" t="s">
        <v>2620</v>
      </c>
      <c r="EW325" s="67">
        <v>490.21</v>
      </c>
      <c r="EX325" s="67" t="s">
        <v>2621</v>
      </c>
      <c r="EY325" s="67">
        <v>5692.25</v>
      </c>
      <c r="EZ325" s="67" t="s">
        <v>2622</v>
      </c>
      <c r="FA325" s="67">
        <v>20147.5</v>
      </c>
      <c r="FB325" s="67" t="s">
        <v>2623</v>
      </c>
      <c r="FC325" s="67" t="s">
        <v>2624</v>
      </c>
      <c r="FD325" s="67" t="s">
        <v>2625</v>
      </c>
      <c r="FE325" s="68" t="s">
        <v>2626</v>
      </c>
      <c r="FF325" s="68" t="s">
        <v>2627</v>
      </c>
    </row>
    <row r="326" spans="151:162" x14ac:dyDescent="0.2">
      <c r="EU326" s="67">
        <v>567.65</v>
      </c>
      <c r="EV326" s="67" t="s">
        <v>2628</v>
      </c>
      <c r="EW326" s="67">
        <v>490.34</v>
      </c>
      <c r="EX326" s="67" t="s">
        <v>2629</v>
      </c>
      <c r="EY326" s="67">
        <v>5693.25</v>
      </c>
      <c r="EZ326" s="67" t="s">
        <v>2630</v>
      </c>
      <c r="FA326" s="67">
        <v>20153.25</v>
      </c>
      <c r="FB326" s="67" t="s">
        <v>2631</v>
      </c>
      <c r="FC326" s="67" t="s">
        <v>2632</v>
      </c>
      <c r="FD326" s="67" t="s">
        <v>2633</v>
      </c>
      <c r="FE326" s="68" t="s">
        <v>2634</v>
      </c>
      <c r="FF326" s="68" t="s">
        <v>2635</v>
      </c>
    </row>
    <row r="327" spans="151:162" x14ac:dyDescent="0.2">
      <c r="EU327" s="67">
        <v>567.62900000000002</v>
      </c>
      <c r="EV327" s="67" t="s">
        <v>2636</v>
      </c>
      <c r="EW327" s="67">
        <v>490.28</v>
      </c>
      <c r="EX327" s="67" t="s">
        <v>2637</v>
      </c>
      <c r="EY327" s="67">
        <v>5693</v>
      </c>
      <c r="EZ327" s="67" t="s">
        <v>2638</v>
      </c>
      <c r="FA327" s="67">
        <v>20149.75</v>
      </c>
      <c r="FB327" s="67" t="s">
        <v>2639</v>
      </c>
      <c r="FC327" s="67" t="s">
        <v>2640</v>
      </c>
      <c r="FD327" s="67" t="s">
        <v>2641</v>
      </c>
      <c r="FE327" s="68" t="s">
        <v>2642</v>
      </c>
      <c r="FF327" s="68" t="s">
        <v>2643</v>
      </c>
    </row>
    <row r="328" spans="151:162" x14ac:dyDescent="0.2">
      <c r="EU328" s="67">
        <v>567.58000000000004</v>
      </c>
      <c r="EV328" s="67" t="s">
        <v>2644</v>
      </c>
      <c r="EW328" s="67">
        <v>490.19499999999999</v>
      </c>
      <c r="EX328" s="67" t="s">
        <v>2645</v>
      </c>
      <c r="EY328" s="67">
        <v>5692.5</v>
      </c>
      <c r="EZ328" s="67" t="s">
        <v>2646</v>
      </c>
      <c r="FA328" s="67">
        <v>20146.5</v>
      </c>
      <c r="FB328" s="67" t="s">
        <v>2647</v>
      </c>
      <c r="FC328" s="67" t="s">
        <v>2648</v>
      </c>
      <c r="FD328" s="67" t="s">
        <v>2649</v>
      </c>
      <c r="FE328" s="68" t="s">
        <v>2650</v>
      </c>
      <c r="FF328" s="68" t="s">
        <v>2651</v>
      </c>
    </row>
    <row r="329" spans="151:162" x14ac:dyDescent="0.2">
      <c r="EU329" s="67">
        <v>567.66999999999996</v>
      </c>
      <c r="EV329" s="67" t="s">
        <v>2652</v>
      </c>
      <c r="EW329" s="67">
        <v>490.18</v>
      </c>
      <c r="EX329" s="67" t="s">
        <v>2653</v>
      </c>
      <c r="EY329" s="67">
        <v>5693</v>
      </c>
      <c r="EZ329" s="67" t="s">
        <v>2654</v>
      </c>
      <c r="FA329" s="67">
        <v>20146.5</v>
      </c>
      <c r="FB329" s="67" t="s">
        <v>2655</v>
      </c>
      <c r="FC329" s="67" t="s">
        <v>2656</v>
      </c>
      <c r="FD329" s="67" t="s">
        <v>2657</v>
      </c>
      <c r="FE329" s="68" t="s">
        <v>2658</v>
      </c>
      <c r="FF329" s="68" t="s">
        <v>2659</v>
      </c>
    </row>
    <row r="330" spans="151:162" x14ac:dyDescent="0.2">
      <c r="EU330" s="67">
        <v>567.59</v>
      </c>
      <c r="EV330" s="67" t="s">
        <v>2660</v>
      </c>
      <c r="EW330" s="67">
        <v>490.17</v>
      </c>
      <c r="EX330" s="67" t="s">
        <v>2661</v>
      </c>
      <c r="EY330" s="67">
        <v>5692.75</v>
      </c>
      <c r="EZ330" s="67" t="s">
        <v>2662</v>
      </c>
      <c r="FA330" s="67">
        <v>20146</v>
      </c>
      <c r="FB330" s="67" t="s">
        <v>2663</v>
      </c>
      <c r="FC330" s="67" t="s">
        <v>2664</v>
      </c>
      <c r="FD330" s="67" t="s">
        <v>2665</v>
      </c>
      <c r="FE330" s="68" t="s">
        <v>2666</v>
      </c>
      <c r="FF330" s="68" t="s">
        <v>2667</v>
      </c>
    </row>
    <row r="331" spans="151:162" x14ac:dyDescent="0.2">
      <c r="EU331" s="67">
        <v>567.63800000000003</v>
      </c>
      <c r="EV331" s="67" t="s">
        <v>2668</v>
      </c>
      <c r="EW331" s="67">
        <v>490.2</v>
      </c>
      <c r="EX331" s="67" t="s">
        <v>2669</v>
      </c>
      <c r="EY331" s="67">
        <v>5693</v>
      </c>
      <c r="EZ331" s="67" t="s">
        <v>2670</v>
      </c>
      <c r="FA331" s="67">
        <v>20146</v>
      </c>
      <c r="FB331" s="67" t="s">
        <v>2671</v>
      </c>
      <c r="FC331" s="67" t="s">
        <v>2672</v>
      </c>
      <c r="FD331" s="67" t="s">
        <v>2673</v>
      </c>
      <c r="FE331" s="68" t="s">
        <v>2674</v>
      </c>
      <c r="FF331" s="68" t="s">
        <v>2675</v>
      </c>
    </row>
    <row r="332" spans="151:162" x14ac:dyDescent="0.2">
      <c r="EU332" s="67">
        <v>567.49</v>
      </c>
      <c r="EV332" s="67" t="s">
        <v>2676</v>
      </c>
      <c r="EW332" s="67">
        <v>490.04</v>
      </c>
      <c r="EX332" s="67" t="s">
        <v>2677</v>
      </c>
      <c r="EY332" s="67">
        <v>5691.75</v>
      </c>
      <c r="EZ332" s="67" t="s">
        <v>2678</v>
      </c>
      <c r="FA332" s="67">
        <v>20140.5</v>
      </c>
      <c r="FB332" s="67" t="s">
        <v>2679</v>
      </c>
      <c r="FC332" s="67" t="s">
        <v>2680</v>
      </c>
      <c r="FD332" s="67" t="s">
        <v>2681</v>
      </c>
      <c r="FE332" s="68" t="s">
        <v>2682</v>
      </c>
      <c r="FF332" s="68" t="s">
        <v>2683</v>
      </c>
    </row>
    <row r="333" spans="151:162" x14ac:dyDescent="0.2">
      <c r="EU333" s="67">
        <v>567.51</v>
      </c>
      <c r="EV333" s="67" t="s">
        <v>2684</v>
      </c>
      <c r="EW333" s="67">
        <v>490.13499999999999</v>
      </c>
      <c r="EX333" s="67" t="s">
        <v>2685</v>
      </c>
      <c r="EY333" s="67">
        <v>5692</v>
      </c>
      <c r="EZ333" s="67" t="s">
        <v>2686</v>
      </c>
      <c r="FA333" s="67">
        <v>20143.75</v>
      </c>
      <c r="FB333" s="67" t="s">
        <v>2687</v>
      </c>
      <c r="FC333" s="67" t="s">
        <v>2688</v>
      </c>
      <c r="FD333" s="67" t="s">
        <v>2689</v>
      </c>
      <c r="FE333" s="68" t="s">
        <v>2690</v>
      </c>
      <c r="FF333" s="68" t="s">
        <v>2691</v>
      </c>
    </row>
    <row r="334" spans="151:162" x14ac:dyDescent="0.2">
      <c r="EU334" s="67">
        <v>567.29999999999995</v>
      </c>
      <c r="EV334" s="67" t="s">
        <v>2692</v>
      </c>
      <c r="EW334" s="67">
        <v>489.86500000000001</v>
      </c>
      <c r="EX334" s="67" t="s">
        <v>2693</v>
      </c>
      <c r="EY334" s="67">
        <v>5689.5</v>
      </c>
      <c r="EZ334" s="67" t="s">
        <v>2694</v>
      </c>
      <c r="FA334" s="67">
        <v>20132.75</v>
      </c>
      <c r="FB334" s="67" t="s">
        <v>2695</v>
      </c>
      <c r="FC334" s="67" t="s">
        <v>2696</v>
      </c>
      <c r="FD334" s="67" t="s">
        <v>2697</v>
      </c>
      <c r="FE334" s="68" t="s">
        <v>2698</v>
      </c>
      <c r="FF334" s="68" t="s">
        <v>2699</v>
      </c>
    </row>
    <row r="335" spans="151:162" x14ac:dyDescent="0.2">
      <c r="EU335" s="67">
        <v>567.62</v>
      </c>
      <c r="EV335" s="67" t="s">
        <v>2700</v>
      </c>
      <c r="EW335" s="67">
        <v>490.19</v>
      </c>
      <c r="EX335" s="67" t="s">
        <v>2701</v>
      </c>
      <c r="EY335" s="67">
        <v>5693</v>
      </c>
      <c r="EZ335" s="67" t="s">
        <v>2702</v>
      </c>
      <c r="FA335" s="67">
        <v>20146</v>
      </c>
      <c r="FB335" s="67" t="s">
        <v>2703</v>
      </c>
      <c r="FC335" s="67" t="s">
        <v>2704</v>
      </c>
      <c r="FD335" s="67" t="s">
        <v>2705</v>
      </c>
      <c r="FE335" s="68" t="s">
        <v>2706</v>
      </c>
      <c r="FF335" s="68" t="s">
        <v>2707</v>
      </c>
    </row>
    <row r="336" spans="151:162" x14ac:dyDescent="0.2">
      <c r="EU336" s="67">
        <v>567.72</v>
      </c>
      <c r="EV336" s="67" t="s">
        <v>2708</v>
      </c>
      <c r="EW336" s="67">
        <v>490.3</v>
      </c>
      <c r="EX336" s="67" t="s">
        <v>2709</v>
      </c>
      <c r="EY336" s="67">
        <v>5694</v>
      </c>
      <c r="EZ336" s="67" t="s">
        <v>2710</v>
      </c>
      <c r="FA336" s="67">
        <v>20150.75</v>
      </c>
      <c r="FB336" s="67" t="s">
        <v>2711</v>
      </c>
      <c r="FC336" s="67" t="s">
        <v>2712</v>
      </c>
      <c r="FD336" s="67" t="s">
        <v>2713</v>
      </c>
      <c r="FE336" s="68" t="s">
        <v>2714</v>
      </c>
      <c r="FF336" s="68" t="s">
        <v>2715</v>
      </c>
    </row>
    <row r="337" spans="151:162" x14ac:dyDescent="0.2">
      <c r="EU337" s="67">
        <v>567.42999999999995</v>
      </c>
      <c r="EV337" s="67" t="s">
        <v>2716</v>
      </c>
      <c r="EW337" s="67">
        <v>490.04</v>
      </c>
      <c r="EX337" s="67" t="s">
        <v>2717</v>
      </c>
      <c r="EY337" s="67">
        <v>5691.25</v>
      </c>
      <c r="EZ337" s="67" t="s">
        <v>2718</v>
      </c>
      <c r="FA337" s="67">
        <v>20139.25</v>
      </c>
      <c r="FB337" s="67" t="s">
        <v>2719</v>
      </c>
      <c r="FC337" s="67" t="s">
        <v>2720</v>
      </c>
      <c r="FD337" s="67" t="s">
        <v>2721</v>
      </c>
      <c r="FE337" s="68" t="s">
        <v>2722</v>
      </c>
      <c r="FF337" s="68" t="s">
        <v>2723</v>
      </c>
    </row>
    <row r="338" spans="151:162" x14ac:dyDescent="0.2">
      <c r="EU338" s="67">
        <v>567.25</v>
      </c>
      <c r="EV338" s="67" t="s">
        <v>2724</v>
      </c>
      <c r="EW338" s="67">
        <v>489.85</v>
      </c>
      <c r="EX338" s="67" t="s">
        <v>2725</v>
      </c>
      <c r="EY338" s="67">
        <v>5689.25</v>
      </c>
      <c r="EZ338" s="67" t="s">
        <v>2726</v>
      </c>
      <c r="FA338" s="67">
        <v>20131.75</v>
      </c>
      <c r="FB338" s="67" t="s">
        <v>2727</v>
      </c>
      <c r="FC338" s="67" t="s">
        <v>2728</v>
      </c>
      <c r="FD338" s="67" t="s">
        <v>2729</v>
      </c>
      <c r="FE338" s="68" t="s">
        <v>2730</v>
      </c>
      <c r="FF338" s="68" t="s">
        <v>2731</v>
      </c>
    </row>
    <row r="339" spans="151:162" x14ac:dyDescent="0.2">
      <c r="EU339" s="67">
        <v>567.13</v>
      </c>
      <c r="EV339" s="67" t="s">
        <v>2732</v>
      </c>
      <c r="EW339" s="67">
        <v>489.73</v>
      </c>
      <c r="EX339" s="67" t="s">
        <v>2733</v>
      </c>
      <c r="EY339" s="67">
        <v>5688</v>
      </c>
      <c r="EZ339" s="67" t="s">
        <v>2734</v>
      </c>
      <c r="FA339" s="67">
        <v>20127.5</v>
      </c>
      <c r="FB339" s="67" t="s">
        <v>2735</v>
      </c>
      <c r="FC339" s="67" t="s">
        <v>2736</v>
      </c>
      <c r="FD339" s="67" t="s">
        <v>2737</v>
      </c>
      <c r="FE339" s="68" t="s">
        <v>2738</v>
      </c>
      <c r="FF339" s="68" t="s">
        <v>2739</v>
      </c>
    </row>
    <row r="340" spans="151:162" x14ac:dyDescent="0.2">
      <c r="EU340" s="67">
        <v>567.11</v>
      </c>
      <c r="EV340" s="67" t="s">
        <v>2740</v>
      </c>
      <c r="EW340" s="67">
        <v>489.66</v>
      </c>
      <c r="EX340" s="67" t="s">
        <v>2741</v>
      </c>
      <c r="EY340" s="67">
        <v>5687.75</v>
      </c>
      <c r="EZ340" s="67" t="s">
        <v>2742</v>
      </c>
      <c r="FA340" s="67">
        <v>20123.75</v>
      </c>
      <c r="FB340" s="67" t="s">
        <v>2743</v>
      </c>
      <c r="FC340" s="67" t="s">
        <v>2744</v>
      </c>
      <c r="FD340" s="67" t="s">
        <v>2745</v>
      </c>
      <c r="FE340" s="68" t="s">
        <v>2746</v>
      </c>
      <c r="FF340" s="68" t="s">
        <v>2747</v>
      </c>
    </row>
    <row r="341" spans="151:162" x14ac:dyDescent="0.2">
      <c r="EU341" s="67">
        <v>566.97</v>
      </c>
      <c r="EV341" s="67" t="s">
        <v>2748</v>
      </c>
      <c r="EW341" s="67">
        <v>489.53</v>
      </c>
      <c r="EX341" s="67" t="s">
        <v>2749</v>
      </c>
      <c r="EY341" s="67">
        <v>5686.5</v>
      </c>
      <c r="EZ341" s="67" t="s">
        <v>2750</v>
      </c>
      <c r="FA341" s="67">
        <v>20118.5</v>
      </c>
      <c r="FB341" s="67" t="s">
        <v>2751</v>
      </c>
      <c r="FC341" s="67" t="s">
        <v>2752</v>
      </c>
      <c r="FD341" s="67" t="s">
        <v>2753</v>
      </c>
      <c r="FE341" s="68" t="s">
        <v>2754</v>
      </c>
      <c r="FF341" s="68" t="s">
        <v>2755</v>
      </c>
    </row>
    <row r="342" spans="151:162" x14ac:dyDescent="0.2">
      <c r="EU342" s="67">
        <v>566.9</v>
      </c>
      <c r="EV342" s="67" t="s">
        <v>2756</v>
      </c>
      <c r="EW342" s="67">
        <v>489.47</v>
      </c>
      <c r="EX342" s="67" t="s">
        <v>2757</v>
      </c>
      <c r="EY342" s="67">
        <v>5686</v>
      </c>
      <c r="EZ342" s="67" t="s">
        <v>2758</v>
      </c>
      <c r="FA342" s="67">
        <v>20115.75</v>
      </c>
      <c r="FB342" s="67" t="s">
        <v>2759</v>
      </c>
      <c r="FC342" s="67" t="s">
        <v>2760</v>
      </c>
      <c r="FD342" s="67" t="s">
        <v>2761</v>
      </c>
      <c r="FE342" s="68" t="s">
        <v>2762</v>
      </c>
      <c r="FF342" s="68" t="s">
        <v>2763</v>
      </c>
    </row>
    <row r="343" spans="151:162" x14ac:dyDescent="0.2">
      <c r="EU343" s="67">
        <v>566.94799999999998</v>
      </c>
      <c r="EV343" s="67" t="s">
        <v>2764</v>
      </c>
      <c r="EW343" s="67">
        <v>489.52</v>
      </c>
      <c r="EX343" s="67" t="s">
        <v>2765</v>
      </c>
      <c r="EY343" s="67">
        <v>5686.25</v>
      </c>
      <c r="EZ343" s="67" t="s">
        <v>2766</v>
      </c>
      <c r="FA343" s="67">
        <v>20119</v>
      </c>
      <c r="FB343" s="67" t="s">
        <v>2767</v>
      </c>
      <c r="FC343" s="67" t="s">
        <v>2768</v>
      </c>
      <c r="FD343" s="67" t="s">
        <v>2769</v>
      </c>
      <c r="FE343" s="68" t="s">
        <v>2770</v>
      </c>
      <c r="FF343" s="68" t="s">
        <v>2771</v>
      </c>
    </row>
    <row r="344" spans="151:162" x14ac:dyDescent="0.2">
      <c r="EU344" s="67">
        <v>566.78499999999997</v>
      </c>
      <c r="EV344" s="67" t="s">
        <v>2772</v>
      </c>
      <c r="EW344" s="67">
        <v>489.37</v>
      </c>
      <c r="EX344" s="67" t="s">
        <v>2773</v>
      </c>
      <c r="EY344" s="67">
        <v>5684.75</v>
      </c>
      <c r="EZ344" s="67" t="s">
        <v>2774</v>
      </c>
      <c r="FA344" s="67">
        <v>20115.5</v>
      </c>
      <c r="FB344" s="67" t="s">
        <v>2775</v>
      </c>
      <c r="FC344" s="67" t="s">
        <v>2776</v>
      </c>
      <c r="FD344" s="67" t="s">
        <v>2777</v>
      </c>
      <c r="FE344" s="68" t="s">
        <v>2778</v>
      </c>
      <c r="FF344" s="68" t="s">
        <v>2779</v>
      </c>
    </row>
    <row r="345" spans="151:162" x14ac:dyDescent="0.2">
      <c r="EU345" s="67">
        <v>566.78</v>
      </c>
      <c r="EV345" s="67" t="s">
        <v>2780</v>
      </c>
      <c r="EW345" s="67">
        <v>489.37799999999999</v>
      </c>
      <c r="EX345" s="67" t="s">
        <v>2781</v>
      </c>
      <c r="EY345" s="67">
        <v>5684.5</v>
      </c>
      <c r="EZ345" s="67" t="s">
        <v>2782</v>
      </c>
      <c r="FA345" s="67">
        <v>20112.25</v>
      </c>
      <c r="FB345" s="67" t="s">
        <v>2783</v>
      </c>
      <c r="FC345" s="67" t="s">
        <v>2784</v>
      </c>
      <c r="FD345" s="67" t="s">
        <v>2785</v>
      </c>
      <c r="FE345" s="68" t="s">
        <v>2786</v>
      </c>
      <c r="FF345" s="68" t="s">
        <v>2787</v>
      </c>
    </row>
    <row r="346" spans="151:162" x14ac:dyDescent="0.2">
      <c r="EU346" s="67">
        <v>566.79</v>
      </c>
      <c r="EV346" s="67" t="s">
        <v>2788</v>
      </c>
      <c r="EW346" s="67">
        <v>489.36500000000001</v>
      </c>
      <c r="EX346" s="67" t="s">
        <v>2789</v>
      </c>
      <c r="EY346" s="67">
        <v>5684.75</v>
      </c>
      <c r="EZ346" s="67" t="s">
        <v>2790</v>
      </c>
      <c r="FA346" s="67">
        <v>20112.25</v>
      </c>
      <c r="FB346" s="67" t="s">
        <v>2791</v>
      </c>
      <c r="FC346" s="67" t="s">
        <v>2792</v>
      </c>
      <c r="FD346" s="67" t="s">
        <v>2793</v>
      </c>
      <c r="FE346" s="68" t="s">
        <v>2794</v>
      </c>
      <c r="FF346" s="68" t="s">
        <v>2795</v>
      </c>
    </row>
    <row r="347" spans="151:162" x14ac:dyDescent="0.2">
      <c r="EU347" s="67">
        <v>566.91</v>
      </c>
      <c r="EV347" s="67" t="s">
        <v>2796</v>
      </c>
      <c r="EW347" s="67">
        <v>489.53</v>
      </c>
      <c r="EX347" s="67" t="s">
        <v>2797</v>
      </c>
      <c r="EY347" s="67">
        <v>5685.75</v>
      </c>
      <c r="EZ347" s="67" t="s">
        <v>2798</v>
      </c>
      <c r="FA347" s="67">
        <v>20118.25</v>
      </c>
      <c r="FB347" s="67" t="s">
        <v>2799</v>
      </c>
      <c r="FC347" s="67" t="s">
        <v>2800</v>
      </c>
      <c r="FD347" s="67" t="s">
        <v>2801</v>
      </c>
      <c r="FE347" s="68" t="s">
        <v>2802</v>
      </c>
      <c r="FF347" s="68" t="s">
        <v>2803</v>
      </c>
    </row>
    <row r="348" spans="151:162" x14ac:dyDescent="0.2">
      <c r="EU348" s="67">
        <v>566.58000000000004</v>
      </c>
      <c r="EV348" s="67" t="s">
        <v>2804</v>
      </c>
      <c r="EW348" s="67">
        <v>489.20499999999998</v>
      </c>
      <c r="EX348" s="67" t="s">
        <v>2805</v>
      </c>
      <c r="EY348" s="67">
        <v>5682.5</v>
      </c>
      <c r="EZ348" s="67" t="s">
        <v>2806</v>
      </c>
      <c r="FA348" s="67">
        <v>20105</v>
      </c>
      <c r="FB348" s="67" t="s">
        <v>2807</v>
      </c>
      <c r="FC348" s="67" t="s">
        <v>2808</v>
      </c>
      <c r="FD348" s="67" t="s">
        <v>2809</v>
      </c>
      <c r="FE348" s="68" t="s">
        <v>2810</v>
      </c>
      <c r="FF348" s="68" t="s">
        <v>2811</v>
      </c>
    </row>
    <row r="349" spans="151:162" x14ac:dyDescent="0.2">
      <c r="EU349" s="67">
        <v>566.55999999999995</v>
      </c>
      <c r="EV349" s="67" t="s">
        <v>2812</v>
      </c>
      <c r="EW349" s="67">
        <v>489.14</v>
      </c>
      <c r="EX349" s="67" t="s">
        <v>2813</v>
      </c>
      <c r="EY349" s="67">
        <v>5682.25</v>
      </c>
      <c r="EZ349" s="67" t="s">
        <v>2814</v>
      </c>
      <c r="FA349" s="67">
        <v>20103</v>
      </c>
      <c r="FB349" s="67" t="s">
        <v>2815</v>
      </c>
      <c r="FC349" s="67" t="s">
        <v>2816</v>
      </c>
      <c r="FD349" s="67" t="s">
        <v>2817</v>
      </c>
      <c r="FE349" s="68" t="s">
        <v>2818</v>
      </c>
      <c r="FF349" s="68" t="s">
        <v>2819</v>
      </c>
    </row>
    <row r="350" spans="151:162" x14ac:dyDescent="0.2">
      <c r="EU350" s="67">
        <v>566.6</v>
      </c>
      <c r="EV350" s="67" t="s">
        <v>2820</v>
      </c>
      <c r="EW350" s="67">
        <v>489.11</v>
      </c>
      <c r="EX350" s="67" t="s">
        <v>2821</v>
      </c>
      <c r="EY350" s="67">
        <v>5682.75</v>
      </c>
      <c r="EZ350" s="67" t="s">
        <v>2822</v>
      </c>
      <c r="FA350" s="67">
        <v>20101.75</v>
      </c>
      <c r="FB350" s="67" t="s">
        <v>2823</v>
      </c>
      <c r="FC350" s="67" t="s">
        <v>2824</v>
      </c>
      <c r="FD350" s="67" t="s">
        <v>2825</v>
      </c>
      <c r="FE350" s="68" t="s">
        <v>2826</v>
      </c>
      <c r="FF350" s="68" t="s">
        <v>2827</v>
      </c>
    </row>
    <row r="351" spans="151:162" x14ac:dyDescent="0.2">
      <c r="EU351" s="67">
        <v>566.73</v>
      </c>
      <c r="EV351" s="67" t="s">
        <v>2828</v>
      </c>
      <c r="EW351" s="67">
        <v>489.27499999999998</v>
      </c>
      <c r="EX351" s="67" t="s">
        <v>2829</v>
      </c>
      <c r="EY351" s="67">
        <v>5684</v>
      </c>
      <c r="EZ351" s="67" t="s">
        <v>2830</v>
      </c>
      <c r="FA351" s="67">
        <v>20108.75</v>
      </c>
      <c r="FB351" s="67" t="s">
        <v>2831</v>
      </c>
      <c r="FC351" s="67" t="s">
        <v>2832</v>
      </c>
      <c r="FD351" s="67" t="s">
        <v>2833</v>
      </c>
      <c r="FE351" s="68" t="s">
        <v>2834</v>
      </c>
      <c r="FF351" s="68" t="s">
        <v>2835</v>
      </c>
    </row>
    <row r="352" spans="151:162" x14ac:dyDescent="0.2">
      <c r="EU352" s="67">
        <v>566.87</v>
      </c>
      <c r="EV352" s="67" t="s">
        <v>2836</v>
      </c>
      <c r="EW352" s="67">
        <v>489.42500000000001</v>
      </c>
      <c r="EX352" s="67" t="s">
        <v>2837</v>
      </c>
      <c r="EY352" s="67">
        <v>5685.25</v>
      </c>
      <c r="EZ352" s="67" t="s">
        <v>2838</v>
      </c>
      <c r="FA352" s="67">
        <v>20114.25</v>
      </c>
      <c r="FB352" s="67" t="s">
        <v>2839</v>
      </c>
      <c r="FC352" s="67" t="s">
        <v>2840</v>
      </c>
      <c r="FD352" s="67" t="s">
        <v>2841</v>
      </c>
      <c r="FE352" s="68" t="s">
        <v>2842</v>
      </c>
      <c r="FF352" s="68" t="s">
        <v>2843</v>
      </c>
    </row>
    <row r="353" spans="151:162" x14ac:dyDescent="0.2">
      <c r="EU353" s="67">
        <v>567.27</v>
      </c>
      <c r="EV353" s="67" t="s">
        <v>2844</v>
      </c>
      <c r="EW353" s="67">
        <v>489.85</v>
      </c>
      <c r="EX353" s="67" t="s">
        <v>2845</v>
      </c>
      <c r="EY353" s="67">
        <v>5689.25</v>
      </c>
      <c r="EZ353" s="67" t="s">
        <v>2846</v>
      </c>
      <c r="FA353" s="67">
        <v>20131.75</v>
      </c>
      <c r="FB353" s="67" t="s">
        <v>2847</v>
      </c>
      <c r="FC353" s="67" t="s">
        <v>2848</v>
      </c>
      <c r="FD353" s="67" t="s">
        <v>2849</v>
      </c>
      <c r="FE353" s="68" t="s">
        <v>2850</v>
      </c>
      <c r="FF353" s="68" t="s">
        <v>2851</v>
      </c>
    </row>
    <row r="354" spans="151:162" x14ac:dyDescent="0.2">
      <c r="EU354" s="67">
        <v>567.27</v>
      </c>
      <c r="EV354" s="67" t="s">
        <v>2852</v>
      </c>
      <c r="EW354" s="67">
        <v>489.85</v>
      </c>
      <c r="EX354" s="67" t="s">
        <v>2853</v>
      </c>
      <c r="EY354" s="67">
        <v>5689.25</v>
      </c>
      <c r="EZ354" s="67" t="s">
        <v>2854</v>
      </c>
      <c r="FA354" s="67">
        <v>20131.75</v>
      </c>
      <c r="FB354" s="67" t="s">
        <v>2855</v>
      </c>
      <c r="FC354" s="67" t="s">
        <v>2856</v>
      </c>
      <c r="FD354" s="67" t="s">
        <v>2857</v>
      </c>
      <c r="FE354" s="68" t="s">
        <v>2858</v>
      </c>
      <c r="FF354" s="68" t="s">
        <v>2859</v>
      </c>
    </row>
    <row r="355" spans="151:162" x14ac:dyDescent="0.2">
      <c r="EU355" s="67">
        <v>566.84</v>
      </c>
      <c r="EV355" s="67" t="s">
        <v>2860</v>
      </c>
      <c r="EW355" s="67">
        <v>489.44</v>
      </c>
      <c r="EX355" s="67" t="s">
        <v>2861</v>
      </c>
      <c r="EY355" s="67">
        <v>5685</v>
      </c>
      <c r="EZ355" s="67" t="s">
        <v>2862</v>
      </c>
      <c r="FA355" s="67">
        <v>20113.75</v>
      </c>
      <c r="FB355" s="67" t="s">
        <v>2863</v>
      </c>
      <c r="FC355" s="67" t="s">
        <v>2864</v>
      </c>
      <c r="FD355" s="67" t="s">
        <v>2865</v>
      </c>
      <c r="FE355" s="68" t="s">
        <v>2866</v>
      </c>
      <c r="FF355" s="68" t="s">
        <v>2867</v>
      </c>
    </row>
    <row r="356" spans="151:162" x14ac:dyDescent="0.2">
      <c r="EU356" s="67">
        <v>566.61</v>
      </c>
      <c r="EV356" s="67" t="s">
        <v>2868</v>
      </c>
      <c r="EW356" s="67">
        <v>489.2</v>
      </c>
      <c r="EX356" s="67" t="s">
        <v>2869</v>
      </c>
      <c r="EY356" s="67">
        <v>5682.75</v>
      </c>
      <c r="EZ356" s="67" t="s">
        <v>2870</v>
      </c>
      <c r="FA356" s="67">
        <v>20104.5</v>
      </c>
      <c r="FB356" s="67" t="s">
        <v>2871</v>
      </c>
      <c r="FC356" s="67" t="s">
        <v>2872</v>
      </c>
      <c r="FD356" s="67" t="s">
        <v>2873</v>
      </c>
      <c r="FE356" s="68" t="s">
        <v>2874</v>
      </c>
      <c r="FF356" s="68" t="s">
        <v>2875</v>
      </c>
    </row>
    <row r="357" spans="151:162" x14ac:dyDescent="0.2">
      <c r="EU357" s="67">
        <v>566.67999999999995</v>
      </c>
      <c r="EV357" s="67" t="s">
        <v>2876</v>
      </c>
      <c r="EW357" s="67">
        <v>489.3</v>
      </c>
      <c r="EX357" s="67" t="s">
        <v>2877</v>
      </c>
      <c r="EY357" s="67">
        <v>5683.5</v>
      </c>
      <c r="EZ357" s="67" t="s">
        <v>2878</v>
      </c>
      <c r="FA357" s="67">
        <v>20109</v>
      </c>
      <c r="FB357" s="67" t="s">
        <v>2879</v>
      </c>
      <c r="FC357" s="67" t="s">
        <v>2880</v>
      </c>
      <c r="FD357" s="67" t="s">
        <v>2881</v>
      </c>
      <c r="FE357" s="68" t="s">
        <v>2882</v>
      </c>
      <c r="FF357" s="68" t="s">
        <v>2883</v>
      </c>
    </row>
    <row r="358" spans="151:162" x14ac:dyDescent="0.2">
      <c r="EU358" s="67">
        <v>566.41</v>
      </c>
      <c r="EV358" s="67" t="s">
        <v>2884</v>
      </c>
      <c r="EW358" s="67">
        <v>489.04</v>
      </c>
      <c r="EX358" s="67" t="s">
        <v>2885</v>
      </c>
      <c r="EY358" s="67">
        <v>5680.75</v>
      </c>
      <c r="EZ358" s="67" t="s">
        <v>2886</v>
      </c>
      <c r="FA358" s="67">
        <v>20099</v>
      </c>
      <c r="FB358" s="67" t="s">
        <v>2887</v>
      </c>
      <c r="FC358" s="67" t="s">
        <v>2888</v>
      </c>
      <c r="FD358" s="67" t="s">
        <v>2889</v>
      </c>
      <c r="FE358" s="68" t="s">
        <v>2890</v>
      </c>
      <c r="FF358" s="68" t="s">
        <v>2891</v>
      </c>
    </row>
    <row r="359" spans="151:162" x14ac:dyDescent="0.2">
      <c r="EU359" s="67">
        <v>566.78</v>
      </c>
      <c r="EV359" s="67" t="s">
        <v>2892</v>
      </c>
      <c r="EW359" s="67">
        <v>489.36</v>
      </c>
      <c r="EX359" s="67" t="s">
        <v>2893</v>
      </c>
      <c r="EY359" s="67">
        <v>5684.5</v>
      </c>
      <c r="EZ359" s="67" t="s">
        <v>2894</v>
      </c>
      <c r="FA359" s="67">
        <v>20112.25</v>
      </c>
      <c r="FB359" s="67" t="s">
        <v>2895</v>
      </c>
      <c r="FC359" s="67" t="s">
        <v>2896</v>
      </c>
      <c r="FD359" s="67" t="s">
        <v>2897</v>
      </c>
      <c r="FE359" s="68" t="s">
        <v>2898</v>
      </c>
      <c r="FF359" s="68" t="s">
        <v>2899</v>
      </c>
    </row>
    <row r="360" spans="151:162" x14ac:dyDescent="0.2">
      <c r="EU360" s="67">
        <v>566.76</v>
      </c>
      <c r="EV360" s="67" t="s">
        <v>2900</v>
      </c>
      <c r="EW360" s="67">
        <v>489.28</v>
      </c>
      <c r="EX360" s="67" t="s">
        <v>2901</v>
      </c>
      <c r="EY360" s="67">
        <v>5683.75</v>
      </c>
      <c r="EZ360" s="67" t="s">
        <v>2902</v>
      </c>
      <c r="FA360" s="67">
        <v>20108</v>
      </c>
      <c r="FB360" s="67" t="s">
        <v>2903</v>
      </c>
      <c r="FC360" s="67" t="s">
        <v>2904</v>
      </c>
      <c r="FD360" s="67" t="s">
        <v>2905</v>
      </c>
      <c r="FE360" s="68" t="s">
        <v>2906</v>
      </c>
      <c r="FF360" s="68" t="s">
        <v>2907</v>
      </c>
    </row>
    <row r="361" spans="151:162" x14ac:dyDescent="0.2">
      <c r="EU361" s="67">
        <v>566.88</v>
      </c>
      <c r="EV361" s="67" t="s">
        <v>2908</v>
      </c>
      <c r="EW361" s="67">
        <v>489.44</v>
      </c>
      <c r="EX361" s="67" t="s">
        <v>2909</v>
      </c>
      <c r="EY361" s="67">
        <v>5685.25</v>
      </c>
      <c r="EZ361" s="67" t="s">
        <v>2910</v>
      </c>
      <c r="FA361" s="67">
        <v>20114.75</v>
      </c>
      <c r="FB361" s="67" t="s">
        <v>2911</v>
      </c>
      <c r="FC361" s="67" t="s">
        <v>2912</v>
      </c>
      <c r="FD361" s="67" t="s">
        <v>2913</v>
      </c>
      <c r="FE361" s="68" t="s">
        <v>2914</v>
      </c>
      <c r="FF361" s="68" t="s">
        <v>2915</v>
      </c>
    </row>
    <row r="362" spans="151:162" x14ac:dyDescent="0.2">
      <c r="EU362" s="67">
        <v>566.88</v>
      </c>
      <c r="EV362" s="67" t="s">
        <v>2916</v>
      </c>
      <c r="EW362" s="67">
        <v>489.42</v>
      </c>
      <c r="EX362" s="67" t="s">
        <v>2917</v>
      </c>
      <c r="EY362" s="67">
        <v>5685.5</v>
      </c>
      <c r="EZ362" s="67" t="s">
        <v>2918</v>
      </c>
      <c r="FA362" s="67">
        <v>20114.25</v>
      </c>
      <c r="FB362" s="67" t="s">
        <v>2919</v>
      </c>
      <c r="FC362" s="67" t="s">
        <v>2920</v>
      </c>
      <c r="FD362" s="67" t="s">
        <v>2921</v>
      </c>
      <c r="FE362" s="68" t="s">
        <v>2922</v>
      </c>
      <c r="FF362" s="68" t="s">
        <v>2923</v>
      </c>
    </row>
    <row r="363" spans="151:162" x14ac:dyDescent="0.2">
      <c r="EU363" s="67">
        <v>566.59</v>
      </c>
      <c r="EV363" s="67" t="s">
        <v>2924</v>
      </c>
      <c r="EW363" s="67">
        <v>489.14</v>
      </c>
      <c r="EX363" s="67" t="s">
        <v>2925</v>
      </c>
      <c r="EY363" s="67">
        <v>5682.25</v>
      </c>
      <c r="EZ363" s="67" t="s">
        <v>2926</v>
      </c>
      <c r="FA363" s="67">
        <v>20101.5</v>
      </c>
      <c r="FB363" s="67" t="s">
        <v>2927</v>
      </c>
      <c r="FC363" s="67" t="s">
        <v>2928</v>
      </c>
      <c r="FD363" s="67" t="s">
        <v>2929</v>
      </c>
      <c r="FE363" s="68" t="s">
        <v>2930</v>
      </c>
      <c r="FF363" s="68" t="s">
        <v>2931</v>
      </c>
    </row>
    <row r="364" spans="151:162" x14ac:dyDescent="0.2">
      <c r="EU364" s="67">
        <v>566.70500000000004</v>
      </c>
      <c r="EV364" s="67" t="s">
        <v>2932</v>
      </c>
      <c r="EW364" s="67">
        <v>489.26</v>
      </c>
      <c r="EX364" s="67" t="s">
        <v>2933</v>
      </c>
      <c r="EY364" s="67">
        <v>5683.5</v>
      </c>
      <c r="EZ364" s="67" t="s">
        <v>2934</v>
      </c>
      <c r="FA364" s="67">
        <v>20107</v>
      </c>
      <c r="FB364" s="67" t="s">
        <v>2935</v>
      </c>
      <c r="FC364" s="67" t="s">
        <v>2936</v>
      </c>
      <c r="FD364" s="67" t="s">
        <v>2937</v>
      </c>
      <c r="FE364" s="68" t="s">
        <v>2938</v>
      </c>
      <c r="FF364" s="68" t="s">
        <v>2939</v>
      </c>
    </row>
    <row r="365" spans="151:162" x14ac:dyDescent="0.2">
      <c r="EU365" s="67">
        <v>566.601</v>
      </c>
      <c r="EV365" s="67" t="s">
        <v>2940</v>
      </c>
      <c r="EW365" s="67">
        <v>489.11</v>
      </c>
      <c r="EX365" s="67" t="s">
        <v>2941</v>
      </c>
      <c r="EY365" s="67">
        <v>5682.75</v>
      </c>
      <c r="EZ365" s="67" t="s">
        <v>2942</v>
      </c>
      <c r="FA365" s="67">
        <v>20101.75</v>
      </c>
      <c r="FB365" s="67" t="s">
        <v>2943</v>
      </c>
      <c r="FC365" s="67" t="s">
        <v>2944</v>
      </c>
      <c r="FD365" s="67" t="s">
        <v>2945</v>
      </c>
      <c r="FE365" s="68" t="s">
        <v>2946</v>
      </c>
      <c r="FF365" s="68" t="s">
        <v>2947</v>
      </c>
    </row>
    <row r="366" spans="151:162" x14ac:dyDescent="0.2">
      <c r="EU366" s="67">
        <v>566.65</v>
      </c>
      <c r="EV366" s="67" t="s">
        <v>2948</v>
      </c>
      <c r="EW366" s="67">
        <v>489.185</v>
      </c>
      <c r="EX366" s="67" t="s">
        <v>2949</v>
      </c>
      <c r="EY366" s="67">
        <v>5683.25</v>
      </c>
      <c r="EZ366" s="67" t="s">
        <v>2950</v>
      </c>
      <c r="FA366" s="67">
        <v>20105</v>
      </c>
      <c r="FB366" s="67" t="s">
        <v>2951</v>
      </c>
      <c r="FC366" s="67" t="s">
        <v>2952</v>
      </c>
      <c r="FD366" s="67" t="s">
        <v>2953</v>
      </c>
      <c r="FE366" s="68" t="s">
        <v>2954</v>
      </c>
      <c r="FF366" s="68" t="s">
        <v>2955</v>
      </c>
    </row>
    <row r="367" spans="151:162" x14ac:dyDescent="0.2">
      <c r="EU367" s="67">
        <v>566.74099999999999</v>
      </c>
      <c r="EV367" s="67" t="s">
        <v>2956</v>
      </c>
      <c r="EW367" s="67">
        <v>489.3</v>
      </c>
      <c r="EX367" s="67" t="s">
        <v>2957</v>
      </c>
      <c r="EY367" s="67">
        <v>5684</v>
      </c>
      <c r="EZ367" s="67" t="s">
        <v>2958</v>
      </c>
      <c r="FA367" s="67">
        <v>20110.25</v>
      </c>
      <c r="FB367" s="67" t="s">
        <v>2959</v>
      </c>
      <c r="FC367" s="67" t="s">
        <v>2960</v>
      </c>
      <c r="FD367" s="67" t="s">
        <v>2961</v>
      </c>
      <c r="FE367" s="68" t="s">
        <v>2962</v>
      </c>
      <c r="FF367" s="68" t="s">
        <v>2963</v>
      </c>
    </row>
    <row r="368" spans="151:162" x14ac:dyDescent="0.2">
      <c r="EU368" s="67">
        <v>566.79</v>
      </c>
      <c r="EV368" s="67" t="s">
        <v>2964</v>
      </c>
      <c r="EW368" s="67">
        <v>489.28</v>
      </c>
      <c r="EX368" s="67" t="s">
        <v>2965</v>
      </c>
      <c r="EY368" s="67">
        <v>5684.5</v>
      </c>
      <c r="EZ368" s="67" t="s">
        <v>2966</v>
      </c>
      <c r="FA368" s="67">
        <v>20108.25</v>
      </c>
      <c r="FB368" s="67" t="s">
        <v>2967</v>
      </c>
      <c r="FC368" s="67" t="s">
        <v>2968</v>
      </c>
      <c r="FD368" s="67" t="s">
        <v>2969</v>
      </c>
      <c r="FE368" s="68" t="s">
        <v>2970</v>
      </c>
      <c r="FF368" s="68" t="s">
        <v>2971</v>
      </c>
    </row>
    <row r="369" spans="151:162" x14ac:dyDescent="0.2">
      <c r="EU369" s="67">
        <v>566.94000000000005</v>
      </c>
      <c r="EV369" s="67" t="s">
        <v>2972</v>
      </c>
      <c r="EW369" s="67">
        <v>489.42</v>
      </c>
      <c r="EX369" s="67" t="s">
        <v>2973</v>
      </c>
      <c r="EY369" s="67">
        <v>5686</v>
      </c>
      <c r="EZ369" s="67" t="s">
        <v>2974</v>
      </c>
      <c r="FA369" s="67">
        <v>20114.5</v>
      </c>
      <c r="FB369" s="67" t="s">
        <v>2975</v>
      </c>
      <c r="FC369" s="67" t="s">
        <v>2976</v>
      </c>
      <c r="FD369" s="67" t="s">
        <v>2977</v>
      </c>
      <c r="FE369" s="68" t="s">
        <v>2978</v>
      </c>
      <c r="FF369" s="68" t="s">
        <v>2979</v>
      </c>
    </row>
    <row r="370" spans="151:162" x14ac:dyDescent="0.2">
      <c r="EU370" s="67">
        <v>566.91</v>
      </c>
      <c r="EV370" s="67" t="s">
        <v>2980</v>
      </c>
      <c r="EW370" s="67">
        <v>489.45</v>
      </c>
      <c r="EX370" s="67" t="s">
        <v>2981</v>
      </c>
      <c r="EY370" s="67">
        <v>5686</v>
      </c>
      <c r="EZ370" s="67" t="s">
        <v>2982</v>
      </c>
      <c r="FA370" s="67">
        <v>20116</v>
      </c>
      <c r="FB370" s="67" t="s">
        <v>2983</v>
      </c>
      <c r="FC370" s="67" t="s">
        <v>2984</v>
      </c>
      <c r="FD370" s="67" t="s">
        <v>2985</v>
      </c>
      <c r="FE370" s="68" t="s">
        <v>2986</v>
      </c>
      <c r="FF370" s="68" t="s">
        <v>2987</v>
      </c>
    </row>
    <row r="371" spans="151:162" x14ac:dyDescent="0.2">
      <c r="EU371" s="67">
        <v>567.03</v>
      </c>
      <c r="EV371" s="67" t="s">
        <v>2988</v>
      </c>
      <c r="EW371" s="67">
        <v>489.52</v>
      </c>
      <c r="EX371" s="67" t="s">
        <v>2989</v>
      </c>
      <c r="EY371" s="67">
        <v>5687</v>
      </c>
      <c r="EZ371" s="67" t="s">
        <v>2990</v>
      </c>
      <c r="FA371" s="67">
        <v>20118.75</v>
      </c>
      <c r="FB371" s="67" t="s">
        <v>2991</v>
      </c>
      <c r="FC371" s="67" t="s">
        <v>2992</v>
      </c>
      <c r="FD371" s="67" t="s">
        <v>2993</v>
      </c>
      <c r="FE371" s="68" t="s">
        <v>2994</v>
      </c>
      <c r="FF371" s="68" t="s">
        <v>2995</v>
      </c>
    </row>
    <row r="372" spans="151:162" x14ac:dyDescent="0.2">
      <c r="EU372" s="67">
        <v>566.76</v>
      </c>
      <c r="EV372" s="67" t="s">
        <v>2996</v>
      </c>
      <c r="EW372" s="67">
        <v>489.22</v>
      </c>
      <c r="EX372" s="67" t="s">
        <v>2997</v>
      </c>
      <c r="EY372" s="67">
        <v>5684.25</v>
      </c>
      <c r="EZ372" s="67" t="s">
        <v>2998</v>
      </c>
      <c r="FA372" s="67">
        <v>20106</v>
      </c>
      <c r="FB372" s="67" t="s">
        <v>2999</v>
      </c>
      <c r="FC372" s="67" t="s">
        <v>3000</v>
      </c>
      <c r="FD372" s="67" t="s">
        <v>3001</v>
      </c>
      <c r="FE372" s="68" t="s">
        <v>3002</v>
      </c>
      <c r="FF372" s="68" t="s">
        <v>3003</v>
      </c>
    </row>
    <row r="373" spans="151:162" x14ac:dyDescent="0.2">
      <c r="EU373" s="67">
        <v>566.98</v>
      </c>
      <c r="EV373" s="67" t="s">
        <v>3004</v>
      </c>
      <c r="EW373" s="67">
        <v>489.41</v>
      </c>
      <c r="EX373" s="67" t="s">
        <v>3005</v>
      </c>
      <c r="EY373" s="67">
        <v>5686.5</v>
      </c>
      <c r="EZ373" s="67" t="s">
        <v>3006</v>
      </c>
      <c r="FA373" s="67">
        <v>20113.75</v>
      </c>
      <c r="FB373" s="67" t="s">
        <v>3007</v>
      </c>
      <c r="FC373" s="67" t="s">
        <v>3008</v>
      </c>
      <c r="FD373" s="67" t="s">
        <v>3009</v>
      </c>
      <c r="FE373" s="68" t="s">
        <v>3010</v>
      </c>
      <c r="FF373" s="68" t="s">
        <v>3011</v>
      </c>
    </row>
    <row r="374" spans="151:162" x14ac:dyDescent="0.2">
      <c r="EU374" s="67">
        <v>567.1</v>
      </c>
      <c r="EV374" s="67" t="s">
        <v>3012</v>
      </c>
      <c r="EW374" s="67">
        <v>489.4</v>
      </c>
      <c r="EX374" s="67" t="s">
        <v>3013</v>
      </c>
      <c r="EY374" s="67">
        <v>5687</v>
      </c>
      <c r="EZ374" s="67" t="s">
        <v>3014</v>
      </c>
      <c r="FA374" s="67">
        <v>20113.25</v>
      </c>
      <c r="FB374" s="67" t="s">
        <v>3015</v>
      </c>
      <c r="FC374" s="67" t="s">
        <v>3016</v>
      </c>
      <c r="FD374" s="67" t="s">
        <v>3017</v>
      </c>
      <c r="FE374" s="68" t="s">
        <v>3018</v>
      </c>
      <c r="FF374" s="68" t="s">
        <v>3019</v>
      </c>
    </row>
    <row r="375" spans="151:162" x14ac:dyDescent="0.2">
      <c r="EU375" s="67">
        <v>567.15</v>
      </c>
      <c r="EV375" s="67" t="s">
        <v>3020</v>
      </c>
      <c r="EW375" s="67">
        <v>489.51</v>
      </c>
      <c r="EX375" s="67" t="s">
        <v>3021</v>
      </c>
      <c r="EY375" s="67">
        <v>5688</v>
      </c>
      <c r="EZ375" s="67" t="s">
        <v>3022</v>
      </c>
      <c r="FA375" s="67">
        <v>20118.75</v>
      </c>
      <c r="FB375" s="67" t="s">
        <v>3023</v>
      </c>
      <c r="FC375" s="67" t="s">
        <v>3024</v>
      </c>
      <c r="FD375" s="67" t="s">
        <v>3025</v>
      </c>
      <c r="FE375" s="68" t="s">
        <v>3026</v>
      </c>
      <c r="FF375" s="68" t="s">
        <v>3027</v>
      </c>
    </row>
    <row r="376" spans="151:162" x14ac:dyDescent="0.2">
      <c r="EU376" s="67">
        <v>567.37</v>
      </c>
      <c r="EV376" s="67" t="s">
        <v>3028</v>
      </c>
      <c r="EW376" s="67">
        <v>489.68</v>
      </c>
      <c r="EX376" s="67" t="s">
        <v>3029</v>
      </c>
      <c r="EY376" s="67">
        <v>5690.5</v>
      </c>
      <c r="EZ376" s="67" t="s">
        <v>3030</v>
      </c>
      <c r="FA376" s="67">
        <v>20125</v>
      </c>
      <c r="FB376" s="67" t="s">
        <v>3031</v>
      </c>
      <c r="FC376" s="67" t="s">
        <v>3032</v>
      </c>
      <c r="FD376" s="67" t="s">
        <v>3033</v>
      </c>
      <c r="FE376" s="68" t="s">
        <v>3034</v>
      </c>
      <c r="FF376" s="68" t="s">
        <v>3035</v>
      </c>
    </row>
    <row r="377" spans="151:162" x14ac:dyDescent="0.2">
      <c r="EU377" s="67">
        <v>567.29999999999995</v>
      </c>
      <c r="EV377" s="67" t="s">
        <v>3036</v>
      </c>
      <c r="EW377" s="67">
        <v>489.66</v>
      </c>
      <c r="EX377" s="67" t="s">
        <v>3037</v>
      </c>
      <c r="EY377" s="67">
        <v>5689.5</v>
      </c>
      <c r="EZ377" s="67" t="s">
        <v>3038</v>
      </c>
      <c r="FA377" s="67">
        <v>20124</v>
      </c>
      <c r="FB377" s="67" t="s">
        <v>3039</v>
      </c>
      <c r="FC377" s="67" t="s">
        <v>3040</v>
      </c>
      <c r="FD377" s="67" t="s">
        <v>3041</v>
      </c>
      <c r="FE377" s="68" t="s">
        <v>3042</v>
      </c>
      <c r="FF377" s="68" t="s">
        <v>3043</v>
      </c>
    </row>
    <row r="378" spans="151:162" x14ac:dyDescent="0.2">
      <c r="EU378" s="67">
        <v>567.21</v>
      </c>
      <c r="EV378" s="67" t="s">
        <v>3044</v>
      </c>
      <c r="EW378" s="67">
        <v>489.53500000000003</v>
      </c>
      <c r="EX378" s="67" t="s">
        <v>3045</v>
      </c>
      <c r="EY378" s="67">
        <v>5688.5</v>
      </c>
      <c r="EZ378" s="67" t="s">
        <v>3046</v>
      </c>
      <c r="FA378" s="67">
        <v>20120.5</v>
      </c>
      <c r="FB378" s="67" t="s">
        <v>3047</v>
      </c>
      <c r="FC378" s="67" t="s">
        <v>3048</v>
      </c>
      <c r="FD378" s="67" t="s">
        <v>3049</v>
      </c>
      <c r="FE378" s="68" t="s">
        <v>3050</v>
      </c>
      <c r="FF378" s="68" t="s">
        <v>3051</v>
      </c>
    </row>
    <row r="379" spans="151:162" x14ac:dyDescent="0.2">
      <c r="EU379" s="67">
        <v>567.25</v>
      </c>
      <c r="EV379" s="67" t="s">
        <v>3052</v>
      </c>
      <c r="EW379" s="67">
        <v>489.62</v>
      </c>
      <c r="EX379" s="67" t="s">
        <v>3053</v>
      </c>
      <c r="EY379" s="67">
        <v>5689</v>
      </c>
      <c r="EZ379" s="67" t="s">
        <v>3054</v>
      </c>
      <c r="FA379" s="67">
        <v>20123</v>
      </c>
      <c r="FB379" s="67" t="s">
        <v>3055</v>
      </c>
      <c r="FC379" s="67" t="s">
        <v>3056</v>
      </c>
      <c r="FD379" s="67" t="s">
        <v>3057</v>
      </c>
      <c r="FE379" s="68" t="s">
        <v>3058</v>
      </c>
      <c r="FF379" s="68" t="s">
        <v>3059</v>
      </c>
    </row>
    <row r="380" spans="151:162" x14ac:dyDescent="0.2">
      <c r="EU380" s="67">
        <v>567.27</v>
      </c>
      <c r="EV380" s="67" t="s">
        <v>3060</v>
      </c>
      <c r="EW380" s="67">
        <v>489.65</v>
      </c>
      <c r="EX380" s="67" t="s">
        <v>3061</v>
      </c>
      <c r="EY380" s="67">
        <v>5689.5</v>
      </c>
      <c r="EZ380" s="67" t="s">
        <v>3062</v>
      </c>
      <c r="FA380" s="67">
        <v>20124</v>
      </c>
      <c r="FB380" s="67" t="s">
        <v>3063</v>
      </c>
      <c r="FC380" s="67" t="s">
        <v>3064</v>
      </c>
      <c r="FD380" s="67" t="s">
        <v>3065</v>
      </c>
      <c r="FE380" s="68" t="s">
        <v>3066</v>
      </c>
      <c r="FF380" s="68" t="s">
        <v>3067</v>
      </c>
    </row>
    <row r="381" spans="151:162" x14ac:dyDescent="0.2">
      <c r="EU381" s="67">
        <v>567.23</v>
      </c>
      <c r="EV381" s="67" t="s">
        <v>3068</v>
      </c>
      <c r="EW381" s="67">
        <v>489.58</v>
      </c>
      <c r="EX381" s="67" t="s">
        <v>3069</v>
      </c>
      <c r="EY381" s="67">
        <v>5689</v>
      </c>
      <c r="EZ381" s="67" t="s">
        <v>3070</v>
      </c>
      <c r="FA381" s="67">
        <v>20122.25</v>
      </c>
      <c r="FB381" s="67" t="s">
        <v>3071</v>
      </c>
      <c r="FC381" s="67" t="s">
        <v>3072</v>
      </c>
      <c r="FD381" s="67" t="s">
        <v>3073</v>
      </c>
      <c r="FE381" s="68" t="s">
        <v>3074</v>
      </c>
      <c r="FF381" s="68" t="s">
        <v>3075</v>
      </c>
    </row>
    <row r="382" spans="151:162" x14ac:dyDescent="0.2">
      <c r="EU382" s="67">
        <v>567.20000000000005</v>
      </c>
      <c r="EV382" s="67" t="s">
        <v>3076</v>
      </c>
      <c r="EW382" s="67">
        <v>489.67</v>
      </c>
      <c r="EX382" s="67" t="s">
        <v>3077</v>
      </c>
      <c r="EY382" s="67">
        <v>5688.5</v>
      </c>
      <c r="EZ382" s="67" t="s">
        <v>3078</v>
      </c>
      <c r="FA382" s="67">
        <v>20124</v>
      </c>
      <c r="FB382" s="67" t="s">
        <v>3079</v>
      </c>
      <c r="FC382" s="67" t="s">
        <v>3080</v>
      </c>
      <c r="FD382" s="67" t="s">
        <v>3081</v>
      </c>
      <c r="FE382" s="68" t="s">
        <v>3082</v>
      </c>
      <c r="FF382" s="68" t="s">
        <v>3083</v>
      </c>
    </row>
    <row r="383" spans="151:162" x14ac:dyDescent="0.2">
      <c r="EU383" s="67">
        <v>567.54999999999995</v>
      </c>
      <c r="EV383" s="67" t="s">
        <v>3084</v>
      </c>
      <c r="EW383" s="67">
        <v>490</v>
      </c>
      <c r="EX383" s="67" t="s">
        <v>3085</v>
      </c>
      <c r="EY383" s="67">
        <v>5692.25</v>
      </c>
      <c r="EZ383" s="67" t="s">
        <v>3086</v>
      </c>
      <c r="FA383" s="67">
        <v>20138.75</v>
      </c>
      <c r="FB383" s="67" t="s">
        <v>3087</v>
      </c>
      <c r="FC383" s="67" t="s">
        <v>3088</v>
      </c>
      <c r="FD383" s="67" t="s">
        <v>3089</v>
      </c>
      <c r="FE383" s="68" t="s">
        <v>3090</v>
      </c>
      <c r="FF383" s="68" t="s">
        <v>3091</v>
      </c>
    </row>
    <row r="384" spans="151:162" x14ac:dyDescent="0.2">
      <c r="EU384" s="67">
        <v>567.45000000000005</v>
      </c>
      <c r="EV384" s="67" t="s">
        <v>3092</v>
      </c>
      <c r="EW384" s="67">
        <v>489.91500000000002</v>
      </c>
      <c r="EX384" s="67" t="s">
        <v>3093</v>
      </c>
      <c r="EY384" s="67">
        <v>5691</v>
      </c>
      <c r="EZ384" s="67" t="s">
        <v>3094</v>
      </c>
      <c r="FA384" s="67">
        <v>20135</v>
      </c>
      <c r="FB384" s="67" t="s">
        <v>3095</v>
      </c>
      <c r="FC384" s="67" t="s">
        <v>3096</v>
      </c>
      <c r="FD384" s="67" t="s">
        <v>3097</v>
      </c>
      <c r="FE384" s="68" t="s">
        <v>3098</v>
      </c>
      <c r="FF384" s="68" t="s">
        <v>3099</v>
      </c>
    </row>
    <row r="385" spans="151:162" x14ac:dyDescent="0.2">
      <c r="EU385" s="67">
        <v>567.49</v>
      </c>
      <c r="EV385" s="67" t="s">
        <v>3100</v>
      </c>
      <c r="EW385" s="67">
        <v>489.92</v>
      </c>
      <c r="EX385" s="67" t="s">
        <v>3101</v>
      </c>
      <c r="EY385" s="67">
        <v>5691.5</v>
      </c>
      <c r="EZ385" s="67" t="s">
        <v>3102</v>
      </c>
      <c r="FA385" s="67">
        <v>20135.5</v>
      </c>
      <c r="FB385" s="67" t="s">
        <v>3103</v>
      </c>
      <c r="FC385" s="67" t="s">
        <v>3104</v>
      </c>
      <c r="FD385" s="67" t="s">
        <v>3105</v>
      </c>
      <c r="FE385" s="68" t="s">
        <v>3106</v>
      </c>
      <c r="FF385" s="68" t="s">
        <v>3107</v>
      </c>
    </row>
    <row r="386" spans="151:162" x14ac:dyDescent="0.2">
      <c r="EU386" s="67">
        <v>567.58000000000004</v>
      </c>
      <c r="EV386" s="67" t="s">
        <v>3108</v>
      </c>
      <c r="EW386" s="67">
        <v>490.03</v>
      </c>
      <c r="EX386" s="67" t="s">
        <v>3109</v>
      </c>
      <c r="EY386" s="67">
        <v>5692.5</v>
      </c>
      <c r="EZ386" s="67" t="s">
        <v>3110</v>
      </c>
      <c r="FA386" s="67">
        <v>20140.5</v>
      </c>
      <c r="FB386" s="67" t="s">
        <v>3111</v>
      </c>
      <c r="FC386" s="67" t="s">
        <v>3112</v>
      </c>
      <c r="FD386" s="67" t="s">
        <v>3113</v>
      </c>
      <c r="FE386" s="68" t="s">
        <v>3114</v>
      </c>
      <c r="FF386" s="68" t="s">
        <v>3115</v>
      </c>
    </row>
    <row r="387" spans="151:162" x14ac:dyDescent="0.2">
      <c r="EU387" s="67">
        <v>567.61</v>
      </c>
      <c r="EV387" s="67" t="s">
        <v>3116</v>
      </c>
      <c r="EW387" s="67">
        <v>490.07499999999999</v>
      </c>
      <c r="EX387" s="67" t="s">
        <v>3117</v>
      </c>
      <c r="EY387" s="67">
        <v>5692.5</v>
      </c>
      <c r="EZ387" s="67" t="s">
        <v>3118</v>
      </c>
      <c r="FA387" s="67">
        <v>20140.75</v>
      </c>
      <c r="FB387" s="67" t="s">
        <v>3119</v>
      </c>
      <c r="FC387" s="67" t="s">
        <v>3120</v>
      </c>
      <c r="FD387" s="67" t="s">
        <v>3121</v>
      </c>
      <c r="FE387" s="68" t="s">
        <v>3122</v>
      </c>
      <c r="FF387" s="68" t="s">
        <v>3123</v>
      </c>
    </row>
    <row r="388" spans="151:162" x14ac:dyDescent="0.2">
      <c r="EU388" s="67">
        <v>567.72</v>
      </c>
      <c r="EV388" s="67" t="s">
        <v>3124</v>
      </c>
      <c r="EW388" s="67">
        <v>490.20499999999998</v>
      </c>
      <c r="EX388" s="67" t="s">
        <v>3125</v>
      </c>
      <c r="EY388" s="67">
        <v>5694</v>
      </c>
      <c r="EZ388" s="67" t="s">
        <v>3126</v>
      </c>
      <c r="FA388" s="67">
        <v>20147</v>
      </c>
      <c r="FB388" s="67" t="s">
        <v>3127</v>
      </c>
      <c r="FC388" s="67" t="s">
        <v>3128</v>
      </c>
      <c r="FD388" s="67" t="s">
        <v>3129</v>
      </c>
      <c r="FE388" s="68" t="s">
        <v>3130</v>
      </c>
      <c r="FF388" s="68" t="s">
        <v>3131</v>
      </c>
    </row>
    <row r="389" spans="151:162" x14ac:dyDescent="0.2">
      <c r="EU389" s="67">
        <v>567.70100000000002</v>
      </c>
      <c r="EV389" s="67" t="s">
        <v>3132</v>
      </c>
      <c r="EW389" s="67">
        <v>490.21</v>
      </c>
      <c r="EX389" s="67" t="s">
        <v>3133</v>
      </c>
      <c r="EY389" s="67">
        <v>5694</v>
      </c>
      <c r="EZ389" s="67" t="s">
        <v>3134</v>
      </c>
      <c r="FA389" s="67">
        <v>20147.25</v>
      </c>
      <c r="FB389" s="67" t="s">
        <v>3135</v>
      </c>
      <c r="FC389" s="67" t="s">
        <v>3136</v>
      </c>
      <c r="FD389" s="67" t="s">
        <v>3137</v>
      </c>
      <c r="FE389" s="68" t="s">
        <v>3138</v>
      </c>
      <c r="FF389" s="68" t="s">
        <v>3139</v>
      </c>
    </row>
    <row r="390" spans="151:162" x14ac:dyDescent="0.2">
      <c r="EU390" s="67">
        <v>567.70000000000005</v>
      </c>
      <c r="EV390" s="67" t="s">
        <v>3140</v>
      </c>
      <c r="EW390" s="67">
        <v>490.26</v>
      </c>
      <c r="EX390" s="67" t="s">
        <v>3141</v>
      </c>
      <c r="EY390" s="67">
        <v>5694</v>
      </c>
      <c r="EZ390" s="67" t="s">
        <v>3142</v>
      </c>
      <c r="FA390" s="67">
        <v>20148.25</v>
      </c>
      <c r="FB390" s="67" t="s">
        <v>3143</v>
      </c>
      <c r="FC390" s="67" t="s">
        <v>3144</v>
      </c>
      <c r="FD390" s="67" t="s">
        <v>3145</v>
      </c>
      <c r="FE390" s="68" t="s">
        <v>3146</v>
      </c>
      <c r="FF390" s="68" t="s">
        <v>3147</v>
      </c>
    </row>
    <row r="391" spans="151:162" x14ac:dyDescent="0.2">
      <c r="EU391" s="67">
        <v>567.69000000000005</v>
      </c>
      <c r="EV391" s="67" t="s">
        <v>3148</v>
      </c>
      <c r="EW391" s="67">
        <v>490.14</v>
      </c>
      <c r="EX391" s="67" t="s">
        <v>3149</v>
      </c>
      <c r="EY391" s="67">
        <v>5693.5</v>
      </c>
      <c r="EZ391" s="67" t="s">
        <v>3150</v>
      </c>
      <c r="FA391" s="67">
        <v>20145.25</v>
      </c>
      <c r="FB391" s="67" t="s">
        <v>3151</v>
      </c>
      <c r="FC391" s="67" t="s">
        <v>3152</v>
      </c>
      <c r="FD391" s="67" t="s">
        <v>3153</v>
      </c>
      <c r="FE391" s="68" t="s">
        <v>3154</v>
      </c>
      <c r="FF391" s="68" t="s">
        <v>3155</v>
      </c>
    </row>
    <row r="392" spans="151:162" x14ac:dyDescent="0.2">
      <c r="EU392" s="67">
        <v>567.66</v>
      </c>
      <c r="EV392" s="67" t="s">
        <v>3156</v>
      </c>
      <c r="EW392" s="67">
        <v>490.16</v>
      </c>
      <c r="EX392" s="67" t="s">
        <v>3157</v>
      </c>
      <c r="EY392" s="67">
        <v>5693.25</v>
      </c>
      <c r="EZ392" s="67" t="s">
        <v>3158</v>
      </c>
      <c r="FA392" s="67">
        <v>20145.5</v>
      </c>
      <c r="FB392" s="67" t="s">
        <v>3159</v>
      </c>
      <c r="FC392" s="67" t="s">
        <v>3160</v>
      </c>
      <c r="FD392" s="67" t="s">
        <v>3161</v>
      </c>
      <c r="FE392" s="68" t="s">
        <v>3162</v>
      </c>
      <c r="FF392" s="68" t="s">
        <v>3163</v>
      </c>
    </row>
    <row r="393" spans="151:162" x14ac:dyDescent="0.2">
      <c r="EU393" s="67">
        <v>567.91999999999996</v>
      </c>
      <c r="EV393" s="67" t="s">
        <v>3164</v>
      </c>
      <c r="EW393" s="67">
        <v>490.45</v>
      </c>
      <c r="EX393" s="67" t="s">
        <v>3165</v>
      </c>
      <c r="EY393" s="67">
        <v>5696.25</v>
      </c>
      <c r="EZ393" s="67" t="s">
        <v>3166</v>
      </c>
      <c r="FA393" s="67">
        <v>20156.25</v>
      </c>
      <c r="FB393" s="67" t="s">
        <v>3167</v>
      </c>
      <c r="FC393" s="67" t="s">
        <v>3168</v>
      </c>
      <c r="FD393" s="67" t="s">
        <v>3169</v>
      </c>
      <c r="FE393" s="68" t="s">
        <v>3170</v>
      </c>
      <c r="FF393" s="68" t="s">
        <v>3171</v>
      </c>
    </row>
    <row r="394" spans="151:162" x14ac:dyDescent="0.2">
      <c r="EU394" s="67">
        <v>567.80999999999995</v>
      </c>
      <c r="EV394" s="67" t="s">
        <v>3172</v>
      </c>
      <c r="EW394" s="67">
        <v>490.33600000000001</v>
      </c>
      <c r="EX394" s="67" t="s">
        <v>3173</v>
      </c>
      <c r="EY394" s="67">
        <v>5694.75</v>
      </c>
      <c r="EZ394" s="67" t="s">
        <v>3174</v>
      </c>
      <c r="FA394" s="67">
        <v>20152.25</v>
      </c>
      <c r="FB394" s="67" t="s">
        <v>3175</v>
      </c>
      <c r="FC394" s="67" t="s">
        <v>3176</v>
      </c>
      <c r="FD394" s="67" t="s">
        <v>3177</v>
      </c>
      <c r="FE394" s="68" t="s">
        <v>3178</v>
      </c>
      <c r="FF394" s="68" t="s">
        <v>3179</v>
      </c>
    </row>
    <row r="395" spans="151:162" x14ac:dyDescent="0.2">
      <c r="EU395" s="67">
        <v>567.78</v>
      </c>
      <c r="EV395" s="67" t="s">
        <v>3180</v>
      </c>
      <c r="EW395" s="67">
        <v>490.36</v>
      </c>
      <c r="EX395" s="67" t="s">
        <v>3181</v>
      </c>
      <c r="EY395" s="67">
        <v>5694.25</v>
      </c>
      <c r="EZ395" s="67" t="s">
        <v>3182</v>
      </c>
      <c r="FA395" s="67">
        <v>20154</v>
      </c>
      <c r="FB395" s="67" t="s">
        <v>3183</v>
      </c>
      <c r="FC395" s="67" t="s">
        <v>3184</v>
      </c>
      <c r="FD395" s="67" t="s">
        <v>3185</v>
      </c>
      <c r="FE395" s="68" t="s">
        <v>3186</v>
      </c>
      <c r="FF395" s="68" t="s">
        <v>3187</v>
      </c>
    </row>
    <row r="396" spans="151:162" x14ac:dyDescent="0.2">
      <c r="EU396" s="67">
        <v>567.82000000000005</v>
      </c>
      <c r="EV396" s="67" t="s">
        <v>3188</v>
      </c>
      <c r="EW396" s="67">
        <v>490.34</v>
      </c>
      <c r="EX396" s="67" t="s">
        <v>3189</v>
      </c>
      <c r="EY396" s="67">
        <v>5694.75</v>
      </c>
      <c r="EZ396" s="67" t="s">
        <v>3190</v>
      </c>
      <c r="FA396" s="67">
        <v>20152.75</v>
      </c>
      <c r="FB396" s="67" t="s">
        <v>3191</v>
      </c>
      <c r="FC396" s="67" t="s">
        <v>3192</v>
      </c>
      <c r="FD396" s="67" t="s">
        <v>3193</v>
      </c>
      <c r="FE396" s="68" t="s">
        <v>3194</v>
      </c>
      <c r="FF396" s="68" t="s">
        <v>3195</v>
      </c>
    </row>
    <row r="397" spans="151:162" x14ac:dyDescent="0.2">
      <c r="EU397" s="67">
        <v>567.78</v>
      </c>
      <c r="EV397" s="67" t="s">
        <v>3196</v>
      </c>
      <c r="EW397" s="67">
        <v>490.26</v>
      </c>
      <c r="EX397" s="67" t="s">
        <v>3197</v>
      </c>
      <c r="EY397" s="67">
        <v>5694.75</v>
      </c>
      <c r="EZ397" s="67" t="s">
        <v>3198</v>
      </c>
      <c r="FA397" s="67">
        <v>20150</v>
      </c>
      <c r="FB397" s="67" t="s">
        <v>3199</v>
      </c>
      <c r="FC397" s="67" t="s">
        <v>3200</v>
      </c>
      <c r="FD397" s="67" t="s">
        <v>3201</v>
      </c>
      <c r="FE397" s="68" t="s">
        <v>3202</v>
      </c>
      <c r="FF397" s="68" t="s">
        <v>3203</v>
      </c>
    </row>
    <row r="398" spans="151:162" x14ac:dyDescent="0.2">
      <c r="EU398" s="67">
        <v>567.87</v>
      </c>
      <c r="EV398" s="67" t="s">
        <v>3204</v>
      </c>
      <c r="EW398" s="67">
        <v>490.29500000000002</v>
      </c>
      <c r="EX398" s="67" t="s">
        <v>3205</v>
      </c>
      <c r="EY398" s="67">
        <v>5695.5</v>
      </c>
      <c r="EZ398" s="67" t="s">
        <v>3206</v>
      </c>
      <c r="FA398" s="67">
        <v>20150</v>
      </c>
      <c r="FB398" s="67" t="s">
        <v>3207</v>
      </c>
      <c r="FC398" s="67" t="s">
        <v>3208</v>
      </c>
      <c r="FD398" s="67" t="s">
        <v>3209</v>
      </c>
      <c r="FE398" s="68" t="s">
        <v>3210</v>
      </c>
      <c r="FF398" s="68" t="s">
        <v>3211</v>
      </c>
    </row>
    <row r="399" spans="151:162" x14ac:dyDescent="0.2">
      <c r="EU399" s="67">
        <v>567.88</v>
      </c>
      <c r="EV399" s="67" t="s">
        <v>3212</v>
      </c>
      <c r="EW399" s="67">
        <v>490.33600000000001</v>
      </c>
      <c r="EX399" s="67" t="s">
        <v>3213</v>
      </c>
      <c r="EY399" s="67">
        <v>5695.5</v>
      </c>
      <c r="EZ399" s="67" t="s">
        <v>3214</v>
      </c>
      <c r="FA399" s="67">
        <v>20152.5</v>
      </c>
      <c r="FB399" s="67" t="s">
        <v>3215</v>
      </c>
      <c r="FC399" s="67" t="s">
        <v>3216</v>
      </c>
      <c r="FD399" s="67" t="s">
        <v>3217</v>
      </c>
      <c r="FE399" s="68" t="s">
        <v>3218</v>
      </c>
      <c r="FF399" s="68" t="s">
        <v>3219</v>
      </c>
    </row>
    <row r="400" spans="151:162" x14ac:dyDescent="0.2">
      <c r="EU400" s="67">
        <v>567.89</v>
      </c>
      <c r="EV400" s="67" t="s">
        <v>3220</v>
      </c>
      <c r="EW400" s="67">
        <v>490.28500000000003</v>
      </c>
      <c r="EX400" s="67" t="s">
        <v>3221</v>
      </c>
      <c r="EY400" s="67">
        <v>5695.5</v>
      </c>
      <c r="EZ400" s="67" t="s">
        <v>3222</v>
      </c>
      <c r="FA400" s="67">
        <v>20150.5</v>
      </c>
      <c r="FB400" s="67" t="s">
        <v>3223</v>
      </c>
      <c r="FC400" s="67" t="s">
        <v>3224</v>
      </c>
      <c r="FD400" s="67" t="s">
        <v>3225</v>
      </c>
      <c r="FE400" s="68" t="s">
        <v>3226</v>
      </c>
      <c r="FF400" s="68" t="s">
        <v>3227</v>
      </c>
    </row>
    <row r="401" spans="151:162" x14ac:dyDescent="0.2">
      <c r="EU401" s="67">
        <v>567.72</v>
      </c>
      <c r="EV401" s="67" t="s">
        <v>3228</v>
      </c>
      <c r="EW401" s="67">
        <v>490.15</v>
      </c>
      <c r="EX401" s="67" t="s">
        <v>3229</v>
      </c>
      <c r="EY401" s="67">
        <v>5693.75</v>
      </c>
      <c r="EZ401" s="67" t="s">
        <v>3230</v>
      </c>
      <c r="FA401" s="67">
        <v>20144.5</v>
      </c>
      <c r="FB401" s="67" t="s">
        <v>3231</v>
      </c>
      <c r="FC401" s="67" t="s">
        <v>3232</v>
      </c>
      <c r="FD401" s="67" t="s">
        <v>3233</v>
      </c>
      <c r="FE401" s="68" t="s">
        <v>3234</v>
      </c>
      <c r="FF401" s="68" t="s">
        <v>3235</v>
      </c>
    </row>
    <row r="402" spans="151:162" x14ac:dyDescent="0.2">
      <c r="EU402" s="67">
        <v>567.58299999999997</v>
      </c>
      <c r="EV402" s="67" t="s">
        <v>3236</v>
      </c>
      <c r="EW402" s="67">
        <v>490</v>
      </c>
      <c r="EX402" s="67" t="s">
        <v>3237</v>
      </c>
      <c r="EY402" s="67">
        <v>5691.75</v>
      </c>
      <c r="EZ402" s="67" t="s">
        <v>3238</v>
      </c>
      <c r="FA402" s="67">
        <v>20142</v>
      </c>
      <c r="FB402" s="67" t="s">
        <v>3239</v>
      </c>
      <c r="FC402" s="67" t="s">
        <v>3240</v>
      </c>
      <c r="FD402" s="67" t="s">
        <v>3241</v>
      </c>
      <c r="FE402" s="68" t="s">
        <v>3242</v>
      </c>
      <c r="FF402" s="68" t="s">
        <v>3243</v>
      </c>
    </row>
    <row r="403" spans="151:162" x14ac:dyDescent="0.2">
      <c r="EU403" s="67">
        <v>567.77</v>
      </c>
      <c r="EV403" s="67" t="s">
        <v>3244</v>
      </c>
      <c r="EW403" s="67">
        <v>490.26</v>
      </c>
      <c r="EX403" s="67" t="s">
        <v>3245</v>
      </c>
      <c r="EY403" s="67">
        <v>5694.25</v>
      </c>
      <c r="EZ403" s="67" t="s">
        <v>3246</v>
      </c>
      <c r="FA403" s="67">
        <v>20149</v>
      </c>
      <c r="FB403" s="67" t="s">
        <v>3247</v>
      </c>
      <c r="FC403" s="67" t="s">
        <v>3248</v>
      </c>
      <c r="FD403" s="67" t="s">
        <v>3249</v>
      </c>
      <c r="FE403" s="68" t="s">
        <v>3250</v>
      </c>
      <c r="FF403" s="68" t="s">
        <v>3251</v>
      </c>
    </row>
    <row r="404" spans="151:162" x14ac:dyDescent="0.2">
      <c r="EU404" s="67">
        <v>567.72</v>
      </c>
      <c r="EV404" s="67" t="s">
        <v>3252</v>
      </c>
      <c r="EW404" s="67">
        <v>490.18</v>
      </c>
      <c r="EX404" s="67" t="s">
        <v>3253</v>
      </c>
      <c r="EY404" s="67">
        <v>5694</v>
      </c>
      <c r="EZ404" s="67" t="s">
        <v>3254</v>
      </c>
      <c r="FA404" s="67">
        <v>20146.5</v>
      </c>
      <c r="FB404" s="67" t="s">
        <v>3255</v>
      </c>
      <c r="FC404" s="67" t="s">
        <v>3256</v>
      </c>
      <c r="FD404" s="67" t="s">
        <v>3257</v>
      </c>
      <c r="FE404" s="68" t="s">
        <v>3258</v>
      </c>
      <c r="FF404" s="68" t="s">
        <v>3259</v>
      </c>
    </row>
    <row r="405" spans="151:162" x14ac:dyDescent="0.2">
      <c r="EU405" s="67">
        <v>567.6</v>
      </c>
      <c r="EV405" s="67" t="s">
        <v>3260</v>
      </c>
      <c r="EW405" s="67">
        <v>490.11</v>
      </c>
      <c r="EX405" s="67" t="s">
        <v>3261</v>
      </c>
      <c r="EY405" s="67">
        <v>5692.5</v>
      </c>
      <c r="EZ405" s="67" t="s">
        <v>3262</v>
      </c>
      <c r="FA405" s="67">
        <v>20142.75</v>
      </c>
      <c r="FB405" s="67" t="s">
        <v>3263</v>
      </c>
      <c r="FC405" s="67" t="s">
        <v>3264</v>
      </c>
      <c r="FD405" s="67" t="s">
        <v>3265</v>
      </c>
      <c r="FE405" s="68" t="s">
        <v>3266</v>
      </c>
      <c r="FF405" s="68" t="s">
        <v>3267</v>
      </c>
    </row>
    <row r="406" spans="151:162" x14ac:dyDescent="0.2">
      <c r="EU406" s="67">
        <v>567.75</v>
      </c>
      <c r="EV406" s="67" t="s">
        <v>3268</v>
      </c>
      <c r="EW406" s="67">
        <v>490.24</v>
      </c>
      <c r="EX406" s="67" t="s">
        <v>3269</v>
      </c>
      <c r="EY406" s="67">
        <v>5694.25</v>
      </c>
      <c r="EZ406" s="67" t="s">
        <v>3270</v>
      </c>
      <c r="FA406" s="67">
        <v>20148.75</v>
      </c>
      <c r="FB406" s="67" t="s">
        <v>3271</v>
      </c>
      <c r="FC406" s="67" t="s">
        <v>3272</v>
      </c>
      <c r="FD406" s="67" t="s">
        <v>3273</v>
      </c>
      <c r="FE406" s="68" t="s">
        <v>3274</v>
      </c>
      <c r="FF406" s="68" t="s">
        <v>3275</v>
      </c>
    </row>
    <row r="407" spans="151:162" x14ac:dyDescent="0.2">
      <c r="EU407" s="67">
        <v>567.73</v>
      </c>
      <c r="EV407" s="67" t="s">
        <v>3276</v>
      </c>
      <c r="EW407" s="67">
        <v>490.34</v>
      </c>
      <c r="EX407" s="67" t="s">
        <v>3277</v>
      </c>
      <c r="EY407" s="67">
        <v>5694.5</v>
      </c>
      <c r="EZ407" s="67" t="s">
        <v>3278</v>
      </c>
      <c r="FA407" s="67">
        <v>20151.75</v>
      </c>
      <c r="FB407" s="67" t="s">
        <v>3279</v>
      </c>
      <c r="FC407" s="67" t="s">
        <v>3280</v>
      </c>
      <c r="FD407" s="67" t="s">
        <v>3281</v>
      </c>
      <c r="FE407" s="68" t="s">
        <v>3282</v>
      </c>
      <c r="FF407" s="68" t="s">
        <v>3283</v>
      </c>
    </row>
    <row r="408" spans="151:162" x14ac:dyDescent="0.2">
      <c r="EU408" s="67">
        <v>567.75</v>
      </c>
      <c r="EV408" s="67" t="s">
        <v>3284</v>
      </c>
      <c r="EW408" s="67">
        <v>490.33</v>
      </c>
      <c r="EX408" s="67" t="s">
        <v>3285</v>
      </c>
      <c r="EY408" s="67">
        <v>5694.5</v>
      </c>
      <c r="EZ408" s="67" t="s">
        <v>3286</v>
      </c>
      <c r="FA408" s="67">
        <v>20152.25</v>
      </c>
      <c r="FB408" s="67" t="s">
        <v>3287</v>
      </c>
      <c r="FC408" s="67" t="s">
        <v>3288</v>
      </c>
      <c r="FD408" s="67" t="s">
        <v>3289</v>
      </c>
      <c r="FE408" s="68" t="s">
        <v>3290</v>
      </c>
      <c r="FF408" s="68" t="s">
        <v>3291</v>
      </c>
    </row>
    <row r="409" spans="151:162" x14ac:dyDescent="0.2">
      <c r="EU409" s="67">
        <v>567.75</v>
      </c>
      <c r="EV409" s="67" t="s">
        <v>3292</v>
      </c>
      <c r="EW409" s="67">
        <v>490.31</v>
      </c>
      <c r="EX409" s="67" t="s">
        <v>3293</v>
      </c>
      <c r="EY409" s="67">
        <v>5694.25</v>
      </c>
      <c r="EZ409" s="67" t="s">
        <v>3294</v>
      </c>
      <c r="FA409" s="67">
        <v>20151</v>
      </c>
      <c r="FB409" s="67" t="s">
        <v>3295</v>
      </c>
      <c r="FC409" s="67" t="s">
        <v>3296</v>
      </c>
      <c r="FD409" s="67" t="s">
        <v>3297</v>
      </c>
      <c r="FE409" s="68" t="s">
        <v>3298</v>
      </c>
      <c r="FF409" s="68" t="s">
        <v>3299</v>
      </c>
    </row>
    <row r="410" spans="151:162" x14ac:dyDescent="0.2">
      <c r="EU410" s="67">
        <v>567.71</v>
      </c>
      <c r="EV410" s="67" t="s">
        <v>3300</v>
      </c>
      <c r="EW410" s="67">
        <v>490.24</v>
      </c>
      <c r="EX410" s="67" t="s">
        <v>3301</v>
      </c>
      <c r="EY410" s="67">
        <v>5693.75</v>
      </c>
      <c r="EZ410" s="67" t="s">
        <v>3302</v>
      </c>
      <c r="FA410" s="67">
        <v>20148</v>
      </c>
      <c r="FB410" s="67" t="s">
        <v>3303</v>
      </c>
      <c r="FC410" s="67" t="s">
        <v>3304</v>
      </c>
      <c r="FD410" s="67" t="s">
        <v>3305</v>
      </c>
      <c r="FE410" s="68" t="s">
        <v>3306</v>
      </c>
      <c r="FF410" s="68" t="s">
        <v>3307</v>
      </c>
    </row>
    <row r="411" spans="151:162" x14ac:dyDescent="0.2">
      <c r="EU411" s="67">
        <v>567.79</v>
      </c>
      <c r="EV411" s="67" t="s">
        <v>3308</v>
      </c>
      <c r="EW411" s="67">
        <v>490.36</v>
      </c>
      <c r="EX411" s="67" t="s">
        <v>3309</v>
      </c>
      <c r="EY411" s="67">
        <v>5694.75</v>
      </c>
      <c r="EZ411" s="67" t="s">
        <v>3310</v>
      </c>
      <c r="FA411" s="67">
        <v>20152.75</v>
      </c>
      <c r="FB411" s="67" t="s">
        <v>3311</v>
      </c>
      <c r="FC411" s="67" t="s">
        <v>3312</v>
      </c>
      <c r="FD411" s="67" t="s">
        <v>3313</v>
      </c>
      <c r="FE411" s="68" t="s">
        <v>3314</v>
      </c>
      <c r="FF411" s="68" t="s">
        <v>3315</v>
      </c>
    </row>
    <row r="412" spans="151:162" x14ac:dyDescent="0.2">
      <c r="EU412" s="67">
        <v>567.86</v>
      </c>
      <c r="EV412" s="67" t="s">
        <v>3316</v>
      </c>
      <c r="EW412" s="67">
        <v>490.36</v>
      </c>
      <c r="EX412" s="67" t="s">
        <v>3317</v>
      </c>
      <c r="EY412" s="67">
        <v>5695.25</v>
      </c>
      <c r="EZ412" s="67" t="s">
        <v>3318</v>
      </c>
      <c r="FA412" s="67">
        <v>20153.5</v>
      </c>
      <c r="FB412" s="67" t="s">
        <v>3319</v>
      </c>
      <c r="FC412" s="67" t="s">
        <v>3320</v>
      </c>
      <c r="FD412" s="67" t="s">
        <v>3321</v>
      </c>
      <c r="FE412" s="68" t="s">
        <v>3322</v>
      </c>
      <c r="FF412" s="68" t="s">
        <v>3323</v>
      </c>
    </row>
    <row r="413" spans="151:162" x14ac:dyDescent="0.2">
      <c r="EU413" s="67">
        <v>567.91999999999996</v>
      </c>
      <c r="EV413" s="67" t="s">
        <v>3324</v>
      </c>
      <c r="EW413" s="67">
        <v>490.45</v>
      </c>
      <c r="EX413" s="67" t="s">
        <v>3325</v>
      </c>
      <c r="EY413" s="67">
        <v>5696.25</v>
      </c>
      <c r="EZ413" s="67" t="s">
        <v>3326</v>
      </c>
      <c r="FA413" s="67">
        <v>20157.75</v>
      </c>
      <c r="FB413" s="67" t="s">
        <v>3327</v>
      </c>
      <c r="FC413" s="67" t="s">
        <v>3328</v>
      </c>
      <c r="FD413" s="67" t="s">
        <v>3329</v>
      </c>
      <c r="FE413" s="68" t="s">
        <v>3330</v>
      </c>
      <c r="FF413" s="68" t="s">
        <v>3331</v>
      </c>
    </row>
    <row r="414" spans="151:162" x14ac:dyDescent="0.2">
      <c r="EU414" s="67">
        <v>567.9</v>
      </c>
      <c r="EV414" s="67" t="s">
        <v>3332</v>
      </c>
      <c r="EW414" s="67">
        <v>490.46</v>
      </c>
      <c r="EX414" s="67" t="s">
        <v>3333</v>
      </c>
      <c r="EY414" s="67">
        <v>5695.75</v>
      </c>
      <c r="EZ414" s="67" t="s">
        <v>3334</v>
      </c>
      <c r="FA414" s="67">
        <v>20157.25</v>
      </c>
      <c r="FB414" s="67" t="s">
        <v>3335</v>
      </c>
      <c r="FC414" s="67" t="s">
        <v>3336</v>
      </c>
      <c r="FD414" s="67" t="s">
        <v>3337</v>
      </c>
      <c r="FE414" s="68" t="s">
        <v>3338</v>
      </c>
      <c r="FF414" s="68" t="s">
        <v>3339</v>
      </c>
    </row>
    <row r="415" spans="151:162" x14ac:dyDescent="0.2">
      <c r="EU415" s="67">
        <v>567.9</v>
      </c>
      <c r="EV415" s="67" t="s">
        <v>3340</v>
      </c>
      <c r="EW415" s="67">
        <v>490.5</v>
      </c>
      <c r="EX415" s="67" t="s">
        <v>3341</v>
      </c>
      <c r="EY415" s="67">
        <v>5695.5</v>
      </c>
      <c r="EZ415" s="67" t="s">
        <v>3342</v>
      </c>
      <c r="FA415" s="67">
        <v>20160</v>
      </c>
      <c r="FB415" s="67" t="s">
        <v>3343</v>
      </c>
      <c r="FC415" s="67" t="s">
        <v>3344</v>
      </c>
      <c r="FD415" s="67" t="s">
        <v>3345</v>
      </c>
      <c r="FE415" s="68" t="s">
        <v>3346</v>
      </c>
      <c r="FF415" s="68" t="s">
        <v>3347</v>
      </c>
    </row>
    <row r="416" spans="151:162" x14ac:dyDescent="0.2">
      <c r="EU416" s="67">
        <v>568.12</v>
      </c>
      <c r="EV416" s="67" t="s">
        <v>3348</v>
      </c>
      <c r="EW416" s="67">
        <v>490.75</v>
      </c>
      <c r="EX416" s="67" t="s">
        <v>3349</v>
      </c>
      <c r="EY416" s="67">
        <v>5698</v>
      </c>
      <c r="EZ416" s="67" t="s">
        <v>3350</v>
      </c>
      <c r="FA416" s="67">
        <v>20169</v>
      </c>
      <c r="FB416" s="67" t="s">
        <v>3351</v>
      </c>
      <c r="FC416" s="67" t="s">
        <v>3352</v>
      </c>
      <c r="FD416" s="67" t="s">
        <v>3353</v>
      </c>
      <c r="FE416" s="68" t="s">
        <v>3354</v>
      </c>
      <c r="FF416" s="68" t="s">
        <v>3355</v>
      </c>
    </row>
    <row r="417" spans="151:162" x14ac:dyDescent="0.2">
      <c r="EU417" s="67">
        <v>568.35</v>
      </c>
      <c r="EV417" s="67" t="s">
        <v>3356</v>
      </c>
      <c r="EW417" s="67">
        <v>490.89</v>
      </c>
      <c r="EX417" s="67" t="s">
        <v>3357</v>
      </c>
      <c r="EY417" s="67">
        <v>5700.25</v>
      </c>
      <c r="EZ417" s="67" t="s">
        <v>3358</v>
      </c>
      <c r="FA417" s="67">
        <v>20174.75</v>
      </c>
      <c r="FB417" s="67" t="s">
        <v>3359</v>
      </c>
      <c r="FC417" s="67" t="s">
        <v>3360</v>
      </c>
      <c r="FD417" s="67" t="s">
        <v>3361</v>
      </c>
      <c r="FE417" s="68" t="s">
        <v>3362</v>
      </c>
      <c r="FF417" s="68" t="s">
        <v>3363</v>
      </c>
    </row>
    <row r="418" spans="151:162" x14ac:dyDescent="0.2">
      <c r="EU418" s="67">
        <v>568.29999999999995</v>
      </c>
      <c r="EV418" s="67" t="s">
        <v>3364</v>
      </c>
      <c r="EW418" s="67">
        <v>490.85300000000001</v>
      </c>
      <c r="EX418" s="67" t="s">
        <v>3365</v>
      </c>
      <c r="EY418" s="67">
        <v>5699.75</v>
      </c>
      <c r="EZ418" s="67" t="s">
        <v>3366</v>
      </c>
      <c r="FA418" s="67">
        <v>20173.75</v>
      </c>
      <c r="FB418" s="67" t="s">
        <v>3367</v>
      </c>
      <c r="FC418" s="67" t="s">
        <v>3368</v>
      </c>
      <c r="FD418" s="67" t="s">
        <v>3369</v>
      </c>
      <c r="FE418" s="68" t="s">
        <v>3370</v>
      </c>
      <c r="FF418" s="68" t="s">
        <v>3371</v>
      </c>
    </row>
    <row r="419" spans="151:162" x14ac:dyDescent="0.2">
      <c r="EU419" s="67">
        <v>568.18499999999995</v>
      </c>
      <c r="EV419" s="67" t="s">
        <v>3372</v>
      </c>
      <c r="EW419" s="67">
        <v>490.75</v>
      </c>
      <c r="EX419" s="67" t="s">
        <v>3373</v>
      </c>
      <c r="EY419" s="67">
        <v>5698.75</v>
      </c>
      <c r="EZ419" s="67" t="s">
        <v>3374</v>
      </c>
      <c r="FA419" s="67">
        <v>20169.25</v>
      </c>
      <c r="FB419" s="67" t="s">
        <v>3375</v>
      </c>
      <c r="FC419" s="67" t="s">
        <v>3376</v>
      </c>
      <c r="FD419" s="67" t="s">
        <v>3377</v>
      </c>
      <c r="FE419" s="68" t="s">
        <v>3378</v>
      </c>
      <c r="FF419" s="68" t="s">
        <v>3379</v>
      </c>
    </row>
    <row r="420" spans="151:162" x14ac:dyDescent="0.2">
      <c r="EU420" s="67">
        <v>568.07000000000005</v>
      </c>
      <c r="EV420" s="67" t="s">
        <v>3380</v>
      </c>
      <c r="EW420" s="67">
        <v>490.6</v>
      </c>
      <c r="EX420" s="67" t="s">
        <v>3381</v>
      </c>
      <c r="EY420" s="67">
        <v>5697.5</v>
      </c>
      <c r="EZ420" s="67" t="s">
        <v>3382</v>
      </c>
      <c r="FA420" s="67">
        <v>20163.75</v>
      </c>
      <c r="FB420" s="67" t="s">
        <v>3383</v>
      </c>
      <c r="FC420" s="67" t="s">
        <v>3384</v>
      </c>
      <c r="FD420" s="67" t="s">
        <v>3385</v>
      </c>
      <c r="FE420" s="68" t="s">
        <v>3386</v>
      </c>
      <c r="FF420" s="68" t="s">
        <v>3387</v>
      </c>
    </row>
    <row r="421" spans="151:162" x14ac:dyDescent="0.2">
      <c r="EU421" s="67">
        <v>568.15</v>
      </c>
      <c r="EV421" s="67" t="s">
        <v>3388</v>
      </c>
      <c r="EW421" s="67">
        <v>490.67</v>
      </c>
      <c r="EX421" s="67" t="s">
        <v>3389</v>
      </c>
      <c r="EY421" s="67">
        <v>5698.25</v>
      </c>
      <c r="EZ421" s="67" t="s">
        <v>3390</v>
      </c>
      <c r="FA421" s="67">
        <v>20165.5</v>
      </c>
      <c r="FB421" s="67" t="s">
        <v>3391</v>
      </c>
      <c r="FC421" s="67" t="s">
        <v>3392</v>
      </c>
      <c r="FD421" s="67" t="s">
        <v>3393</v>
      </c>
      <c r="FE421" s="68" t="s">
        <v>3394</v>
      </c>
      <c r="FF421" s="68" t="s">
        <v>3395</v>
      </c>
    </row>
    <row r="422" spans="151:162" x14ac:dyDescent="0.2">
      <c r="EU422" s="67">
        <v>568.07000000000005</v>
      </c>
      <c r="EV422" s="67" t="s">
        <v>3396</v>
      </c>
      <c r="EW422" s="67">
        <v>490.55</v>
      </c>
      <c r="EX422" s="67" t="s">
        <v>3397</v>
      </c>
      <c r="EY422" s="67">
        <v>5697.75</v>
      </c>
      <c r="EZ422" s="67" t="s">
        <v>3398</v>
      </c>
      <c r="FA422" s="67">
        <v>20161.5</v>
      </c>
      <c r="FB422" s="67" t="s">
        <v>3399</v>
      </c>
      <c r="FC422" s="67" t="s">
        <v>3400</v>
      </c>
      <c r="FD422" s="67" t="s">
        <v>3401</v>
      </c>
      <c r="FE422" s="68" t="s">
        <v>3402</v>
      </c>
      <c r="FF422" s="68" t="s">
        <v>3403</v>
      </c>
    </row>
    <row r="423" spans="151:162" x14ac:dyDescent="0.2">
      <c r="EU423" s="67">
        <v>568.04999999999995</v>
      </c>
      <c r="EV423" s="67" t="s">
        <v>3404</v>
      </c>
      <c r="EW423" s="67">
        <v>490.56</v>
      </c>
      <c r="EX423" s="67" t="s">
        <v>3405</v>
      </c>
      <c r="EY423" s="67">
        <v>5697.25</v>
      </c>
      <c r="EZ423" s="67" t="s">
        <v>3406</v>
      </c>
      <c r="FA423" s="67">
        <v>20161.75</v>
      </c>
      <c r="FB423" s="67" t="s">
        <v>3407</v>
      </c>
      <c r="FC423" s="67" t="s">
        <v>3408</v>
      </c>
      <c r="FD423" s="67" t="s">
        <v>3409</v>
      </c>
      <c r="FE423" s="68" t="s">
        <v>3410</v>
      </c>
      <c r="FF423" s="68" t="s">
        <v>3411</v>
      </c>
    </row>
    <row r="424" spans="151:162" x14ac:dyDescent="0.2">
      <c r="EU424" s="67">
        <v>567.95000000000005</v>
      </c>
      <c r="EV424" s="67" t="s">
        <v>3412</v>
      </c>
      <c r="EW424" s="67">
        <v>490.464</v>
      </c>
      <c r="EX424" s="67" t="s">
        <v>3413</v>
      </c>
      <c r="EY424" s="67">
        <v>5696</v>
      </c>
      <c r="EZ424" s="67" t="s">
        <v>3414</v>
      </c>
      <c r="FA424" s="67">
        <v>20157.5</v>
      </c>
      <c r="FB424" s="67" t="s">
        <v>3415</v>
      </c>
      <c r="FC424" s="67" t="s">
        <v>3416</v>
      </c>
      <c r="FD424" s="67" t="s">
        <v>3417</v>
      </c>
      <c r="FE424" s="68" t="s">
        <v>3418</v>
      </c>
      <c r="FF424" s="68" t="s">
        <v>3419</v>
      </c>
    </row>
    <row r="425" spans="151:162" x14ac:dyDescent="0.2">
      <c r="EU425" s="67">
        <v>567.91999999999996</v>
      </c>
      <c r="EV425" s="67" t="s">
        <v>3420</v>
      </c>
      <c r="EW425" s="67">
        <v>490.39299999999997</v>
      </c>
      <c r="EX425" s="67" t="s">
        <v>3421</v>
      </c>
      <c r="EY425" s="67">
        <v>5696</v>
      </c>
      <c r="EZ425" s="67" t="s">
        <v>3422</v>
      </c>
      <c r="FA425" s="67">
        <v>20154.75</v>
      </c>
      <c r="FB425" s="67" t="s">
        <v>3423</v>
      </c>
      <c r="FC425" s="67" t="s">
        <v>3424</v>
      </c>
      <c r="FD425" s="67" t="s">
        <v>3425</v>
      </c>
      <c r="FE425" s="68" t="s">
        <v>3426</v>
      </c>
      <c r="FF425" s="68" t="s">
        <v>3427</v>
      </c>
    </row>
    <row r="426" spans="151:162" x14ac:dyDescent="0.2">
      <c r="EU426" s="67">
        <v>567.56700000000001</v>
      </c>
      <c r="EV426" s="67" t="s">
        <v>3428</v>
      </c>
      <c r="EW426" s="67">
        <v>490.101</v>
      </c>
      <c r="EX426" s="67" t="s">
        <v>3429</v>
      </c>
      <c r="EY426" s="67">
        <v>5692.25</v>
      </c>
      <c r="EZ426" s="67" t="s">
        <v>3430</v>
      </c>
      <c r="FA426" s="67">
        <v>20142</v>
      </c>
      <c r="FB426" s="67" t="s">
        <v>3431</v>
      </c>
      <c r="FC426" s="67" t="s">
        <v>3432</v>
      </c>
      <c r="FD426" s="67" t="s">
        <v>3433</v>
      </c>
      <c r="FE426" s="68" t="s">
        <v>3434</v>
      </c>
      <c r="FF426" s="68" t="s">
        <v>3435</v>
      </c>
    </row>
    <row r="427" spans="151:162" x14ac:dyDescent="0.2">
      <c r="EU427" s="67">
        <v>567.34</v>
      </c>
      <c r="EV427" s="67" t="s">
        <v>3436</v>
      </c>
      <c r="EW427" s="67">
        <v>489.85700000000003</v>
      </c>
      <c r="EX427" s="67" t="s">
        <v>3437</v>
      </c>
      <c r="EY427" s="67">
        <v>5690</v>
      </c>
      <c r="EZ427" s="67" t="s">
        <v>3438</v>
      </c>
      <c r="FA427" s="67">
        <v>20132</v>
      </c>
      <c r="FB427" s="67" t="s">
        <v>3439</v>
      </c>
      <c r="FC427" s="67" t="s">
        <v>3440</v>
      </c>
      <c r="FD427" s="67" t="s">
        <v>3441</v>
      </c>
      <c r="FE427" s="68" t="s">
        <v>3442</v>
      </c>
      <c r="FF427" s="68" t="s">
        <v>3443</v>
      </c>
    </row>
    <row r="428" spans="151:162" x14ac:dyDescent="0.2">
      <c r="EU428" s="67">
        <v>566.78</v>
      </c>
      <c r="EV428" s="67" t="s">
        <v>3444</v>
      </c>
      <c r="EW428" s="67">
        <v>489.4</v>
      </c>
      <c r="EX428" s="67" t="s">
        <v>3445</v>
      </c>
      <c r="EY428" s="67">
        <v>5685.25</v>
      </c>
      <c r="EZ428" s="67" t="s">
        <v>3446</v>
      </c>
      <c r="FA428" s="67">
        <v>20113.25</v>
      </c>
      <c r="FB428" s="67" t="s">
        <v>3447</v>
      </c>
      <c r="FC428" s="67" t="s">
        <v>3448</v>
      </c>
      <c r="FD428" s="67" t="s">
        <v>3449</v>
      </c>
      <c r="FE428" s="68" t="s">
        <v>3450</v>
      </c>
      <c r="FF428" s="68" t="s">
        <v>3451</v>
      </c>
    </row>
    <row r="429" spans="151:162" x14ac:dyDescent="0.2">
      <c r="EU429" s="67">
        <v>566.55499999999995</v>
      </c>
      <c r="EV429" s="67" t="s">
        <v>3452</v>
      </c>
      <c r="EW429" s="67">
        <v>489.13</v>
      </c>
      <c r="EX429" s="67" t="s">
        <v>3453</v>
      </c>
      <c r="EY429" s="67">
        <v>5681.5</v>
      </c>
      <c r="EZ429" s="67" t="s">
        <v>3454</v>
      </c>
      <c r="FA429" s="67">
        <v>20103.5</v>
      </c>
      <c r="FB429" s="67" t="s">
        <v>3455</v>
      </c>
      <c r="FC429" s="67" t="s">
        <v>3456</v>
      </c>
      <c r="FD429" s="67" t="s">
        <v>3457</v>
      </c>
      <c r="FE429" s="68" t="s">
        <v>3458</v>
      </c>
      <c r="FF429" s="68" t="s">
        <v>3459</v>
      </c>
    </row>
    <row r="430" spans="151:162" x14ac:dyDescent="0.2">
      <c r="EU430" s="67">
        <v>566.72</v>
      </c>
      <c r="EV430" s="67" t="s">
        <v>3460</v>
      </c>
      <c r="EW430" s="67">
        <v>489.35</v>
      </c>
      <c r="EX430" s="67" t="s">
        <v>3461</v>
      </c>
      <c r="EY430" s="67">
        <v>5683.75</v>
      </c>
      <c r="EZ430" s="67" t="s">
        <v>3462</v>
      </c>
      <c r="FA430" s="67">
        <v>20111</v>
      </c>
      <c r="FB430" s="67" t="s">
        <v>3463</v>
      </c>
      <c r="FC430" s="67" t="s">
        <v>3464</v>
      </c>
      <c r="FD430" s="67" t="s">
        <v>3465</v>
      </c>
      <c r="FE430" s="68" t="s">
        <v>3466</v>
      </c>
      <c r="FF430" s="68" t="s">
        <v>3467</v>
      </c>
    </row>
    <row r="431" spans="151:162" x14ac:dyDescent="0.2">
      <c r="EU431" s="67">
        <v>566.85</v>
      </c>
      <c r="EV431" s="67" t="s">
        <v>3468</v>
      </c>
      <c r="EW431" s="67">
        <v>489.43</v>
      </c>
      <c r="EX431" s="67" t="s">
        <v>3469</v>
      </c>
      <c r="EY431" s="67">
        <v>5685</v>
      </c>
      <c r="EZ431" s="67" t="s">
        <v>3470</v>
      </c>
      <c r="FA431" s="67">
        <v>20114.75</v>
      </c>
      <c r="FB431" s="67" t="s">
        <v>3471</v>
      </c>
      <c r="FC431" s="67" t="s">
        <v>3472</v>
      </c>
      <c r="FD431" s="67" t="s">
        <v>3473</v>
      </c>
      <c r="FE431" s="68" t="s">
        <v>3474</v>
      </c>
      <c r="FF431" s="68" t="s">
        <v>3475</v>
      </c>
    </row>
    <row r="432" spans="151:162" x14ac:dyDescent="0.2">
      <c r="EU432" s="67">
        <v>567.16999999999996</v>
      </c>
      <c r="EV432" s="67" t="s">
        <v>3476</v>
      </c>
      <c r="EW432" s="67">
        <v>489.77</v>
      </c>
      <c r="EX432" s="67" t="s">
        <v>3477</v>
      </c>
      <c r="EY432" s="67">
        <v>5688.25</v>
      </c>
      <c r="EZ432" s="67" t="s">
        <v>3478</v>
      </c>
      <c r="FA432" s="67">
        <v>20127</v>
      </c>
      <c r="FB432" s="67" t="s">
        <v>3479</v>
      </c>
      <c r="FC432" s="67" t="s">
        <v>3480</v>
      </c>
      <c r="FD432" s="67" t="s">
        <v>3481</v>
      </c>
      <c r="FE432" s="68" t="s">
        <v>3482</v>
      </c>
      <c r="FF432" s="68" t="s">
        <v>3483</v>
      </c>
    </row>
    <row r="433" spans="151:162" x14ac:dyDescent="0.2">
      <c r="EU433" s="67">
        <v>567.20000000000005</v>
      </c>
      <c r="EV433" s="67" t="s">
        <v>3484</v>
      </c>
      <c r="EW433" s="67">
        <v>489.64499999999998</v>
      </c>
      <c r="EX433" s="67" t="s">
        <v>3485</v>
      </c>
      <c r="EY433" s="67">
        <v>5688.75</v>
      </c>
      <c r="EZ433" s="67" t="s">
        <v>3486</v>
      </c>
      <c r="FA433" s="67">
        <v>20123.5</v>
      </c>
      <c r="FB433" s="67" t="s">
        <v>3487</v>
      </c>
      <c r="FC433" s="67" t="s">
        <v>3488</v>
      </c>
      <c r="FD433" s="67" t="s">
        <v>3489</v>
      </c>
      <c r="FE433" s="68" t="s">
        <v>3490</v>
      </c>
      <c r="FF433" s="68" t="s">
        <v>3491</v>
      </c>
    </row>
    <row r="434" spans="151:162" x14ac:dyDescent="0.2">
      <c r="EU434" s="67">
        <v>567.15</v>
      </c>
      <c r="EV434" s="67" t="s">
        <v>3492</v>
      </c>
      <c r="EW434" s="67">
        <v>489.56</v>
      </c>
      <c r="EX434" s="67" t="s">
        <v>3493</v>
      </c>
      <c r="EY434" s="67">
        <v>5688.25</v>
      </c>
      <c r="EZ434" s="67" t="s">
        <v>3494</v>
      </c>
      <c r="FA434" s="67">
        <v>20119.25</v>
      </c>
      <c r="FB434" s="67" t="s">
        <v>3495</v>
      </c>
      <c r="FC434" s="67" t="s">
        <v>3496</v>
      </c>
      <c r="FD434" s="67" t="s">
        <v>3497</v>
      </c>
      <c r="FE434" s="68" t="s">
        <v>3498</v>
      </c>
      <c r="FF434" s="68" t="s">
        <v>3499</v>
      </c>
    </row>
    <row r="435" spans="151:162" x14ac:dyDescent="0.2">
      <c r="EU435" s="67">
        <v>567.37</v>
      </c>
      <c r="EV435" s="67" t="s">
        <v>3500</v>
      </c>
      <c r="EW435" s="67">
        <v>489.8</v>
      </c>
      <c r="EX435" s="67" t="s">
        <v>3501</v>
      </c>
      <c r="EY435" s="67">
        <v>5690.25</v>
      </c>
      <c r="EZ435" s="67" t="s">
        <v>3502</v>
      </c>
      <c r="FA435" s="67">
        <v>20129.5</v>
      </c>
      <c r="FB435" s="67" t="s">
        <v>3503</v>
      </c>
      <c r="FC435" s="67" t="s">
        <v>3504</v>
      </c>
      <c r="FD435" s="67" t="s">
        <v>3505</v>
      </c>
      <c r="FE435" s="68" t="s">
        <v>3506</v>
      </c>
      <c r="FF435" s="68" t="s">
        <v>3507</v>
      </c>
    </row>
    <row r="436" spans="151:162" x14ac:dyDescent="0.2">
      <c r="EU436" s="67">
        <v>567.32000000000005</v>
      </c>
      <c r="EV436" s="67" t="s">
        <v>3508</v>
      </c>
      <c r="EW436" s="67">
        <v>489.73500000000001</v>
      </c>
      <c r="EX436" s="67" t="s">
        <v>3509</v>
      </c>
      <c r="EY436" s="67">
        <v>5689.75</v>
      </c>
      <c r="EZ436" s="67" t="s">
        <v>3510</v>
      </c>
      <c r="FA436" s="67">
        <v>20126.5</v>
      </c>
      <c r="FB436" s="67" t="s">
        <v>3511</v>
      </c>
      <c r="FC436" s="67" t="s">
        <v>3512</v>
      </c>
      <c r="FD436" s="67" t="s">
        <v>3513</v>
      </c>
      <c r="FE436" s="68" t="s">
        <v>3514</v>
      </c>
      <c r="FF436" s="68" t="s">
        <v>3515</v>
      </c>
    </row>
    <row r="437" spans="151:162" x14ac:dyDescent="0.2">
      <c r="EU437" s="67">
        <v>566.98</v>
      </c>
      <c r="EV437" s="67" t="s">
        <v>3516</v>
      </c>
      <c r="EW437" s="67">
        <v>489.4</v>
      </c>
      <c r="EX437" s="67" t="s">
        <v>3517</v>
      </c>
      <c r="EY437" s="67">
        <v>5687</v>
      </c>
      <c r="EZ437" s="67" t="s">
        <v>3518</v>
      </c>
      <c r="FA437" s="67">
        <v>20115.5</v>
      </c>
      <c r="FB437" s="67" t="s">
        <v>3519</v>
      </c>
      <c r="FC437" s="67" t="s">
        <v>3520</v>
      </c>
      <c r="FD437" s="67" t="s">
        <v>3521</v>
      </c>
      <c r="FE437" s="68" t="s">
        <v>3522</v>
      </c>
      <c r="FF437" s="68" t="s">
        <v>3523</v>
      </c>
    </row>
    <row r="438" spans="151:162" x14ac:dyDescent="0.2">
      <c r="EU438" s="67">
        <v>566.91999999999996</v>
      </c>
      <c r="EV438" s="67" t="s">
        <v>3524</v>
      </c>
      <c r="EW438" s="67">
        <v>489.28</v>
      </c>
      <c r="EX438" s="67" t="s">
        <v>3525</v>
      </c>
      <c r="EY438" s="67">
        <v>5685.5</v>
      </c>
      <c r="EZ438" s="67" t="s">
        <v>3526</v>
      </c>
      <c r="FA438" s="67">
        <v>20108</v>
      </c>
      <c r="FB438" s="67" t="s">
        <v>3527</v>
      </c>
      <c r="FC438" s="67" t="s">
        <v>3528</v>
      </c>
      <c r="FD438" s="67" t="s">
        <v>3529</v>
      </c>
      <c r="FE438" s="68" t="s">
        <v>3530</v>
      </c>
      <c r="FF438" s="68" t="s">
        <v>3531</v>
      </c>
    </row>
    <row r="439" spans="151:162" x14ac:dyDescent="0.2">
      <c r="EU439" s="67">
        <v>566.55999999999995</v>
      </c>
      <c r="EV439" s="67" t="s">
        <v>3532</v>
      </c>
      <c r="EW439" s="67">
        <v>489</v>
      </c>
      <c r="EX439" s="67" t="s">
        <v>3533</v>
      </c>
      <c r="EY439" s="67">
        <v>5682</v>
      </c>
      <c r="EZ439" s="67" t="s">
        <v>3534</v>
      </c>
      <c r="FA439" s="67">
        <v>20096.25</v>
      </c>
      <c r="FB439" s="67" t="s">
        <v>3535</v>
      </c>
      <c r="FC439" s="67" t="s">
        <v>3536</v>
      </c>
      <c r="FD439" s="67" t="s">
        <v>3537</v>
      </c>
      <c r="FE439" s="68" t="s">
        <v>3538</v>
      </c>
      <c r="FF439" s="68" t="s">
        <v>3539</v>
      </c>
    </row>
    <row r="440" spans="151:162" x14ac:dyDescent="0.2">
      <c r="EU440" s="67">
        <v>566.39</v>
      </c>
      <c r="EV440" s="67" t="s">
        <v>3540</v>
      </c>
      <c r="EW440" s="67">
        <v>488.82</v>
      </c>
      <c r="EX440" s="67" t="s">
        <v>3541</v>
      </c>
      <c r="EY440" s="67">
        <v>5680.25</v>
      </c>
      <c r="EZ440" s="67" t="s">
        <v>3542</v>
      </c>
      <c r="FA440" s="67">
        <v>20089</v>
      </c>
      <c r="FB440" s="67" t="s">
        <v>3543</v>
      </c>
      <c r="FC440" s="67" t="s">
        <v>3544</v>
      </c>
      <c r="FD440" s="67" t="s">
        <v>3545</v>
      </c>
      <c r="FE440" s="68" t="s">
        <v>3546</v>
      </c>
      <c r="FF440" s="68" t="s">
        <v>3547</v>
      </c>
    </row>
    <row r="441" spans="151:162" x14ac:dyDescent="0.2">
      <c r="EU441" s="67">
        <v>566.78</v>
      </c>
      <c r="EV441" s="67" t="s">
        <v>3548</v>
      </c>
      <c r="EW441" s="67">
        <v>489.22</v>
      </c>
      <c r="EX441" s="67" t="s">
        <v>3549</v>
      </c>
      <c r="EY441" s="67">
        <v>5684.25</v>
      </c>
      <c r="EZ441" s="67" t="s">
        <v>3550</v>
      </c>
      <c r="FA441" s="67">
        <v>20105.5</v>
      </c>
      <c r="FB441" s="67" t="s">
        <v>3551</v>
      </c>
      <c r="FC441" s="67" t="s">
        <v>3552</v>
      </c>
      <c r="FD441" s="67" t="s">
        <v>3553</v>
      </c>
      <c r="FE441" s="68" t="s">
        <v>3554</v>
      </c>
      <c r="FF441" s="68" t="s">
        <v>3555</v>
      </c>
    </row>
    <row r="442" spans="151:162" x14ac:dyDescent="0.2">
      <c r="EU442" s="67">
        <v>566.86</v>
      </c>
      <c r="EV442" s="67" t="s">
        <v>3556</v>
      </c>
      <c r="EW442" s="67">
        <v>489.34</v>
      </c>
      <c r="EX442" s="67" t="s">
        <v>3557</v>
      </c>
      <c r="EY442" s="67">
        <v>5685</v>
      </c>
      <c r="EZ442" s="67" t="s">
        <v>3558</v>
      </c>
      <c r="FA442" s="67">
        <v>20112</v>
      </c>
      <c r="FB442" s="67" t="s">
        <v>3559</v>
      </c>
      <c r="FC442" s="67" t="s">
        <v>3560</v>
      </c>
      <c r="FD442" s="67" t="s">
        <v>3561</v>
      </c>
      <c r="FE442" s="68" t="s">
        <v>3562</v>
      </c>
      <c r="FF442" s="68" t="s">
        <v>3563</v>
      </c>
    </row>
    <row r="443" spans="151:162" x14ac:dyDescent="0.2">
      <c r="EU443" s="67">
        <v>566.94799999999998</v>
      </c>
      <c r="EV443" s="67" t="s">
        <v>3564</v>
      </c>
      <c r="EW443" s="67">
        <v>489.41</v>
      </c>
      <c r="EX443" s="67" t="s">
        <v>3565</v>
      </c>
      <c r="EY443" s="67">
        <v>5685.75</v>
      </c>
      <c r="EZ443" s="67" t="s">
        <v>3566</v>
      </c>
      <c r="FA443" s="67">
        <v>20113</v>
      </c>
      <c r="FB443" s="67" t="s">
        <v>3567</v>
      </c>
      <c r="FC443" s="67" t="s">
        <v>3568</v>
      </c>
      <c r="FD443" s="67" t="s">
        <v>3569</v>
      </c>
      <c r="FE443" s="68" t="s">
        <v>3570</v>
      </c>
      <c r="FF443" s="68" t="s">
        <v>3571</v>
      </c>
    </row>
    <row r="444" spans="151:162" x14ac:dyDescent="0.2">
      <c r="EU444" s="67">
        <v>566.97</v>
      </c>
      <c r="EV444" s="67" t="s">
        <v>3572</v>
      </c>
      <c r="EW444" s="67">
        <v>489.44</v>
      </c>
      <c r="EX444" s="67" t="s">
        <v>3573</v>
      </c>
      <c r="EY444" s="67">
        <v>5686</v>
      </c>
      <c r="EZ444" s="67" t="s">
        <v>3574</v>
      </c>
      <c r="FA444" s="67">
        <v>20115</v>
      </c>
      <c r="FB444" s="67" t="s">
        <v>3575</v>
      </c>
      <c r="FC444" s="67" t="s">
        <v>3576</v>
      </c>
      <c r="FD444" s="67" t="s">
        <v>3577</v>
      </c>
      <c r="FE444" s="68" t="s">
        <v>3578</v>
      </c>
      <c r="FF444" s="68" t="s">
        <v>3579</v>
      </c>
    </row>
    <row r="445" spans="151:162" x14ac:dyDescent="0.2">
      <c r="EU445" s="67">
        <v>566.66</v>
      </c>
      <c r="EV445" s="67" t="s">
        <v>3580</v>
      </c>
      <c r="EW445" s="67">
        <v>489.12</v>
      </c>
      <c r="EX445" s="67" t="s">
        <v>3581</v>
      </c>
      <c r="EY445" s="67">
        <v>5683</v>
      </c>
      <c r="EZ445" s="67" t="s">
        <v>3582</v>
      </c>
      <c r="FA445" s="67">
        <v>20101</v>
      </c>
      <c r="FB445" s="67" t="s">
        <v>3583</v>
      </c>
      <c r="FC445" s="67" t="s">
        <v>3584</v>
      </c>
      <c r="FD445" s="67" t="s">
        <v>3585</v>
      </c>
      <c r="FE445" s="68" t="s">
        <v>3586</v>
      </c>
      <c r="FF445" s="68" t="s">
        <v>3587</v>
      </c>
    </row>
    <row r="446" spans="151:162" x14ac:dyDescent="0.2">
      <c r="EU446" s="67">
        <v>566.58000000000004</v>
      </c>
      <c r="EV446" s="67" t="s">
        <v>3588</v>
      </c>
      <c r="EW446" s="67">
        <v>489.01</v>
      </c>
      <c r="EX446" s="67" t="s">
        <v>3589</v>
      </c>
      <c r="EY446" s="67">
        <v>5682</v>
      </c>
      <c r="EZ446" s="67" t="s">
        <v>3590</v>
      </c>
      <c r="FA446" s="67">
        <v>20096.75</v>
      </c>
      <c r="FB446" s="67" t="s">
        <v>3591</v>
      </c>
      <c r="FC446" s="67" t="s">
        <v>3592</v>
      </c>
      <c r="FD446" s="67" t="s">
        <v>3593</v>
      </c>
      <c r="FE446" s="68" t="s">
        <v>3594</v>
      </c>
      <c r="FF446" s="68" t="s">
        <v>3595</v>
      </c>
    </row>
    <row r="447" spans="151:162" x14ac:dyDescent="0.2">
      <c r="EU447" s="67">
        <v>566.58000000000004</v>
      </c>
      <c r="EV447" s="67" t="s">
        <v>3596</v>
      </c>
      <c r="EW447" s="67">
        <v>489.02</v>
      </c>
      <c r="EX447" s="67" t="s">
        <v>3597</v>
      </c>
      <c r="EY447" s="67">
        <v>5682.25</v>
      </c>
      <c r="EZ447" s="67" t="s">
        <v>3598</v>
      </c>
      <c r="FA447" s="67">
        <v>20096</v>
      </c>
      <c r="FB447" s="67" t="s">
        <v>3599</v>
      </c>
      <c r="FC447" s="67" t="s">
        <v>3600</v>
      </c>
      <c r="FD447" s="67" t="s">
        <v>3601</v>
      </c>
      <c r="FE447" s="68" t="s">
        <v>3602</v>
      </c>
      <c r="FF447" s="68" t="s">
        <v>3603</v>
      </c>
    </row>
    <row r="448" spans="151:162" x14ac:dyDescent="0.2">
      <c r="EU448" s="67">
        <v>566.44000000000005</v>
      </c>
      <c r="EV448" s="67" t="s">
        <v>3604</v>
      </c>
      <c r="EW448" s="67">
        <v>488.72</v>
      </c>
      <c r="EX448" s="67" t="s">
        <v>3605</v>
      </c>
      <c r="EY448" s="67">
        <v>5680.5</v>
      </c>
      <c r="EZ448" s="67" t="s">
        <v>3606</v>
      </c>
      <c r="FA448" s="67">
        <v>20084.75</v>
      </c>
      <c r="FB448" s="67" t="s">
        <v>3607</v>
      </c>
      <c r="FC448" s="67" t="s">
        <v>3608</v>
      </c>
      <c r="FD448" s="67" t="s">
        <v>3609</v>
      </c>
      <c r="FE448" s="68" t="s">
        <v>3610</v>
      </c>
      <c r="FF448" s="68" t="s">
        <v>3611</v>
      </c>
    </row>
    <row r="449" spans="151:162" x14ac:dyDescent="0.2">
      <c r="EU449" s="67">
        <v>566.69000000000005</v>
      </c>
      <c r="EV449" s="67" t="s">
        <v>3612</v>
      </c>
      <c r="EW449" s="67">
        <v>489.01</v>
      </c>
      <c r="EX449" s="67" t="s">
        <v>3613</v>
      </c>
      <c r="EY449" s="67">
        <v>5683.5</v>
      </c>
      <c r="EZ449" s="67" t="s">
        <v>3614</v>
      </c>
      <c r="FA449" s="67">
        <v>20096.5</v>
      </c>
      <c r="FB449" s="67" t="s">
        <v>3615</v>
      </c>
      <c r="FC449" s="67" t="s">
        <v>3616</v>
      </c>
      <c r="FD449" s="67" t="s">
        <v>3617</v>
      </c>
      <c r="FE449" s="68" t="s">
        <v>3618</v>
      </c>
      <c r="FF449" s="68" t="s">
        <v>3619</v>
      </c>
    </row>
    <row r="450" spans="151:162" x14ac:dyDescent="0.2">
      <c r="EU450" s="67">
        <v>567.24</v>
      </c>
      <c r="EV450" s="67" t="s">
        <v>3620</v>
      </c>
      <c r="EW450" s="67">
        <v>489.57</v>
      </c>
      <c r="EX450" s="67" t="s">
        <v>3621</v>
      </c>
      <c r="EY450" s="67">
        <v>5689</v>
      </c>
      <c r="EZ450" s="67" t="s">
        <v>3622</v>
      </c>
      <c r="FA450" s="67">
        <v>20120.5</v>
      </c>
      <c r="FB450" s="67" t="s">
        <v>3623</v>
      </c>
      <c r="FC450" s="67" t="s">
        <v>3624</v>
      </c>
      <c r="FD450" s="67" t="s">
        <v>3625</v>
      </c>
      <c r="FE450" s="68" t="s">
        <v>3626</v>
      </c>
      <c r="FF450" s="68" t="s">
        <v>3627</v>
      </c>
    </row>
    <row r="451" spans="151:162" x14ac:dyDescent="0.2">
      <c r="EU451" s="67">
        <v>567.16999999999996</v>
      </c>
      <c r="EV451" s="67" t="s">
        <v>3628</v>
      </c>
      <c r="EW451" s="67">
        <v>489.43</v>
      </c>
      <c r="EX451" s="67" t="s">
        <v>3629</v>
      </c>
      <c r="EY451" s="67">
        <v>5687.75</v>
      </c>
      <c r="EZ451" s="67" t="s">
        <v>3630</v>
      </c>
      <c r="FA451" s="67">
        <v>20114.5</v>
      </c>
      <c r="FB451" s="67" t="s">
        <v>3631</v>
      </c>
      <c r="FC451" s="67" t="s">
        <v>3632</v>
      </c>
      <c r="FD451" s="67" t="s">
        <v>3633</v>
      </c>
      <c r="FE451" s="68" t="s">
        <v>3634</v>
      </c>
      <c r="FF451" s="68" t="s">
        <v>3635</v>
      </c>
    </row>
    <row r="452" spans="151:162" x14ac:dyDescent="0.2">
      <c r="EU452" s="67">
        <v>567.101</v>
      </c>
      <c r="EV452" s="67" t="s">
        <v>3636</v>
      </c>
      <c r="EW452" s="67">
        <v>489.32</v>
      </c>
      <c r="EX452" s="67" t="s">
        <v>3637</v>
      </c>
      <c r="EY452" s="67">
        <v>5687.25</v>
      </c>
      <c r="EZ452" s="67" t="s">
        <v>3638</v>
      </c>
      <c r="FA452" s="67">
        <v>20110.25</v>
      </c>
      <c r="FB452" s="67" t="s">
        <v>3639</v>
      </c>
      <c r="FC452" s="67" t="s">
        <v>3640</v>
      </c>
      <c r="FD452" s="67" t="s">
        <v>3641</v>
      </c>
      <c r="FE452" s="68" t="s">
        <v>3642</v>
      </c>
      <c r="FF452" s="68" t="s">
        <v>3643</v>
      </c>
    </row>
    <row r="453" spans="151:162" x14ac:dyDescent="0.2">
      <c r="EU453" s="67">
        <v>567.26</v>
      </c>
      <c r="EV453" s="67" t="s">
        <v>3644</v>
      </c>
      <c r="EW453" s="67">
        <v>489.51</v>
      </c>
      <c r="EX453" s="67" t="s">
        <v>3645</v>
      </c>
      <c r="EY453" s="67">
        <v>5689</v>
      </c>
      <c r="EZ453" s="67" t="s">
        <v>3646</v>
      </c>
      <c r="FA453" s="67">
        <v>20117.25</v>
      </c>
      <c r="FB453" s="67" t="s">
        <v>3647</v>
      </c>
      <c r="FC453" s="67" t="s">
        <v>3648</v>
      </c>
      <c r="FD453" s="67" t="s">
        <v>3649</v>
      </c>
      <c r="FE453" s="68" t="s">
        <v>3650</v>
      </c>
      <c r="FF453" s="68" t="s">
        <v>3651</v>
      </c>
    </row>
    <row r="454" spans="151:162" x14ac:dyDescent="0.2">
      <c r="EU454" s="67">
        <v>567.58000000000004</v>
      </c>
      <c r="EV454" s="67" t="s">
        <v>3652</v>
      </c>
      <c r="EW454" s="67">
        <v>489.66</v>
      </c>
      <c r="EX454" s="67" t="s">
        <v>3653</v>
      </c>
      <c r="EY454" s="67">
        <v>5692</v>
      </c>
      <c r="EZ454" s="67" t="s">
        <v>3654</v>
      </c>
      <c r="FA454" s="67">
        <v>20122.75</v>
      </c>
      <c r="FB454" s="67" t="s">
        <v>3655</v>
      </c>
      <c r="FC454" s="67" t="s">
        <v>3656</v>
      </c>
      <c r="FD454" s="67" t="s">
        <v>3657</v>
      </c>
      <c r="FE454" s="68" t="s">
        <v>3658</v>
      </c>
      <c r="FF454" s="68" t="s">
        <v>3659</v>
      </c>
    </row>
    <row r="455" spans="151:162" x14ac:dyDescent="0.2">
      <c r="EU455" s="67">
        <v>567.69000000000005</v>
      </c>
      <c r="EV455" s="67" t="s">
        <v>3660</v>
      </c>
      <c r="EW455" s="67">
        <v>489.76</v>
      </c>
      <c r="EX455" s="67" t="s">
        <v>3661</v>
      </c>
      <c r="EY455" s="67">
        <v>5693</v>
      </c>
      <c r="EZ455" s="67" t="s">
        <v>3662</v>
      </c>
      <c r="FA455" s="67">
        <v>20127.5</v>
      </c>
      <c r="FB455" s="67" t="s">
        <v>3663</v>
      </c>
      <c r="FC455" s="67" t="s">
        <v>3664</v>
      </c>
      <c r="FD455" s="67" t="s">
        <v>3665</v>
      </c>
      <c r="FE455" s="68" t="s">
        <v>3666</v>
      </c>
      <c r="FF455" s="68" t="s">
        <v>3667</v>
      </c>
    </row>
    <row r="456" spans="151:162" x14ac:dyDescent="0.2">
      <c r="EU456" s="67">
        <v>567.84</v>
      </c>
      <c r="EV456" s="67" t="s">
        <v>3668</v>
      </c>
      <c r="EW456" s="67">
        <v>489.9</v>
      </c>
      <c r="EX456" s="67" t="s">
        <v>3669</v>
      </c>
      <c r="EY456" s="67">
        <v>5694.5</v>
      </c>
      <c r="EZ456" s="67" t="s">
        <v>3670</v>
      </c>
      <c r="FA456" s="67">
        <v>20133.25</v>
      </c>
      <c r="FB456" s="67" t="s">
        <v>3671</v>
      </c>
      <c r="FC456" s="67" t="s">
        <v>3672</v>
      </c>
      <c r="FD456" s="67" t="s">
        <v>3673</v>
      </c>
      <c r="FE456" s="68" t="s">
        <v>3674</v>
      </c>
      <c r="FF456" s="68" t="s">
        <v>3675</v>
      </c>
    </row>
    <row r="457" spans="151:162" x14ac:dyDescent="0.2">
      <c r="EU457" s="67">
        <v>567.57100000000003</v>
      </c>
      <c r="EV457" s="67" t="s">
        <v>3676</v>
      </c>
      <c r="EW457" s="67">
        <v>489.57</v>
      </c>
      <c r="EX457" s="67" t="s">
        <v>3677</v>
      </c>
      <c r="EY457" s="67">
        <v>5692</v>
      </c>
      <c r="EZ457" s="67" t="s">
        <v>3678</v>
      </c>
      <c r="FA457" s="67">
        <v>20119.25</v>
      </c>
      <c r="FB457" s="67" t="s">
        <v>3679</v>
      </c>
      <c r="FC457" s="67" t="s">
        <v>3680</v>
      </c>
      <c r="FD457" s="67" t="s">
        <v>3681</v>
      </c>
      <c r="FE457" s="68" t="s">
        <v>3682</v>
      </c>
      <c r="FF457" s="68" t="s">
        <v>3683</v>
      </c>
    </row>
    <row r="458" spans="151:162" x14ac:dyDescent="0.2">
      <c r="EU458" s="67">
        <v>567.72</v>
      </c>
      <c r="EV458" s="67" t="s">
        <v>3684</v>
      </c>
      <c r="EW458" s="67">
        <v>489.73</v>
      </c>
      <c r="EX458" s="67" t="s">
        <v>3685</v>
      </c>
      <c r="EY458" s="67">
        <v>5693.25</v>
      </c>
      <c r="EZ458" s="67" t="s">
        <v>3686</v>
      </c>
      <c r="FA458" s="67">
        <v>20126</v>
      </c>
      <c r="FB458" s="67" t="s">
        <v>3687</v>
      </c>
      <c r="FC458" s="67" t="s">
        <v>3688</v>
      </c>
      <c r="FD458" s="67" t="s">
        <v>3689</v>
      </c>
      <c r="FE458" s="68" t="s">
        <v>3690</v>
      </c>
      <c r="FF458" s="68" t="s">
        <v>3691</v>
      </c>
    </row>
    <row r="459" spans="151:162" x14ac:dyDescent="0.2">
      <c r="EU459" s="67">
        <v>567.80499999999995</v>
      </c>
      <c r="EV459" s="67" t="s">
        <v>3692</v>
      </c>
      <c r="EW459" s="67">
        <v>489.77</v>
      </c>
      <c r="EX459" s="67" t="s">
        <v>3693</v>
      </c>
      <c r="EY459" s="67">
        <v>5694.75</v>
      </c>
      <c r="EZ459" s="67" t="s">
        <v>3694</v>
      </c>
      <c r="FA459" s="67">
        <v>20128</v>
      </c>
      <c r="FB459" s="67" t="s">
        <v>3695</v>
      </c>
      <c r="FC459" s="67" t="s">
        <v>3696</v>
      </c>
      <c r="FD459" s="67" t="s">
        <v>3697</v>
      </c>
      <c r="FE459" s="68" t="s">
        <v>3698</v>
      </c>
      <c r="FF459" s="68" t="s">
        <v>3699</v>
      </c>
    </row>
    <row r="460" spans="151:162" x14ac:dyDescent="0.2">
      <c r="EU460" s="67">
        <v>567.75</v>
      </c>
      <c r="EV460" s="67" t="s">
        <v>3700</v>
      </c>
      <c r="EW460" s="67">
        <v>489.7</v>
      </c>
      <c r="EX460" s="67" t="s">
        <v>3701</v>
      </c>
      <c r="EY460" s="67">
        <v>5693.5</v>
      </c>
      <c r="EZ460" s="67" t="s">
        <v>3702</v>
      </c>
      <c r="FA460" s="67">
        <v>20123.5</v>
      </c>
      <c r="FB460" s="67" t="s">
        <v>3703</v>
      </c>
      <c r="FC460" s="67" t="s">
        <v>3704</v>
      </c>
      <c r="FD460" s="67" t="s">
        <v>3705</v>
      </c>
      <c r="FE460" s="68" t="s">
        <v>3706</v>
      </c>
      <c r="FF460" s="68" t="s">
        <v>3707</v>
      </c>
    </row>
    <row r="461" spans="151:162" x14ac:dyDescent="0.2">
      <c r="EU461" s="67">
        <v>567.75</v>
      </c>
      <c r="EV461" s="67" t="s">
        <v>3708</v>
      </c>
      <c r="EW461" s="67">
        <v>489.7</v>
      </c>
      <c r="EX461" s="67" t="s">
        <v>3709</v>
      </c>
      <c r="EY461" s="67">
        <v>5693.75</v>
      </c>
      <c r="EZ461" s="67" t="s">
        <v>3710</v>
      </c>
      <c r="FA461" s="67">
        <v>20125</v>
      </c>
      <c r="FB461" s="67" t="s">
        <v>3711</v>
      </c>
      <c r="FC461" s="67" t="s">
        <v>3712</v>
      </c>
      <c r="FD461" s="67" t="s">
        <v>3713</v>
      </c>
      <c r="FE461" s="68" t="s">
        <v>3714</v>
      </c>
      <c r="FF461" s="68" t="s">
        <v>3715</v>
      </c>
    </row>
    <row r="462" spans="151:162" x14ac:dyDescent="0.2">
      <c r="EU462" s="67">
        <v>567.75</v>
      </c>
      <c r="EV462" s="67" t="s">
        <v>3716</v>
      </c>
      <c r="EW462" s="67">
        <v>489.67</v>
      </c>
      <c r="EX462" s="67" t="s">
        <v>3717</v>
      </c>
      <c r="EY462" s="67">
        <v>5693.5</v>
      </c>
      <c r="EZ462" s="67" t="s">
        <v>3718</v>
      </c>
      <c r="FA462" s="67">
        <v>20123.25</v>
      </c>
      <c r="FB462" s="67" t="s">
        <v>3719</v>
      </c>
      <c r="FC462" s="67" t="s">
        <v>3720</v>
      </c>
      <c r="FD462" s="67" t="s">
        <v>3721</v>
      </c>
      <c r="FE462" s="68" t="s">
        <v>3722</v>
      </c>
      <c r="FF462" s="68" t="s">
        <v>3723</v>
      </c>
    </row>
    <row r="463" spans="151:162" x14ac:dyDescent="0.2">
      <c r="EU463" s="67">
        <v>567.56500000000005</v>
      </c>
      <c r="EV463" s="67" t="s">
        <v>3724</v>
      </c>
      <c r="EW463" s="67">
        <v>489.565</v>
      </c>
      <c r="EX463" s="67" t="s">
        <v>3725</v>
      </c>
      <c r="EY463" s="67">
        <v>5691.5</v>
      </c>
      <c r="EZ463" s="67" t="s">
        <v>3726</v>
      </c>
      <c r="FA463" s="67">
        <v>20118.25</v>
      </c>
      <c r="FB463" s="67" t="s">
        <v>3727</v>
      </c>
      <c r="FC463" s="67" t="s">
        <v>3728</v>
      </c>
      <c r="FD463" s="67" t="s">
        <v>3729</v>
      </c>
      <c r="FE463" s="68" t="s">
        <v>3730</v>
      </c>
      <c r="FF463" s="68" t="s">
        <v>3731</v>
      </c>
    </row>
    <row r="464" spans="151:162" x14ac:dyDescent="0.2">
      <c r="EU464" s="67">
        <v>567.64</v>
      </c>
      <c r="EV464" s="67" t="s">
        <v>3732</v>
      </c>
      <c r="EW464" s="67">
        <v>489.57</v>
      </c>
      <c r="EX464" s="67" t="s">
        <v>3733</v>
      </c>
      <c r="EY464" s="67">
        <v>5692.25</v>
      </c>
      <c r="EZ464" s="67" t="s">
        <v>3734</v>
      </c>
      <c r="FA464" s="67">
        <v>20118.5</v>
      </c>
      <c r="FB464" s="67" t="s">
        <v>3735</v>
      </c>
      <c r="FC464" s="67" t="s">
        <v>3736</v>
      </c>
      <c r="FD464" s="67" t="s">
        <v>3737</v>
      </c>
      <c r="FE464" s="68" t="s">
        <v>3738</v>
      </c>
      <c r="FF464" s="68" t="s">
        <v>3739</v>
      </c>
    </row>
    <row r="465" spans="151:162" x14ac:dyDescent="0.2">
      <c r="EU465" s="67">
        <v>567.54</v>
      </c>
      <c r="EV465" s="67" t="s">
        <v>3740</v>
      </c>
      <c r="EW465" s="67">
        <v>489.4</v>
      </c>
      <c r="EX465" s="67" t="s">
        <v>3741</v>
      </c>
      <c r="EY465" s="67">
        <v>5691.25</v>
      </c>
      <c r="EZ465" s="67" t="s">
        <v>3742</v>
      </c>
      <c r="FA465" s="67">
        <v>20111.75</v>
      </c>
      <c r="FB465" s="67" t="s">
        <v>3743</v>
      </c>
      <c r="FC465" s="67" t="s">
        <v>3744</v>
      </c>
      <c r="FD465" s="67" t="s">
        <v>3745</v>
      </c>
      <c r="FE465" s="68" t="s">
        <v>3746</v>
      </c>
      <c r="FF465" s="68" t="s">
        <v>3747</v>
      </c>
    </row>
    <row r="466" spans="151:162" x14ac:dyDescent="0.2">
      <c r="EU466" s="67">
        <v>567.58000000000004</v>
      </c>
      <c r="EV466" s="67" t="s">
        <v>3748</v>
      </c>
      <c r="EW466" s="67">
        <v>489.46199999999999</v>
      </c>
      <c r="EX466" s="67" t="s">
        <v>3749</v>
      </c>
      <c r="EY466" s="67">
        <v>5691.75</v>
      </c>
      <c r="EZ466" s="67" t="s">
        <v>3750</v>
      </c>
      <c r="FA466" s="67">
        <v>20114.25</v>
      </c>
      <c r="FB466" s="67" t="s">
        <v>3751</v>
      </c>
      <c r="FC466" s="67" t="s">
        <v>3752</v>
      </c>
      <c r="FD466" s="67" t="s">
        <v>3753</v>
      </c>
      <c r="FE466" s="68" t="s">
        <v>3754</v>
      </c>
      <c r="FF466" s="68" t="s">
        <v>3755</v>
      </c>
    </row>
    <row r="467" spans="151:162" x14ac:dyDescent="0.2">
      <c r="EU467" s="67">
        <v>567.25</v>
      </c>
      <c r="EV467" s="67" t="s">
        <v>3756</v>
      </c>
      <c r="EW467" s="67">
        <v>489.18</v>
      </c>
      <c r="EX467" s="67" t="s">
        <v>3757</v>
      </c>
      <c r="EY467" s="67">
        <v>5688.25</v>
      </c>
      <c r="EZ467" s="67" t="s">
        <v>3758</v>
      </c>
      <c r="FA467" s="67">
        <v>20101.75</v>
      </c>
      <c r="FB467" s="67" t="s">
        <v>3759</v>
      </c>
      <c r="FC467" s="67" t="s">
        <v>3760</v>
      </c>
      <c r="FD467" s="67" t="s">
        <v>3761</v>
      </c>
      <c r="FE467" s="68" t="s">
        <v>3762</v>
      </c>
      <c r="FF467" s="68" t="s">
        <v>3763</v>
      </c>
    </row>
    <row r="468" spans="151:162" x14ac:dyDescent="0.2">
      <c r="EU468" s="67">
        <v>567.28</v>
      </c>
      <c r="EV468" s="67" t="s">
        <v>3764</v>
      </c>
      <c r="EW468" s="67">
        <v>489.09</v>
      </c>
      <c r="EX468" s="67" t="s">
        <v>3765</v>
      </c>
      <c r="EY468" s="67">
        <v>5688.75</v>
      </c>
      <c r="EZ468" s="67" t="s">
        <v>3766</v>
      </c>
      <c r="FA468" s="67">
        <v>20099.25</v>
      </c>
      <c r="FB468" s="67" t="s">
        <v>3767</v>
      </c>
      <c r="FC468" s="67" t="s">
        <v>3768</v>
      </c>
      <c r="FD468" s="67" t="s">
        <v>3769</v>
      </c>
      <c r="FE468" s="68" t="s">
        <v>3770</v>
      </c>
      <c r="FF468" s="68" t="s">
        <v>3771</v>
      </c>
    </row>
    <row r="469" spans="151:162" x14ac:dyDescent="0.2">
      <c r="EU469" s="67">
        <v>567.22</v>
      </c>
      <c r="EV469" s="67" t="s">
        <v>3772</v>
      </c>
      <c r="EW469" s="67">
        <v>489.1</v>
      </c>
      <c r="EX469" s="67" t="s">
        <v>3773</v>
      </c>
      <c r="EY469" s="67">
        <v>5688.25</v>
      </c>
      <c r="EZ469" s="67" t="s">
        <v>3774</v>
      </c>
      <c r="FA469" s="67">
        <v>20097</v>
      </c>
      <c r="FB469" s="67" t="s">
        <v>3775</v>
      </c>
      <c r="FC469" s="67" t="s">
        <v>3776</v>
      </c>
      <c r="FD469" s="67" t="s">
        <v>3777</v>
      </c>
      <c r="FE469" s="68" t="s">
        <v>3778</v>
      </c>
      <c r="FF469" s="68" t="s">
        <v>3779</v>
      </c>
    </row>
    <row r="470" spans="151:162" x14ac:dyDescent="0.2">
      <c r="EU470" s="67">
        <v>567.39</v>
      </c>
      <c r="EV470" s="67" t="s">
        <v>3780</v>
      </c>
      <c r="EW470" s="67">
        <v>489.15</v>
      </c>
      <c r="EX470" s="67" t="s">
        <v>3781</v>
      </c>
      <c r="EY470" s="67">
        <v>5690</v>
      </c>
      <c r="EZ470" s="67" t="s">
        <v>3782</v>
      </c>
      <c r="FA470" s="67">
        <v>20102.5</v>
      </c>
      <c r="FB470" s="67" t="s">
        <v>3783</v>
      </c>
      <c r="FC470" s="67" t="s">
        <v>3784</v>
      </c>
      <c r="FD470" s="67" t="s">
        <v>3785</v>
      </c>
      <c r="FE470" s="68" t="s">
        <v>3786</v>
      </c>
      <c r="FF470" s="68" t="s">
        <v>3787</v>
      </c>
    </row>
    <row r="471" spans="151:162" x14ac:dyDescent="0.2">
      <c r="EU471" s="67">
        <v>567.66</v>
      </c>
      <c r="EV471" s="67" t="s">
        <v>3788</v>
      </c>
      <c r="EW471" s="67">
        <v>489.47</v>
      </c>
      <c r="EX471" s="67" t="s">
        <v>3789</v>
      </c>
      <c r="EY471" s="67">
        <v>5692.75</v>
      </c>
      <c r="EZ471" s="67" t="s">
        <v>3790</v>
      </c>
      <c r="FA471" s="67">
        <v>20114.75</v>
      </c>
      <c r="FB471" s="67" t="s">
        <v>3791</v>
      </c>
      <c r="FC471" s="67" t="s">
        <v>3792</v>
      </c>
      <c r="FD471" s="67" t="s">
        <v>3793</v>
      </c>
      <c r="FE471" s="68" t="s">
        <v>3794</v>
      </c>
      <c r="FF471" s="68" t="s">
        <v>3795</v>
      </c>
    </row>
    <row r="472" spans="151:162" x14ac:dyDescent="0.2">
      <c r="EU472" s="67">
        <v>567.73</v>
      </c>
      <c r="EV472" s="67" t="s">
        <v>3796</v>
      </c>
      <c r="EW472" s="67">
        <v>489.46</v>
      </c>
      <c r="EX472" s="67" t="s">
        <v>3797</v>
      </c>
      <c r="EY472" s="67">
        <v>5693</v>
      </c>
      <c r="EZ472" s="67" t="s">
        <v>3798</v>
      </c>
      <c r="FA472" s="67">
        <v>20114.5</v>
      </c>
      <c r="FB472" s="67" t="s">
        <v>3799</v>
      </c>
      <c r="FC472" s="67" t="s">
        <v>3800</v>
      </c>
      <c r="FD472" s="67" t="s">
        <v>3801</v>
      </c>
      <c r="FE472" s="68" t="s">
        <v>3802</v>
      </c>
      <c r="FF472" s="68" t="s">
        <v>3803</v>
      </c>
    </row>
    <row r="473" spans="151:162" x14ac:dyDescent="0.2">
      <c r="EU473" s="67">
        <v>567.78</v>
      </c>
      <c r="EV473" s="67" t="s">
        <v>3804</v>
      </c>
      <c r="EW473" s="67">
        <v>489.56</v>
      </c>
      <c r="EX473" s="67" t="s">
        <v>3805</v>
      </c>
      <c r="EY473" s="67">
        <v>5693.75</v>
      </c>
      <c r="EZ473" s="67" t="s">
        <v>3806</v>
      </c>
      <c r="FA473" s="67">
        <v>20118.75</v>
      </c>
      <c r="FB473" s="67" t="s">
        <v>3807</v>
      </c>
      <c r="FC473" s="67" t="s">
        <v>3808</v>
      </c>
      <c r="FD473" s="67" t="s">
        <v>3809</v>
      </c>
      <c r="FE473" s="68" t="s">
        <v>3810</v>
      </c>
      <c r="FF473" s="68" t="s">
        <v>3811</v>
      </c>
    </row>
    <row r="474" spans="151:162" x14ac:dyDescent="0.2">
      <c r="EU474" s="67">
        <v>567.59</v>
      </c>
      <c r="EV474" s="67" t="s">
        <v>3812</v>
      </c>
      <c r="EW474" s="67">
        <v>489.38</v>
      </c>
      <c r="EX474" s="67" t="s">
        <v>3813</v>
      </c>
      <c r="EY474" s="67">
        <v>5692</v>
      </c>
      <c r="EZ474" s="67" t="s">
        <v>3814</v>
      </c>
      <c r="FA474" s="67">
        <v>20111.25</v>
      </c>
      <c r="FB474" s="67" t="s">
        <v>3815</v>
      </c>
      <c r="FC474" s="67" t="s">
        <v>3816</v>
      </c>
      <c r="FD474" s="67" t="s">
        <v>3817</v>
      </c>
      <c r="FE474" s="68" t="s">
        <v>3818</v>
      </c>
      <c r="FF474" s="68" t="s">
        <v>3819</v>
      </c>
    </row>
    <row r="475" spans="151:162" x14ac:dyDescent="0.2">
      <c r="EU475" s="67">
        <v>567.45000000000005</v>
      </c>
      <c r="EV475" s="67" t="s">
        <v>3820</v>
      </c>
      <c r="EW475" s="67">
        <v>489.3</v>
      </c>
      <c r="EX475" s="67" t="s">
        <v>3821</v>
      </c>
      <c r="EY475" s="67">
        <v>5690.5</v>
      </c>
      <c r="EZ475" s="67" t="s">
        <v>3822</v>
      </c>
      <c r="FA475" s="67">
        <v>20108</v>
      </c>
      <c r="FB475" s="67" t="s">
        <v>3823</v>
      </c>
      <c r="FC475" s="67" t="s">
        <v>3824</v>
      </c>
      <c r="FD475" s="67" t="s">
        <v>3825</v>
      </c>
      <c r="FE475" s="68" t="s">
        <v>3826</v>
      </c>
      <c r="FF475" s="68" t="s">
        <v>3827</v>
      </c>
    </row>
    <row r="476" spans="151:162" x14ac:dyDescent="0.2">
      <c r="EU476" s="67">
        <v>567.46</v>
      </c>
      <c r="EV476" s="67" t="s">
        <v>3828</v>
      </c>
      <c r="EW476" s="67">
        <v>489.31</v>
      </c>
      <c r="EX476" s="67" t="s">
        <v>3829</v>
      </c>
      <c r="EY476" s="67">
        <v>5690.75</v>
      </c>
      <c r="EZ476" s="67" t="s">
        <v>3830</v>
      </c>
      <c r="FA476" s="67">
        <v>20108.5</v>
      </c>
      <c r="FB476" s="67" t="s">
        <v>3831</v>
      </c>
      <c r="FC476" s="67" t="s">
        <v>3832</v>
      </c>
      <c r="FD476" s="67" t="s">
        <v>3833</v>
      </c>
      <c r="FE476" s="68" t="s">
        <v>3834</v>
      </c>
      <c r="FF476" s="68" t="s">
        <v>3835</v>
      </c>
    </row>
    <row r="477" spans="151:162" x14ac:dyDescent="0.2">
      <c r="EU477" s="67">
        <v>567.5</v>
      </c>
      <c r="EV477" s="67" t="s">
        <v>3836</v>
      </c>
      <c r="EW477" s="67">
        <v>489.31</v>
      </c>
      <c r="EX477" s="67" t="s">
        <v>3837</v>
      </c>
      <c r="EY477" s="67">
        <v>5691</v>
      </c>
      <c r="EZ477" s="67" t="s">
        <v>3838</v>
      </c>
      <c r="FA477" s="67">
        <v>20108</v>
      </c>
      <c r="FB477" s="67" t="s">
        <v>3839</v>
      </c>
      <c r="FC477" s="67" t="s">
        <v>3840</v>
      </c>
      <c r="FD477" s="67" t="s">
        <v>3841</v>
      </c>
      <c r="FE477" s="68" t="s">
        <v>3842</v>
      </c>
      <c r="FF477" s="68" t="s">
        <v>3843</v>
      </c>
    </row>
    <row r="478" spans="151:162" x14ac:dyDescent="0.2">
      <c r="EU478" s="67">
        <v>566.87</v>
      </c>
      <c r="EV478" s="67" t="s">
        <v>3844</v>
      </c>
      <c r="EW478" s="67">
        <v>488.83499999999998</v>
      </c>
      <c r="EX478" s="67" t="s">
        <v>3845</v>
      </c>
      <c r="EY478" s="67">
        <v>5685</v>
      </c>
      <c r="EZ478" s="67" t="s">
        <v>3846</v>
      </c>
      <c r="FA478" s="67">
        <v>20088.75</v>
      </c>
      <c r="FB478" s="67" t="s">
        <v>3847</v>
      </c>
      <c r="FC478" s="67" t="s">
        <v>3848</v>
      </c>
      <c r="FD478" s="67" t="s">
        <v>3849</v>
      </c>
      <c r="FE478" s="68" t="s">
        <v>3850</v>
      </c>
      <c r="FF478" s="68" t="s">
        <v>3851</v>
      </c>
    </row>
    <row r="479" spans="151:162" x14ac:dyDescent="0.2">
      <c r="EU479" s="67">
        <v>566.91999999999996</v>
      </c>
      <c r="EV479" s="67" t="s">
        <v>3852</v>
      </c>
      <c r="EW479" s="67">
        <v>488.86</v>
      </c>
      <c r="EX479" s="67" t="s">
        <v>3853</v>
      </c>
      <c r="EY479" s="67">
        <v>5685.5</v>
      </c>
      <c r="EZ479" s="67" t="s">
        <v>3854</v>
      </c>
      <c r="FA479" s="67">
        <v>20088.5</v>
      </c>
      <c r="FB479" s="67" t="s">
        <v>3855</v>
      </c>
      <c r="FC479" s="67" t="s">
        <v>3856</v>
      </c>
      <c r="FD479" s="67" t="s">
        <v>3857</v>
      </c>
      <c r="FE479" s="68" t="s">
        <v>3858</v>
      </c>
      <c r="FF479" s="68" t="s">
        <v>3859</v>
      </c>
    </row>
    <row r="480" spans="151:162" x14ac:dyDescent="0.2">
      <c r="EU480" s="67">
        <v>566.57000000000005</v>
      </c>
      <c r="EV480" s="67" t="s">
        <v>3860</v>
      </c>
      <c r="EW480" s="67">
        <v>488.47</v>
      </c>
      <c r="EX480" s="67" t="s">
        <v>3861</v>
      </c>
      <c r="EY480" s="67">
        <v>5681.5</v>
      </c>
      <c r="EZ480" s="67" t="s">
        <v>3862</v>
      </c>
      <c r="FA480" s="67">
        <v>20072.75</v>
      </c>
      <c r="FB480" s="67" t="s">
        <v>3863</v>
      </c>
      <c r="FC480" s="67" t="s">
        <v>3864</v>
      </c>
      <c r="FD480" s="67" t="s">
        <v>3865</v>
      </c>
      <c r="FE480" s="68" t="s">
        <v>3866</v>
      </c>
      <c r="FF480" s="68" t="s">
        <v>3867</v>
      </c>
    </row>
    <row r="481" spans="151:162" x14ac:dyDescent="0.2">
      <c r="EU481" s="67">
        <v>566.28</v>
      </c>
      <c r="EV481" s="67" t="s">
        <v>3868</v>
      </c>
      <c r="EW481" s="67">
        <v>488.29</v>
      </c>
      <c r="EX481" s="67" t="s">
        <v>3869</v>
      </c>
      <c r="EY481" s="67">
        <v>5679.25</v>
      </c>
      <c r="EZ481" s="67" t="s">
        <v>3870</v>
      </c>
      <c r="FA481" s="67">
        <v>20066.25</v>
      </c>
      <c r="FB481" s="67" t="s">
        <v>3871</v>
      </c>
      <c r="FC481" s="67" t="s">
        <v>3872</v>
      </c>
      <c r="FD481" s="67" t="s">
        <v>3873</v>
      </c>
      <c r="FE481" s="68" t="s">
        <v>3874</v>
      </c>
      <c r="FF481" s="68" t="s">
        <v>3875</v>
      </c>
    </row>
    <row r="482" spans="151:162" x14ac:dyDescent="0.2">
      <c r="EU482" s="67">
        <v>566.66999999999996</v>
      </c>
      <c r="EV482" s="67" t="s">
        <v>3876</v>
      </c>
      <c r="EW482" s="67">
        <v>488.65</v>
      </c>
      <c r="EX482" s="67" t="s">
        <v>3877</v>
      </c>
      <c r="EY482" s="67">
        <v>5682.75</v>
      </c>
      <c r="EZ482" s="67" t="s">
        <v>3878</v>
      </c>
      <c r="FA482" s="67">
        <v>20084.25</v>
      </c>
      <c r="FB482" s="67" t="s">
        <v>3879</v>
      </c>
      <c r="FC482" s="67" t="s">
        <v>3880</v>
      </c>
      <c r="FD482" s="67" t="s">
        <v>3881</v>
      </c>
      <c r="FE482" s="68" t="s">
        <v>3882</v>
      </c>
      <c r="FF482" s="68" t="s">
        <v>3883</v>
      </c>
    </row>
    <row r="483" spans="151:162" x14ac:dyDescent="0.2">
      <c r="EU483" s="67">
        <v>566.80999999999995</v>
      </c>
      <c r="EV483" s="67" t="s">
        <v>3884</v>
      </c>
      <c r="EW483" s="67">
        <v>488.91</v>
      </c>
      <c r="EX483" s="67" t="s">
        <v>3885</v>
      </c>
      <c r="EY483" s="67">
        <v>5685.25</v>
      </c>
      <c r="EZ483" s="67" t="s">
        <v>3886</v>
      </c>
      <c r="FA483" s="67">
        <v>20091.5</v>
      </c>
      <c r="FB483" s="67" t="s">
        <v>3887</v>
      </c>
      <c r="FC483" s="67" t="s">
        <v>3888</v>
      </c>
      <c r="FD483" s="67" t="s">
        <v>3889</v>
      </c>
      <c r="FE483" s="68" t="s">
        <v>3890</v>
      </c>
      <c r="FF483" s="68" t="s">
        <v>3891</v>
      </c>
    </row>
    <row r="484" spans="151:162" x14ac:dyDescent="0.2">
      <c r="EU484" s="67">
        <v>567.22</v>
      </c>
      <c r="EV484" s="67" t="s">
        <v>3892</v>
      </c>
      <c r="EW484" s="67">
        <v>489.32</v>
      </c>
      <c r="EX484" s="67" t="s">
        <v>3893</v>
      </c>
      <c r="EY484" s="67">
        <v>5688.5</v>
      </c>
      <c r="EZ484" s="67" t="s">
        <v>3894</v>
      </c>
      <c r="FA484" s="67">
        <v>20104.5</v>
      </c>
      <c r="FB484" s="67" t="s">
        <v>3895</v>
      </c>
      <c r="FC484" s="67" t="s">
        <v>3896</v>
      </c>
      <c r="FD484" s="67" t="s">
        <v>3897</v>
      </c>
      <c r="FE484" s="68" t="s">
        <v>3898</v>
      </c>
      <c r="FF484" s="68" t="s">
        <v>3899</v>
      </c>
    </row>
    <row r="485" spans="151:162" x14ac:dyDescent="0.2">
      <c r="EU485" s="67">
        <v>567.16</v>
      </c>
      <c r="EV485" s="67" t="s">
        <v>3900</v>
      </c>
      <c r="EW485" s="67">
        <v>489.14</v>
      </c>
      <c r="EX485" s="67" t="s">
        <v>3901</v>
      </c>
      <c r="EY485" s="67">
        <v>5687.75</v>
      </c>
      <c r="EZ485" s="67" t="s">
        <v>3902</v>
      </c>
      <c r="FA485" s="67">
        <v>20101</v>
      </c>
      <c r="FB485" s="67" t="s">
        <v>3903</v>
      </c>
      <c r="FC485" s="67" t="s">
        <v>3904</v>
      </c>
      <c r="FD485" s="67" t="s">
        <v>3905</v>
      </c>
      <c r="FE485" s="68" t="s">
        <v>3906</v>
      </c>
      <c r="FF485" s="68" t="s">
        <v>3907</v>
      </c>
    </row>
    <row r="486" spans="151:162" x14ac:dyDescent="0.2">
      <c r="EU486" s="67">
        <v>567.41999999999996</v>
      </c>
      <c r="EV486" s="67" t="s">
        <v>3908</v>
      </c>
      <c r="EW486" s="67">
        <v>489.43299999999999</v>
      </c>
      <c r="EX486" s="67" t="s">
        <v>3909</v>
      </c>
      <c r="EY486" s="67">
        <v>5690.25</v>
      </c>
      <c r="EZ486" s="67" t="s">
        <v>3910</v>
      </c>
      <c r="FA486" s="67">
        <v>20112</v>
      </c>
      <c r="FB486" s="67" t="s">
        <v>3911</v>
      </c>
      <c r="FC486" s="67" t="s">
        <v>3912</v>
      </c>
      <c r="FD486" s="67" t="s">
        <v>3913</v>
      </c>
      <c r="FE486" s="68" t="s">
        <v>3914</v>
      </c>
      <c r="FF486" s="68" t="s">
        <v>3915</v>
      </c>
    </row>
    <row r="487" spans="151:162" x14ac:dyDescent="0.2">
      <c r="EU487" s="67">
        <v>566.64</v>
      </c>
      <c r="EV487" s="67" t="s">
        <v>3916</v>
      </c>
      <c r="EW487" s="67">
        <v>488.67</v>
      </c>
      <c r="EX487" s="67" t="s">
        <v>3917</v>
      </c>
      <c r="EY487" s="67">
        <v>5683.25</v>
      </c>
      <c r="EZ487" s="67" t="s">
        <v>3918</v>
      </c>
      <c r="FA487" s="67">
        <v>20081</v>
      </c>
      <c r="FB487" s="67" t="s">
        <v>3919</v>
      </c>
      <c r="FC487" s="67" t="s">
        <v>3920</v>
      </c>
      <c r="FD487" s="67" t="s">
        <v>3921</v>
      </c>
      <c r="FE487" s="68" t="s">
        <v>3922</v>
      </c>
      <c r="FF487" s="68" t="s">
        <v>3923</v>
      </c>
    </row>
    <row r="488" spans="151:162" x14ac:dyDescent="0.2">
      <c r="EU488" s="67">
        <v>566.77</v>
      </c>
      <c r="EV488" s="67" t="s">
        <v>3924</v>
      </c>
      <c r="EW488" s="67">
        <v>488.82</v>
      </c>
      <c r="EX488" s="67" t="s">
        <v>3925</v>
      </c>
      <c r="EY488" s="67">
        <v>5683.5</v>
      </c>
      <c r="EZ488" s="67" t="s">
        <v>3926</v>
      </c>
      <c r="FA488" s="67">
        <v>20087.25</v>
      </c>
      <c r="FB488" s="67" t="s">
        <v>3927</v>
      </c>
      <c r="FC488" s="67" t="s">
        <v>3928</v>
      </c>
      <c r="FD488" s="67" t="s">
        <v>3929</v>
      </c>
      <c r="FE488" s="68" t="s">
        <v>3930</v>
      </c>
      <c r="FF488" s="68" t="s">
        <v>3931</v>
      </c>
    </row>
    <row r="489" spans="151:162" x14ac:dyDescent="0.2">
      <c r="EU489" s="67">
        <v>566.82000000000005</v>
      </c>
      <c r="EV489" s="67" t="s">
        <v>3932</v>
      </c>
      <c r="EW489" s="67">
        <v>489.01</v>
      </c>
      <c r="EX489" s="67" t="s">
        <v>3933</v>
      </c>
      <c r="EY489" s="67">
        <v>5684.25</v>
      </c>
      <c r="EZ489" s="67" t="s">
        <v>3934</v>
      </c>
      <c r="FA489" s="67">
        <v>20094.5</v>
      </c>
      <c r="FB489" s="67" t="s">
        <v>3935</v>
      </c>
      <c r="FC489" s="67" t="s">
        <v>3936</v>
      </c>
      <c r="FD489" s="67" t="s">
        <v>3937</v>
      </c>
      <c r="FE489" s="68" t="s">
        <v>3938</v>
      </c>
      <c r="FF489" s="68" t="s">
        <v>3939</v>
      </c>
    </row>
    <row r="490" spans="151:162" x14ac:dyDescent="0.2">
      <c r="EU490" s="67">
        <v>566.66999999999996</v>
      </c>
      <c r="EV490" s="67" t="s">
        <v>3940</v>
      </c>
      <c r="EW490" s="67">
        <v>488.82</v>
      </c>
      <c r="EX490" s="67" t="s">
        <v>3941</v>
      </c>
      <c r="EY490" s="67">
        <v>5682.5</v>
      </c>
      <c r="EZ490" s="67" t="s">
        <v>3942</v>
      </c>
      <c r="FA490" s="67">
        <v>20086.25</v>
      </c>
      <c r="FB490" s="67" t="s">
        <v>3943</v>
      </c>
      <c r="FC490" s="67" t="s">
        <v>3944</v>
      </c>
      <c r="FD490" s="67" t="s">
        <v>3945</v>
      </c>
      <c r="FE490" s="68" t="s">
        <v>3946</v>
      </c>
      <c r="FF490" s="68" t="s">
        <v>3947</v>
      </c>
    </row>
    <row r="491" spans="151:162" x14ac:dyDescent="0.2">
      <c r="EU491" s="67">
        <v>566.95000000000005</v>
      </c>
      <c r="EV491" s="67" t="s">
        <v>3948</v>
      </c>
      <c r="EW491" s="67">
        <v>489.06</v>
      </c>
      <c r="EX491" s="67" t="s">
        <v>3949</v>
      </c>
      <c r="EY491" s="67">
        <v>5685</v>
      </c>
      <c r="EZ491" s="67" t="s">
        <v>3950</v>
      </c>
      <c r="FA491" s="67">
        <v>20095.5</v>
      </c>
      <c r="FB491" s="67" t="s">
        <v>3951</v>
      </c>
      <c r="FC491" s="67" t="s">
        <v>3952</v>
      </c>
      <c r="FD491" s="67" t="s">
        <v>3953</v>
      </c>
      <c r="FE491" s="68" t="s">
        <v>3954</v>
      </c>
      <c r="FF491" s="68" t="s">
        <v>3955</v>
      </c>
    </row>
    <row r="492" spans="151:162" x14ac:dyDescent="0.2">
      <c r="EU492" s="67">
        <v>566.9</v>
      </c>
      <c r="EV492" s="67" t="s">
        <v>3956</v>
      </c>
      <c r="EW492" s="67">
        <v>488.94</v>
      </c>
      <c r="EX492" s="67" t="s">
        <v>3957</v>
      </c>
      <c r="EY492" s="67">
        <v>5684.75</v>
      </c>
      <c r="EZ492" s="67" t="s">
        <v>3958</v>
      </c>
      <c r="FA492" s="67">
        <v>20090.75</v>
      </c>
      <c r="FB492" s="67" t="s">
        <v>3959</v>
      </c>
      <c r="FC492" s="67" t="s">
        <v>3960</v>
      </c>
      <c r="FD492" s="67" t="s">
        <v>3961</v>
      </c>
      <c r="FE492" s="68" t="s">
        <v>3962</v>
      </c>
      <c r="FF492" s="68" t="s">
        <v>3963</v>
      </c>
    </row>
    <row r="493" spans="151:162" x14ac:dyDescent="0.2">
      <c r="EU493" s="67">
        <v>566.91</v>
      </c>
      <c r="EV493" s="67" t="s">
        <v>3964</v>
      </c>
      <c r="EW493" s="67">
        <v>488.94</v>
      </c>
      <c r="EX493" s="67" t="s">
        <v>3965</v>
      </c>
      <c r="EY493" s="67">
        <v>5685</v>
      </c>
      <c r="EZ493" s="67" t="s">
        <v>3966</v>
      </c>
      <c r="FA493" s="67">
        <v>20090.5</v>
      </c>
      <c r="FB493" s="67" t="s">
        <v>3967</v>
      </c>
      <c r="FC493" s="67" t="s">
        <v>3968</v>
      </c>
      <c r="FD493" s="67" t="s">
        <v>3969</v>
      </c>
      <c r="FE493" s="68" t="s">
        <v>3970</v>
      </c>
      <c r="FF493" s="68" t="s">
        <v>3971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C41 B42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disablePrompts="1"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"GEX-OI,GEX-VOL,DEX,VOLPRESS,INVENTORY"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topLeftCell="A166" zoomScale="80" zoomScaleNormal="80" workbookViewId="0">
      <selection activeCell="Z22" sqref="Z22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hidden="1" customWidth="1" outlineLevel="1"/>
    <col min="3" max="3" width="8.42578125" style="93" hidden="1" customWidth="1" outlineLevel="1"/>
    <col min="4" max="10" width="7.7109375" style="93" hidden="1" customWidth="1" outlineLevel="1"/>
    <col min="11" max="11" width="8.42578125" style="93" hidden="1" customWidth="1" outlineLevel="1"/>
    <col min="12" max="24" width="7.7109375" style="93" hidden="1" customWidth="1" outlineLevel="1"/>
    <col min="25" max="25" width="20.42578125" style="93" customWidth="1" collapsed="1"/>
    <col min="26" max="16384" width="7.28515625" style="93"/>
  </cols>
  <sheetData>
    <row r="1" spans="1:25" x14ac:dyDescent="0.25">
      <c r="A1" s="92" t="str">
        <f ca="1">TEXT(IF(HOUR(NOW())&gt;=17,NOW()+1,NOW()),"YYMMDD")</f>
        <v>250502</v>
      </c>
      <c r="B1" s="92" t="str">
        <f ca="1">IF(AND(TEXT(B3,"YYMMDD")&gt;$A$1,TEXT(B3,"YYMMDD")&lt;&gt;Hoja1!$C$2,TEXT(B3,"YYMMDD")&lt;&gt;Hoja1!$D$2),TEXT(B3,"YYMMDD"),"")</f>
        <v>250505</v>
      </c>
      <c r="C1" s="92" t="str">
        <f ca="1">IF(AND(TEXT(C3,"YYMMDD")&gt;$A$1,TEXT(C3,"YYMMDD")&lt;&gt;Hoja1!$C$2,TEXT(C3,"YYMMDD")&lt;&gt;Hoja1!$D$2),TEXT(C3,"YYMMDD"),"")</f>
        <v>250506</v>
      </c>
      <c r="D1" s="92" t="str">
        <f ca="1">IF(AND(TEXT(D3,"YYMMDD")&gt;$A$1,TEXT(D3,"YYMMDD")&lt;&gt;Hoja1!$C$2,TEXT(D3,"YYMMDD")&lt;&gt;Hoja1!$D$2),TEXT(D3,"YYMMDD"),"")</f>
        <v>250507</v>
      </c>
      <c r="E1" s="92" t="str">
        <f ca="1">IF(AND(TEXT(E3,"YYMMDD")&gt;$A$1,TEXT(E3,"YYMMDD")&lt;&gt;Hoja1!$C$2,TEXT(E3,"YYMMDD")&lt;&gt;Hoja1!$D$2),TEXT(E3,"YYMMDD"),"")</f>
        <v>250508</v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/>
      </c>
      <c r="H1" s="92" t="str">
        <f ca="1">IF(AND(TEXT(H3,"YYMMDD")&gt;$A$1,TEXT(H3,"YYMMDD")&lt;&gt;Hoja1!$C$2,TEXT(H3,"YYMMDD")&lt;&gt;Hoja1!$D$2),TEXT(H3,"YYMMDD"),"")</f>
        <v>250523</v>
      </c>
      <c r="I1" s="92" t="str">
        <f ca="1">IF(AND(TEXT(I3,"YYMMDD")&gt;$A$1,TEXT(I3,"YYMMDD")&lt;&gt;Hoja1!$C$2,TEXT(I3,"YYMMDD")&lt;&gt;Hoja1!$D$2),TEXT(I3,"YYMMDD"),"")</f>
        <v>250530</v>
      </c>
      <c r="J1" s="92" t="str">
        <f ca="1">IF(AND(TEXT(J3,"YYMMDD")&gt;$A$1,TEXT(J3,"YYMMDD")&lt;&gt;Hoja1!$C$2,TEXT(J3,"YYMMDD")&lt;&gt;Hoja1!$D$2),TEXT(J3,"YYMMDD"),"")</f>
        <v>250606</v>
      </c>
      <c r="K1" s="92" t="str">
        <f ca="1">IF(AND(TEXT(K3,"YYMMDD")&gt;$A$1,TEXT(K3,"YYMMDD")&lt;&gt;Hoja1!$C$2,TEXT(K3,"YYMMDD")&lt;&gt;Hoja1!$D$2),TEXT(K3,"YYMMDD"),"")</f>
        <v>250620</v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250718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250815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250919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251017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251121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251219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 t="shared" ref="L2" si="1">+K2</f>
        <v>SPY</v>
      </c>
      <c r="M2" s="92" t="str">
        <f t="shared" ref="M2:X2" si="2">+K2</f>
        <v>SPY</v>
      </c>
      <c r="N2" s="92" t="str">
        <f t="shared" si="2"/>
        <v>SPY</v>
      </c>
      <c r="O2" s="92" t="str">
        <f t="shared" si="2"/>
        <v>SPY</v>
      </c>
      <c r="P2" s="92" t="str">
        <f t="shared" si="2"/>
        <v>SPY</v>
      </c>
      <c r="Q2" s="92" t="str">
        <f t="shared" si="2"/>
        <v>SPY</v>
      </c>
      <c r="R2" s="92" t="str">
        <f t="shared" si="2"/>
        <v>SPY</v>
      </c>
      <c r="S2" s="92" t="str">
        <f t="shared" si="2"/>
        <v>SPY</v>
      </c>
      <c r="T2" s="92" t="str">
        <f t="shared" si="2"/>
        <v>SPY</v>
      </c>
      <c r="U2" s="92" t="str">
        <f t="shared" si="2"/>
        <v>SPY</v>
      </c>
      <c r="V2" s="92" t="str">
        <f t="shared" si="2"/>
        <v>SPY</v>
      </c>
      <c r="W2" s="92" t="str">
        <f t="shared" si="2"/>
        <v>SPY</v>
      </c>
      <c r="X2" s="92" t="str">
        <f t="shared" si="2"/>
        <v>SPY</v>
      </c>
    </row>
    <row r="3" spans="1:25" x14ac:dyDescent="0.25">
      <c r="A3" s="92" t="str">
        <f>+Hoja1!A2</f>
        <v>SPY</v>
      </c>
      <c r="B3" s="94">
        <v>45782</v>
      </c>
      <c r="C3" s="94">
        <f>+B3+1</f>
        <v>45783</v>
      </c>
      <c r="D3" s="94">
        <f>+C3+1</f>
        <v>45784</v>
      </c>
      <c r="E3" s="94">
        <f>+D3+1</f>
        <v>45785</v>
      </c>
      <c r="F3" s="94">
        <f>+E3+1</f>
        <v>45786</v>
      </c>
      <c r="G3" s="94">
        <f>+F3+7</f>
        <v>45793</v>
      </c>
      <c r="H3" s="94">
        <f>+G3+7</f>
        <v>45800</v>
      </c>
      <c r="I3" s="94">
        <f>+H3+7</f>
        <v>45807</v>
      </c>
      <c r="J3" s="94">
        <f>+I3+7</f>
        <v>45814</v>
      </c>
      <c r="K3" s="94">
        <v>45828</v>
      </c>
      <c r="L3" s="94">
        <v>45838</v>
      </c>
      <c r="M3" s="94">
        <f>+K3+7+7+7+7</f>
        <v>45856</v>
      </c>
      <c r="N3" s="94">
        <v>45869</v>
      </c>
      <c r="O3" s="94">
        <f>+M3+7+7+7+7</f>
        <v>45884</v>
      </c>
      <c r="P3" s="94">
        <v>45898</v>
      </c>
      <c r="Q3" s="94">
        <f>+O3+7+7+7+7+7</f>
        <v>45919</v>
      </c>
      <c r="R3" s="94">
        <v>45930</v>
      </c>
      <c r="S3" s="94">
        <f>+Q3+7+7+7+7</f>
        <v>45947</v>
      </c>
      <c r="T3" s="94">
        <v>45961</v>
      </c>
      <c r="U3" s="94">
        <f>+S3+7+7+7+7+7</f>
        <v>45982</v>
      </c>
      <c r="V3" s="94">
        <v>45989</v>
      </c>
      <c r="W3" s="94">
        <f>+U3+7+7+7+7</f>
        <v>46010</v>
      </c>
      <c r="X3" s="94">
        <v>46022</v>
      </c>
    </row>
    <row r="4" spans="1:25" x14ac:dyDescent="0.25">
      <c r="A4" s="92">
        <f>+Hoja1!A3</f>
        <v>566.97</v>
      </c>
      <c r="B4" s="92"/>
      <c r="C4" s="92"/>
      <c r="D4" s="92"/>
    </row>
    <row r="5" spans="1:25" x14ac:dyDescent="0.25">
      <c r="A5" s="92">
        <f>+Hoja1!A4</f>
        <v>582</v>
      </c>
      <c r="B5" s="91" t="e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#N/A</v>
      </c>
      <c r="C5" s="91" t="e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#N/A</v>
      </c>
      <c r="D5" s="91" t="e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#N/A</v>
      </c>
      <c r="E5" s="91" t="e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#N/A</v>
      </c>
      <c r="F5" s="91" t="e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#N/A</v>
      </c>
      <c r="G5" s="91" t="e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#N/A</v>
      </c>
      <c r="H5" s="91" t="e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#N/A</v>
      </c>
      <c r="I5" s="91" t="e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#N/A</v>
      </c>
      <c r="J5" s="91" t="e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#N/A</v>
      </c>
      <c r="K5" s="91" t="e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#N/A</v>
      </c>
      <c r="L5" s="91" t="e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#N/A</v>
      </c>
      <c r="M5" s="91" t="e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#N/A</v>
      </c>
      <c r="N5" s="91" t="e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#N/A</v>
      </c>
      <c r="O5" s="91" t="e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#N/A</v>
      </c>
      <c r="P5" s="91" t="e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#N/A</v>
      </c>
      <c r="Q5" s="91" t="e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#N/A</v>
      </c>
      <c r="R5" s="91" t="e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#N/A</v>
      </c>
      <c r="S5" s="91" t="e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#N/A</v>
      </c>
      <c r="T5" s="91" t="e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#N/A</v>
      </c>
      <c r="U5" s="91" t="e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#N/A</v>
      </c>
      <c r="V5" s="91" t="e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#N/A</v>
      </c>
      <c r="W5" s="91" t="e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#N/A</v>
      </c>
      <c r="X5" s="91" t="e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#N/A</v>
      </c>
      <c r="Y5" s="98" t="e">
        <f ca="1">SUM(B5:X5)</f>
        <v>#N/A</v>
      </c>
    </row>
    <row r="6" spans="1:25" x14ac:dyDescent="0.25">
      <c r="A6" s="92">
        <f>+Hoja1!A5</f>
        <v>581</v>
      </c>
      <c r="B6" s="91" t="e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#N/A</v>
      </c>
      <c r="C6" s="91" t="e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#N/A</v>
      </c>
      <c r="D6" s="91" t="e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#N/A</v>
      </c>
      <c r="E6" s="91" t="e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#N/A</v>
      </c>
      <c r="F6" s="91" t="e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#N/A</v>
      </c>
      <c r="G6" s="91" t="e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#N/A</v>
      </c>
      <c r="H6" s="91" t="e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#N/A</v>
      </c>
      <c r="I6" s="91" t="e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#N/A</v>
      </c>
      <c r="J6" s="91" t="e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#N/A</v>
      </c>
      <c r="K6" s="91" t="e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#N/A</v>
      </c>
      <c r="L6" s="91" t="e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#N/A</v>
      </c>
      <c r="M6" s="91" t="e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#N/A</v>
      </c>
      <c r="N6" s="91" t="e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#N/A</v>
      </c>
      <c r="O6" s="91" t="e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#N/A</v>
      </c>
      <c r="P6" s="91" t="e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#N/A</v>
      </c>
      <c r="Q6" s="91" t="e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#N/A</v>
      </c>
      <c r="R6" s="91" t="e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#N/A</v>
      </c>
      <c r="S6" s="91" t="e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#N/A</v>
      </c>
      <c r="T6" s="91" t="e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#N/A</v>
      </c>
      <c r="U6" s="91" t="e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#N/A</v>
      </c>
      <c r="V6" s="91" t="e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#N/A</v>
      </c>
      <c r="W6" s="91" t="e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#N/A</v>
      </c>
      <c r="X6" s="91" t="e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#N/A</v>
      </c>
      <c r="Y6" s="98" t="e">
        <f t="shared" ref="Y6:Y39" ca="1" si="3">SUM(B6:X6)</f>
        <v>#N/A</v>
      </c>
    </row>
    <row r="7" spans="1:25" x14ac:dyDescent="0.25">
      <c r="A7" s="92">
        <f>+Hoja1!A6</f>
        <v>580</v>
      </c>
      <c r="B7" s="91" t="e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#N/A</v>
      </c>
      <c r="C7" s="91" t="e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#N/A</v>
      </c>
      <c r="D7" s="91" t="e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#N/A</v>
      </c>
      <c r="E7" s="91" t="e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#N/A</v>
      </c>
      <c r="F7" s="91" t="e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#N/A</v>
      </c>
      <c r="G7" s="91" t="e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#N/A</v>
      </c>
      <c r="H7" s="91" t="e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#N/A</v>
      </c>
      <c r="I7" s="91" t="e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#N/A</v>
      </c>
      <c r="J7" s="91" t="e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#N/A</v>
      </c>
      <c r="K7" s="91" t="e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#N/A</v>
      </c>
      <c r="L7" s="91" t="e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#N/A</v>
      </c>
      <c r="M7" s="91" t="e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#N/A</v>
      </c>
      <c r="N7" s="91" t="e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#N/A</v>
      </c>
      <c r="O7" s="91" t="e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#N/A</v>
      </c>
      <c r="P7" s="91" t="e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#N/A</v>
      </c>
      <c r="Q7" s="91" t="e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#N/A</v>
      </c>
      <c r="R7" s="91" t="e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#N/A</v>
      </c>
      <c r="S7" s="91" t="e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#N/A</v>
      </c>
      <c r="T7" s="91" t="e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#N/A</v>
      </c>
      <c r="U7" s="91" t="e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#N/A</v>
      </c>
      <c r="V7" s="91" t="e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#N/A</v>
      </c>
      <c r="W7" s="91" t="e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#N/A</v>
      </c>
      <c r="X7" s="91" t="e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#N/A</v>
      </c>
      <c r="Y7" s="98" t="e">
        <f t="shared" ca="1" si="3"/>
        <v>#N/A</v>
      </c>
    </row>
    <row r="8" spans="1:25" x14ac:dyDescent="0.25">
      <c r="A8" s="92">
        <f>+Hoja1!A7</f>
        <v>579</v>
      </c>
      <c r="B8" s="91" t="e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#N/A</v>
      </c>
      <c r="C8" s="91" t="e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#N/A</v>
      </c>
      <c r="D8" s="91" t="e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#N/A</v>
      </c>
      <c r="E8" s="91" t="e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#N/A</v>
      </c>
      <c r="F8" s="91" t="e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#N/A</v>
      </c>
      <c r="G8" s="91" t="e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#N/A</v>
      </c>
      <c r="H8" s="91" t="e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#N/A</v>
      </c>
      <c r="I8" s="91" t="e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#N/A</v>
      </c>
      <c r="J8" s="91" t="e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#N/A</v>
      </c>
      <c r="K8" s="91" t="e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#N/A</v>
      </c>
      <c r="L8" s="91" t="e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#N/A</v>
      </c>
      <c r="M8" s="91" t="e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#N/A</v>
      </c>
      <c r="N8" s="91" t="e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#N/A</v>
      </c>
      <c r="O8" s="91" t="e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#N/A</v>
      </c>
      <c r="P8" s="91" t="e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#N/A</v>
      </c>
      <c r="Q8" s="91" t="e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#N/A</v>
      </c>
      <c r="R8" s="91" t="e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#N/A</v>
      </c>
      <c r="S8" s="91" t="e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#N/A</v>
      </c>
      <c r="T8" s="91" t="e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#N/A</v>
      </c>
      <c r="U8" s="91" t="e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#N/A</v>
      </c>
      <c r="V8" s="91" t="e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#N/A</v>
      </c>
      <c r="W8" s="91" t="e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#N/A</v>
      </c>
      <c r="X8" s="91" t="e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#N/A</v>
      </c>
      <c r="Y8" s="98" t="e">
        <f t="shared" ca="1" si="3"/>
        <v>#N/A</v>
      </c>
    </row>
    <row r="9" spans="1:25" x14ac:dyDescent="0.25">
      <c r="A9" s="93">
        <f>+Hoja1!A8</f>
        <v>578</v>
      </c>
      <c r="B9" s="91" t="e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#N/A</v>
      </c>
      <c r="C9" s="91" t="e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#N/A</v>
      </c>
      <c r="D9" s="91" t="e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#N/A</v>
      </c>
      <c r="E9" s="91" t="e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#N/A</v>
      </c>
      <c r="F9" s="91" t="e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#N/A</v>
      </c>
      <c r="G9" s="91" t="e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#N/A</v>
      </c>
      <c r="H9" s="91" t="e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#N/A</v>
      </c>
      <c r="I9" s="91" t="e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#N/A</v>
      </c>
      <c r="J9" s="91" t="e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#N/A</v>
      </c>
      <c r="K9" s="91" t="e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#N/A</v>
      </c>
      <c r="L9" s="91" t="e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#N/A</v>
      </c>
      <c r="M9" s="91" t="e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#N/A</v>
      </c>
      <c r="N9" s="91" t="e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#N/A</v>
      </c>
      <c r="O9" s="91" t="e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#N/A</v>
      </c>
      <c r="P9" s="91" t="e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#N/A</v>
      </c>
      <c r="Q9" s="91" t="e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#N/A</v>
      </c>
      <c r="R9" s="91" t="e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#N/A</v>
      </c>
      <c r="S9" s="91" t="e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#N/A</v>
      </c>
      <c r="T9" s="91" t="e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#N/A</v>
      </c>
      <c r="U9" s="91" t="e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#N/A</v>
      </c>
      <c r="V9" s="91" t="e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#N/A</v>
      </c>
      <c r="W9" s="91" t="e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#N/A</v>
      </c>
      <c r="X9" s="91" t="e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#N/A</v>
      </c>
      <c r="Y9" s="98" t="e">
        <f t="shared" ca="1" si="3"/>
        <v>#N/A</v>
      </c>
    </row>
    <row r="10" spans="1:25" x14ac:dyDescent="0.25">
      <c r="A10" s="93">
        <f>+Hoja1!A9</f>
        <v>577</v>
      </c>
      <c r="B10" s="91" t="e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#N/A</v>
      </c>
      <c r="C10" s="91" t="e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#N/A</v>
      </c>
      <c r="D10" s="91" t="e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#N/A</v>
      </c>
      <c r="E10" s="91" t="e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#N/A</v>
      </c>
      <c r="F10" s="91" t="e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#N/A</v>
      </c>
      <c r="G10" s="91" t="e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#N/A</v>
      </c>
      <c r="H10" s="91" t="e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#N/A</v>
      </c>
      <c r="I10" s="91" t="e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#N/A</v>
      </c>
      <c r="J10" s="91" t="e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#N/A</v>
      </c>
      <c r="K10" s="91" t="e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#N/A</v>
      </c>
      <c r="L10" s="91" t="e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#N/A</v>
      </c>
      <c r="M10" s="91" t="e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#N/A</v>
      </c>
      <c r="N10" s="91" t="e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#N/A</v>
      </c>
      <c r="O10" s="91" t="e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#N/A</v>
      </c>
      <c r="P10" s="91" t="e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#N/A</v>
      </c>
      <c r="Q10" s="91" t="e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#N/A</v>
      </c>
      <c r="R10" s="91" t="e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#N/A</v>
      </c>
      <c r="S10" s="91" t="e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#N/A</v>
      </c>
      <c r="T10" s="91" t="e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#N/A</v>
      </c>
      <c r="U10" s="91" t="e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#N/A</v>
      </c>
      <c r="V10" s="91" t="e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#N/A</v>
      </c>
      <c r="W10" s="91" t="e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#N/A</v>
      </c>
      <c r="X10" s="91" t="e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#N/A</v>
      </c>
      <c r="Y10" s="98" t="e">
        <f t="shared" ca="1" si="3"/>
        <v>#N/A</v>
      </c>
    </row>
    <row r="11" spans="1:25" x14ac:dyDescent="0.25">
      <c r="A11" s="93">
        <f>+Hoja1!A10</f>
        <v>576</v>
      </c>
      <c r="B11" s="91" t="e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#N/A</v>
      </c>
      <c r="C11" s="91" t="e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#N/A</v>
      </c>
      <c r="D11" s="91" t="e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#N/A</v>
      </c>
      <c r="E11" s="91" t="e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#N/A</v>
      </c>
      <c r="F11" s="91" t="e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#N/A</v>
      </c>
      <c r="G11" s="91" t="e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#N/A</v>
      </c>
      <c r="H11" s="91" t="e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#N/A</v>
      </c>
      <c r="I11" s="91" t="e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#N/A</v>
      </c>
      <c r="J11" s="91" t="e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#N/A</v>
      </c>
      <c r="K11" s="91" t="e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#N/A</v>
      </c>
      <c r="L11" s="91" t="e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#N/A</v>
      </c>
      <c r="M11" s="91" t="e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#N/A</v>
      </c>
      <c r="N11" s="91" t="e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#N/A</v>
      </c>
      <c r="O11" s="91" t="e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#N/A</v>
      </c>
      <c r="P11" s="91" t="e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#N/A</v>
      </c>
      <c r="Q11" s="91" t="e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#N/A</v>
      </c>
      <c r="R11" s="91" t="e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#N/A</v>
      </c>
      <c r="S11" s="91" t="e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#N/A</v>
      </c>
      <c r="T11" s="91" t="e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#N/A</v>
      </c>
      <c r="U11" s="91" t="e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#N/A</v>
      </c>
      <c r="V11" s="91" t="e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#N/A</v>
      </c>
      <c r="W11" s="91" t="e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#N/A</v>
      </c>
      <c r="X11" s="91" t="e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#N/A</v>
      </c>
      <c r="Y11" s="98" t="e">
        <f t="shared" ca="1" si="3"/>
        <v>#N/A</v>
      </c>
    </row>
    <row r="12" spans="1:25" x14ac:dyDescent="0.25">
      <c r="A12" s="93">
        <f>+Hoja1!A11</f>
        <v>575</v>
      </c>
      <c r="B12" s="91" t="e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#N/A</v>
      </c>
      <c r="C12" s="91" t="e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#N/A</v>
      </c>
      <c r="D12" s="91" t="e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#N/A</v>
      </c>
      <c r="E12" s="91" t="e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#N/A</v>
      </c>
      <c r="F12" s="91" t="e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#N/A</v>
      </c>
      <c r="G12" s="91" t="e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#N/A</v>
      </c>
      <c r="H12" s="91" t="e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#N/A</v>
      </c>
      <c r="I12" s="91" t="e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#N/A</v>
      </c>
      <c r="J12" s="91" t="e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#N/A</v>
      </c>
      <c r="K12" s="91" t="e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#N/A</v>
      </c>
      <c r="L12" s="91" t="e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#N/A</v>
      </c>
      <c r="M12" s="91" t="e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#N/A</v>
      </c>
      <c r="N12" s="91" t="e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#N/A</v>
      </c>
      <c r="O12" s="91" t="e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#N/A</v>
      </c>
      <c r="P12" s="91" t="e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#N/A</v>
      </c>
      <c r="Q12" s="91" t="e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#N/A</v>
      </c>
      <c r="R12" s="91" t="e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#N/A</v>
      </c>
      <c r="S12" s="91" t="e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#N/A</v>
      </c>
      <c r="T12" s="91" t="e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#N/A</v>
      </c>
      <c r="U12" s="91" t="e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#N/A</v>
      </c>
      <c r="V12" s="91" t="e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#N/A</v>
      </c>
      <c r="W12" s="91" t="e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#N/A</v>
      </c>
      <c r="X12" s="91" t="e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#N/A</v>
      </c>
      <c r="Y12" s="98" t="e">
        <f t="shared" ca="1" si="3"/>
        <v>#N/A</v>
      </c>
    </row>
    <row r="13" spans="1:25" x14ac:dyDescent="0.25">
      <c r="A13" s="93">
        <f>+Hoja1!A12</f>
        <v>574</v>
      </c>
      <c r="B13" s="91" t="e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#N/A</v>
      </c>
      <c r="C13" s="91" t="e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#N/A</v>
      </c>
      <c r="D13" s="91" t="e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#N/A</v>
      </c>
      <c r="E13" s="91" t="e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#N/A</v>
      </c>
      <c r="F13" s="91" t="e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#N/A</v>
      </c>
      <c r="G13" s="91" t="e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#N/A</v>
      </c>
      <c r="H13" s="91" t="e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#N/A</v>
      </c>
      <c r="I13" s="91" t="e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#N/A</v>
      </c>
      <c r="J13" s="91" t="e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#N/A</v>
      </c>
      <c r="K13" s="91" t="e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#N/A</v>
      </c>
      <c r="L13" s="91" t="e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#N/A</v>
      </c>
      <c r="M13" s="91" t="e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#N/A</v>
      </c>
      <c r="N13" s="91" t="e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#N/A</v>
      </c>
      <c r="O13" s="91" t="e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#N/A</v>
      </c>
      <c r="P13" s="91" t="e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#N/A</v>
      </c>
      <c r="Q13" s="91" t="e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#N/A</v>
      </c>
      <c r="R13" s="91" t="e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#N/A</v>
      </c>
      <c r="S13" s="91" t="e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#N/A</v>
      </c>
      <c r="T13" s="91" t="e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#N/A</v>
      </c>
      <c r="U13" s="91" t="e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#N/A</v>
      </c>
      <c r="V13" s="91" t="e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#N/A</v>
      </c>
      <c r="W13" s="91" t="e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#N/A</v>
      </c>
      <c r="X13" s="91" t="e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#N/A</v>
      </c>
      <c r="Y13" s="98" t="e">
        <f t="shared" ca="1" si="3"/>
        <v>#N/A</v>
      </c>
    </row>
    <row r="14" spans="1:25" x14ac:dyDescent="0.25">
      <c r="A14" s="93">
        <f>+Hoja1!A13</f>
        <v>573</v>
      </c>
      <c r="B14" s="91" t="e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#N/A</v>
      </c>
      <c r="C14" s="91" t="e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#N/A</v>
      </c>
      <c r="D14" s="91" t="e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#N/A</v>
      </c>
      <c r="E14" s="91" t="e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#N/A</v>
      </c>
      <c r="F14" s="91" t="e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#N/A</v>
      </c>
      <c r="G14" s="91" t="e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#N/A</v>
      </c>
      <c r="H14" s="91" t="e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#N/A</v>
      </c>
      <c r="I14" s="91" t="e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#N/A</v>
      </c>
      <c r="J14" s="91" t="e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#N/A</v>
      </c>
      <c r="K14" s="91" t="e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#N/A</v>
      </c>
      <c r="L14" s="91" t="e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#N/A</v>
      </c>
      <c r="M14" s="91" t="e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#N/A</v>
      </c>
      <c r="N14" s="91" t="e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#N/A</v>
      </c>
      <c r="O14" s="91" t="e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#N/A</v>
      </c>
      <c r="P14" s="91" t="e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#N/A</v>
      </c>
      <c r="Q14" s="91" t="e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#N/A</v>
      </c>
      <c r="R14" s="91" t="e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#N/A</v>
      </c>
      <c r="S14" s="91" t="e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#N/A</v>
      </c>
      <c r="T14" s="91" t="e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#N/A</v>
      </c>
      <c r="U14" s="91" t="e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#N/A</v>
      </c>
      <c r="V14" s="91" t="e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#N/A</v>
      </c>
      <c r="W14" s="91" t="e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#N/A</v>
      </c>
      <c r="X14" s="91" t="e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#N/A</v>
      </c>
      <c r="Y14" s="98" t="e">
        <f t="shared" ca="1" si="3"/>
        <v>#N/A</v>
      </c>
    </row>
    <row r="15" spans="1:25" x14ac:dyDescent="0.25">
      <c r="A15" s="93">
        <f>+Hoja1!A14</f>
        <v>572</v>
      </c>
      <c r="B15" s="91" t="e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#N/A</v>
      </c>
      <c r="C15" s="91" t="e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#N/A</v>
      </c>
      <c r="D15" s="91" t="e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#N/A</v>
      </c>
      <c r="E15" s="91" t="e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#N/A</v>
      </c>
      <c r="F15" s="91" t="e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#N/A</v>
      </c>
      <c r="G15" s="91" t="e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#N/A</v>
      </c>
      <c r="H15" s="91" t="e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#N/A</v>
      </c>
      <c r="I15" s="91" t="e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#N/A</v>
      </c>
      <c r="J15" s="91" t="e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#N/A</v>
      </c>
      <c r="K15" s="91" t="e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#N/A</v>
      </c>
      <c r="L15" s="91" t="e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#N/A</v>
      </c>
      <c r="M15" s="91" t="e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#N/A</v>
      </c>
      <c r="N15" s="91" t="e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#N/A</v>
      </c>
      <c r="O15" s="91" t="e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#N/A</v>
      </c>
      <c r="P15" s="91" t="e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#N/A</v>
      </c>
      <c r="Q15" s="91" t="e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#N/A</v>
      </c>
      <c r="R15" s="91" t="e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#N/A</v>
      </c>
      <c r="S15" s="91" t="e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#N/A</v>
      </c>
      <c r="T15" s="91" t="e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#N/A</v>
      </c>
      <c r="U15" s="91" t="e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#N/A</v>
      </c>
      <c r="V15" s="91" t="e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#N/A</v>
      </c>
      <c r="W15" s="91" t="e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#N/A</v>
      </c>
      <c r="X15" s="91" t="e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#N/A</v>
      </c>
      <c r="Y15" s="98" t="e">
        <f t="shared" ca="1" si="3"/>
        <v>#N/A</v>
      </c>
    </row>
    <row r="16" spans="1:25" x14ac:dyDescent="0.25">
      <c r="A16" s="93">
        <f>+Hoja1!A15</f>
        <v>571</v>
      </c>
      <c r="B16" s="91" t="e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#N/A</v>
      </c>
      <c r="C16" s="91" t="e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#N/A</v>
      </c>
      <c r="D16" s="91" t="e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#N/A</v>
      </c>
      <c r="E16" s="91" t="e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#N/A</v>
      </c>
      <c r="F16" s="91" t="e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#N/A</v>
      </c>
      <c r="G16" s="91" t="e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#N/A</v>
      </c>
      <c r="H16" s="91" t="e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#N/A</v>
      </c>
      <c r="I16" s="91" t="e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#N/A</v>
      </c>
      <c r="J16" s="91" t="e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#N/A</v>
      </c>
      <c r="K16" s="91" t="e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#N/A</v>
      </c>
      <c r="L16" s="91" t="e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#N/A</v>
      </c>
      <c r="M16" s="91" t="e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#N/A</v>
      </c>
      <c r="N16" s="91" t="e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#N/A</v>
      </c>
      <c r="O16" s="91" t="e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#N/A</v>
      </c>
      <c r="P16" s="91" t="e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#N/A</v>
      </c>
      <c r="Q16" s="91" t="e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#N/A</v>
      </c>
      <c r="R16" s="91" t="e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#N/A</v>
      </c>
      <c r="S16" s="91" t="e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#N/A</v>
      </c>
      <c r="T16" s="91" t="e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#N/A</v>
      </c>
      <c r="U16" s="91" t="e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#N/A</v>
      </c>
      <c r="V16" s="91" t="e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#N/A</v>
      </c>
      <c r="W16" s="91" t="e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#N/A</v>
      </c>
      <c r="X16" s="91" t="e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#N/A</v>
      </c>
      <c r="Y16" s="98" t="e">
        <f t="shared" ca="1" si="3"/>
        <v>#N/A</v>
      </c>
    </row>
    <row r="17" spans="1:25" x14ac:dyDescent="0.25">
      <c r="A17" s="93">
        <f>+Hoja1!A16</f>
        <v>570</v>
      </c>
      <c r="B17" s="91" t="e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#N/A</v>
      </c>
      <c r="C17" s="91" t="e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#N/A</v>
      </c>
      <c r="D17" s="91" t="e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#N/A</v>
      </c>
      <c r="E17" s="91" t="e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#N/A</v>
      </c>
      <c r="F17" s="91" t="e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#N/A</v>
      </c>
      <c r="G17" s="91" t="e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#N/A</v>
      </c>
      <c r="H17" s="91" t="e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#N/A</v>
      </c>
      <c r="I17" s="91" t="e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#N/A</v>
      </c>
      <c r="J17" s="91" t="e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#N/A</v>
      </c>
      <c r="K17" s="91" t="e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#N/A</v>
      </c>
      <c r="L17" s="91" t="e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#N/A</v>
      </c>
      <c r="M17" s="91" t="e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#N/A</v>
      </c>
      <c r="N17" s="91" t="e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#N/A</v>
      </c>
      <c r="O17" s="91" t="e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#N/A</v>
      </c>
      <c r="P17" s="91" t="e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#N/A</v>
      </c>
      <c r="Q17" s="91" t="e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#N/A</v>
      </c>
      <c r="R17" s="91" t="e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#N/A</v>
      </c>
      <c r="S17" s="91" t="e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#N/A</v>
      </c>
      <c r="T17" s="91" t="e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#N/A</v>
      </c>
      <c r="U17" s="91" t="e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#N/A</v>
      </c>
      <c r="V17" s="91" t="e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#N/A</v>
      </c>
      <c r="W17" s="91" t="e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#N/A</v>
      </c>
      <c r="X17" s="91" t="e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#N/A</v>
      </c>
      <c r="Y17" s="98" t="e">
        <f t="shared" ca="1" si="3"/>
        <v>#N/A</v>
      </c>
    </row>
    <row r="18" spans="1:25" x14ac:dyDescent="0.25">
      <c r="A18" s="93">
        <f>+Hoja1!A17</f>
        <v>569</v>
      </c>
      <c r="B18" s="91" t="e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#N/A</v>
      </c>
      <c r="C18" s="91" t="e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#N/A</v>
      </c>
      <c r="D18" s="91" t="e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#N/A</v>
      </c>
      <c r="E18" s="91" t="e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#N/A</v>
      </c>
      <c r="F18" s="91" t="e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#N/A</v>
      </c>
      <c r="G18" s="91" t="e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#N/A</v>
      </c>
      <c r="H18" s="91" t="e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#N/A</v>
      </c>
      <c r="I18" s="91" t="e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#N/A</v>
      </c>
      <c r="J18" s="91" t="e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#N/A</v>
      </c>
      <c r="K18" s="91" t="e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#N/A</v>
      </c>
      <c r="L18" s="91" t="e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#N/A</v>
      </c>
      <c r="M18" s="91" t="e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#N/A</v>
      </c>
      <c r="N18" s="91" t="e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#N/A</v>
      </c>
      <c r="O18" s="91" t="e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#N/A</v>
      </c>
      <c r="P18" s="91" t="e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#N/A</v>
      </c>
      <c r="Q18" s="91" t="e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#N/A</v>
      </c>
      <c r="R18" s="91" t="e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#N/A</v>
      </c>
      <c r="S18" s="91" t="e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#N/A</v>
      </c>
      <c r="T18" s="91" t="e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#N/A</v>
      </c>
      <c r="U18" s="91" t="e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#N/A</v>
      </c>
      <c r="V18" s="91" t="e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#N/A</v>
      </c>
      <c r="W18" s="91" t="e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#N/A</v>
      </c>
      <c r="X18" s="91" t="e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#N/A</v>
      </c>
      <c r="Y18" s="98" t="e">
        <f t="shared" ca="1" si="3"/>
        <v>#N/A</v>
      </c>
    </row>
    <row r="19" spans="1:25" x14ac:dyDescent="0.25">
      <c r="A19" s="93">
        <f>+Hoja1!A18</f>
        <v>568</v>
      </c>
      <c r="B19" s="91" t="e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#N/A</v>
      </c>
      <c r="C19" s="91" t="e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#N/A</v>
      </c>
      <c r="D19" s="91" t="e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#N/A</v>
      </c>
      <c r="E19" s="91" t="e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#N/A</v>
      </c>
      <c r="F19" s="91" t="e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#N/A</v>
      </c>
      <c r="G19" s="91" t="e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#N/A</v>
      </c>
      <c r="H19" s="91" t="e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#N/A</v>
      </c>
      <c r="I19" s="91" t="e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#N/A</v>
      </c>
      <c r="J19" s="91" t="e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#N/A</v>
      </c>
      <c r="K19" s="91" t="e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#N/A</v>
      </c>
      <c r="L19" s="91" t="e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#N/A</v>
      </c>
      <c r="M19" s="91" t="e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#N/A</v>
      </c>
      <c r="N19" s="91" t="e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#N/A</v>
      </c>
      <c r="O19" s="91" t="e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#N/A</v>
      </c>
      <c r="P19" s="91" t="e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#N/A</v>
      </c>
      <c r="Q19" s="91" t="e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#N/A</v>
      </c>
      <c r="R19" s="91" t="e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#N/A</v>
      </c>
      <c r="S19" s="91" t="e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#N/A</v>
      </c>
      <c r="T19" s="91" t="e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#N/A</v>
      </c>
      <c r="U19" s="91" t="e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#N/A</v>
      </c>
      <c r="V19" s="91" t="e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#N/A</v>
      </c>
      <c r="W19" s="91" t="e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#N/A</v>
      </c>
      <c r="X19" s="91" t="e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#N/A</v>
      </c>
      <c r="Y19" s="98" t="e">
        <f t="shared" ca="1" si="3"/>
        <v>#N/A</v>
      </c>
    </row>
    <row r="20" spans="1:25" x14ac:dyDescent="0.25">
      <c r="A20" s="93">
        <f>+Hoja1!A19</f>
        <v>567</v>
      </c>
      <c r="B20" s="91" t="e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#N/A</v>
      </c>
      <c r="C20" s="91" t="e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#N/A</v>
      </c>
      <c r="D20" s="91" t="e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#N/A</v>
      </c>
      <c r="E20" s="91" t="e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#N/A</v>
      </c>
      <c r="F20" s="91" t="e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#N/A</v>
      </c>
      <c r="G20" s="91" t="e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#N/A</v>
      </c>
      <c r="H20" s="91" t="e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#N/A</v>
      </c>
      <c r="I20" s="91" t="e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#N/A</v>
      </c>
      <c r="J20" s="91" t="e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#N/A</v>
      </c>
      <c r="K20" s="91" t="e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#N/A</v>
      </c>
      <c r="L20" s="91" t="e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#N/A</v>
      </c>
      <c r="M20" s="91" t="e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#N/A</v>
      </c>
      <c r="N20" s="91" t="e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#N/A</v>
      </c>
      <c r="O20" s="91" t="e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#N/A</v>
      </c>
      <c r="P20" s="91" t="e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#N/A</v>
      </c>
      <c r="Q20" s="91" t="e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#N/A</v>
      </c>
      <c r="R20" s="91" t="e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#N/A</v>
      </c>
      <c r="S20" s="91" t="e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#N/A</v>
      </c>
      <c r="T20" s="91" t="e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#N/A</v>
      </c>
      <c r="U20" s="91" t="e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#N/A</v>
      </c>
      <c r="V20" s="91" t="e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#N/A</v>
      </c>
      <c r="W20" s="91" t="e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#N/A</v>
      </c>
      <c r="X20" s="91" t="e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#N/A</v>
      </c>
      <c r="Y20" s="98" t="e">
        <f t="shared" ca="1" si="3"/>
        <v>#N/A</v>
      </c>
    </row>
    <row r="21" spans="1:25" x14ac:dyDescent="0.25">
      <c r="A21" s="93">
        <f>+Hoja1!A20</f>
        <v>566</v>
      </c>
      <c r="B21" s="91" t="e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#N/A</v>
      </c>
      <c r="C21" s="91" t="e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#N/A</v>
      </c>
      <c r="D21" s="91" t="e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#N/A</v>
      </c>
      <c r="E21" s="91" t="e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#N/A</v>
      </c>
      <c r="F21" s="91" t="e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#N/A</v>
      </c>
      <c r="G21" s="91" t="e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#N/A</v>
      </c>
      <c r="H21" s="91" t="e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#N/A</v>
      </c>
      <c r="I21" s="91" t="e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#N/A</v>
      </c>
      <c r="J21" s="91" t="e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#N/A</v>
      </c>
      <c r="K21" s="91" t="e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#N/A</v>
      </c>
      <c r="L21" s="91" t="e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#N/A</v>
      </c>
      <c r="M21" s="91" t="e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#N/A</v>
      </c>
      <c r="N21" s="91" t="e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#N/A</v>
      </c>
      <c r="O21" s="91" t="e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#N/A</v>
      </c>
      <c r="P21" s="91" t="e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#N/A</v>
      </c>
      <c r="Q21" s="91" t="e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#N/A</v>
      </c>
      <c r="R21" s="91" t="e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#N/A</v>
      </c>
      <c r="S21" s="91" t="e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#N/A</v>
      </c>
      <c r="T21" s="91" t="e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#N/A</v>
      </c>
      <c r="U21" s="91" t="e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#N/A</v>
      </c>
      <c r="V21" s="91" t="e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#N/A</v>
      </c>
      <c r="W21" s="91" t="e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#N/A</v>
      </c>
      <c r="X21" s="91" t="e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#N/A</v>
      </c>
      <c r="Y21" s="98" t="e">
        <f t="shared" ca="1" si="3"/>
        <v>#N/A</v>
      </c>
    </row>
    <row r="22" spans="1:25" x14ac:dyDescent="0.25">
      <c r="A22" s="93">
        <f>+Hoja1!A21</f>
        <v>565</v>
      </c>
      <c r="B22" s="91" t="e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#N/A</v>
      </c>
      <c r="C22" s="91" t="e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#N/A</v>
      </c>
      <c r="D22" s="91" t="e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#N/A</v>
      </c>
      <c r="E22" s="91" t="e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#N/A</v>
      </c>
      <c r="F22" s="91" t="e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#N/A</v>
      </c>
      <c r="G22" s="91" t="e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#N/A</v>
      </c>
      <c r="H22" s="91" t="e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#N/A</v>
      </c>
      <c r="I22" s="91" t="e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#N/A</v>
      </c>
      <c r="J22" s="91" t="e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#N/A</v>
      </c>
      <c r="K22" s="91" t="e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#N/A</v>
      </c>
      <c r="L22" s="91" t="e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#N/A</v>
      </c>
      <c r="M22" s="91" t="e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#N/A</v>
      </c>
      <c r="N22" s="91" t="e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#N/A</v>
      </c>
      <c r="O22" s="91" t="e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#N/A</v>
      </c>
      <c r="P22" s="91" t="e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#N/A</v>
      </c>
      <c r="Q22" s="91" t="e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#N/A</v>
      </c>
      <c r="R22" s="91" t="e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#N/A</v>
      </c>
      <c r="S22" s="91" t="e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#N/A</v>
      </c>
      <c r="T22" s="91" t="e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#N/A</v>
      </c>
      <c r="U22" s="91" t="e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#N/A</v>
      </c>
      <c r="V22" s="91" t="e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#N/A</v>
      </c>
      <c r="W22" s="91" t="e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#N/A</v>
      </c>
      <c r="X22" s="91" t="e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#N/A</v>
      </c>
      <c r="Y22" s="98" t="e">
        <f t="shared" ca="1" si="3"/>
        <v>#N/A</v>
      </c>
    </row>
    <row r="23" spans="1:25" x14ac:dyDescent="0.25">
      <c r="A23" s="93">
        <f>+Hoja1!A22</f>
        <v>564</v>
      </c>
      <c r="B23" s="91" t="e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#N/A</v>
      </c>
      <c r="C23" s="91" t="e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#N/A</v>
      </c>
      <c r="D23" s="91" t="e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#N/A</v>
      </c>
      <c r="E23" s="91" t="e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#N/A</v>
      </c>
      <c r="F23" s="91" t="e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#N/A</v>
      </c>
      <c r="G23" s="91" t="e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#N/A</v>
      </c>
      <c r="H23" s="91" t="e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#N/A</v>
      </c>
      <c r="I23" s="91" t="e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#N/A</v>
      </c>
      <c r="J23" s="91" t="e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#N/A</v>
      </c>
      <c r="K23" s="91" t="e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#N/A</v>
      </c>
      <c r="L23" s="91" t="e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#N/A</v>
      </c>
      <c r="M23" s="91" t="e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#N/A</v>
      </c>
      <c r="N23" s="91" t="e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#N/A</v>
      </c>
      <c r="O23" s="91" t="e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#N/A</v>
      </c>
      <c r="P23" s="91" t="e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#N/A</v>
      </c>
      <c r="Q23" s="91" t="e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#N/A</v>
      </c>
      <c r="R23" s="91" t="e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#N/A</v>
      </c>
      <c r="S23" s="91" t="e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#N/A</v>
      </c>
      <c r="T23" s="91" t="e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#N/A</v>
      </c>
      <c r="U23" s="91" t="e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#N/A</v>
      </c>
      <c r="V23" s="91" t="e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#N/A</v>
      </c>
      <c r="W23" s="91" t="e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#N/A</v>
      </c>
      <c r="X23" s="91" t="e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#N/A</v>
      </c>
      <c r="Y23" s="98" t="e">
        <f t="shared" ca="1" si="3"/>
        <v>#N/A</v>
      </c>
    </row>
    <row r="24" spans="1:25" x14ac:dyDescent="0.25">
      <c r="A24" s="93">
        <f>+Hoja1!A23</f>
        <v>563</v>
      </c>
      <c r="B24" s="91" t="e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#N/A</v>
      </c>
      <c r="C24" s="91" t="e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#N/A</v>
      </c>
      <c r="D24" s="91" t="e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#N/A</v>
      </c>
      <c r="E24" s="91" t="e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#N/A</v>
      </c>
      <c r="F24" s="91" t="e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#N/A</v>
      </c>
      <c r="G24" s="91" t="e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#N/A</v>
      </c>
      <c r="H24" s="91" t="e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#N/A</v>
      </c>
      <c r="I24" s="91" t="e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#N/A</v>
      </c>
      <c r="J24" s="91" t="e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#N/A</v>
      </c>
      <c r="K24" s="91" t="e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#N/A</v>
      </c>
      <c r="L24" s="91" t="e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#N/A</v>
      </c>
      <c r="M24" s="91" t="e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#N/A</v>
      </c>
      <c r="N24" s="91" t="e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#N/A</v>
      </c>
      <c r="O24" s="91" t="e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#N/A</v>
      </c>
      <c r="P24" s="91" t="e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#N/A</v>
      </c>
      <c r="Q24" s="91" t="e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#N/A</v>
      </c>
      <c r="R24" s="91" t="e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#N/A</v>
      </c>
      <c r="S24" s="91" t="e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#N/A</v>
      </c>
      <c r="T24" s="91" t="e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#N/A</v>
      </c>
      <c r="U24" s="91" t="e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#N/A</v>
      </c>
      <c r="V24" s="91" t="e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#N/A</v>
      </c>
      <c r="W24" s="91" t="e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#N/A</v>
      </c>
      <c r="X24" s="91" t="e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#N/A</v>
      </c>
      <c r="Y24" s="98" t="e">
        <f t="shared" ca="1" si="3"/>
        <v>#N/A</v>
      </c>
    </row>
    <row r="25" spans="1:25" x14ac:dyDescent="0.25">
      <c r="A25" s="93">
        <f>+Hoja1!A24</f>
        <v>562</v>
      </c>
      <c r="B25" s="91" t="e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#N/A</v>
      </c>
      <c r="C25" s="91" t="e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#N/A</v>
      </c>
      <c r="D25" s="91" t="e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#N/A</v>
      </c>
      <c r="E25" s="91" t="e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#N/A</v>
      </c>
      <c r="F25" s="91" t="e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#N/A</v>
      </c>
      <c r="G25" s="91" t="e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#N/A</v>
      </c>
      <c r="H25" s="91" t="e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#N/A</v>
      </c>
      <c r="I25" s="91" t="e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#N/A</v>
      </c>
      <c r="J25" s="91" t="e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#N/A</v>
      </c>
      <c r="K25" s="91" t="e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#N/A</v>
      </c>
      <c r="L25" s="91" t="e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#N/A</v>
      </c>
      <c r="M25" s="91" t="e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#N/A</v>
      </c>
      <c r="N25" s="91" t="e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#N/A</v>
      </c>
      <c r="O25" s="91" t="e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#N/A</v>
      </c>
      <c r="P25" s="91" t="e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#N/A</v>
      </c>
      <c r="Q25" s="91" t="e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#N/A</v>
      </c>
      <c r="R25" s="91" t="e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#N/A</v>
      </c>
      <c r="S25" s="91" t="e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#N/A</v>
      </c>
      <c r="T25" s="91" t="e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#N/A</v>
      </c>
      <c r="U25" s="91" t="e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#N/A</v>
      </c>
      <c r="V25" s="91" t="e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#N/A</v>
      </c>
      <c r="W25" s="91" t="e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#N/A</v>
      </c>
      <c r="X25" s="91" t="e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#N/A</v>
      </c>
      <c r="Y25" s="98" t="e">
        <f t="shared" ca="1" si="3"/>
        <v>#N/A</v>
      </c>
    </row>
    <row r="26" spans="1:25" x14ac:dyDescent="0.25">
      <c r="A26" s="93">
        <f>+Hoja1!A25</f>
        <v>561</v>
      </c>
      <c r="B26" s="91" t="e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#N/A</v>
      </c>
      <c r="C26" s="91" t="e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#N/A</v>
      </c>
      <c r="D26" s="91" t="e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#N/A</v>
      </c>
      <c r="E26" s="91" t="e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#N/A</v>
      </c>
      <c r="F26" s="91" t="e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#N/A</v>
      </c>
      <c r="G26" s="91" t="e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#N/A</v>
      </c>
      <c r="H26" s="91" t="e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#N/A</v>
      </c>
      <c r="I26" s="91" t="e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#N/A</v>
      </c>
      <c r="J26" s="91" t="e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#N/A</v>
      </c>
      <c r="K26" s="91" t="e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#N/A</v>
      </c>
      <c r="L26" s="91" t="e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#N/A</v>
      </c>
      <c r="M26" s="91" t="e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#N/A</v>
      </c>
      <c r="N26" s="91" t="e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#N/A</v>
      </c>
      <c r="O26" s="91" t="e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#N/A</v>
      </c>
      <c r="P26" s="91" t="e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#N/A</v>
      </c>
      <c r="Q26" s="91" t="e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#N/A</v>
      </c>
      <c r="R26" s="91" t="e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#N/A</v>
      </c>
      <c r="S26" s="91" t="e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#N/A</v>
      </c>
      <c r="T26" s="91" t="e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#N/A</v>
      </c>
      <c r="U26" s="91" t="e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#N/A</v>
      </c>
      <c r="V26" s="91" t="e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#N/A</v>
      </c>
      <c r="W26" s="91" t="e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#N/A</v>
      </c>
      <c r="X26" s="91" t="e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#N/A</v>
      </c>
      <c r="Y26" s="98" t="e">
        <f t="shared" ca="1" si="3"/>
        <v>#N/A</v>
      </c>
    </row>
    <row r="27" spans="1:25" x14ac:dyDescent="0.25">
      <c r="A27" s="93">
        <f>+Hoja1!A26</f>
        <v>560</v>
      </c>
      <c r="B27" s="91" t="e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#N/A</v>
      </c>
      <c r="C27" s="91" t="e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#N/A</v>
      </c>
      <c r="D27" s="91" t="e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#N/A</v>
      </c>
      <c r="E27" s="91" t="e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#N/A</v>
      </c>
      <c r="F27" s="91" t="e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#N/A</v>
      </c>
      <c r="G27" s="91" t="e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#N/A</v>
      </c>
      <c r="H27" s="91" t="e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#N/A</v>
      </c>
      <c r="I27" s="91" t="e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#N/A</v>
      </c>
      <c r="J27" s="91" t="e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#N/A</v>
      </c>
      <c r="K27" s="91" t="e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#N/A</v>
      </c>
      <c r="L27" s="91" t="e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#N/A</v>
      </c>
      <c r="M27" s="91" t="e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#N/A</v>
      </c>
      <c r="N27" s="91" t="e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#N/A</v>
      </c>
      <c r="O27" s="91" t="e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#N/A</v>
      </c>
      <c r="P27" s="91" t="e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#N/A</v>
      </c>
      <c r="Q27" s="91" t="e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#N/A</v>
      </c>
      <c r="R27" s="91" t="e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#N/A</v>
      </c>
      <c r="S27" s="91" t="e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#N/A</v>
      </c>
      <c r="T27" s="91" t="e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#N/A</v>
      </c>
      <c r="U27" s="91" t="e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#N/A</v>
      </c>
      <c r="V27" s="91" t="e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#N/A</v>
      </c>
      <c r="W27" s="91" t="e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#N/A</v>
      </c>
      <c r="X27" s="91" t="e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#N/A</v>
      </c>
      <c r="Y27" s="98" t="e">
        <f t="shared" ca="1" si="3"/>
        <v>#N/A</v>
      </c>
    </row>
    <row r="28" spans="1:25" x14ac:dyDescent="0.25">
      <c r="A28" s="93">
        <f>+Hoja1!A27</f>
        <v>559</v>
      </c>
      <c r="B28" s="91" t="e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#N/A</v>
      </c>
      <c r="C28" s="91" t="e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#N/A</v>
      </c>
      <c r="D28" s="91" t="e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#N/A</v>
      </c>
      <c r="E28" s="91" t="e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#N/A</v>
      </c>
      <c r="F28" s="91" t="e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#N/A</v>
      </c>
      <c r="G28" s="91" t="e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#N/A</v>
      </c>
      <c r="H28" s="91" t="e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#N/A</v>
      </c>
      <c r="I28" s="91" t="e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#N/A</v>
      </c>
      <c r="J28" s="91" t="e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#N/A</v>
      </c>
      <c r="K28" s="91" t="e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#N/A</v>
      </c>
      <c r="L28" s="91" t="e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#N/A</v>
      </c>
      <c r="M28" s="91" t="e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#N/A</v>
      </c>
      <c r="N28" s="91" t="e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#N/A</v>
      </c>
      <c r="O28" s="91" t="e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#N/A</v>
      </c>
      <c r="P28" s="91" t="e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#N/A</v>
      </c>
      <c r="Q28" s="91" t="e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#N/A</v>
      </c>
      <c r="R28" s="91" t="e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#N/A</v>
      </c>
      <c r="S28" s="91" t="e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#N/A</v>
      </c>
      <c r="T28" s="91" t="e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#N/A</v>
      </c>
      <c r="U28" s="91" t="e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#N/A</v>
      </c>
      <c r="V28" s="91" t="e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#N/A</v>
      </c>
      <c r="W28" s="91" t="e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#N/A</v>
      </c>
      <c r="X28" s="91" t="e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#N/A</v>
      </c>
      <c r="Y28" s="98" t="e">
        <f t="shared" ca="1" si="3"/>
        <v>#N/A</v>
      </c>
    </row>
    <row r="29" spans="1:25" x14ac:dyDescent="0.25">
      <c r="A29" s="93">
        <f>+Hoja1!A28</f>
        <v>558</v>
      </c>
      <c r="B29" s="91" t="e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#N/A</v>
      </c>
      <c r="C29" s="91" t="e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#N/A</v>
      </c>
      <c r="D29" s="91" t="e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#N/A</v>
      </c>
      <c r="E29" s="91" t="e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#N/A</v>
      </c>
      <c r="F29" s="91" t="e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#N/A</v>
      </c>
      <c r="G29" s="91" t="e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#N/A</v>
      </c>
      <c r="H29" s="91" t="e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#N/A</v>
      </c>
      <c r="I29" s="91" t="e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#N/A</v>
      </c>
      <c r="J29" s="91" t="e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#N/A</v>
      </c>
      <c r="K29" s="91" t="e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#N/A</v>
      </c>
      <c r="L29" s="91" t="e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#N/A</v>
      </c>
      <c r="M29" s="91" t="e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#N/A</v>
      </c>
      <c r="N29" s="91" t="e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#N/A</v>
      </c>
      <c r="O29" s="91" t="e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#N/A</v>
      </c>
      <c r="P29" s="91" t="e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#N/A</v>
      </c>
      <c r="Q29" s="91" t="e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#N/A</v>
      </c>
      <c r="R29" s="91" t="e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#N/A</v>
      </c>
      <c r="S29" s="91" t="e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#N/A</v>
      </c>
      <c r="T29" s="91" t="e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#N/A</v>
      </c>
      <c r="U29" s="91" t="e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#N/A</v>
      </c>
      <c r="V29" s="91" t="e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#N/A</v>
      </c>
      <c r="W29" s="91" t="e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#N/A</v>
      </c>
      <c r="X29" s="91" t="e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#N/A</v>
      </c>
      <c r="Y29" s="98" t="e">
        <f t="shared" ca="1" si="3"/>
        <v>#N/A</v>
      </c>
    </row>
    <row r="30" spans="1:25" x14ac:dyDescent="0.25">
      <c r="A30" s="93">
        <f>+Hoja1!A29</f>
        <v>557</v>
      </c>
      <c r="B30" s="91" t="e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#N/A</v>
      </c>
      <c r="C30" s="91" t="e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#N/A</v>
      </c>
      <c r="D30" s="91" t="e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#N/A</v>
      </c>
      <c r="E30" s="91" t="e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#N/A</v>
      </c>
      <c r="F30" s="91" t="e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#N/A</v>
      </c>
      <c r="G30" s="91" t="e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#N/A</v>
      </c>
      <c r="H30" s="91" t="e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#N/A</v>
      </c>
      <c r="I30" s="91" t="e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#N/A</v>
      </c>
      <c r="J30" s="91" t="e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#N/A</v>
      </c>
      <c r="K30" s="91" t="e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#N/A</v>
      </c>
      <c r="L30" s="91" t="e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#N/A</v>
      </c>
      <c r="M30" s="91" t="e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#N/A</v>
      </c>
      <c r="N30" s="91" t="e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#N/A</v>
      </c>
      <c r="O30" s="91" t="e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#N/A</v>
      </c>
      <c r="P30" s="91" t="e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#N/A</v>
      </c>
      <c r="Q30" s="91" t="e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#N/A</v>
      </c>
      <c r="R30" s="91" t="e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#N/A</v>
      </c>
      <c r="S30" s="91" t="e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#N/A</v>
      </c>
      <c r="T30" s="91" t="e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#N/A</v>
      </c>
      <c r="U30" s="91" t="e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#N/A</v>
      </c>
      <c r="V30" s="91" t="e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#N/A</v>
      </c>
      <c r="W30" s="91" t="e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#N/A</v>
      </c>
      <c r="X30" s="91" t="e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#N/A</v>
      </c>
      <c r="Y30" s="98" t="e">
        <f t="shared" ca="1" si="3"/>
        <v>#N/A</v>
      </c>
    </row>
    <row r="31" spans="1:25" x14ac:dyDescent="0.25">
      <c r="A31" s="93">
        <f>+Hoja1!A30</f>
        <v>556</v>
      </c>
      <c r="B31" s="91" t="e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#N/A</v>
      </c>
      <c r="C31" s="91" t="e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#N/A</v>
      </c>
      <c r="D31" s="91" t="e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#N/A</v>
      </c>
      <c r="E31" s="91" t="e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#N/A</v>
      </c>
      <c r="F31" s="91" t="e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#N/A</v>
      </c>
      <c r="G31" s="91" t="e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#N/A</v>
      </c>
      <c r="H31" s="91" t="e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#N/A</v>
      </c>
      <c r="I31" s="91" t="e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#N/A</v>
      </c>
      <c r="J31" s="91" t="e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#N/A</v>
      </c>
      <c r="K31" s="91" t="e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#N/A</v>
      </c>
      <c r="L31" s="91" t="e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#N/A</v>
      </c>
      <c r="M31" s="91" t="e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#N/A</v>
      </c>
      <c r="N31" s="91" t="e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#N/A</v>
      </c>
      <c r="O31" s="91" t="e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#N/A</v>
      </c>
      <c r="P31" s="91" t="e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#N/A</v>
      </c>
      <c r="Q31" s="91" t="e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#N/A</v>
      </c>
      <c r="R31" s="91" t="e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#N/A</v>
      </c>
      <c r="S31" s="91" t="e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#N/A</v>
      </c>
      <c r="T31" s="91" t="e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#N/A</v>
      </c>
      <c r="U31" s="91" t="e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#N/A</v>
      </c>
      <c r="V31" s="91" t="e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#N/A</v>
      </c>
      <c r="W31" s="91" t="e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#N/A</v>
      </c>
      <c r="X31" s="91" t="e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#N/A</v>
      </c>
      <c r="Y31" s="98" t="e">
        <f t="shared" ca="1" si="3"/>
        <v>#N/A</v>
      </c>
    </row>
    <row r="32" spans="1:25" x14ac:dyDescent="0.25">
      <c r="A32" s="93">
        <f>+Hoja1!A31</f>
        <v>555</v>
      </c>
      <c r="B32" s="91" t="e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#N/A</v>
      </c>
      <c r="C32" s="91" t="e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#N/A</v>
      </c>
      <c r="D32" s="91" t="e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#N/A</v>
      </c>
      <c r="E32" s="91" t="e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#N/A</v>
      </c>
      <c r="F32" s="91" t="e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#N/A</v>
      </c>
      <c r="G32" s="91" t="e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#N/A</v>
      </c>
      <c r="H32" s="91" t="e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#N/A</v>
      </c>
      <c r="I32" s="91" t="e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#N/A</v>
      </c>
      <c r="J32" s="91" t="e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#N/A</v>
      </c>
      <c r="K32" s="91" t="e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#N/A</v>
      </c>
      <c r="L32" s="91" t="e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#N/A</v>
      </c>
      <c r="M32" s="91" t="e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#N/A</v>
      </c>
      <c r="N32" s="91" t="e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#N/A</v>
      </c>
      <c r="O32" s="91" t="e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#N/A</v>
      </c>
      <c r="P32" s="91" t="e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#N/A</v>
      </c>
      <c r="Q32" s="91" t="e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#N/A</v>
      </c>
      <c r="R32" s="91" t="e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#N/A</v>
      </c>
      <c r="S32" s="91" t="e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#N/A</v>
      </c>
      <c r="T32" s="91" t="e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#N/A</v>
      </c>
      <c r="U32" s="91" t="e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#N/A</v>
      </c>
      <c r="V32" s="91" t="e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#N/A</v>
      </c>
      <c r="W32" s="91" t="e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#N/A</v>
      </c>
      <c r="X32" s="91" t="e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#N/A</v>
      </c>
      <c r="Y32" s="98" t="e">
        <f t="shared" ca="1" si="3"/>
        <v>#N/A</v>
      </c>
    </row>
    <row r="33" spans="1:25" x14ac:dyDescent="0.25">
      <c r="A33" s="93">
        <f>+Hoja1!A32</f>
        <v>554</v>
      </c>
      <c r="B33" s="91" t="e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#N/A</v>
      </c>
      <c r="C33" s="91" t="e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#N/A</v>
      </c>
      <c r="D33" s="91" t="e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#N/A</v>
      </c>
      <c r="E33" s="91" t="e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#N/A</v>
      </c>
      <c r="F33" s="91" t="e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#N/A</v>
      </c>
      <c r="G33" s="91" t="e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#N/A</v>
      </c>
      <c r="H33" s="91" t="e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#N/A</v>
      </c>
      <c r="I33" s="91" t="e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#N/A</v>
      </c>
      <c r="J33" s="91" t="e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#N/A</v>
      </c>
      <c r="K33" s="91" t="e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#N/A</v>
      </c>
      <c r="L33" s="91" t="e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#N/A</v>
      </c>
      <c r="M33" s="91" t="e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#N/A</v>
      </c>
      <c r="N33" s="91" t="e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#N/A</v>
      </c>
      <c r="O33" s="91" t="e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#N/A</v>
      </c>
      <c r="P33" s="91" t="e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#N/A</v>
      </c>
      <c r="Q33" s="91" t="e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#N/A</v>
      </c>
      <c r="R33" s="91" t="e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#N/A</v>
      </c>
      <c r="S33" s="91" t="e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#N/A</v>
      </c>
      <c r="T33" s="91" t="e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#N/A</v>
      </c>
      <c r="U33" s="91" t="e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#N/A</v>
      </c>
      <c r="V33" s="91" t="e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#N/A</v>
      </c>
      <c r="W33" s="91" t="e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#N/A</v>
      </c>
      <c r="X33" s="91" t="e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#N/A</v>
      </c>
      <c r="Y33" s="98" t="e">
        <f t="shared" ca="1" si="3"/>
        <v>#N/A</v>
      </c>
    </row>
    <row r="34" spans="1:25" x14ac:dyDescent="0.25">
      <c r="A34" s="93">
        <f>+Hoja1!A33</f>
        <v>553</v>
      </c>
      <c r="B34" s="91" t="e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#N/A</v>
      </c>
      <c r="C34" s="91" t="e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#N/A</v>
      </c>
      <c r="D34" s="91" t="e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#N/A</v>
      </c>
      <c r="E34" s="91" t="e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#N/A</v>
      </c>
      <c r="F34" s="91" t="e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#N/A</v>
      </c>
      <c r="G34" s="91" t="e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#N/A</v>
      </c>
      <c r="H34" s="91" t="e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#N/A</v>
      </c>
      <c r="I34" s="91" t="e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#N/A</v>
      </c>
      <c r="J34" s="91" t="e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#N/A</v>
      </c>
      <c r="K34" s="91" t="e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#N/A</v>
      </c>
      <c r="L34" s="91" t="e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#N/A</v>
      </c>
      <c r="M34" s="91" t="e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#N/A</v>
      </c>
      <c r="N34" s="91" t="e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#N/A</v>
      </c>
      <c r="O34" s="91" t="e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#N/A</v>
      </c>
      <c r="P34" s="91" t="e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#N/A</v>
      </c>
      <c r="Q34" s="91" t="e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#N/A</v>
      </c>
      <c r="R34" s="91" t="e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#N/A</v>
      </c>
      <c r="S34" s="91" t="e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#N/A</v>
      </c>
      <c r="T34" s="91" t="e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#N/A</v>
      </c>
      <c r="U34" s="91" t="e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#N/A</v>
      </c>
      <c r="V34" s="91" t="e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#N/A</v>
      </c>
      <c r="W34" s="91" t="e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#N/A</v>
      </c>
      <c r="X34" s="91" t="e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#N/A</v>
      </c>
      <c r="Y34" s="98" t="e">
        <f t="shared" ca="1" si="3"/>
        <v>#N/A</v>
      </c>
    </row>
    <row r="35" spans="1:25" x14ac:dyDescent="0.25">
      <c r="A35" s="93">
        <f>+Hoja1!A34</f>
        <v>552</v>
      </c>
      <c r="B35" s="91" t="e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#N/A</v>
      </c>
      <c r="C35" s="91" t="e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#N/A</v>
      </c>
      <c r="D35" s="91" t="e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#N/A</v>
      </c>
      <c r="E35" s="91" t="e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#N/A</v>
      </c>
      <c r="F35" s="91" t="e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#N/A</v>
      </c>
      <c r="G35" s="91" t="e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#N/A</v>
      </c>
      <c r="H35" s="91" t="e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#N/A</v>
      </c>
      <c r="I35" s="91" t="e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#N/A</v>
      </c>
      <c r="J35" s="91" t="e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#N/A</v>
      </c>
      <c r="K35" s="91" t="e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#N/A</v>
      </c>
      <c r="L35" s="91" t="e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#N/A</v>
      </c>
      <c r="M35" s="91" t="e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#N/A</v>
      </c>
      <c r="N35" s="91" t="e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#N/A</v>
      </c>
      <c r="O35" s="91" t="e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#N/A</v>
      </c>
      <c r="P35" s="91" t="e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#N/A</v>
      </c>
      <c r="Q35" s="91" t="e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#N/A</v>
      </c>
      <c r="R35" s="91" t="e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#N/A</v>
      </c>
      <c r="S35" s="91" t="e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#N/A</v>
      </c>
      <c r="T35" s="91" t="e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#N/A</v>
      </c>
      <c r="U35" s="91" t="e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#N/A</v>
      </c>
      <c r="V35" s="91" t="e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#N/A</v>
      </c>
      <c r="W35" s="91" t="e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#N/A</v>
      </c>
      <c r="X35" s="91" t="e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#N/A</v>
      </c>
      <c r="Y35" s="98" t="e">
        <f t="shared" ca="1" si="3"/>
        <v>#N/A</v>
      </c>
    </row>
    <row r="36" spans="1:25" x14ac:dyDescent="0.25">
      <c r="A36" s="93">
        <f>+Hoja1!A35</f>
        <v>551</v>
      </c>
      <c r="B36" s="91" t="e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#N/A</v>
      </c>
      <c r="C36" s="91" t="e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#N/A</v>
      </c>
      <c r="D36" s="91" t="e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#N/A</v>
      </c>
      <c r="E36" s="91" t="e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#N/A</v>
      </c>
      <c r="F36" s="91" t="e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#N/A</v>
      </c>
      <c r="G36" s="91" t="e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#N/A</v>
      </c>
      <c r="H36" s="91" t="e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#N/A</v>
      </c>
      <c r="I36" s="91" t="e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#N/A</v>
      </c>
      <c r="J36" s="91" t="e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#N/A</v>
      </c>
      <c r="K36" s="91" t="e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#N/A</v>
      </c>
      <c r="L36" s="91" t="e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#N/A</v>
      </c>
      <c r="M36" s="91" t="e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#N/A</v>
      </c>
      <c r="N36" s="91" t="e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#N/A</v>
      </c>
      <c r="O36" s="91" t="e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#N/A</v>
      </c>
      <c r="P36" s="91" t="e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#N/A</v>
      </c>
      <c r="Q36" s="91" t="e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#N/A</v>
      </c>
      <c r="R36" s="91" t="e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#N/A</v>
      </c>
      <c r="S36" s="91" t="e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#N/A</v>
      </c>
      <c r="T36" s="91" t="e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#N/A</v>
      </c>
      <c r="U36" s="91" t="e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#N/A</v>
      </c>
      <c r="V36" s="91" t="e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#N/A</v>
      </c>
      <c r="W36" s="91" t="e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#N/A</v>
      </c>
      <c r="X36" s="91" t="e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#N/A</v>
      </c>
      <c r="Y36" s="98" t="e">
        <f t="shared" ca="1" si="3"/>
        <v>#N/A</v>
      </c>
    </row>
    <row r="37" spans="1:25" x14ac:dyDescent="0.25">
      <c r="A37" s="93">
        <f>+Hoja1!A36</f>
        <v>550</v>
      </c>
      <c r="B37" s="91" t="e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#N/A</v>
      </c>
      <c r="C37" s="91" t="e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#N/A</v>
      </c>
      <c r="D37" s="91" t="e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#N/A</v>
      </c>
      <c r="E37" s="91" t="e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#N/A</v>
      </c>
      <c r="F37" s="91" t="e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#N/A</v>
      </c>
      <c r="G37" s="91" t="e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#N/A</v>
      </c>
      <c r="H37" s="91" t="e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#N/A</v>
      </c>
      <c r="I37" s="91" t="e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#N/A</v>
      </c>
      <c r="J37" s="91" t="e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#N/A</v>
      </c>
      <c r="K37" s="91" t="e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#N/A</v>
      </c>
      <c r="L37" s="91" t="e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#N/A</v>
      </c>
      <c r="M37" s="91" t="e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#N/A</v>
      </c>
      <c r="N37" s="91" t="e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#N/A</v>
      </c>
      <c r="O37" s="91" t="e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#N/A</v>
      </c>
      <c r="P37" s="91" t="e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#N/A</v>
      </c>
      <c r="Q37" s="91" t="e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#N/A</v>
      </c>
      <c r="R37" s="91" t="e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#N/A</v>
      </c>
      <c r="S37" s="91" t="e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#N/A</v>
      </c>
      <c r="T37" s="91" t="e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#N/A</v>
      </c>
      <c r="U37" s="91" t="e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#N/A</v>
      </c>
      <c r="V37" s="91" t="e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#N/A</v>
      </c>
      <c r="W37" s="91" t="e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#N/A</v>
      </c>
      <c r="X37" s="91" t="e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#N/A</v>
      </c>
      <c r="Y37" s="98" t="e">
        <f t="shared" ca="1" si="3"/>
        <v>#N/A</v>
      </c>
    </row>
    <row r="38" spans="1:25" x14ac:dyDescent="0.25">
      <c r="A38" s="93">
        <f>+Hoja1!A37</f>
        <v>549</v>
      </c>
      <c r="B38" s="91" t="e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#N/A</v>
      </c>
      <c r="C38" s="91" t="e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#N/A</v>
      </c>
      <c r="D38" s="91" t="e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#N/A</v>
      </c>
      <c r="E38" s="91" t="e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#N/A</v>
      </c>
      <c r="F38" s="91" t="e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#N/A</v>
      </c>
      <c r="G38" s="91" t="e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#N/A</v>
      </c>
      <c r="H38" s="91" t="e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#N/A</v>
      </c>
      <c r="I38" s="91" t="e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#N/A</v>
      </c>
      <c r="J38" s="91" t="e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#N/A</v>
      </c>
      <c r="K38" s="91" t="e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#N/A</v>
      </c>
      <c r="L38" s="91" t="e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#N/A</v>
      </c>
      <c r="M38" s="91" t="e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#N/A</v>
      </c>
      <c r="N38" s="91" t="e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#N/A</v>
      </c>
      <c r="O38" s="91" t="e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#N/A</v>
      </c>
      <c r="P38" s="91" t="e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#N/A</v>
      </c>
      <c r="Q38" s="91" t="e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#N/A</v>
      </c>
      <c r="R38" s="91" t="e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#N/A</v>
      </c>
      <c r="S38" s="91" t="e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#N/A</v>
      </c>
      <c r="T38" s="91" t="e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#N/A</v>
      </c>
      <c r="U38" s="91" t="e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#N/A</v>
      </c>
      <c r="V38" s="91" t="e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#N/A</v>
      </c>
      <c r="W38" s="91" t="e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#N/A</v>
      </c>
      <c r="X38" s="91" t="e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#N/A</v>
      </c>
      <c r="Y38" s="98" t="e">
        <f t="shared" ca="1" si="3"/>
        <v>#N/A</v>
      </c>
    </row>
    <row r="39" spans="1:25" x14ac:dyDescent="0.25">
      <c r="A39" s="93">
        <f>+Hoja1!A38</f>
        <v>548</v>
      </c>
      <c r="B39" s="91" t="e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#N/A</v>
      </c>
      <c r="C39" s="91" t="e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#N/A</v>
      </c>
      <c r="D39" s="91" t="e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#N/A</v>
      </c>
      <c r="E39" s="91" t="e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#N/A</v>
      </c>
      <c r="F39" s="91" t="e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#N/A</v>
      </c>
      <c r="G39" s="91" t="e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#N/A</v>
      </c>
      <c r="H39" s="91" t="e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#N/A</v>
      </c>
      <c r="I39" s="91" t="e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#N/A</v>
      </c>
      <c r="J39" s="91" t="e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#N/A</v>
      </c>
      <c r="K39" s="91" t="e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#N/A</v>
      </c>
      <c r="L39" s="91" t="e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#N/A</v>
      </c>
      <c r="M39" s="91" t="e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#N/A</v>
      </c>
      <c r="N39" s="91" t="e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#N/A</v>
      </c>
      <c r="O39" s="91" t="e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#N/A</v>
      </c>
      <c r="P39" s="91" t="e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#N/A</v>
      </c>
      <c r="Q39" s="91" t="e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#N/A</v>
      </c>
      <c r="R39" s="91" t="e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#N/A</v>
      </c>
      <c r="S39" s="91" t="e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#N/A</v>
      </c>
      <c r="T39" s="91" t="e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#N/A</v>
      </c>
      <c r="U39" s="91" t="e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#N/A</v>
      </c>
      <c r="V39" s="91" t="e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#N/A</v>
      </c>
      <c r="W39" s="91" t="e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#N/A</v>
      </c>
      <c r="X39" s="91" t="e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#N/A</v>
      </c>
      <c r="Y39" s="98" t="e">
        <f t="shared" ca="1" si="3"/>
        <v>#N/A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>250505</v>
      </c>
      <c r="C42" s="92" t="str">
        <f t="shared" ref="C42:X42" ca="1" si="4">+C1</f>
        <v>250506</v>
      </c>
      <c r="D42" s="92" t="str">
        <f t="shared" ca="1" si="4"/>
        <v>250507</v>
      </c>
      <c r="E42" s="92" t="str">
        <f t="shared" ca="1" si="4"/>
        <v>250508</v>
      </c>
      <c r="F42" s="92" t="str">
        <f t="shared" ca="1" si="4"/>
        <v/>
      </c>
      <c r="G42" s="92" t="str">
        <f t="shared" ca="1" si="4"/>
        <v/>
      </c>
      <c r="H42" s="92" t="str">
        <f t="shared" ca="1" si="4"/>
        <v>250523</v>
      </c>
      <c r="I42" s="92" t="str">
        <f t="shared" ca="1" si="4"/>
        <v>250530</v>
      </c>
      <c r="J42" s="92" t="str">
        <f t="shared" ca="1" si="4"/>
        <v>250606</v>
      </c>
      <c r="K42" s="92" t="str">
        <f t="shared" ca="1" si="4"/>
        <v>250620</v>
      </c>
      <c r="L42" s="92" t="str">
        <f t="shared" ca="1" si="4"/>
        <v>250630</v>
      </c>
      <c r="M42" s="92" t="str">
        <f t="shared" ca="1" si="4"/>
        <v>250718</v>
      </c>
      <c r="N42" s="92" t="str">
        <f t="shared" ca="1" si="4"/>
        <v>250731</v>
      </c>
      <c r="O42" s="92" t="str">
        <f t="shared" ca="1" si="4"/>
        <v>250815</v>
      </c>
      <c r="P42" s="92" t="str">
        <f t="shared" ca="1" si="4"/>
        <v>250829</v>
      </c>
      <c r="Q42" s="92" t="str">
        <f t="shared" ca="1" si="4"/>
        <v>250919</v>
      </c>
      <c r="R42" s="92" t="str">
        <f t="shared" ca="1" si="4"/>
        <v>250930</v>
      </c>
      <c r="S42" s="92" t="str">
        <f t="shared" ca="1" si="4"/>
        <v>251017</v>
      </c>
      <c r="T42" s="92" t="str">
        <f t="shared" ca="1" si="4"/>
        <v>251031</v>
      </c>
      <c r="U42" s="92" t="str">
        <f t="shared" ca="1" si="4"/>
        <v>251121</v>
      </c>
      <c r="V42" s="92" t="str">
        <f t="shared" ca="1" si="4"/>
        <v>251128</v>
      </c>
      <c r="W42" s="92" t="str">
        <f t="shared" ca="1" si="4"/>
        <v>251219</v>
      </c>
      <c r="X42" s="92" t="str">
        <f t="shared" ca="1" si="4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5">+C43</f>
        <v>QQQ</v>
      </c>
      <c r="E43" s="92" t="str">
        <f t="shared" si="5"/>
        <v>QQQ</v>
      </c>
      <c r="F43" s="92" t="str">
        <f t="shared" si="5"/>
        <v>QQQ</v>
      </c>
      <c r="G43" s="92" t="str">
        <f t="shared" si="5"/>
        <v>QQQ</v>
      </c>
      <c r="H43" s="92" t="str">
        <f t="shared" si="5"/>
        <v>QQQ</v>
      </c>
      <c r="I43" s="92" t="str">
        <f t="shared" si="5"/>
        <v>QQQ</v>
      </c>
      <c r="J43" s="92" t="str">
        <f t="shared" si="5"/>
        <v>QQQ</v>
      </c>
      <c r="K43" s="92" t="str">
        <f t="shared" si="5"/>
        <v>QQQ</v>
      </c>
      <c r="L43" s="92" t="str">
        <f t="shared" si="5"/>
        <v>QQQ</v>
      </c>
      <c r="M43" s="92" t="str">
        <f t="shared" ref="M43:X43" si="6">+K43</f>
        <v>QQQ</v>
      </c>
      <c r="N43" s="92" t="str">
        <f t="shared" si="6"/>
        <v>QQQ</v>
      </c>
      <c r="O43" s="92" t="str">
        <f t="shared" si="6"/>
        <v>QQQ</v>
      </c>
      <c r="P43" s="92" t="str">
        <f t="shared" si="6"/>
        <v>QQQ</v>
      </c>
      <c r="Q43" s="92" t="str">
        <f t="shared" si="6"/>
        <v>QQQ</v>
      </c>
      <c r="R43" s="92" t="str">
        <f t="shared" si="6"/>
        <v>QQQ</v>
      </c>
      <c r="S43" s="92" t="str">
        <f t="shared" si="6"/>
        <v>QQQ</v>
      </c>
      <c r="T43" s="92" t="str">
        <f t="shared" si="6"/>
        <v>QQQ</v>
      </c>
      <c r="U43" s="92" t="str">
        <f t="shared" si="6"/>
        <v>QQQ</v>
      </c>
      <c r="V43" s="92" t="str">
        <f t="shared" si="6"/>
        <v>QQQ</v>
      </c>
      <c r="W43" s="92" t="str">
        <f t="shared" si="6"/>
        <v>QQQ</v>
      </c>
      <c r="X43" s="92" t="str">
        <f t="shared" si="6"/>
        <v>QQQ</v>
      </c>
    </row>
    <row r="44" spans="1:25" x14ac:dyDescent="0.25">
      <c r="A44" s="93" t="str">
        <f>+Hoja1!A43</f>
        <v>QQQ</v>
      </c>
      <c r="B44" s="94">
        <f>+B3</f>
        <v>45782</v>
      </c>
      <c r="C44" s="94">
        <f>+B44+1</f>
        <v>45783</v>
      </c>
      <c r="D44" s="94">
        <f>+C44+1</f>
        <v>45784</v>
      </c>
      <c r="E44" s="94">
        <f>+D44+1</f>
        <v>45785</v>
      </c>
      <c r="F44" s="94">
        <f>+E44+1</f>
        <v>45786</v>
      </c>
      <c r="G44" s="94">
        <f>+F44+7</f>
        <v>45793</v>
      </c>
      <c r="H44" s="94">
        <f>+G44+7</f>
        <v>45800</v>
      </c>
      <c r="I44" s="94">
        <f>+H44+7</f>
        <v>45807</v>
      </c>
      <c r="J44" s="94">
        <f>+I44+7</f>
        <v>45814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488.96</v>
      </c>
      <c r="B45" s="92"/>
      <c r="C45" s="92"/>
      <c r="D45" s="92"/>
    </row>
    <row r="46" spans="1:25" x14ac:dyDescent="0.25">
      <c r="A46" s="93">
        <f>+Hoja1!A45</f>
        <v>502</v>
      </c>
      <c r="B46" s="91" t="e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#N/A</v>
      </c>
      <c r="C46" s="91" t="e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#N/A</v>
      </c>
      <c r="D46" s="91" t="e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#N/A</v>
      </c>
      <c r="E46" s="91" t="e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#N/A</v>
      </c>
      <c r="F46" s="91" t="e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#N/A</v>
      </c>
      <c r="G46" s="91" t="e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#N/A</v>
      </c>
      <c r="H46" s="91" t="e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#N/A</v>
      </c>
      <c r="I46" s="91" t="e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#N/A</v>
      </c>
      <c r="J46" s="91" t="e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#N/A</v>
      </c>
      <c r="K46" s="91" t="e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#N/A</v>
      </c>
      <c r="L46" s="91" t="e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#N/A</v>
      </c>
      <c r="M46" s="91" t="e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#N/A</v>
      </c>
      <c r="N46" s="91" t="e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#N/A</v>
      </c>
      <c r="O46" s="91" t="e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#N/A</v>
      </c>
      <c r="P46" s="91" t="e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#N/A</v>
      </c>
      <c r="Q46" s="91" t="e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#N/A</v>
      </c>
      <c r="R46" s="91" t="e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#N/A</v>
      </c>
      <c r="S46" s="91" t="e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#N/A</v>
      </c>
      <c r="T46" s="91" t="e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#N/A</v>
      </c>
      <c r="U46" s="91" t="e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#N/A</v>
      </c>
      <c r="V46" s="91" t="e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#N/A</v>
      </c>
      <c r="W46" s="91" t="e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#N/A</v>
      </c>
      <c r="X46" s="91" t="e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#N/A</v>
      </c>
      <c r="Y46" s="98" t="e">
        <f ca="1">SUM(B46:X46)</f>
        <v>#N/A</v>
      </c>
    </row>
    <row r="47" spans="1:25" x14ac:dyDescent="0.25">
      <c r="A47" s="93">
        <f>+Hoja1!A46</f>
        <v>501</v>
      </c>
      <c r="B47" s="91" t="e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#N/A</v>
      </c>
      <c r="C47" s="91" t="e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#N/A</v>
      </c>
      <c r="D47" s="91" t="e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#N/A</v>
      </c>
      <c r="E47" s="91" t="e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#N/A</v>
      </c>
      <c r="F47" s="91" t="e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#N/A</v>
      </c>
      <c r="G47" s="91" t="e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#N/A</v>
      </c>
      <c r="H47" s="91" t="e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#N/A</v>
      </c>
      <c r="I47" s="91" t="e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#N/A</v>
      </c>
      <c r="J47" s="91" t="e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#N/A</v>
      </c>
      <c r="K47" s="91" t="e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#N/A</v>
      </c>
      <c r="L47" s="91" t="e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#N/A</v>
      </c>
      <c r="M47" s="91" t="e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#N/A</v>
      </c>
      <c r="N47" s="91" t="e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#N/A</v>
      </c>
      <c r="O47" s="91" t="e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#N/A</v>
      </c>
      <c r="P47" s="91" t="e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#N/A</v>
      </c>
      <c r="Q47" s="91" t="e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#N/A</v>
      </c>
      <c r="R47" s="91" t="e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#N/A</v>
      </c>
      <c r="S47" s="91" t="e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#N/A</v>
      </c>
      <c r="T47" s="91" t="e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#N/A</v>
      </c>
      <c r="U47" s="91" t="e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#N/A</v>
      </c>
      <c r="V47" s="91" t="e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#N/A</v>
      </c>
      <c r="W47" s="91" t="e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#N/A</v>
      </c>
      <c r="X47" s="91" t="e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#N/A</v>
      </c>
      <c r="Y47" s="98" t="e">
        <f t="shared" ref="Y47:Y80" ca="1" si="7">SUM(B47:X47)</f>
        <v>#N/A</v>
      </c>
    </row>
    <row r="48" spans="1:25" x14ac:dyDescent="0.25">
      <c r="A48" s="93">
        <f>+Hoja1!A47</f>
        <v>500</v>
      </c>
      <c r="B48" s="91" t="e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#N/A</v>
      </c>
      <c r="C48" s="91" t="e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#N/A</v>
      </c>
      <c r="D48" s="91" t="e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#N/A</v>
      </c>
      <c r="E48" s="91" t="e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#N/A</v>
      </c>
      <c r="F48" s="91" t="e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#N/A</v>
      </c>
      <c r="G48" s="91" t="e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#N/A</v>
      </c>
      <c r="H48" s="91" t="e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#N/A</v>
      </c>
      <c r="I48" s="91" t="e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#N/A</v>
      </c>
      <c r="J48" s="91" t="e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#N/A</v>
      </c>
      <c r="K48" s="91" t="e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#N/A</v>
      </c>
      <c r="L48" s="91" t="e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#N/A</v>
      </c>
      <c r="M48" s="91" t="e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#N/A</v>
      </c>
      <c r="N48" s="91" t="e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#N/A</v>
      </c>
      <c r="O48" s="91" t="e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#N/A</v>
      </c>
      <c r="P48" s="91" t="e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#N/A</v>
      </c>
      <c r="Q48" s="91" t="e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#N/A</v>
      </c>
      <c r="R48" s="91" t="e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#N/A</v>
      </c>
      <c r="S48" s="91" t="e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#N/A</v>
      </c>
      <c r="T48" s="91" t="e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#N/A</v>
      </c>
      <c r="U48" s="91" t="e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#N/A</v>
      </c>
      <c r="V48" s="91" t="e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#N/A</v>
      </c>
      <c r="W48" s="91" t="e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#N/A</v>
      </c>
      <c r="X48" s="91" t="e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#N/A</v>
      </c>
      <c r="Y48" s="98" t="e">
        <f t="shared" ca="1" si="7"/>
        <v>#N/A</v>
      </c>
    </row>
    <row r="49" spans="1:25" x14ac:dyDescent="0.25">
      <c r="A49" s="93">
        <f>+Hoja1!A48</f>
        <v>499</v>
      </c>
      <c r="B49" s="91" t="e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#N/A</v>
      </c>
      <c r="C49" s="91" t="e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#N/A</v>
      </c>
      <c r="D49" s="91" t="e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#N/A</v>
      </c>
      <c r="E49" s="91" t="e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#N/A</v>
      </c>
      <c r="F49" s="91" t="e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#N/A</v>
      </c>
      <c r="G49" s="91" t="e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#N/A</v>
      </c>
      <c r="H49" s="91" t="e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#N/A</v>
      </c>
      <c r="I49" s="91" t="e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#N/A</v>
      </c>
      <c r="J49" s="91" t="e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#N/A</v>
      </c>
      <c r="K49" s="91" t="e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#N/A</v>
      </c>
      <c r="L49" s="91" t="e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#N/A</v>
      </c>
      <c r="M49" s="91" t="e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#N/A</v>
      </c>
      <c r="N49" s="91" t="e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#N/A</v>
      </c>
      <c r="O49" s="91" t="e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#N/A</v>
      </c>
      <c r="P49" s="91" t="e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#N/A</v>
      </c>
      <c r="Q49" s="91" t="e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#N/A</v>
      </c>
      <c r="R49" s="91" t="e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#N/A</v>
      </c>
      <c r="S49" s="91" t="e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#N/A</v>
      </c>
      <c r="T49" s="91" t="e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#N/A</v>
      </c>
      <c r="U49" s="91" t="e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#N/A</v>
      </c>
      <c r="V49" s="91" t="e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#N/A</v>
      </c>
      <c r="W49" s="91" t="e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#N/A</v>
      </c>
      <c r="X49" s="91" t="e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#N/A</v>
      </c>
      <c r="Y49" s="98" t="e">
        <f t="shared" ca="1" si="7"/>
        <v>#N/A</v>
      </c>
    </row>
    <row r="50" spans="1:25" x14ac:dyDescent="0.25">
      <c r="A50" s="93">
        <f>+Hoja1!A49</f>
        <v>498</v>
      </c>
      <c r="B50" s="91" t="e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#N/A</v>
      </c>
      <c r="C50" s="91" t="e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#N/A</v>
      </c>
      <c r="D50" s="91" t="e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#N/A</v>
      </c>
      <c r="E50" s="91" t="e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#N/A</v>
      </c>
      <c r="F50" s="91" t="e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#N/A</v>
      </c>
      <c r="G50" s="91" t="e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#N/A</v>
      </c>
      <c r="H50" s="91" t="e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#N/A</v>
      </c>
      <c r="I50" s="91" t="e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#N/A</v>
      </c>
      <c r="J50" s="91" t="e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#N/A</v>
      </c>
      <c r="K50" s="91" t="e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#N/A</v>
      </c>
      <c r="L50" s="91" t="e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#N/A</v>
      </c>
      <c r="M50" s="91" t="e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#N/A</v>
      </c>
      <c r="N50" s="91" t="e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#N/A</v>
      </c>
      <c r="O50" s="91" t="e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#N/A</v>
      </c>
      <c r="P50" s="91" t="e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#N/A</v>
      </c>
      <c r="Q50" s="91" t="e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#N/A</v>
      </c>
      <c r="R50" s="91" t="e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#N/A</v>
      </c>
      <c r="S50" s="91" t="e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#N/A</v>
      </c>
      <c r="T50" s="91" t="e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#N/A</v>
      </c>
      <c r="U50" s="91" t="e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#N/A</v>
      </c>
      <c r="V50" s="91" t="e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#N/A</v>
      </c>
      <c r="W50" s="91" t="e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#N/A</v>
      </c>
      <c r="X50" s="91" t="e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#N/A</v>
      </c>
      <c r="Y50" s="98" t="e">
        <f t="shared" ca="1" si="7"/>
        <v>#N/A</v>
      </c>
    </row>
    <row r="51" spans="1:25" x14ac:dyDescent="0.25">
      <c r="A51" s="93">
        <f>+Hoja1!A50</f>
        <v>497</v>
      </c>
      <c r="B51" s="91" t="e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#N/A</v>
      </c>
      <c r="C51" s="91" t="e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#N/A</v>
      </c>
      <c r="D51" s="91" t="e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#N/A</v>
      </c>
      <c r="E51" s="91" t="e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#N/A</v>
      </c>
      <c r="F51" s="91" t="e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#N/A</v>
      </c>
      <c r="G51" s="91" t="e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#N/A</v>
      </c>
      <c r="H51" s="91" t="e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#N/A</v>
      </c>
      <c r="I51" s="91" t="e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#N/A</v>
      </c>
      <c r="J51" s="91" t="e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#N/A</v>
      </c>
      <c r="K51" s="91" t="e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#N/A</v>
      </c>
      <c r="L51" s="91" t="e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#N/A</v>
      </c>
      <c r="M51" s="91" t="e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#N/A</v>
      </c>
      <c r="N51" s="91" t="e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#N/A</v>
      </c>
      <c r="O51" s="91" t="e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#N/A</v>
      </c>
      <c r="P51" s="91" t="e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#N/A</v>
      </c>
      <c r="Q51" s="91" t="e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#N/A</v>
      </c>
      <c r="R51" s="91" t="e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#N/A</v>
      </c>
      <c r="S51" s="91" t="e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#N/A</v>
      </c>
      <c r="T51" s="91" t="e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#N/A</v>
      </c>
      <c r="U51" s="91" t="e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#N/A</v>
      </c>
      <c r="V51" s="91" t="e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#N/A</v>
      </c>
      <c r="W51" s="91" t="e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#N/A</v>
      </c>
      <c r="X51" s="91" t="e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#N/A</v>
      </c>
      <c r="Y51" s="98" t="e">
        <f t="shared" ca="1" si="7"/>
        <v>#N/A</v>
      </c>
    </row>
    <row r="52" spans="1:25" x14ac:dyDescent="0.25">
      <c r="A52" s="93">
        <f>+Hoja1!A51</f>
        <v>496</v>
      </c>
      <c r="B52" s="91" t="e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#N/A</v>
      </c>
      <c r="C52" s="91" t="e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#N/A</v>
      </c>
      <c r="D52" s="91" t="e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#N/A</v>
      </c>
      <c r="E52" s="91" t="e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#N/A</v>
      </c>
      <c r="F52" s="91" t="e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#N/A</v>
      </c>
      <c r="G52" s="91" t="e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#N/A</v>
      </c>
      <c r="H52" s="91" t="e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#N/A</v>
      </c>
      <c r="I52" s="91" t="e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#N/A</v>
      </c>
      <c r="J52" s="91" t="e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#N/A</v>
      </c>
      <c r="K52" s="91" t="e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#N/A</v>
      </c>
      <c r="L52" s="91" t="e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#N/A</v>
      </c>
      <c r="M52" s="91" t="e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#N/A</v>
      </c>
      <c r="N52" s="91" t="e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#N/A</v>
      </c>
      <c r="O52" s="91" t="e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#N/A</v>
      </c>
      <c r="P52" s="91" t="e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#N/A</v>
      </c>
      <c r="Q52" s="91" t="e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#N/A</v>
      </c>
      <c r="R52" s="91" t="e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#N/A</v>
      </c>
      <c r="S52" s="91" t="e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#N/A</v>
      </c>
      <c r="T52" s="91" t="e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#N/A</v>
      </c>
      <c r="U52" s="91" t="e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#N/A</v>
      </c>
      <c r="V52" s="91" t="e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#N/A</v>
      </c>
      <c r="W52" s="91" t="e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#N/A</v>
      </c>
      <c r="X52" s="91" t="e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#N/A</v>
      </c>
      <c r="Y52" s="98" t="e">
        <f t="shared" ca="1" si="7"/>
        <v>#N/A</v>
      </c>
    </row>
    <row r="53" spans="1:25" x14ac:dyDescent="0.25">
      <c r="A53" s="93">
        <f>+Hoja1!A52</f>
        <v>495</v>
      </c>
      <c r="B53" s="91" t="e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#N/A</v>
      </c>
      <c r="C53" s="91" t="e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#N/A</v>
      </c>
      <c r="D53" s="91" t="e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#N/A</v>
      </c>
      <c r="E53" s="91" t="e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#N/A</v>
      </c>
      <c r="F53" s="91" t="e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#N/A</v>
      </c>
      <c r="G53" s="91" t="e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#N/A</v>
      </c>
      <c r="H53" s="91" t="e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#N/A</v>
      </c>
      <c r="I53" s="91" t="e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#N/A</v>
      </c>
      <c r="J53" s="91" t="e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#N/A</v>
      </c>
      <c r="K53" s="91" t="e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#N/A</v>
      </c>
      <c r="L53" s="91" t="e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#N/A</v>
      </c>
      <c r="M53" s="91" t="e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#N/A</v>
      </c>
      <c r="N53" s="91" t="e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#N/A</v>
      </c>
      <c r="O53" s="91" t="e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#N/A</v>
      </c>
      <c r="P53" s="91" t="e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#N/A</v>
      </c>
      <c r="Q53" s="91" t="e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#N/A</v>
      </c>
      <c r="R53" s="91" t="e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#N/A</v>
      </c>
      <c r="S53" s="91" t="e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#N/A</v>
      </c>
      <c r="T53" s="91" t="e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#N/A</v>
      </c>
      <c r="U53" s="91" t="e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#N/A</v>
      </c>
      <c r="V53" s="91" t="e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#N/A</v>
      </c>
      <c r="W53" s="91" t="e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#N/A</v>
      </c>
      <c r="X53" s="91" t="e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#N/A</v>
      </c>
      <c r="Y53" s="98" t="e">
        <f t="shared" ca="1" si="7"/>
        <v>#N/A</v>
      </c>
    </row>
    <row r="54" spans="1:25" x14ac:dyDescent="0.25">
      <c r="A54" s="93">
        <f>+Hoja1!A53</f>
        <v>494</v>
      </c>
      <c r="B54" s="91" t="e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#N/A</v>
      </c>
      <c r="C54" s="91" t="e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#N/A</v>
      </c>
      <c r="D54" s="91" t="e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#N/A</v>
      </c>
      <c r="E54" s="91" t="e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#N/A</v>
      </c>
      <c r="F54" s="91" t="e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#N/A</v>
      </c>
      <c r="G54" s="91" t="e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#N/A</v>
      </c>
      <c r="H54" s="91" t="e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#N/A</v>
      </c>
      <c r="I54" s="91" t="e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#N/A</v>
      </c>
      <c r="J54" s="91" t="e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#N/A</v>
      </c>
      <c r="K54" s="91" t="e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#N/A</v>
      </c>
      <c r="L54" s="91" t="e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#N/A</v>
      </c>
      <c r="M54" s="91" t="e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#N/A</v>
      </c>
      <c r="N54" s="91" t="e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#N/A</v>
      </c>
      <c r="O54" s="91" t="e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#N/A</v>
      </c>
      <c r="P54" s="91" t="e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#N/A</v>
      </c>
      <c r="Q54" s="91" t="e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#N/A</v>
      </c>
      <c r="R54" s="91" t="e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#N/A</v>
      </c>
      <c r="S54" s="91" t="e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#N/A</v>
      </c>
      <c r="T54" s="91" t="e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#N/A</v>
      </c>
      <c r="U54" s="91" t="e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#N/A</v>
      </c>
      <c r="V54" s="91" t="e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#N/A</v>
      </c>
      <c r="W54" s="91" t="e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#N/A</v>
      </c>
      <c r="X54" s="91" t="e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#N/A</v>
      </c>
      <c r="Y54" s="98" t="e">
        <f t="shared" ca="1" si="7"/>
        <v>#N/A</v>
      </c>
    </row>
    <row r="55" spans="1:25" x14ac:dyDescent="0.25">
      <c r="A55" s="93">
        <f>+Hoja1!A54</f>
        <v>493</v>
      </c>
      <c r="B55" s="91" t="e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#N/A</v>
      </c>
      <c r="C55" s="91" t="e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#N/A</v>
      </c>
      <c r="D55" s="91" t="e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#N/A</v>
      </c>
      <c r="E55" s="91" t="e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#N/A</v>
      </c>
      <c r="F55" s="91" t="e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#N/A</v>
      </c>
      <c r="G55" s="91" t="e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#N/A</v>
      </c>
      <c r="H55" s="91" t="e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#N/A</v>
      </c>
      <c r="I55" s="91" t="e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#N/A</v>
      </c>
      <c r="J55" s="91" t="e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#N/A</v>
      </c>
      <c r="K55" s="91" t="e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#N/A</v>
      </c>
      <c r="L55" s="91" t="e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#N/A</v>
      </c>
      <c r="M55" s="91" t="e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#N/A</v>
      </c>
      <c r="N55" s="91" t="e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#N/A</v>
      </c>
      <c r="O55" s="91" t="e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#N/A</v>
      </c>
      <c r="P55" s="91" t="e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#N/A</v>
      </c>
      <c r="Q55" s="91" t="e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#N/A</v>
      </c>
      <c r="R55" s="91" t="e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#N/A</v>
      </c>
      <c r="S55" s="91" t="e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#N/A</v>
      </c>
      <c r="T55" s="91" t="e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#N/A</v>
      </c>
      <c r="U55" s="91" t="e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#N/A</v>
      </c>
      <c r="V55" s="91" t="e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#N/A</v>
      </c>
      <c r="W55" s="91" t="e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#N/A</v>
      </c>
      <c r="X55" s="91" t="e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#N/A</v>
      </c>
      <c r="Y55" s="98" t="e">
        <f t="shared" ca="1" si="7"/>
        <v>#N/A</v>
      </c>
    </row>
    <row r="56" spans="1:25" x14ac:dyDescent="0.25">
      <c r="A56" s="93">
        <f>+Hoja1!A55</f>
        <v>492</v>
      </c>
      <c r="B56" s="91" t="e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#N/A</v>
      </c>
      <c r="C56" s="91" t="e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#N/A</v>
      </c>
      <c r="D56" s="91" t="e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#N/A</v>
      </c>
      <c r="E56" s="91" t="e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#N/A</v>
      </c>
      <c r="F56" s="91" t="e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#N/A</v>
      </c>
      <c r="G56" s="91" t="e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#N/A</v>
      </c>
      <c r="H56" s="91" t="e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#N/A</v>
      </c>
      <c r="I56" s="91" t="e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#N/A</v>
      </c>
      <c r="J56" s="91" t="e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#N/A</v>
      </c>
      <c r="K56" s="91" t="e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#N/A</v>
      </c>
      <c r="L56" s="91" t="e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#N/A</v>
      </c>
      <c r="M56" s="91" t="e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#N/A</v>
      </c>
      <c r="N56" s="91" t="e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#N/A</v>
      </c>
      <c r="O56" s="91" t="e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#N/A</v>
      </c>
      <c r="P56" s="91" t="e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#N/A</v>
      </c>
      <c r="Q56" s="91" t="e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#N/A</v>
      </c>
      <c r="R56" s="91" t="e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#N/A</v>
      </c>
      <c r="S56" s="91" t="e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#N/A</v>
      </c>
      <c r="T56" s="91" t="e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#N/A</v>
      </c>
      <c r="U56" s="91" t="e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#N/A</v>
      </c>
      <c r="V56" s="91" t="e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#N/A</v>
      </c>
      <c r="W56" s="91" t="e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#N/A</v>
      </c>
      <c r="X56" s="91" t="e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#N/A</v>
      </c>
      <c r="Y56" s="98" t="e">
        <f t="shared" ca="1" si="7"/>
        <v>#N/A</v>
      </c>
    </row>
    <row r="57" spans="1:25" x14ac:dyDescent="0.25">
      <c r="A57" s="93">
        <f>+Hoja1!A56</f>
        <v>491</v>
      </c>
      <c r="B57" s="91" t="e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#N/A</v>
      </c>
      <c r="C57" s="91" t="e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#N/A</v>
      </c>
      <c r="D57" s="91" t="e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#N/A</v>
      </c>
      <c r="E57" s="91" t="e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#N/A</v>
      </c>
      <c r="F57" s="91" t="e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#N/A</v>
      </c>
      <c r="G57" s="91" t="e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#N/A</v>
      </c>
      <c r="H57" s="91" t="e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#N/A</v>
      </c>
      <c r="I57" s="91" t="e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#N/A</v>
      </c>
      <c r="J57" s="91" t="e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#N/A</v>
      </c>
      <c r="K57" s="91" t="e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#N/A</v>
      </c>
      <c r="L57" s="91" t="e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#N/A</v>
      </c>
      <c r="M57" s="91" t="e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#N/A</v>
      </c>
      <c r="N57" s="91" t="e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#N/A</v>
      </c>
      <c r="O57" s="91" t="e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#N/A</v>
      </c>
      <c r="P57" s="91" t="e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#N/A</v>
      </c>
      <c r="Q57" s="91" t="e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#N/A</v>
      </c>
      <c r="R57" s="91" t="e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#N/A</v>
      </c>
      <c r="S57" s="91" t="e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#N/A</v>
      </c>
      <c r="T57" s="91" t="e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#N/A</v>
      </c>
      <c r="U57" s="91" t="e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#N/A</v>
      </c>
      <c r="V57" s="91" t="e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#N/A</v>
      </c>
      <c r="W57" s="91" t="e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#N/A</v>
      </c>
      <c r="X57" s="91" t="e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#N/A</v>
      </c>
      <c r="Y57" s="98" t="e">
        <f t="shared" ca="1" si="7"/>
        <v>#N/A</v>
      </c>
    </row>
    <row r="58" spans="1:25" x14ac:dyDescent="0.25">
      <c r="A58" s="93">
        <f>+Hoja1!A57</f>
        <v>490</v>
      </c>
      <c r="B58" s="91" t="e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#N/A</v>
      </c>
      <c r="C58" s="91" t="e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#N/A</v>
      </c>
      <c r="D58" s="91" t="e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#N/A</v>
      </c>
      <c r="E58" s="91" t="e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#N/A</v>
      </c>
      <c r="F58" s="91" t="e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#N/A</v>
      </c>
      <c r="G58" s="91" t="e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#N/A</v>
      </c>
      <c r="H58" s="91" t="e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#N/A</v>
      </c>
      <c r="I58" s="91" t="e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#N/A</v>
      </c>
      <c r="J58" s="91" t="e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#N/A</v>
      </c>
      <c r="K58" s="91" t="e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#N/A</v>
      </c>
      <c r="L58" s="91" t="e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#N/A</v>
      </c>
      <c r="M58" s="91" t="e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#N/A</v>
      </c>
      <c r="N58" s="91" t="e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#N/A</v>
      </c>
      <c r="O58" s="91" t="e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#N/A</v>
      </c>
      <c r="P58" s="91" t="e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#N/A</v>
      </c>
      <c r="Q58" s="91" t="e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#N/A</v>
      </c>
      <c r="R58" s="91" t="e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#N/A</v>
      </c>
      <c r="S58" s="91" t="e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#N/A</v>
      </c>
      <c r="T58" s="91" t="e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#N/A</v>
      </c>
      <c r="U58" s="91" t="e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#N/A</v>
      </c>
      <c r="V58" s="91" t="e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#N/A</v>
      </c>
      <c r="W58" s="91" t="e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#N/A</v>
      </c>
      <c r="X58" s="91" t="e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#N/A</v>
      </c>
      <c r="Y58" s="98" t="e">
        <f t="shared" ca="1" si="7"/>
        <v>#N/A</v>
      </c>
    </row>
    <row r="59" spans="1:25" x14ac:dyDescent="0.25">
      <c r="A59" s="93">
        <f>+Hoja1!A58</f>
        <v>489</v>
      </c>
      <c r="B59" s="91" t="e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#N/A</v>
      </c>
      <c r="C59" s="91" t="e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#N/A</v>
      </c>
      <c r="D59" s="91" t="e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#N/A</v>
      </c>
      <c r="E59" s="91" t="e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#N/A</v>
      </c>
      <c r="F59" s="91" t="e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#N/A</v>
      </c>
      <c r="G59" s="91" t="e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#N/A</v>
      </c>
      <c r="H59" s="91" t="e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#N/A</v>
      </c>
      <c r="I59" s="91" t="e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#N/A</v>
      </c>
      <c r="J59" s="91" t="e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#N/A</v>
      </c>
      <c r="K59" s="91" t="e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#N/A</v>
      </c>
      <c r="L59" s="91" t="e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#N/A</v>
      </c>
      <c r="M59" s="91" t="e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#N/A</v>
      </c>
      <c r="N59" s="91" t="e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#N/A</v>
      </c>
      <c r="O59" s="91" t="e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#N/A</v>
      </c>
      <c r="P59" s="91" t="e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#N/A</v>
      </c>
      <c r="Q59" s="91" t="e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#N/A</v>
      </c>
      <c r="R59" s="91" t="e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#N/A</v>
      </c>
      <c r="S59" s="91" t="e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#N/A</v>
      </c>
      <c r="T59" s="91" t="e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#N/A</v>
      </c>
      <c r="U59" s="91" t="e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#N/A</v>
      </c>
      <c r="V59" s="91" t="e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#N/A</v>
      </c>
      <c r="W59" s="91" t="e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#N/A</v>
      </c>
      <c r="X59" s="91" t="e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#N/A</v>
      </c>
      <c r="Y59" s="98" t="e">
        <f t="shared" ca="1" si="7"/>
        <v>#N/A</v>
      </c>
    </row>
    <row r="60" spans="1:25" x14ac:dyDescent="0.25">
      <c r="A60" s="93">
        <f>+Hoja1!A59</f>
        <v>488</v>
      </c>
      <c r="B60" s="91" t="e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#N/A</v>
      </c>
      <c r="C60" s="91" t="e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#N/A</v>
      </c>
      <c r="D60" s="91" t="e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#N/A</v>
      </c>
      <c r="E60" s="91" t="e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#N/A</v>
      </c>
      <c r="F60" s="91" t="e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#N/A</v>
      </c>
      <c r="G60" s="91" t="e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#N/A</v>
      </c>
      <c r="H60" s="91" t="e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#N/A</v>
      </c>
      <c r="I60" s="91" t="e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#N/A</v>
      </c>
      <c r="J60" s="91" t="e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#N/A</v>
      </c>
      <c r="K60" s="91" t="e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#N/A</v>
      </c>
      <c r="L60" s="91" t="e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#N/A</v>
      </c>
      <c r="M60" s="91" t="e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#N/A</v>
      </c>
      <c r="N60" s="91" t="e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#N/A</v>
      </c>
      <c r="O60" s="91" t="e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#N/A</v>
      </c>
      <c r="P60" s="91" t="e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#N/A</v>
      </c>
      <c r="Q60" s="91" t="e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#N/A</v>
      </c>
      <c r="R60" s="91" t="e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#N/A</v>
      </c>
      <c r="S60" s="91" t="e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#N/A</v>
      </c>
      <c r="T60" s="91" t="e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#N/A</v>
      </c>
      <c r="U60" s="91" t="e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#N/A</v>
      </c>
      <c r="V60" s="91" t="e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#N/A</v>
      </c>
      <c r="W60" s="91" t="e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#N/A</v>
      </c>
      <c r="X60" s="91" t="e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#N/A</v>
      </c>
      <c r="Y60" s="98" t="e">
        <f t="shared" ca="1" si="7"/>
        <v>#N/A</v>
      </c>
    </row>
    <row r="61" spans="1:25" x14ac:dyDescent="0.25">
      <c r="A61" s="93">
        <f>+Hoja1!A60</f>
        <v>487</v>
      </c>
      <c r="B61" s="91" t="e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#N/A</v>
      </c>
      <c r="C61" s="91" t="e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#N/A</v>
      </c>
      <c r="D61" s="91" t="e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#N/A</v>
      </c>
      <c r="E61" s="91" t="e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#N/A</v>
      </c>
      <c r="F61" s="91" t="e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#N/A</v>
      </c>
      <c r="G61" s="91" t="e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#N/A</v>
      </c>
      <c r="H61" s="91" t="e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#N/A</v>
      </c>
      <c r="I61" s="91" t="e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#N/A</v>
      </c>
      <c r="J61" s="91" t="e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#N/A</v>
      </c>
      <c r="K61" s="91" t="e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#N/A</v>
      </c>
      <c r="L61" s="91" t="e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#N/A</v>
      </c>
      <c r="M61" s="91" t="e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#N/A</v>
      </c>
      <c r="N61" s="91" t="e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#N/A</v>
      </c>
      <c r="O61" s="91" t="e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#N/A</v>
      </c>
      <c r="P61" s="91" t="e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#N/A</v>
      </c>
      <c r="Q61" s="91" t="e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#N/A</v>
      </c>
      <c r="R61" s="91" t="e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#N/A</v>
      </c>
      <c r="S61" s="91" t="e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#N/A</v>
      </c>
      <c r="T61" s="91" t="e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#N/A</v>
      </c>
      <c r="U61" s="91" t="e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#N/A</v>
      </c>
      <c r="V61" s="91" t="e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#N/A</v>
      </c>
      <c r="W61" s="91" t="e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#N/A</v>
      </c>
      <c r="X61" s="91" t="e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#N/A</v>
      </c>
      <c r="Y61" s="98" t="e">
        <f t="shared" ca="1" si="7"/>
        <v>#N/A</v>
      </c>
    </row>
    <row r="62" spans="1:25" x14ac:dyDescent="0.25">
      <c r="A62" s="93">
        <f>+Hoja1!A61</f>
        <v>486</v>
      </c>
      <c r="B62" s="91" t="e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#N/A</v>
      </c>
      <c r="C62" s="91" t="e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#N/A</v>
      </c>
      <c r="D62" s="91" t="e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#N/A</v>
      </c>
      <c r="E62" s="91" t="e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#N/A</v>
      </c>
      <c r="F62" s="91" t="e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#N/A</v>
      </c>
      <c r="G62" s="91" t="e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#N/A</v>
      </c>
      <c r="H62" s="91" t="e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#N/A</v>
      </c>
      <c r="I62" s="91" t="e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#N/A</v>
      </c>
      <c r="J62" s="91" t="e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#N/A</v>
      </c>
      <c r="K62" s="91" t="e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#N/A</v>
      </c>
      <c r="L62" s="91" t="e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#N/A</v>
      </c>
      <c r="M62" s="91" t="e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#N/A</v>
      </c>
      <c r="N62" s="91" t="e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#N/A</v>
      </c>
      <c r="O62" s="91" t="e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#N/A</v>
      </c>
      <c r="P62" s="91" t="e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#N/A</v>
      </c>
      <c r="Q62" s="91" t="e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#N/A</v>
      </c>
      <c r="R62" s="91" t="e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#N/A</v>
      </c>
      <c r="S62" s="91" t="e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#N/A</v>
      </c>
      <c r="T62" s="91" t="e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#N/A</v>
      </c>
      <c r="U62" s="91" t="e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#N/A</v>
      </c>
      <c r="V62" s="91" t="e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#N/A</v>
      </c>
      <c r="W62" s="91" t="e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#N/A</v>
      </c>
      <c r="X62" s="91" t="e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#N/A</v>
      </c>
      <c r="Y62" s="98" t="e">
        <f t="shared" ca="1" si="7"/>
        <v>#N/A</v>
      </c>
    </row>
    <row r="63" spans="1:25" x14ac:dyDescent="0.25">
      <c r="A63" s="93">
        <f>+Hoja1!A62</f>
        <v>485</v>
      </c>
      <c r="B63" s="91" t="e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#N/A</v>
      </c>
      <c r="C63" s="91" t="e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#N/A</v>
      </c>
      <c r="D63" s="91" t="e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#N/A</v>
      </c>
      <c r="E63" s="91" t="e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#N/A</v>
      </c>
      <c r="F63" s="91" t="e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#N/A</v>
      </c>
      <c r="G63" s="91" t="e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#N/A</v>
      </c>
      <c r="H63" s="91" t="e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#N/A</v>
      </c>
      <c r="I63" s="91" t="e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#N/A</v>
      </c>
      <c r="J63" s="91" t="e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#N/A</v>
      </c>
      <c r="K63" s="91" t="e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#N/A</v>
      </c>
      <c r="L63" s="91" t="e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#N/A</v>
      </c>
      <c r="M63" s="91" t="e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#N/A</v>
      </c>
      <c r="N63" s="91" t="e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#N/A</v>
      </c>
      <c r="O63" s="91" t="e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#N/A</v>
      </c>
      <c r="P63" s="91" t="e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#N/A</v>
      </c>
      <c r="Q63" s="91" t="e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#N/A</v>
      </c>
      <c r="R63" s="91" t="e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#N/A</v>
      </c>
      <c r="S63" s="91" t="e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#N/A</v>
      </c>
      <c r="T63" s="91" t="e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#N/A</v>
      </c>
      <c r="U63" s="91" t="e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#N/A</v>
      </c>
      <c r="V63" s="91" t="e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#N/A</v>
      </c>
      <c r="W63" s="91" t="e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#N/A</v>
      </c>
      <c r="X63" s="91" t="e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#N/A</v>
      </c>
      <c r="Y63" s="98" t="e">
        <f t="shared" ca="1" si="7"/>
        <v>#N/A</v>
      </c>
    </row>
    <row r="64" spans="1:25" x14ac:dyDescent="0.25">
      <c r="A64" s="93">
        <f>+Hoja1!A63</f>
        <v>484</v>
      </c>
      <c r="B64" s="91" t="e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#N/A</v>
      </c>
      <c r="C64" s="91" t="e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#N/A</v>
      </c>
      <c r="D64" s="91" t="e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#N/A</v>
      </c>
      <c r="E64" s="91" t="e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#N/A</v>
      </c>
      <c r="F64" s="91" t="e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#N/A</v>
      </c>
      <c r="G64" s="91" t="e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#N/A</v>
      </c>
      <c r="H64" s="91" t="e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#N/A</v>
      </c>
      <c r="I64" s="91" t="e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#N/A</v>
      </c>
      <c r="J64" s="91" t="e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#N/A</v>
      </c>
      <c r="K64" s="91" t="e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#N/A</v>
      </c>
      <c r="L64" s="91" t="e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#N/A</v>
      </c>
      <c r="M64" s="91" t="e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#N/A</v>
      </c>
      <c r="N64" s="91" t="e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#N/A</v>
      </c>
      <c r="O64" s="91" t="e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#N/A</v>
      </c>
      <c r="P64" s="91" t="e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#N/A</v>
      </c>
      <c r="Q64" s="91" t="e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#N/A</v>
      </c>
      <c r="R64" s="91" t="e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#N/A</v>
      </c>
      <c r="S64" s="91" t="e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#N/A</v>
      </c>
      <c r="T64" s="91" t="e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#N/A</v>
      </c>
      <c r="U64" s="91" t="e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#N/A</v>
      </c>
      <c r="V64" s="91" t="e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#N/A</v>
      </c>
      <c r="W64" s="91" t="e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#N/A</v>
      </c>
      <c r="X64" s="91" t="e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#N/A</v>
      </c>
      <c r="Y64" s="98" t="e">
        <f t="shared" ca="1" si="7"/>
        <v>#N/A</v>
      </c>
    </row>
    <row r="65" spans="1:25" x14ac:dyDescent="0.25">
      <c r="A65" s="93">
        <f>+Hoja1!A64</f>
        <v>483</v>
      </c>
      <c r="B65" s="91" t="e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#N/A</v>
      </c>
      <c r="C65" s="91" t="e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#N/A</v>
      </c>
      <c r="D65" s="91" t="e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#N/A</v>
      </c>
      <c r="E65" s="91" t="e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#N/A</v>
      </c>
      <c r="F65" s="91" t="e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#N/A</v>
      </c>
      <c r="G65" s="91" t="e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#N/A</v>
      </c>
      <c r="H65" s="91" t="e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#N/A</v>
      </c>
      <c r="I65" s="91" t="e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#N/A</v>
      </c>
      <c r="J65" s="91" t="e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#N/A</v>
      </c>
      <c r="K65" s="91" t="e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#N/A</v>
      </c>
      <c r="L65" s="91" t="e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#N/A</v>
      </c>
      <c r="M65" s="91" t="e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#N/A</v>
      </c>
      <c r="N65" s="91" t="e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#N/A</v>
      </c>
      <c r="O65" s="91" t="e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#N/A</v>
      </c>
      <c r="P65" s="91" t="e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#N/A</v>
      </c>
      <c r="Q65" s="91" t="e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#N/A</v>
      </c>
      <c r="R65" s="91" t="e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#N/A</v>
      </c>
      <c r="S65" s="91" t="e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#N/A</v>
      </c>
      <c r="T65" s="91" t="e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#N/A</v>
      </c>
      <c r="U65" s="91" t="e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#N/A</v>
      </c>
      <c r="V65" s="91" t="e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#N/A</v>
      </c>
      <c r="W65" s="91" t="e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#N/A</v>
      </c>
      <c r="X65" s="91" t="e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#N/A</v>
      </c>
      <c r="Y65" s="98" t="e">
        <f t="shared" ca="1" si="7"/>
        <v>#N/A</v>
      </c>
    </row>
    <row r="66" spans="1:25" x14ac:dyDescent="0.25">
      <c r="A66" s="93">
        <f>+Hoja1!A65</f>
        <v>482</v>
      </c>
      <c r="B66" s="91" t="e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#N/A</v>
      </c>
      <c r="C66" s="91" t="e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#N/A</v>
      </c>
      <c r="D66" s="91" t="e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#N/A</v>
      </c>
      <c r="E66" s="91" t="e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#N/A</v>
      </c>
      <c r="F66" s="91" t="e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#N/A</v>
      </c>
      <c r="G66" s="91" t="e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#N/A</v>
      </c>
      <c r="H66" s="91" t="e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#N/A</v>
      </c>
      <c r="I66" s="91" t="e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#N/A</v>
      </c>
      <c r="J66" s="91" t="e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#N/A</v>
      </c>
      <c r="K66" s="91" t="e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#N/A</v>
      </c>
      <c r="L66" s="91" t="e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#N/A</v>
      </c>
      <c r="M66" s="91" t="e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#N/A</v>
      </c>
      <c r="N66" s="91" t="e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#N/A</v>
      </c>
      <c r="O66" s="91" t="e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#N/A</v>
      </c>
      <c r="P66" s="91" t="e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#N/A</v>
      </c>
      <c r="Q66" s="91" t="e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#N/A</v>
      </c>
      <c r="R66" s="91" t="e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#N/A</v>
      </c>
      <c r="S66" s="91" t="e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#N/A</v>
      </c>
      <c r="T66" s="91" t="e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#N/A</v>
      </c>
      <c r="U66" s="91" t="e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#N/A</v>
      </c>
      <c r="V66" s="91" t="e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#N/A</v>
      </c>
      <c r="W66" s="91" t="e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#N/A</v>
      </c>
      <c r="X66" s="91" t="e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#N/A</v>
      </c>
      <c r="Y66" s="98" t="e">
        <f t="shared" ca="1" si="7"/>
        <v>#N/A</v>
      </c>
    </row>
    <row r="67" spans="1:25" x14ac:dyDescent="0.25">
      <c r="A67" s="93">
        <f>+Hoja1!A66</f>
        <v>481</v>
      </c>
      <c r="B67" s="91" t="e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#N/A</v>
      </c>
      <c r="C67" s="91" t="e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#N/A</v>
      </c>
      <c r="D67" s="91" t="e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#N/A</v>
      </c>
      <c r="E67" s="91" t="e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#N/A</v>
      </c>
      <c r="F67" s="91" t="e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#N/A</v>
      </c>
      <c r="G67" s="91" t="e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#N/A</v>
      </c>
      <c r="H67" s="91" t="e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#N/A</v>
      </c>
      <c r="I67" s="91" t="e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#N/A</v>
      </c>
      <c r="J67" s="91" t="e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#N/A</v>
      </c>
      <c r="K67" s="91" t="e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#N/A</v>
      </c>
      <c r="L67" s="91" t="e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#N/A</v>
      </c>
      <c r="M67" s="91" t="e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#N/A</v>
      </c>
      <c r="N67" s="91" t="e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#N/A</v>
      </c>
      <c r="O67" s="91" t="e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#N/A</v>
      </c>
      <c r="P67" s="91" t="e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#N/A</v>
      </c>
      <c r="Q67" s="91" t="e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#N/A</v>
      </c>
      <c r="R67" s="91" t="e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#N/A</v>
      </c>
      <c r="S67" s="91" t="e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#N/A</v>
      </c>
      <c r="T67" s="91" t="e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#N/A</v>
      </c>
      <c r="U67" s="91" t="e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#N/A</v>
      </c>
      <c r="V67" s="91" t="e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#N/A</v>
      </c>
      <c r="W67" s="91" t="e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#N/A</v>
      </c>
      <c r="X67" s="91" t="e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#N/A</v>
      </c>
      <c r="Y67" s="98" t="e">
        <f t="shared" ca="1" si="7"/>
        <v>#N/A</v>
      </c>
    </row>
    <row r="68" spans="1:25" x14ac:dyDescent="0.25">
      <c r="A68" s="93">
        <f>+Hoja1!A67</f>
        <v>480</v>
      </c>
      <c r="B68" s="91" t="e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#N/A</v>
      </c>
      <c r="C68" s="91" t="e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#N/A</v>
      </c>
      <c r="D68" s="91" t="e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#N/A</v>
      </c>
      <c r="E68" s="91" t="e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#N/A</v>
      </c>
      <c r="F68" s="91" t="e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#N/A</v>
      </c>
      <c r="G68" s="91" t="e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#N/A</v>
      </c>
      <c r="H68" s="91" t="e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#N/A</v>
      </c>
      <c r="I68" s="91" t="e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#N/A</v>
      </c>
      <c r="J68" s="91" t="e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#N/A</v>
      </c>
      <c r="K68" s="91" t="e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#N/A</v>
      </c>
      <c r="L68" s="91" t="e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#N/A</v>
      </c>
      <c r="M68" s="91" t="e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#N/A</v>
      </c>
      <c r="N68" s="91" t="e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#N/A</v>
      </c>
      <c r="O68" s="91" t="e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#N/A</v>
      </c>
      <c r="P68" s="91" t="e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#N/A</v>
      </c>
      <c r="Q68" s="91" t="e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#N/A</v>
      </c>
      <c r="R68" s="91" t="e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#N/A</v>
      </c>
      <c r="S68" s="91" t="e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#N/A</v>
      </c>
      <c r="T68" s="91" t="e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#N/A</v>
      </c>
      <c r="U68" s="91" t="e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#N/A</v>
      </c>
      <c r="V68" s="91" t="e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#N/A</v>
      </c>
      <c r="W68" s="91" t="e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#N/A</v>
      </c>
      <c r="X68" s="91" t="e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#N/A</v>
      </c>
      <c r="Y68" s="98" t="e">
        <f t="shared" ca="1" si="7"/>
        <v>#N/A</v>
      </c>
    </row>
    <row r="69" spans="1:25" x14ac:dyDescent="0.25">
      <c r="A69" s="93">
        <f>+Hoja1!A68</f>
        <v>479</v>
      </c>
      <c r="B69" s="91" t="e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#N/A</v>
      </c>
      <c r="C69" s="91" t="e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#N/A</v>
      </c>
      <c r="D69" s="91" t="e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#N/A</v>
      </c>
      <c r="E69" s="91" t="e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#N/A</v>
      </c>
      <c r="F69" s="91" t="e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#N/A</v>
      </c>
      <c r="G69" s="91" t="e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#N/A</v>
      </c>
      <c r="H69" s="91" t="e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#N/A</v>
      </c>
      <c r="I69" s="91" t="e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#N/A</v>
      </c>
      <c r="J69" s="91" t="e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#N/A</v>
      </c>
      <c r="K69" s="91" t="e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#N/A</v>
      </c>
      <c r="L69" s="91" t="e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#N/A</v>
      </c>
      <c r="M69" s="91" t="e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#N/A</v>
      </c>
      <c r="N69" s="91" t="e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#N/A</v>
      </c>
      <c r="O69" s="91" t="e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#N/A</v>
      </c>
      <c r="P69" s="91" t="e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#N/A</v>
      </c>
      <c r="Q69" s="91" t="e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#N/A</v>
      </c>
      <c r="R69" s="91" t="e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#N/A</v>
      </c>
      <c r="S69" s="91" t="e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#N/A</v>
      </c>
      <c r="T69" s="91" t="e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#N/A</v>
      </c>
      <c r="U69" s="91" t="e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#N/A</v>
      </c>
      <c r="V69" s="91" t="e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#N/A</v>
      </c>
      <c r="W69" s="91" t="e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#N/A</v>
      </c>
      <c r="X69" s="91" t="e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#N/A</v>
      </c>
      <c r="Y69" s="98" t="e">
        <f t="shared" ca="1" si="7"/>
        <v>#N/A</v>
      </c>
    </row>
    <row r="70" spans="1:25" x14ac:dyDescent="0.25">
      <c r="A70" s="93">
        <f>+Hoja1!A69</f>
        <v>478</v>
      </c>
      <c r="B70" s="91" t="e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#N/A</v>
      </c>
      <c r="C70" s="91" t="e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#N/A</v>
      </c>
      <c r="D70" s="91" t="e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#N/A</v>
      </c>
      <c r="E70" s="91" t="e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#N/A</v>
      </c>
      <c r="F70" s="91" t="e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#N/A</v>
      </c>
      <c r="G70" s="91" t="e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#N/A</v>
      </c>
      <c r="H70" s="91" t="e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#N/A</v>
      </c>
      <c r="I70" s="91" t="e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#N/A</v>
      </c>
      <c r="J70" s="91" t="e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#N/A</v>
      </c>
      <c r="K70" s="91" t="e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#N/A</v>
      </c>
      <c r="L70" s="91" t="e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#N/A</v>
      </c>
      <c r="M70" s="91" t="e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#N/A</v>
      </c>
      <c r="N70" s="91" t="e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#N/A</v>
      </c>
      <c r="O70" s="91" t="e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#N/A</v>
      </c>
      <c r="P70" s="91" t="e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#N/A</v>
      </c>
      <c r="Q70" s="91" t="e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#N/A</v>
      </c>
      <c r="R70" s="91" t="e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#N/A</v>
      </c>
      <c r="S70" s="91" t="e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#N/A</v>
      </c>
      <c r="T70" s="91" t="e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#N/A</v>
      </c>
      <c r="U70" s="91" t="e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#N/A</v>
      </c>
      <c r="V70" s="91" t="e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#N/A</v>
      </c>
      <c r="W70" s="91" t="e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#N/A</v>
      </c>
      <c r="X70" s="91" t="e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#N/A</v>
      </c>
      <c r="Y70" s="98" t="e">
        <f t="shared" ca="1" si="7"/>
        <v>#N/A</v>
      </c>
    </row>
    <row r="71" spans="1:25" x14ac:dyDescent="0.25">
      <c r="A71" s="93">
        <f>+Hoja1!A70</f>
        <v>477</v>
      </c>
      <c r="B71" s="91" t="e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#N/A</v>
      </c>
      <c r="C71" s="91" t="e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#N/A</v>
      </c>
      <c r="D71" s="91" t="e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#N/A</v>
      </c>
      <c r="E71" s="91" t="e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#N/A</v>
      </c>
      <c r="F71" s="91" t="e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#N/A</v>
      </c>
      <c r="G71" s="91" t="e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#N/A</v>
      </c>
      <c r="H71" s="91" t="e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#N/A</v>
      </c>
      <c r="I71" s="91" t="e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#N/A</v>
      </c>
      <c r="J71" s="91" t="e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#N/A</v>
      </c>
      <c r="K71" s="91" t="e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#N/A</v>
      </c>
      <c r="L71" s="91" t="e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#N/A</v>
      </c>
      <c r="M71" s="91" t="e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#N/A</v>
      </c>
      <c r="N71" s="91" t="e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#N/A</v>
      </c>
      <c r="O71" s="91" t="e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#N/A</v>
      </c>
      <c r="P71" s="91" t="e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#N/A</v>
      </c>
      <c r="Q71" s="91" t="e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#N/A</v>
      </c>
      <c r="R71" s="91" t="e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#N/A</v>
      </c>
      <c r="S71" s="91" t="e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#N/A</v>
      </c>
      <c r="T71" s="91" t="e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#N/A</v>
      </c>
      <c r="U71" s="91" t="e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#N/A</v>
      </c>
      <c r="V71" s="91" t="e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#N/A</v>
      </c>
      <c r="W71" s="91" t="e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#N/A</v>
      </c>
      <c r="X71" s="91" t="e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#N/A</v>
      </c>
      <c r="Y71" s="98" t="e">
        <f t="shared" ca="1" si="7"/>
        <v>#N/A</v>
      </c>
    </row>
    <row r="72" spans="1:25" x14ac:dyDescent="0.25">
      <c r="A72" s="93">
        <f>+Hoja1!A71</f>
        <v>476</v>
      </c>
      <c r="B72" s="91" t="e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#N/A</v>
      </c>
      <c r="C72" s="91" t="e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#N/A</v>
      </c>
      <c r="D72" s="91" t="e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#N/A</v>
      </c>
      <c r="E72" s="91" t="e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#N/A</v>
      </c>
      <c r="F72" s="91" t="e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#N/A</v>
      </c>
      <c r="G72" s="91" t="e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#N/A</v>
      </c>
      <c r="H72" s="91" t="e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#N/A</v>
      </c>
      <c r="I72" s="91" t="e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#N/A</v>
      </c>
      <c r="J72" s="91" t="e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#N/A</v>
      </c>
      <c r="K72" s="91" t="e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#N/A</v>
      </c>
      <c r="L72" s="91" t="e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#N/A</v>
      </c>
      <c r="M72" s="91" t="e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#N/A</v>
      </c>
      <c r="N72" s="91" t="e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#N/A</v>
      </c>
      <c r="O72" s="91" t="e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#N/A</v>
      </c>
      <c r="P72" s="91" t="e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#N/A</v>
      </c>
      <c r="Q72" s="91" t="e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#N/A</v>
      </c>
      <c r="R72" s="91" t="e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#N/A</v>
      </c>
      <c r="S72" s="91" t="e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#N/A</v>
      </c>
      <c r="T72" s="91" t="e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#N/A</v>
      </c>
      <c r="U72" s="91" t="e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#N/A</v>
      </c>
      <c r="V72" s="91" t="e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#N/A</v>
      </c>
      <c r="W72" s="91" t="e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#N/A</v>
      </c>
      <c r="X72" s="91" t="e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#N/A</v>
      </c>
      <c r="Y72" s="98" t="e">
        <f t="shared" ca="1" si="7"/>
        <v>#N/A</v>
      </c>
    </row>
    <row r="73" spans="1:25" x14ac:dyDescent="0.25">
      <c r="A73" s="93">
        <f>+Hoja1!A72</f>
        <v>475</v>
      </c>
      <c r="B73" s="91" t="e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#N/A</v>
      </c>
      <c r="C73" s="91" t="e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#N/A</v>
      </c>
      <c r="D73" s="91" t="e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#N/A</v>
      </c>
      <c r="E73" s="91" t="e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#N/A</v>
      </c>
      <c r="F73" s="91" t="e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#N/A</v>
      </c>
      <c r="G73" s="91" t="e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#N/A</v>
      </c>
      <c r="H73" s="91" t="e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#N/A</v>
      </c>
      <c r="I73" s="91" t="e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#N/A</v>
      </c>
      <c r="J73" s="91" t="e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#N/A</v>
      </c>
      <c r="K73" s="91" t="e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#N/A</v>
      </c>
      <c r="L73" s="91" t="e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#N/A</v>
      </c>
      <c r="M73" s="91" t="e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#N/A</v>
      </c>
      <c r="N73" s="91" t="e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#N/A</v>
      </c>
      <c r="O73" s="91" t="e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#N/A</v>
      </c>
      <c r="P73" s="91" t="e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#N/A</v>
      </c>
      <c r="Q73" s="91" t="e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#N/A</v>
      </c>
      <c r="R73" s="91" t="e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#N/A</v>
      </c>
      <c r="S73" s="91" t="e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#N/A</v>
      </c>
      <c r="T73" s="91" t="e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#N/A</v>
      </c>
      <c r="U73" s="91" t="e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#N/A</v>
      </c>
      <c r="V73" s="91" t="e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#N/A</v>
      </c>
      <c r="W73" s="91" t="e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#N/A</v>
      </c>
      <c r="X73" s="91" t="e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#N/A</v>
      </c>
      <c r="Y73" s="98" t="e">
        <f t="shared" ca="1" si="7"/>
        <v>#N/A</v>
      </c>
    </row>
    <row r="74" spans="1:25" x14ac:dyDescent="0.25">
      <c r="A74" s="93">
        <f>+Hoja1!A73</f>
        <v>474</v>
      </c>
      <c r="B74" s="91" t="e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#N/A</v>
      </c>
      <c r="C74" s="91" t="e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#N/A</v>
      </c>
      <c r="D74" s="91" t="e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#N/A</v>
      </c>
      <c r="E74" s="91" t="e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#N/A</v>
      </c>
      <c r="F74" s="91" t="e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#N/A</v>
      </c>
      <c r="G74" s="91" t="e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#N/A</v>
      </c>
      <c r="H74" s="91" t="e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#N/A</v>
      </c>
      <c r="I74" s="91" t="e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#N/A</v>
      </c>
      <c r="J74" s="91" t="e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#N/A</v>
      </c>
      <c r="K74" s="91" t="e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#N/A</v>
      </c>
      <c r="L74" s="91" t="e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#N/A</v>
      </c>
      <c r="M74" s="91" t="e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#N/A</v>
      </c>
      <c r="N74" s="91" t="e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#N/A</v>
      </c>
      <c r="O74" s="91" t="e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#N/A</v>
      </c>
      <c r="P74" s="91" t="e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#N/A</v>
      </c>
      <c r="Q74" s="91" t="e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#N/A</v>
      </c>
      <c r="R74" s="91" t="e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#N/A</v>
      </c>
      <c r="S74" s="91" t="e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#N/A</v>
      </c>
      <c r="T74" s="91" t="e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#N/A</v>
      </c>
      <c r="U74" s="91" t="e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#N/A</v>
      </c>
      <c r="V74" s="91" t="e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#N/A</v>
      </c>
      <c r="W74" s="91" t="e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#N/A</v>
      </c>
      <c r="X74" s="91" t="e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#N/A</v>
      </c>
      <c r="Y74" s="98" t="e">
        <f t="shared" ca="1" si="7"/>
        <v>#N/A</v>
      </c>
    </row>
    <row r="75" spans="1:25" x14ac:dyDescent="0.25">
      <c r="A75" s="93">
        <f>+Hoja1!A74</f>
        <v>473</v>
      </c>
      <c r="B75" s="91" t="e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#N/A</v>
      </c>
      <c r="C75" s="91" t="e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#N/A</v>
      </c>
      <c r="D75" s="91" t="e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#N/A</v>
      </c>
      <c r="E75" s="91" t="e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#N/A</v>
      </c>
      <c r="F75" s="91" t="e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#N/A</v>
      </c>
      <c r="G75" s="91" t="e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#N/A</v>
      </c>
      <c r="H75" s="91" t="e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#N/A</v>
      </c>
      <c r="I75" s="91" t="e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#N/A</v>
      </c>
      <c r="J75" s="91" t="e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#N/A</v>
      </c>
      <c r="K75" s="91" t="e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#N/A</v>
      </c>
      <c r="L75" s="91" t="e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#N/A</v>
      </c>
      <c r="M75" s="91" t="e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#N/A</v>
      </c>
      <c r="N75" s="91" t="e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#N/A</v>
      </c>
      <c r="O75" s="91" t="e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#N/A</v>
      </c>
      <c r="P75" s="91" t="e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#N/A</v>
      </c>
      <c r="Q75" s="91" t="e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#N/A</v>
      </c>
      <c r="R75" s="91" t="e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#N/A</v>
      </c>
      <c r="S75" s="91" t="e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#N/A</v>
      </c>
      <c r="T75" s="91" t="e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#N/A</v>
      </c>
      <c r="U75" s="91" t="e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#N/A</v>
      </c>
      <c r="V75" s="91" t="e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#N/A</v>
      </c>
      <c r="W75" s="91" t="e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#N/A</v>
      </c>
      <c r="X75" s="91" t="e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#N/A</v>
      </c>
      <c r="Y75" s="98" t="e">
        <f t="shared" ca="1" si="7"/>
        <v>#N/A</v>
      </c>
    </row>
    <row r="76" spans="1:25" x14ac:dyDescent="0.25">
      <c r="A76" s="93">
        <f>+Hoja1!A75</f>
        <v>472</v>
      </c>
      <c r="B76" s="91" t="e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#N/A</v>
      </c>
      <c r="C76" s="91" t="e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#N/A</v>
      </c>
      <c r="D76" s="91" t="e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#N/A</v>
      </c>
      <c r="E76" s="91" t="e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#N/A</v>
      </c>
      <c r="F76" s="91" t="e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#N/A</v>
      </c>
      <c r="G76" s="91" t="e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#N/A</v>
      </c>
      <c r="H76" s="91" t="e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#N/A</v>
      </c>
      <c r="I76" s="91" t="e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#N/A</v>
      </c>
      <c r="J76" s="91" t="e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#N/A</v>
      </c>
      <c r="K76" s="91" t="e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#N/A</v>
      </c>
      <c r="L76" s="91" t="e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#N/A</v>
      </c>
      <c r="M76" s="91" t="e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#N/A</v>
      </c>
      <c r="N76" s="91" t="e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#N/A</v>
      </c>
      <c r="O76" s="91" t="e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#N/A</v>
      </c>
      <c r="P76" s="91" t="e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#N/A</v>
      </c>
      <c r="Q76" s="91" t="e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#N/A</v>
      </c>
      <c r="R76" s="91" t="e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#N/A</v>
      </c>
      <c r="S76" s="91" t="e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#N/A</v>
      </c>
      <c r="T76" s="91" t="e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#N/A</v>
      </c>
      <c r="U76" s="91" t="e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#N/A</v>
      </c>
      <c r="V76" s="91" t="e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#N/A</v>
      </c>
      <c r="W76" s="91" t="e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#N/A</v>
      </c>
      <c r="X76" s="91" t="e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#N/A</v>
      </c>
      <c r="Y76" s="98" t="e">
        <f t="shared" ca="1" si="7"/>
        <v>#N/A</v>
      </c>
    </row>
    <row r="77" spans="1:25" x14ac:dyDescent="0.25">
      <c r="A77" s="93">
        <f>+Hoja1!A76</f>
        <v>471</v>
      </c>
      <c r="B77" s="91" t="e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#N/A</v>
      </c>
      <c r="C77" s="91" t="e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#N/A</v>
      </c>
      <c r="D77" s="91" t="e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#N/A</v>
      </c>
      <c r="E77" s="91" t="e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#N/A</v>
      </c>
      <c r="F77" s="91" t="e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#N/A</v>
      </c>
      <c r="G77" s="91" t="e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#N/A</v>
      </c>
      <c r="H77" s="91" t="e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#N/A</v>
      </c>
      <c r="I77" s="91" t="e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#N/A</v>
      </c>
      <c r="J77" s="91" t="e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#N/A</v>
      </c>
      <c r="K77" s="91" t="e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#N/A</v>
      </c>
      <c r="L77" s="91" t="e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#N/A</v>
      </c>
      <c r="M77" s="91" t="e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#N/A</v>
      </c>
      <c r="N77" s="91" t="e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#N/A</v>
      </c>
      <c r="O77" s="91" t="e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#N/A</v>
      </c>
      <c r="P77" s="91" t="e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#N/A</v>
      </c>
      <c r="Q77" s="91" t="e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#N/A</v>
      </c>
      <c r="R77" s="91" t="e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#N/A</v>
      </c>
      <c r="S77" s="91" t="e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#N/A</v>
      </c>
      <c r="T77" s="91" t="e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#N/A</v>
      </c>
      <c r="U77" s="91" t="e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#N/A</v>
      </c>
      <c r="V77" s="91" t="e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#N/A</v>
      </c>
      <c r="W77" s="91" t="e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#N/A</v>
      </c>
      <c r="X77" s="91" t="e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#N/A</v>
      </c>
      <c r="Y77" s="98" t="e">
        <f t="shared" ca="1" si="7"/>
        <v>#N/A</v>
      </c>
    </row>
    <row r="78" spans="1:25" x14ac:dyDescent="0.25">
      <c r="A78" s="93">
        <f>+Hoja1!A77</f>
        <v>470</v>
      </c>
      <c r="B78" s="91" t="e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#N/A</v>
      </c>
      <c r="C78" s="91" t="e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#N/A</v>
      </c>
      <c r="D78" s="91" t="e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#N/A</v>
      </c>
      <c r="E78" s="91" t="e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#N/A</v>
      </c>
      <c r="F78" s="91" t="e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#N/A</v>
      </c>
      <c r="G78" s="91" t="e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#N/A</v>
      </c>
      <c r="H78" s="91" t="e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#N/A</v>
      </c>
      <c r="I78" s="91" t="e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#N/A</v>
      </c>
      <c r="J78" s="91" t="e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#N/A</v>
      </c>
      <c r="K78" s="91" t="e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#N/A</v>
      </c>
      <c r="L78" s="91" t="e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#N/A</v>
      </c>
      <c r="M78" s="91" t="e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#N/A</v>
      </c>
      <c r="N78" s="91" t="e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#N/A</v>
      </c>
      <c r="O78" s="91" t="e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#N/A</v>
      </c>
      <c r="P78" s="91" t="e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#N/A</v>
      </c>
      <c r="Q78" s="91" t="e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#N/A</v>
      </c>
      <c r="R78" s="91" t="e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#N/A</v>
      </c>
      <c r="S78" s="91" t="e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#N/A</v>
      </c>
      <c r="T78" s="91" t="e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#N/A</v>
      </c>
      <c r="U78" s="91" t="e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#N/A</v>
      </c>
      <c r="V78" s="91" t="e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#N/A</v>
      </c>
      <c r="W78" s="91" t="e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#N/A</v>
      </c>
      <c r="X78" s="91" t="e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#N/A</v>
      </c>
      <c r="Y78" s="98" t="e">
        <f t="shared" ca="1" si="7"/>
        <v>#N/A</v>
      </c>
    </row>
    <row r="79" spans="1:25" x14ac:dyDescent="0.25">
      <c r="A79" s="93">
        <f>+Hoja1!A78</f>
        <v>469</v>
      </c>
      <c r="B79" s="91" t="e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#N/A</v>
      </c>
      <c r="C79" s="91" t="e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#N/A</v>
      </c>
      <c r="D79" s="91" t="e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#N/A</v>
      </c>
      <c r="E79" s="91" t="e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#N/A</v>
      </c>
      <c r="F79" s="91" t="e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#N/A</v>
      </c>
      <c r="G79" s="91" t="e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#N/A</v>
      </c>
      <c r="H79" s="91" t="e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#N/A</v>
      </c>
      <c r="I79" s="91" t="e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#N/A</v>
      </c>
      <c r="J79" s="91" t="e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#N/A</v>
      </c>
      <c r="K79" s="91" t="e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#N/A</v>
      </c>
      <c r="L79" s="91" t="e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#N/A</v>
      </c>
      <c r="M79" s="91" t="e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#N/A</v>
      </c>
      <c r="N79" s="91" t="e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#N/A</v>
      </c>
      <c r="O79" s="91" t="e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#N/A</v>
      </c>
      <c r="P79" s="91" t="e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#N/A</v>
      </c>
      <c r="Q79" s="91" t="e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#N/A</v>
      </c>
      <c r="R79" s="91" t="e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#N/A</v>
      </c>
      <c r="S79" s="91" t="e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#N/A</v>
      </c>
      <c r="T79" s="91" t="e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#N/A</v>
      </c>
      <c r="U79" s="91" t="e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#N/A</v>
      </c>
      <c r="V79" s="91" t="e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#N/A</v>
      </c>
      <c r="W79" s="91" t="e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#N/A</v>
      </c>
      <c r="X79" s="91" t="e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#N/A</v>
      </c>
      <c r="Y79" s="98" t="e">
        <f t="shared" ca="1" si="7"/>
        <v>#N/A</v>
      </c>
    </row>
    <row r="80" spans="1:25" x14ac:dyDescent="0.25">
      <c r="A80" s="93">
        <f>+Hoja1!A79</f>
        <v>468</v>
      </c>
      <c r="B80" s="91" t="e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#N/A</v>
      </c>
      <c r="C80" s="91" t="e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#N/A</v>
      </c>
      <c r="D80" s="91" t="e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#N/A</v>
      </c>
      <c r="E80" s="91" t="e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#N/A</v>
      </c>
      <c r="F80" s="91" t="e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#N/A</v>
      </c>
      <c r="G80" s="91" t="e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#N/A</v>
      </c>
      <c r="H80" s="91" t="e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#N/A</v>
      </c>
      <c r="I80" s="91" t="e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#N/A</v>
      </c>
      <c r="J80" s="91" t="e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#N/A</v>
      </c>
      <c r="K80" s="91" t="e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#N/A</v>
      </c>
      <c r="L80" s="91" t="e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#N/A</v>
      </c>
      <c r="M80" s="91" t="e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#N/A</v>
      </c>
      <c r="N80" s="91" t="e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#N/A</v>
      </c>
      <c r="O80" s="91" t="e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#N/A</v>
      </c>
      <c r="P80" s="91" t="e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#N/A</v>
      </c>
      <c r="Q80" s="91" t="e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#N/A</v>
      </c>
      <c r="R80" s="91" t="e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#N/A</v>
      </c>
      <c r="S80" s="91" t="e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#N/A</v>
      </c>
      <c r="T80" s="91" t="e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#N/A</v>
      </c>
      <c r="U80" s="91" t="e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#N/A</v>
      </c>
      <c r="V80" s="91" t="e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#N/A</v>
      </c>
      <c r="W80" s="91" t="e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#N/A</v>
      </c>
      <c r="X80" s="91" t="e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#N/A</v>
      </c>
      <c r="Y80" s="98" t="e">
        <f t="shared" ca="1" si="7"/>
        <v>#N/A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>250505</v>
      </c>
      <c r="C82" s="92" t="str">
        <f t="shared" ref="C82:X82" ca="1" si="8">+C42</f>
        <v>250506</v>
      </c>
      <c r="D82" s="92" t="str">
        <f t="shared" ca="1" si="8"/>
        <v>250507</v>
      </c>
      <c r="E82" s="92" t="str">
        <f t="shared" ca="1" si="8"/>
        <v>250508</v>
      </c>
      <c r="F82" s="92" t="str">
        <f t="shared" ca="1" si="8"/>
        <v/>
      </c>
      <c r="G82" s="92" t="str">
        <f t="shared" ca="1" si="8"/>
        <v/>
      </c>
      <c r="H82" s="92" t="str">
        <f t="shared" ca="1" si="8"/>
        <v>250523</v>
      </c>
      <c r="I82" s="92" t="str">
        <f t="shared" ca="1" si="8"/>
        <v>250530</v>
      </c>
      <c r="J82" s="92" t="str">
        <f t="shared" ca="1" si="8"/>
        <v>250606</v>
      </c>
      <c r="K82" s="92" t="str">
        <f t="shared" ca="1" si="8"/>
        <v>250620</v>
      </c>
      <c r="L82" s="92" t="str">
        <f t="shared" ca="1" si="8"/>
        <v>250630</v>
      </c>
      <c r="M82" s="92" t="str">
        <f t="shared" ca="1" si="8"/>
        <v>250718</v>
      </c>
      <c r="N82" s="92" t="str">
        <f t="shared" ca="1" si="8"/>
        <v>250731</v>
      </c>
      <c r="O82" s="92" t="str">
        <f t="shared" ca="1" si="8"/>
        <v>250815</v>
      </c>
      <c r="P82" s="92" t="str">
        <f t="shared" ca="1" si="8"/>
        <v>250829</v>
      </c>
      <c r="Q82" s="92" t="str">
        <f t="shared" ca="1" si="8"/>
        <v>250919</v>
      </c>
      <c r="R82" s="92" t="str">
        <f t="shared" ca="1" si="8"/>
        <v>250930</v>
      </c>
      <c r="S82" s="92" t="str">
        <f t="shared" ca="1" si="8"/>
        <v>251017</v>
      </c>
      <c r="T82" s="92" t="str">
        <f t="shared" ca="1" si="8"/>
        <v>251031</v>
      </c>
      <c r="U82" s="92" t="str">
        <f t="shared" ca="1" si="8"/>
        <v>251121</v>
      </c>
      <c r="V82" s="92" t="str">
        <f t="shared" ca="1" si="8"/>
        <v>251128</v>
      </c>
      <c r="W82" s="92" t="str">
        <f t="shared" ca="1" si="8"/>
        <v>251219</v>
      </c>
      <c r="X82" s="92" t="str">
        <f t="shared" ca="1" si="8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45782</v>
      </c>
      <c r="C84" s="94">
        <f t="shared" ref="C84:X84" si="9">+C44</f>
        <v>45783</v>
      </c>
      <c r="D84" s="94">
        <f t="shared" si="9"/>
        <v>45784</v>
      </c>
      <c r="E84" s="94">
        <f t="shared" si="9"/>
        <v>45785</v>
      </c>
      <c r="F84" s="94">
        <f t="shared" si="9"/>
        <v>45786</v>
      </c>
      <c r="G84" s="94">
        <f t="shared" si="9"/>
        <v>45793</v>
      </c>
      <c r="H84" s="94">
        <f t="shared" si="9"/>
        <v>45800</v>
      </c>
      <c r="I84" s="94">
        <f t="shared" si="9"/>
        <v>45807</v>
      </c>
      <c r="J84" s="94">
        <f t="shared" si="9"/>
        <v>45814</v>
      </c>
      <c r="K84" s="94">
        <f t="shared" si="9"/>
        <v>45828</v>
      </c>
      <c r="L84" s="94">
        <f t="shared" si="9"/>
        <v>45838</v>
      </c>
      <c r="M84" s="94">
        <f t="shared" si="9"/>
        <v>45856</v>
      </c>
      <c r="N84" s="94">
        <f t="shared" si="9"/>
        <v>45869</v>
      </c>
      <c r="O84" s="94">
        <f t="shared" si="9"/>
        <v>45884</v>
      </c>
      <c r="P84" s="94">
        <f t="shared" si="9"/>
        <v>45898</v>
      </c>
      <c r="Q84" s="94">
        <f t="shared" si="9"/>
        <v>45919</v>
      </c>
      <c r="R84" s="94">
        <f t="shared" si="9"/>
        <v>45930</v>
      </c>
      <c r="S84" s="94">
        <f t="shared" si="9"/>
        <v>45947</v>
      </c>
      <c r="T84" s="94">
        <f t="shared" si="9"/>
        <v>45961</v>
      </c>
      <c r="U84" s="94">
        <f t="shared" si="9"/>
        <v>45982</v>
      </c>
      <c r="V84" s="94">
        <f t="shared" si="9"/>
        <v>45989</v>
      </c>
      <c r="W84" s="94">
        <f t="shared" si="9"/>
        <v>46010</v>
      </c>
      <c r="X84" s="94">
        <f t="shared" si="9"/>
        <v>46022</v>
      </c>
    </row>
    <row r="85" spans="1:25" x14ac:dyDescent="0.25">
      <c r="A85" s="93">
        <f>+Hoja1!A84</f>
        <v>5685.75</v>
      </c>
      <c r="B85" s="92"/>
    </row>
    <row r="86" spans="1:25" x14ac:dyDescent="0.25">
      <c r="A86" s="93">
        <f>+Hoja1!A85</f>
        <v>5870</v>
      </c>
      <c r="B86" s="91" t="e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#N/A</v>
      </c>
      <c r="C86" s="91" t="e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#N/A</v>
      </c>
      <c r="D86" s="91" t="e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#N/A</v>
      </c>
      <c r="E86" s="91" t="e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#N/A</v>
      </c>
      <c r="F86" s="91" t="e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#N/A</v>
      </c>
      <c r="G86" s="91" t="e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#N/A</v>
      </c>
      <c r="H86" s="91" t="e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#N/A</v>
      </c>
      <c r="I86" s="91" t="e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#N/A</v>
      </c>
      <c r="J86" s="91" t="e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#N/A</v>
      </c>
      <c r="K86" s="91" t="e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#N/A</v>
      </c>
      <c r="L86" s="91" t="e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#N/A</v>
      </c>
      <c r="M86" s="91" t="e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#N/A</v>
      </c>
      <c r="N86" s="91" t="e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#N/A</v>
      </c>
      <c r="O86" s="91" t="e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#N/A</v>
      </c>
      <c r="P86" s="91" t="e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#N/A</v>
      </c>
      <c r="Q86" s="91" t="e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#N/A</v>
      </c>
      <c r="R86" s="91" t="e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#N/A</v>
      </c>
      <c r="S86" s="91" t="e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#N/A</v>
      </c>
      <c r="T86" s="91" t="e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#N/A</v>
      </c>
      <c r="U86" s="91" t="e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#N/A</v>
      </c>
      <c r="V86" s="91" t="e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#N/A</v>
      </c>
      <c r="W86" s="91" t="e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#N/A</v>
      </c>
      <c r="X86" s="91" t="e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#N/A</v>
      </c>
      <c r="Y86" s="98" t="e">
        <f ca="1">SUM(B86:X86)</f>
        <v>#N/A</v>
      </c>
    </row>
    <row r="87" spans="1:25" x14ac:dyDescent="0.25">
      <c r="A87" s="93">
        <f>+Hoja1!A86</f>
        <v>5860</v>
      </c>
      <c r="B87" s="91" t="e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#N/A</v>
      </c>
      <c r="C87" s="91" t="e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#N/A</v>
      </c>
      <c r="D87" s="91" t="e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#N/A</v>
      </c>
      <c r="E87" s="91" t="e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#N/A</v>
      </c>
      <c r="F87" s="91" t="e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#N/A</v>
      </c>
      <c r="G87" s="91" t="e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#N/A</v>
      </c>
      <c r="H87" s="91" t="e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#N/A</v>
      </c>
      <c r="I87" s="91" t="e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#N/A</v>
      </c>
      <c r="J87" s="91" t="e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#N/A</v>
      </c>
      <c r="K87" s="91" t="e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#N/A</v>
      </c>
      <c r="L87" s="91" t="e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#N/A</v>
      </c>
      <c r="M87" s="91" t="e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#N/A</v>
      </c>
      <c r="N87" s="91" t="e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#N/A</v>
      </c>
      <c r="O87" s="91" t="e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#N/A</v>
      </c>
      <c r="P87" s="91" t="e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#N/A</v>
      </c>
      <c r="Q87" s="91" t="e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#N/A</v>
      </c>
      <c r="R87" s="91" t="e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#N/A</v>
      </c>
      <c r="S87" s="91" t="e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#N/A</v>
      </c>
      <c r="T87" s="91" t="e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#N/A</v>
      </c>
      <c r="U87" s="91" t="e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#N/A</v>
      </c>
      <c r="V87" s="91" t="e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#N/A</v>
      </c>
      <c r="W87" s="91" t="e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#N/A</v>
      </c>
      <c r="X87" s="91" t="e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#N/A</v>
      </c>
      <c r="Y87" s="98" t="e">
        <f t="shared" ref="Y87:Y131" ca="1" si="10">SUM(B87:X87)</f>
        <v>#N/A</v>
      </c>
    </row>
    <row r="88" spans="1:25" x14ac:dyDescent="0.25">
      <c r="A88" s="93">
        <f>+Hoja1!A87</f>
        <v>5850</v>
      </c>
      <c r="B88" s="91" t="e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#N/A</v>
      </c>
      <c r="C88" s="91" t="e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#N/A</v>
      </c>
      <c r="D88" s="91" t="e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#N/A</v>
      </c>
      <c r="E88" s="91" t="e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#N/A</v>
      </c>
      <c r="F88" s="91" t="e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#N/A</v>
      </c>
      <c r="G88" s="91" t="e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#N/A</v>
      </c>
      <c r="H88" s="91" t="e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#N/A</v>
      </c>
      <c r="I88" s="91" t="e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#N/A</v>
      </c>
      <c r="J88" s="91" t="e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#N/A</v>
      </c>
      <c r="K88" s="91" t="e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#N/A</v>
      </c>
      <c r="L88" s="91" t="e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#N/A</v>
      </c>
      <c r="M88" s="91" t="e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#N/A</v>
      </c>
      <c r="N88" s="91" t="e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#N/A</v>
      </c>
      <c r="O88" s="91" t="e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#N/A</v>
      </c>
      <c r="P88" s="91" t="e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#N/A</v>
      </c>
      <c r="Q88" s="91" t="e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#N/A</v>
      </c>
      <c r="R88" s="91" t="e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#N/A</v>
      </c>
      <c r="S88" s="91" t="e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#N/A</v>
      </c>
      <c r="T88" s="91" t="e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#N/A</v>
      </c>
      <c r="U88" s="91" t="e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#N/A</v>
      </c>
      <c r="V88" s="91" t="e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#N/A</v>
      </c>
      <c r="W88" s="91" t="e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#N/A</v>
      </c>
      <c r="X88" s="91" t="e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#N/A</v>
      </c>
      <c r="Y88" s="98" t="e">
        <f t="shared" ca="1" si="10"/>
        <v>#N/A</v>
      </c>
    </row>
    <row r="89" spans="1:25" x14ac:dyDescent="0.25">
      <c r="A89" s="93">
        <f>+Hoja1!A88</f>
        <v>5840</v>
      </c>
      <c r="B89" s="91" t="e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#N/A</v>
      </c>
      <c r="C89" s="91" t="e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#N/A</v>
      </c>
      <c r="D89" s="91" t="e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#N/A</v>
      </c>
      <c r="E89" s="91" t="e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#N/A</v>
      </c>
      <c r="F89" s="91" t="e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#N/A</v>
      </c>
      <c r="G89" s="91" t="e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#N/A</v>
      </c>
      <c r="H89" s="91" t="e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#N/A</v>
      </c>
      <c r="I89" s="91" t="e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#N/A</v>
      </c>
      <c r="J89" s="91" t="e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#N/A</v>
      </c>
      <c r="K89" s="91" t="e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#N/A</v>
      </c>
      <c r="L89" s="91" t="e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#N/A</v>
      </c>
      <c r="M89" s="91" t="e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#N/A</v>
      </c>
      <c r="N89" s="91" t="e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#N/A</v>
      </c>
      <c r="O89" s="91" t="e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#N/A</v>
      </c>
      <c r="P89" s="91" t="e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#N/A</v>
      </c>
      <c r="Q89" s="91" t="e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#N/A</v>
      </c>
      <c r="R89" s="91" t="e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#N/A</v>
      </c>
      <c r="S89" s="91" t="e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#N/A</v>
      </c>
      <c r="T89" s="91" t="e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#N/A</v>
      </c>
      <c r="U89" s="91" t="e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#N/A</v>
      </c>
      <c r="V89" s="91" t="e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#N/A</v>
      </c>
      <c r="W89" s="91" t="e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#N/A</v>
      </c>
      <c r="X89" s="91" t="e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#N/A</v>
      </c>
      <c r="Y89" s="98" t="e">
        <f t="shared" ca="1" si="10"/>
        <v>#N/A</v>
      </c>
    </row>
    <row r="90" spans="1:25" x14ac:dyDescent="0.25">
      <c r="A90" s="93">
        <f>+Hoja1!A89</f>
        <v>5830</v>
      </c>
      <c r="B90" s="91" t="e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#N/A</v>
      </c>
      <c r="C90" s="91" t="e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#N/A</v>
      </c>
      <c r="D90" s="91" t="e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#N/A</v>
      </c>
      <c r="E90" s="91" t="e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#N/A</v>
      </c>
      <c r="F90" s="91" t="e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#N/A</v>
      </c>
      <c r="G90" s="91" t="e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#N/A</v>
      </c>
      <c r="H90" s="91" t="e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#N/A</v>
      </c>
      <c r="I90" s="91" t="e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#N/A</v>
      </c>
      <c r="J90" s="91" t="e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#N/A</v>
      </c>
      <c r="K90" s="91" t="e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#N/A</v>
      </c>
      <c r="L90" s="91" t="e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#N/A</v>
      </c>
      <c r="M90" s="91" t="e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#N/A</v>
      </c>
      <c r="N90" s="91" t="e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#N/A</v>
      </c>
      <c r="O90" s="91" t="e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#N/A</v>
      </c>
      <c r="P90" s="91" t="e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#N/A</v>
      </c>
      <c r="Q90" s="91" t="e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#N/A</v>
      </c>
      <c r="R90" s="91" t="e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#N/A</v>
      </c>
      <c r="S90" s="91" t="e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#N/A</v>
      </c>
      <c r="T90" s="91" t="e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#N/A</v>
      </c>
      <c r="U90" s="91" t="e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#N/A</v>
      </c>
      <c r="V90" s="91" t="e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#N/A</v>
      </c>
      <c r="W90" s="91" t="e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#N/A</v>
      </c>
      <c r="X90" s="91" t="e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#N/A</v>
      </c>
      <c r="Y90" s="98" t="e">
        <f t="shared" ca="1" si="10"/>
        <v>#N/A</v>
      </c>
    </row>
    <row r="91" spans="1:25" x14ac:dyDescent="0.25">
      <c r="A91" s="93">
        <f>+Hoja1!A90</f>
        <v>5820</v>
      </c>
      <c r="B91" s="91" t="e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#N/A</v>
      </c>
      <c r="C91" s="91" t="e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#N/A</v>
      </c>
      <c r="D91" s="91" t="e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#N/A</v>
      </c>
      <c r="E91" s="91" t="e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#N/A</v>
      </c>
      <c r="F91" s="91" t="e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#N/A</v>
      </c>
      <c r="G91" s="91" t="e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#N/A</v>
      </c>
      <c r="H91" s="91" t="e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#N/A</v>
      </c>
      <c r="I91" s="91" t="e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#N/A</v>
      </c>
      <c r="J91" s="91" t="e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#N/A</v>
      </c>
      <c r="K91" s="91" t="e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#N/A</v>
      </c>
      <c r="L91" s="91" t="e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#N/A</v>
      </c>
      <c r="M91" s="91" t="e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#N/A</v>
      </c>
      <c r="N91" s="91" t="e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#N/A</v>
      </c>
      <c r="O91" s="91" t="e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#N/A</v>
      </c>
      <c r="P91" s="91" t="e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#N/A</v>
      </c>
      <c r="Q91" s="91" t="e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#N/A</v>
      </c>
      <c r="R91" s="91" t="e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#N/A</v>
      </c>
      <c r="S91" s="91" t="e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#N/A</v>
      </c>
      <c r="T91" s="91" t="e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#N/A</v>
      </c>
      <c r="U91" s="91" t="e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#N/A</v>
      </c>
      <c r="V91" s="91" t="e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#N/A</v>
      </c>
      <c r="W91" s="91" t="e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#N/A</v>
      </c>
      <c r="X91" s="91" t="e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#N/A</v>
      </c>
      <c r="Y91" s="98" t="e">
        <f t="shared" ca="1" si="10"/>
        <v>#N/A</v>
      </c>
    </row>
    <row r="92" spans="1:25" x14ac:dyDescent="0.25">
      <c r="A92" s="93">
        <f>+Hoja1!A91</f>
        <v>5810</v>
      </c>
      <c r="B92" s="91" t="e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#N/A</v>
      </c>
      <c r="C92" s="91" t="e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#N/A</v>
      </c>
      <c r="D92" s="91" t="e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#N/A</v>
      </c>
      <c r="E92" s="91" t="e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#N/A</v>
      </c>
      <c r="F92" s="91" t="e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#N/A</v>
      </c>
      <c r="G92" s="91" t="e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#N/A</v>
      </c>
      <c r="H92" s="91" t="e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#N/A</v>
      </c>
      <c r="I92" s="91" t="e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#N/A</v>
      </c>
      <c r="J92" s="91" t="e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#N/A</v>
      </c>
      <c r="K92" s="91" t="e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#N/A</v>
      </c>
      <c r="L92" s="91" t="e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#N/A</v>
      </c>
      <c r="M92" s="91" t="e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#N/A</v>
      </c>
      <c r="N92" s="91" t="e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#N/A</v>
      </c>
      <c r="O92" s="91" t="e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#N/A</v>
      </c>
      <c r="P92" s="91" t="e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#N/A</v>
      </c>
      <c r="Q92" s="91" t="e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#N/A</v>
      </c>
      <c r="R92" s="91" t="e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#N/A</v>
      </c>
      <c r="S92" s="91" t="e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#N/A</v>
      </c>
      <c r="T92" s="91" t="e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#N/A</v>
      </c>
      <c r="U92" s="91" t="e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#N/A</v>
      </c>
      <c r="V92" s="91" t="e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#N/A</v>
      </c>
      <c r="W92" s="91" t="e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#N/A</v>
      </c>
      <c r="X92" s="91" t="e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#N/A</v>
      </c>
      <c r="Y92" s="98" t="e">
        <f t="shared" ca="1" si="10"/>
        <v>#N/A</v>
      </c>
    </row>
    <row r="93" spans="1:25" x14ac:dyDescent="0.25">
      <c r="A93" s="93">
        <f>+Hoja1!A92</f>
        <v>5800</v>
      </c>
      <c r="B93" s="91" t="e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#N/A</v>
      </c>
      <c r="C93" s="91" t="e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#N/A</v>
      </c>
      <c r="D93" s="91" t="e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#N/A</v>
      </c>
      <c r="E93" s="91" t="e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#N/A</v>
      </c>
      <c r="F93" s="91" t="e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#N/A</v>
      </c>
      <c r="G93" s="91" t="e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#N/A</v>
      </c>
      <c r="H93" s="91" t="e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#N/A</v>
      </c>
      <c r="I93" s="91" t="e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#N/A</v>
      </c>
      <c r="J93" s="91" t="e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#N/A</v>
      </c>
      <c r="K93" s="91" t="e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#N/A</v>
      </c>
      <c r="L93" s="91" t="e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#N/A</v>
      </c>
      <c r="M93" s="91" t="e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#N/A</v>
      </c>
      <c r="N93" s="91" t="e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#N/A</v>
      </c>
      <c r="O93" s="91" t="e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#N/A</v>
      </c>
      <c r="P93" s="91" t="e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#N/A</v>
      </c>
      <c r="Q93" s="91" t="e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#N/A</v>
      </c>
      <c r="R93" s="91" t="e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#N/A</v>
      </c>
      <c r="S93" s="91" t="e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#N/A</v>
      </c>
      <c r="T93" s="91" t="e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#N/A</v>
      </c>
      <c r="U93" s="91" t="e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#N/A</v>
      </c>
      <c r="V93" s="91" t="e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#N/A</v>
      </c>
      <c r="W93" s="91" t="e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#N/A</v>
      </c>
      <c r="X93" s="91" t="e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#N/A</v>
      </c>
      <c r="Y93" s="98" t="e">
        <f t="shared" ca="1" si="10"/>
        <v>#N/A</v>
      </c>
    </row>
    <row r="94" spans="1:25" x14ac:dyDescent="0.25">
      <c r="A94" s="93">
        <f>+Hoja1!A93</f>
        <v>5790</v>
      </c>
      <c r="B94" s="91" t="e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#N/A</v>
      </c>
      <c r="C94" s="91" t="e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#N/A</v>
      </c>
      <c r="D94" s="91" t="e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#N/A</v>
      </c>
      <c r="E94" s="91" t="e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#N/A</v>
      </c>
      <c r="F94" s="91" t="e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#N/A</v>
      </c>
      <c r="G94" s="91" t="e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#N/A</v>
      </c>
      <c r="H94" s="91" t="e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#N/A</v>
      </c>
      <c r="I94" s="91" t="e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#N/A</v>
      </c>
      <c r="J94" s="91" t="e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#N/A</v>
      </c>
      <c r="K94" s="91" t="e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#N/A</v>
      </c>
      <c r="L94" s="91" t="e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#N/A</v>
      </c>
      <c r="M94" s="91" t="e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#N/A</v>
      </c>
      <c r="N94" s="91" t="e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#N/A</v>
      </c>
      <c r="O94" s="91" t="e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#N/A</v>
      </c>
      <c r="P94" s="91" t="e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#N/A</v>
      </c>
      <c r="Q94" s="91" t="e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#N/A</v>
      </c>
      <c r="R94" s="91" t="e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#N/A</v>
      </c>
      <c r="S94" s="91" t="e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#N/A</v>
      </c>
      <c r="T94" s="91" t="e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#N/A</v>
      </c>
      <c r="U94" s="91" t="e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#N/A</v>
      </c>
      <c r="V94" s="91" t="e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#N/A</v>
      </c>
      <c r="W94" s="91" t="e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#N/A</v>
      </c>
      <c r="X94" s="91" t="e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#N/A</v>
      </c>
      <c r="Y94" s="98" t="e">
        <f t="shared" ca="1" si="10"/>
        <v>#N/A</v>
      </c>
    </row>
    <row r="95" spans="1:25" x14ac:dyDescent="0.25">
      <c r="A95" s="93">
        <f>+Hoja1!A94</f>
        <v>5780</v>
      </c>
      <c r="B95" s="91" t="e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#N/A</v>
      </c>
      <c r="C95" s="91" t="e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#N/A</v>
      </c>
      <c r="D95" s="91" t="e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#N/A</v>
      </c>
      <c r="E95" s="91" t="e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#N/A</v>
      </c>
      <c r="F95" s="91" t="e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#N/A</v>
      </c>
      <c r="G95" s="91" t="e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#N/A</v>
      </c>
      <c r="H95" s="91" t="e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#N/A</v>
      </c>
      <c r="I95" s="91" t="e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#N/A</v>
      </c>
      <c r="J95" s="91" t="e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#N/A</v>
      </c>
      <c r="K95" s="91" t="e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#N/A</v>
      </c>
      <c r="L95" s="91" t="e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#N/A</v>
      </c>
      <c r="M95" s="91" t="e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#N/A</v>
      </c>
      <c r="N95" s="91" t="e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#N/A</v>
      </c>
      <c r="O95" s="91" t="e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#N/A</v>
      </c>
      <c r="P95" s="91" t="e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#N/A</v>
      </c>
      <c r="Q95" s="91" t="e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#N/A</v>
      </c>
      <c r="R95" s="91" t="e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#N/A</v>
      </c>
      <c r="S95" s="91" t="e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#N/A</v>
      </c>
      <c r="T95" s="91" t="e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#N/A</v>
      </c>
      <c r="U95" s="91" t="e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#N/A</v>
      </c>
      <c r="V95" s="91" t="e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#N/A</v>
      </c>
      <c r="W95" s="91" t="e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#N/A</v>
      </c>
      <c r="X95" s="91" t="e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#N/A</v>
      </c>
      <c r="Y95" s="98" t="e">
        <f t="shared" ca="1" si="10"/>
        <v>#N/A</v>
      </c>
    </row>
    <row r="96" spans="1:25" x14ac:dyDescent="0.25">
      <c r="A96" s="93">
        <f>+Hoja1!A95</f>
        <v>5770</v>
      </c>
      <c r="B96" s="91" t="e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#N/A</v>
      </c>
      <c r="C96" s="91" t="e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#N/A</v>
      </c>
      <c r="D96" s="91" t="e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#N/A</v>
      </c>
      <c r="E96" s="91" t="e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#N/A</v>
      </c>
      <c r="F96" s="91" t="e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#N/A</v>
      </c>
      <c r="G96" s="91" t="e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#N/A</v>
      </c>
      <c r="H96" s="91" t="e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#N/A</v>
      </c>
      <c r="I96" s="91" t="e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#N/A</v>
      </c>
      <c r="J96" s="91" t="e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#N/A</v>
      </c>
      <c r="K96" s="91" t="e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#N/A</v>
      </c>
      <c r="L96" s="91" t="e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#N/A</v>
      </c>
      <c r="M96" s="91" t="e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#N/A</v>
      </c>
      <c r="N96" s="91" t="e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#N/A</v>
      </c>
      <c r="O96" s="91" t="e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#N/A</v>
      </c>
      <c r="P96" s="91" t="e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#N/A</v>
      </c>
      <c r="Q96" s="91" t="e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#N/A</v>
      </c>
      <c r="R96" s="91" t="e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#N/A</v>
      </c>
      <c r="S96" s="91" t="e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#N/A</v>
      </c>
      <c r="T96" s="91" t="e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#N/A</v>
      </c>
      <c r="U96" s="91" t="e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#N/A</v>
      </c>
      <c r="V96" s="91" t="e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#N/A</v>
      </c>
      <c r="W96" s="91" t="e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#N/A</v>
      </c>
      <c r="X96" s="91" t="e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#N/A</v>
      </c>
      <c r="Y96" s="98" t="e">
        <f t="shared" ca="1" si="10"/>
        <v>#N/A</v>
      </c>
    </row>
    <row r="97" spans="1:25" x14ac:dyDescent="0.25">
      <c r="A97" s="93">
        <f>+Hoja1!A96</f>
        <v>5760</v>
      </c>
      <c r="B97" s="91" t="e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#N/A</v>
      </c>
      <c r="C97" s="91" t="e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#N/A</v>
      </c>
      <c r="D97" s="91" t="e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#N/A</v>
      </c>
      <c r="E97" s="91" t="e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#N/A</v>
      </c>
      <c r="F97" s="91" t="e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#N/A</v>
      </c>
      <c r="G97" s="91" t="e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#N/A</v>
      </c>
      <c r="H97" s="91" t="e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#N/A</v>
      </c>
      <c r="I97" s="91" t="e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#N/A</v>
      </c>
      <c r="J97" s="91" t="e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#N/A</v>
      </c>
      <c r="K97" s="91" t="e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#N/A</v>
      </c>
      <c r="L97" s="91" t="e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#N/A</v>
      </c>
      <c r="M97" s="91" t="e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#N/A</v>
      </c>
      <c r="N97" s="91" t="e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#N/A</v>
      </c>
      <c r="O97" s="91" t="e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#N/A</v>
      </c>
      <c r="P97" s="91" t="e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#N/A</v>
      </c>
      <c r="Q97" s="91" t="e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#N/A</v>
      </c>
      <c r="R97" s="91" t="e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#N/A</v>
      </c>
      <c r="S97" s="91" t="e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#N/A</v>
      </c>
      <c r="T97" s="91" t="e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#N/A</v>
      </c>
      <c r="U97" s="91" t="e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#N/A</v>
      </c>
      <c r="V97" s="91" t="e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#N/A</v>
      </c>
      <c r="W97" s="91" t="e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#N/A</v>
      </c>
      <c r="X97" s="91" t="e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#N/A</v>
      </c>
      <c r="Y97" s="98" t="e">
        <f t="shared" ca="1" si="10"/>
        <v>#N/A</v>
      </c>
    </row>
    <row r="98" spans="1:25" x14ac:dyDescent="0.25">
      <c r="A98" s="93">
        <f>+Hoja1!A97</f>
        <v>5750</v>
      </c>
      <c r="B98" s="91" t="e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#N/A</v>
      </c>
      <c r="C98" s="91" t="e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#N/A</v>
      </c>
      <c r="D98" s="91" t="e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#N/A</v>
      </c>
      <c r="E98" s="91" t="e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#N/A</v>
      </c>
      <c r="F98" s="91" t="e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#N/A</v>
      </c>
      <c r="G98" s="91" t="e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#N/A</v>
      </c>
      <c r="H98" s="91" t="e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#N/A</v>
      </c>
      <c r="I98" s="91" t="e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#N/A</v>
      </c>
      <c r="J98" s="91" t="e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#N/A</v>
      </c>
      <c r="K98" s="91" t="e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#N/A</v>
      </c>
      <c r="L98" s="91" t="e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#N/A</v>
      </c>
      <c r="M98" s="91" t="e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#N/A</v>
      </c>
      <c r="N98" s="91" t="e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#N/A</v>
      </c>
      <c r="O98" s="91" t="e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#N/A</v>
      </c>
      <c r="P98" s="91" t="e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#N/A</v>
      </c>
      <c r="Q98" s="91" t="e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#N/A</v>
      </c>
      <c r="R98" s="91" t="e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#N/A</v>
      </c>
      <c r="S98" s="91" t="e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#N/A</v>
      </c>
      <c r="T98" s="91" t="e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#N/A</v>
      </c>
      <c r="U98" s="91" t="e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#N/A</v>
      </c>
      <c r="V98" s="91" t="e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#N/A</v>
      </c>
      <c r="W98" s="91" t="e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#N/A</v>
      </c>
      <c r="X98" s="91" t="e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#N/A</v>
      </c>
      <c r="Y98" s="98" t="e">
        <f t="shared" ca="1" si="10"/>
        <v>#N/A</v>
      </c>
    </row>
    <row r="99" spans="1:25" x14ac:dyDescent="0.25">
      <c r="A99" s="93">
        <f>+Hoja1!A98</f>
        <v>5740</v>
      </c>
      <c r="B99" s="91" t="e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#N/A</v>
      </c>
      <c r="C99" s="91" t="e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#N/A</v>
      </c>
      <c r="D99" s="91" t="e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#N/A</v>
      </c>
      <c r="E99" s="91" t="e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#N/A</v>
      </c>
      <c r="F99" s="91" t="e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#N/A</v>
      </c>
      <c r="G99" s="91" t="e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#N/A</v>
      </c>
      <c r="H99" s="91" t="e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#N/A</v>
      </c>
      <c r="I99" s="91" t="e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#N/A</v>
      </c>
      <c r="J99" s="91" t="e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#N/A</v>
      </c>
      <c r="K99" s="91" t="e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#N/A</v>
      </c>
      <c r="L99" s="91" t="e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#N/A</v>
      </c>
      <c r="M99" s="91" t="e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#N/A</v>
      </c>
      <c r="N99" s="91" t="e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#N/A</v>
      </c>
      <c r="O99" s="91" t="e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#N/A</v>
      </c>
      <c r="P99" s="91" t="e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#N/A</v>
      </c>
      <c r="Q99" s="91" t="e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#N/A</v>
      </c>
      <c r="R99" s="91" t="e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#N/A</v>
      </c>
      <c r="S99" s="91" t="e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#N/A</v>
      </c>
      <c r="T99" s="91" t="e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#N/A</v>
      </c>
      <c r="U99" s="91" t="e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#N/A</v>
      </c>
      <c r="V99" s="91" t="e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#N/A</v>
      </c>
      <c r="W99" s="91" t="e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#N/A</v>
      </c>
      <c r="X99" s="91" t="e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#N/A</v>
      </c>
      <c r="Y99" s="98" t="e">
        <f t="shared" ca="1" si="10"/>
        <v>#N/A</v>
      </c>
    </row>
    <row r="100" spans="1:25" x14ac:dyDescent="0.25">
      <c r="A100" s="93">
        <f>+Hoja1!A99</f>
        <v>5730</v>
      </c>
      <c r="B100" s="91" t="e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#N/A</v>
      </c>
      <c r="C100" s="91" t="e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#N/A</v>
      </c>
      <c r="D100" s="91" t="e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#N/A</v>
      </c>
      <c r="E100" s="91" t="e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#N/A</v>
      </c>
      <c r="F100" s="91" t="e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#N/A</v>
      </c>
      <c r="G100" s="91" t="e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#N/A</v>
      </c>
      <c r="H100" s="91" t="e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#N/A</v>
      </c>
      <c r="I100" s="91" t="e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#N/A</v>
      </c>
      <c r="J100" s="91" t="e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#N/A</v>
      </c>
      <c r="K100" s="91" t="e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#N/A</v>
      </c>
      <c r="L100" s="91" t="e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#N/A</v>
      </c>
      <c r="M100" s="91" t="e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#N/A</v>
      </c>
      <c r="N100" s="91" t="e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#N/A</v>
      </c>
      <c r="O100" s="91" t="e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#N/A</v>
      </c>
      <c r="P100" s="91" t="e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#N/A</v>
      </c>
      <c r="Q100" s="91" t="e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#N/A</v>
      </c>
      <c r="R100" s="91" t="e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#N/A</v>
      </c>
      <c r="S100" s="91" t="e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#N/A</v>
      </c>
      <c r="T100" s="91" t="e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#N/A</v>
      </c>
      <c r="U100" s="91" t="e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#N/A</v>
      </c>
      <c r="V100" s="91" t="e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#N/A</v>
      </c>
      <c r="W100" s="91" t="e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#N/A</v>
      </c>
      <c r="X100" s="91" t="e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#N/A</v>
      </c>
      <c r="Y100" s="98" t="e">
        <f t="shared" ca="1" si="10"/>
        <v>#N/A</v>
      </c>
    </row>
    <row r="101" spans="1:25" x14ac:dyDescent="0.25">
      <c r="A101" s="93">
        <f>+Hoja1!A100</f>
        <v>5720</v>
      </c>
      <c r="B101" s="91" t="e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#N/A</v>
      </c>
      <c r="C101" s="91" t="e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#N/A</v>
      </c>
      <c r="D101" s="91" t="e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#N/A</v>
      </c>
      <c r="E101" s="91" t="e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#N/A</v>
      </c>
      <c r="F101" s="91" t="e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#N/A</v>
      </c>
      <c r="G101" s="91" t="e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#N/A</v>
      </c>
      <c r="H101" s="91" t="e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#N/A</v>
      </c>
      <c r="I101" s="91" t="e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#N/A</v>
      </c>
      <c r="J101" s="91" t="e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#N/A</v>
      </c>
      <c r="K101" s="91" t="e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#N/A</v>
      </c>
      <c r="L101" s="91" t="e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#N/A</v>
      </c>
      <c r="M101" s="91" t="e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#N/A</v>
      </c>
      <c r="N101" s="91" t="e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#N/A</v>
      </c>
      <c r="O101" s="91" t="e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#N/A</v>
      </c>
      <c r="P101" s="91" t="e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#N/A</v>
      </c>
      <c r="Q101" s="91" t="e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#N/A</v>
      </c>
      <c r="R101" s="91" t="e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#N/A</v>
      </c>
      <c r="S101" s="91" t="e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#N/A</v>
      </c>
      <c r="T101" s="91" t="e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#N/A</v>
      </c>
      <c r="U101" s="91" t="e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#N/A</v>
      </c>
      <c r="V101" s="91" t="e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#N/A</v>
      </c>
      <c r="W101" s="91" t="e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#N/A</v>
      </c>
      <c r="X101" s="91" t="e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#N/A</v>
      </c>
      <c r="Y101" s="98" t="e">
        <f t="shared" ca="1" si="10"/>
        <v>#N/A</v>
      </c>
    </row>
    <row r="102" spans="1:25" x14ac:dyDescent="0.25">
      <c r="A102" s="93">
        <f>+Hoja1!A101</f>
        <v>5710</v>
      </c>
      <c r="B102" s="91" t="e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#N/A</v>
      </c>
      <c r="C102" s="91" t="e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#N/A</v>
      </c>
      <c r="D102" s="91" t="e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#N/A</v>
      </c>
      <c r="E102" s="91" t="e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#N/A</v>
      </c>
      <c r="F102" s="91" t="e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#N/A</v>
      </c>
      <c r="G102" s="91" t="e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#N/A</v>
      </c>
      <c r="H102" s="91" t="e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#N/A</v>
      </c>
      <c r="I102" s="91" t="e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#N/A</v>
      </c>
      <c r="J102" s="91" t="e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#N/A</v>
      </c>
      <c r="K102" s="91" t="e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#N/A</v>
      </c>
      <c r="L102" s="91" t="e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#N/A</v>
      </c>
      <c r="M102" s="91" t="e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#N/A</v>
      </c>
      <c r="N102" s="91" t="e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#N/A</v>
      </c>
      <c r="O102" s="91" t="e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#N/A</v>
      </c>
      <c r="P102" s="91" t="e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#N/A</v>
      </c>
      <c r="Q102" s="91" t="e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#N/A</v>
      </c>
      <c r="R102" s="91" t="e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#N/A</v>
      </c>
      <c r="S102" s="91" t="e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#N/A</v>
      </c>
      <c r="T102" s="91" t="e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#N/A</v>
      </c>
      <c r="U102" s="91" t="e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#N/A</v>
      </c>
      <c r="V102" s="91" t="e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#N/A</v>
      </c>
      <c r="W102" s="91" t="e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#N/A</v>
      </c>
      <c r="X102" s="91" t="e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#N/A</v>
      </c>
      <c r="Y102" s="98" t="e">
        <f t="shared" ca="1" si="10"/>
        <v>#N/A</v>
      </c>
    </row>
    <row r="103" spans="1:25" x14ac:dyDescent="0.25">
      <c r="A103" s="93">
        <f>+Hoja1!A102</f>
        <v>5700</v>
      </c>
      <c r="B103" s="91" t="e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#N/A</v>
      </c>
      <c r="C103" s="91" t="e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#N/A</v>
      </c>
      <c r="D103" s="91" t="e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#N/A</v>
      </c>
      <c r="E103" s="91" t="e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#N/A</v>
      </c>
      <c r="F103" s="91" t="e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#N/A</v>
      </c>
      <c r="G103" s="91" t="e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#N/A</v>
      </c>
      <c r="H103" s="91" t="e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#N/A</v>
      </c>
      <c r="I103" s="91" t="e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#N/A</v>
      </c>
      <c r="J103" s="91" t="e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#N/A</v>
      </c>
      <c r="K103" s="91" t="e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#N/A</v>
      </c>
      <c r="L103" s="91" t="e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#N/A</v>
      </c>
      <c r="M103" s="91" t="e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#N/A</v>
      </c>
      <c r="N103" s="91" t="e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#N/A</v>
      </c>
      <c r="O103" s="91" t="e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#N/A</v>
      </c>
      <c r="P103" s="91" t="e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#N/A</v>
      </c>
      <c r="Q103" s="91" t="e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#N/A</v>
      </c>
      <c r="R103" s="91" t="e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#N/A</v>
      </c>
      <c r="S103" s="91" t="e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#N/A</v>
      </c>
      <c r="T103" s="91" t="e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#N/A</v>
      </c>
      <c r="U103" s="91" t="e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#N/A</v>
      </c>
      <c r="V103" s="91" t="e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#N/A</v>
      </c>
      <c r="W103" s="91" t="e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#N/A</v>
      </c>
      <c r="X103" s="91" t="e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#N/A</v>
      </c>
      <c r="Y103" s="98" t="e">
        <f t="shared" ca="1" si="10"/>
        <v>#N/A</v>
      </c>
    </row>
    <row r="104" spans="1:25" x14ac:dyDescent="0.25">
      <c r="A104" s="93">
        <f>+Hoja1!A103</f>
        <v>5690</v>
      </c>
      <c r="B104" s="91" t="e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#N/A</v>
      </c>
      <c r="C104" s="91" t="e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#N/A</v>
      </c>
      <c r="D104" s="91" t="e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#N/A</v>
      </c>
      <c r="E104" s="91" t="e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#N/A</v>
      </c>
      <c r="F104" s="91" t="e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#N/A</v>
      </c>
      <c r="G104" s="91" t="e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#N/A</v>
      </c>
      <c r="H104" s="91" t="e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#N/A</v>
      </c>
      <c r="I104" s="91" t="e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#N/A</v>
      </c>
      <c r="J104" s="91" t="e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#N/A</v>
      </c>
      <c r="K104" s="91" t="e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#N/A</v>
      </c>
      <c r="L104" s="91" t="e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#N/A</v>
      </c>
      <c r="M104" s="91" t="e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#N/A</v>
      </c>
      <c r="N104" s="91" t="e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#N/A</v>
      </c>
      <c r="O104" s="91" t="e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#N/A</v>
      </c>
      <c r="P104" s="91" t="e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#N/A</v>
      </c>
      <c r="Q104" s="91" t="e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#N/A</v>
      </c>
      <c r="R104" s="91" t="e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#N/A</v>
      </c>
      <c r="S104" s="91" t="e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#N/A</v>
      </c>
      <c r="T104" s="91" t="e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#N/A</v>
      </c>
      <c r="U104" s="91" t="e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#N/A</v>
      </c>
      <c r="V104" s="91" t="e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#N/A</v>
      </c>
      <c r="W104" s="91" t="e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#N/A</v>
      </c>
      <c r="X104" s="91" t="e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#N/A</v>
      </c>
      <c r="Y104" s="98" t="e">
        <f t="shared" ca="1" si="10"/>
        <v>#N/A</v>
      </c>
    </row>
    <row r="105" spans="1:25" x14ac:dyDescent="0.25">
      <c r="A105" s="93">
        <f>+Hoja1!A104</f>
        <v>5680</v>
      </c>
      <c r="B105" s="91" t="e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#N/A</v>
      </c>
      <c r="C105" s="91" t="e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#N/A</v>
      </c>
      <c r="D105" s="91" t="e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#N/A</v>
      </c>
      <c r="E105" s="91" t="e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#N/A</v>
      </c>
      <c r="F105" s="91" t="e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#N/A</v>
      </c>
      <c r="G105" s="91" t="e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#N/A</v>
      </c>
      <c r="H105" s="91" t="e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#N/A</v>
      </c>
      <c r="I105" s="91" t="e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#N/A</v>
      </c>
      <c r="J105" s="91" t="e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#N/A</v>
      </c>
      <c r="K105" s="91" t="e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#N/A</v>
      </c>
      <c r="L105" s="91" t="e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#N/A</v>
      </c>
      <c r="M105" s="91" t="e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#N/A</v>
      </c>
      <c r="N105" s="91" t="e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#N/A</v>
      </c>
      <c r="O105" s="91" t="e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#N/A</v>
      </c>
      <c r="P105" s="91" t="e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#N/A</v>
      </c>
      <c r="Q105" s="91" t="e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#N/A</v>
      </c>
      <c r="R105" s="91" t="e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#N/A</v>
      </c>
      <c r="S105" s="91" t="e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#N/A</v>
      </c>
      <c r="T105" s="91" t="e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#N/A</v>
      </c>
      <c r="U105" s="91" t="e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#N/A</v>
      </c>
      <c r="V105" s="91" t="e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#N/A</v>
      </c>
      <c r="W105" s="91" t="e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#N/A</v>
      </c>
      <c r="X105" s="91" t="e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#N/A</v>
      </c>
      <c r="Y105" s="98" t="e">
        <f t="shared" ca="1" si="10"/>
        <v>#N/A</v>
      </c>
    </row>
    <row r="106" spans="1:25" x14ac:dyDescent="0.25">
      <c r="A106" s="93">
        <f>+Hoja1!A105</f>
        <v>5670</v>
      </c>
      <c r="B106" s="91" t="e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#N/A</v>
      </c>
      <c r="C106" s="91" t="e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#N/A</v>
      </c>
      <c r="D106" s="91" t="e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#N/A</v>
      </c>
      <c r="E106" s="91" t="e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#N/A</v>
      </c>
      <c r="F106" s="91" t="e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#N/A</v>
      </c>
      <c r="G106" s="91" t="e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#N/A</v>
      </c>
      <c r="H106" s="91" t="e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#N/A</v>
      </c>
      <c r="I106" s="91" t="e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#N/A</v>
      </c>
      <c r="J106" s="91" t="e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#N/A</v>
      </c>
      <c r="K106" s="91" t="e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#N/A</v>
      </c>
      <c r="L106" s="91" t="e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#N/A</v>
      </c>
      <c r="M106" s="91" t="e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#N/A</v>
      </c>
      <c r="N106" s="91" t="e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#N/A</v>
      </c>
      <c r="O106" s="91" t="e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#N/A</v>
      </c>
      <c r="P106" s="91" t="e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#N/A</v>
      </c>
      <c r="Q106" s="91" t="e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#N/A</v>
      </c>
      <c r="R106" s="91" t="e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#N/A</v>
      </c>
      <c r="S106" s="91" t="e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#N/A</v>
      </c>
      <c r="T106" s="91" t="e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#N/A</v>
      </c>
      <c r="U106" s="91" t="e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#N/A</v>
      </c>
      <c r="V106" s="91" t="e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#N/A</v>
      </c>
      <c r="W106" s="91" t="e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#N/A</v>
      </c>
      <c r="X106" s="91" t="e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#N/A</v>
      </c>
      <c r="Y106" s="98" t="e">
        <f t="shared" ca="1" si="10"/>
        <v>#N/A</v>
      </c>
    </row>
    <row r="107" spans="1:25" x14ac:dyDescent="0.25">
      <c r="A107" s="93">
        <f>+Hoja1!A106</f>
        <v>5660</v>
      </c>
      <c r="B107" s="91" t="e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#N/A</v>
      </c>
      <c r="C107" s="91" t="e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#N/A</v>
      </c>
      <c r="D107" s="91" t="e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#N/A</v>
      </c>
      <c r="E107" s="91" t="e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#N/A</v>
      </c>
      <c r="F107" s="91" t="e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#N/A</v>
      </c>
      <c r="G107" s="91" t="e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#N/A</v>
      </c>
      <c r="H107" s="91" t="e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#N/A</v>
      </c>
      <c r="I107" s="91" t="e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#N/A</v>
      </c>
      <c r="J107" s="91" t="e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#N/A</v>
      </c>
      <c r="K107" s="91" t="e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#N/A</v>
      </c>
      <c r="L107" s="91" t="e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#N/A</v>
      </c>
      <c r="M107" s="91" t="e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#N/A</v>
      </c>
      <c r="N107" s="91" t="e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#N/A</v>
      </c>
      <c r="O107" s="91" t="e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#N/A</v>
      </c>
      <c r="P107" s="91" t="e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#N/A</v>
      </c>
      <c r="Q107" s="91" t="e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#N/A</v>
      </c>
      <c r="R107" s="91" t="e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#N/A</v>
      </c>
      <c r="S107" s="91" t="e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#N/A</v>
      </c>
      <c r="T107" s="91" t="e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#N/A</v>
      </c>
      <c r="U107" s="91" t="e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#N/A</v>
      </c>
      <c r="V107" s="91" t="e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#N/A</v>
      </c>
      <c r="W107" s="91" t="e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#N/A</v>
      </c>
      <c r="X107" s="91" t="e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#N/A</v>
      </c>
      <c r="Y107" s="98" t="e">
        <f t="shared" ca="1" si="10"/>
        <v>#N/A</v>
      </c>
    </row>
    <row r="108" spans="1:25" x14ac:dyDescent="0.25">
      <c r="A108" s="93">
        <f>+Hoja1!A107</f>
        <v>5650</v>
      </c>
      <c r="B108" s="91" t="e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#N/A</v>
      </c>
      <c r="C108" s="91" t="e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#N/A</v>
      </c>
      <c r="D108" s="91" t="e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#N/A</v>
      </c>
      <c r="E108" s="91" t="e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#N/A</v>
      </c>
      <c r="F108" s="91" t="e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#N/A</v>
      </c>
      <c r="G108" s="91" t="e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#N/A</v>
      </c>
      <c r="H108" s="91" t="e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#N/A</v>
      </c>
      <c r="I108" s="91" t="e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#N/A</v>
      </c>
      <c r="J108" s="91" t="e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#N/A</v>
      </c>
      <c r="K108" s="91" t="e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#N/A</v>
      </c>
      <c r="L108" s="91" t="e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#N/A</v>
      </c>
      <c r="M108" s="91" t="e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#N/A</v>
      </c>
      <c r="N108" s="91" t="e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#N/A</v>
      </c>
      <c r="O108" s="91" t="e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#N/A</v>
      </c>
      <c r="P108" s="91" t="e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#N/A</v>
      </c>
      <c r="Q108" s="91" t="e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#N/A</v>
      </c>
      <c r="R108" s="91" t="e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#N/A</v>
      </c>
      <c r="S108" s="91" t="e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#N/A</v>
      </c>
      <c r="T108" s="91" t="e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#N/A</v>
      </c>
      <c r="U108" s="91" t="e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#N/A</v>
      </c>
      <c r="V108" s="91" t="e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#N/A</v>
      </c>
      <c r="W108" s="91" t="e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#N/A</v>
      </c>
      <c r="X108" s="91" t="e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#N/A</v>
      </c>
      <c r="Y108" s="98" t="e">
        <f t="shared" ca="1" si="10"/>
        <v>#N/A</v>
      </c>
    </row>
    <row r="109" spans="1:25" x14ac:dyDescent="0.25">
      <c r="A109" s="93">
        <f>+Hoja1!A108</f>
        <v>5640</v>
      </c>
      <c r="B109" s="91" t="e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#N/A</v>
      </c>
      <c r="C109" s="91" t="e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#N/A</v>
      </c>
      <c r="D109" s="91" t="e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#N/A</v>
      </c>
      <c r="E109" s="91" t="e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#N/A</v>
      </c>
      <c r="F109" s="91" t="e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#N/A</v>
      </c>
      <c r="G109" s="91" t="e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#N/A</v>
      </c>
      <c r="H109" s="91" t="e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#N/A</v>
      </c>
      <c r="I109" s="91" t="e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#N/A</v>
      </c>
      <c r="J109" s="91" t="e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#N/A</v>
      </c>
      <c r="K109" s="91" t="e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#N/A</v>
      </c>
      <c r="L109" s="91" t="e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#N/A</v>
      </c>
      <c r="M109" s="91" t="e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#N/A</v>
      </c>
      <c r="N109" s="91" t="e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#N/A</v>
      </c>
      <c r="O109" s="91" t="e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#N/A</v>
      </c>
      <c r="P109" s="91" t="e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#N/A</v>
      </c>
      <c r="Q109" s="91" t="e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#N/A</v>
      </c>
      <c r="R109" s="91" t="e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#N/A</v>
      </c>
      <c r="S109" s="91" t="e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#N/A</v>
      </c>
      <c r="T109" s="91" t="e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#N/A</v>
      </c>
      <c r="U109" s="91" t="e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#N/A</v>
      </c>
      <c r="V109" s="91" t="e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#N/A</v>
      </c>
      <c r="W109" s="91" t="e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#N/A</v>
      </c>
      <c r="X109" s="91" t="e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#N/A</v>
      </c>
      <c r="Y109" s="98" t="e">
        <f t="shared" ca="1" si="10"/>
        <v>#N/A</v>
      </c>
    </row>
    <row r="110" spans="1:25" x14ac:dyDescent="0.25">
      <c r="A110" s="93">
        <f>+Hoja1!A109</f>
        <v>5630</v>
      </c>
      <c r="B110" s="91" t="e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#N/A</v>
      </c>
      <c r="C110" s="91" t="e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#N/A</v>
      </c>
      <c r="D110" s="91" t="e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#N/A</v>
      </c>
      <c r="E110" s="91" t="e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#N/A</v>
      </c>
      <c r="F110" s="91" t="e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#N/A</v>
      </c>
      <c r="G110" s="91" t="e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#N/A</v>
      </c>
      <c r="H110" s="91" t="e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#N/A</v>
      </c>
      <c r="I110" s="91" t="e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#N/A</v>
      </c>
      <c r="J110" s="91" t="e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#N/A</v>
      </c>
      <c r="K110" s="91" t="e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#N/A</v>
      </c>
      <c r="L110" s="91" t="e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#N/A</v>
      </c>
      <c r="M110" s="91" t="e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#N/A</v>
      </c>
      <c r="N110" s="91" t="e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#N/A</v>
      </c>
      <c r="O110" s="91" t="e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#N/A</v>
      </c>
      <c r="P110" s="91" t="e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#N/A</v>
      </c>
      <c r="Q110" s="91" t="e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#N/A</v>
      </c>
      <c r="R110" s="91" t="e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#N/A</v>
      </c>
      <c r="S110" s="91" t="e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#N/A</v>
      </c>
      <c r="T110" s="91" t="e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#N/A</v>
      </c>
      <c r="U110" s="91" t="e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#N/A</v>
      </c>
      <c r="V110" s="91" t="e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#N/A</v>
      </c>
      <c r="W110" s="91" t="e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#N/A</v>
      </c>
      <c r="X110" s="91" t="e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#N/A</v>
      </c>
      <c r="Y110" s="98" t="e">
        <f t="shared" ca="1" si="10"/>
        <v>#N/A</v>
      </c>
    </row>
    <row r="111" spans="1:25" x14ac:dyDescent="0.25">
      <c r="A111" s="93">
        <f>+Hoja1!A110</f>
        <v>5620</v>
      </c>
      <c r="B111" s="91" t="e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#N/A</v>
      </c>
      <c r="C111" s="91" t="e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#N/A</v>
      </c>
      <c r="D111" s="91" t="e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#N/A</v>
      </c>
      <c r="E111" s="91" t="e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#N/A</v>
      </c>
      <c r="F111" s="91" t="e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#N/A</v>
      </c>
      <c r="G111" s="91" t="e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#N/A</v>
      </c>
      <c r="H111" s="91" t="e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#N/A</v>
      </c>
      <c r="I111" s="91" t="e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#N/A</v>
      </c>
      <c r="J111" s="91" t="e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#N/A</v>
      </c>
      <c r="K111" s="91" t="e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#N/A</v>
      </c>
      <c r="L111" s="91" t="e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#N/A</v>
      </c>
      <c r="M111" s="91" t="e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#N/A</v>
      </c>
      <c r="N111" s="91" t="e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#N/A</v>
      </c>
      <c r="O111" s="91" t="e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#N/A</v>
      </c>
      <c r="P111" s="91" t="e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#N/A</v>
      </c>
      <c r="Q111" s="91" t="e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#N/A</v>
      </c>
      <c r="R111" s="91" t="e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#N/A</v>
      </c>
      <c r="S111" s="91" t="e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#N/A</v>
      </c>
      <c r="T111" s="91" t="e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#N/A</v>
      </c>
      <c r="U111" s="91" t="e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#N/A</v>
      </c>
      <c r="V111" s="91" t="e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#N/A</v>
      </c>
      <c r="W111" s="91" t="e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#N/A</v>
      </c>
      <c r="X111" s="91" t="e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#N/A</v>
      </c>
      <c r="Y111" s="98" t="e">
        <f t="shared" ca="1" si="10"/>
        <v>#N/A</v>
      </c>
    </row>
    <row r="112" spans="1:25" x14ac:dyDescent="0.25">
      <c r="A112" s="93">
        <f>+Hoja1!A111</f>
        <v>5610</v>
      </c>
      <c r="B112" s="91" t="e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#N/A</v>
      </c>
      <c r="C112" s="91" t="e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#N/A</v>
      </c>
      <c r="D112" s="91" t="e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#N/A</v>
      </c>
      <c r="E112" s="91" t="e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#N/A</v>
      </c>
      <c r="F112" s="91" t="e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#N/A</v>
      </c>
      <c r="G112" s="91" t="e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#N/A</v>
      </c>
      <c r="H112" s="91" t="e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#N/A</v>
      </c>
      <c r="I112" s="91" t="e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#N/A</v>
      </c>
      <c r="J112" s="91" t="e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#N/A</v>
      </c>
      <c r="K112" s="91" t="e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#N/A</v>
      </c>
      <c r="L112" s="91" t="e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#N/A</v>
      </c>
      <c r="M112" s="91" t="e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#N/A</v>
      </c>
      <c r="N112" s="91" t="e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#N/A</v>
      </c>
      <c r="O112" s="91" t="e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#N/A</v>
      </c>
      <c r="P112" s="91" t="e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#N/A</v>
      </c>
      <c r="Q112" s="91" t="e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#N/A</v>
      </c>
      <c r="R112" s="91" t="e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#N/A</v>
      </c>
      <c r="S112" s="91" t="e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#N/A</v>
      </c>
      <c r="T112" s="91" t="e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#N/A</v>
      </c>
      <c r="U112" s="91" t="e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#N/A</v>
      </c>
      <c r="V112" s="91" t="e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#N/A</v>
      </c>
      <c r="W112" s="91" t="e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#N/A</v>
      </c>
      <c r="X112" s="91" t="e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#N/A</v>
      </c>
      <c r="Y112" s="98" t="e">
        <f t="shared" ca="1" si="10"/>
        <v>#N/A</v>
      </c>
    </row>
    <row r="113" spans="1:25" x14ac:dyDescent="0.25">
      <c r="A113" s="93">
        <f>+Hoja1!A112</f>
        <v>5600</v>
      </c>
      <c r="B113" s="91" t="e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#N/A</v>
      </c>
      <c r="C113" s="91" t="e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#N/A</v>
      </c>
      <c r="D113" s="91" t="e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#N/A</v>
      </c>
      <c r="E113" s="91" t="e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#N/A</v>
      </c>
      <c r="F113" s="91" t="e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#N/A</v>
      </c>
      <c r="G113" s="91" t="e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#N/A</v>
      </c>
      <c r="H113" s="91" t="e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#N/A</v>
      </c>
      <c r="I113" s="91" t="e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#N/A</v>
      </c>
      <c r="J113" s="91" t="e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#N/A</v>
      </c>
      <c r="K113" s="91" t="e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#N/A</v>
      </c>
      <c r="L113" s="91" t="e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#N/A</v>
      </c>
      <c r="M113" s="91" t="e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#N/A</v>
      </c>
      <c r="N113" s="91" t="e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#N/A</v>
      </c>
      <c r="O113" s="91" t="e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#N/A</v>
      </c>
      <c r="P113" s="91" t="e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#N/A</v>
      </c>
      <c r="Q113" s="91" t="e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#N/A</v>
      </c>
      <c r="R113" s="91" t="e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#N/A</v>
      </c>
      <c r="S113" s="91" t="e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#N/A</v>
      </c>
      <c r="T113" s="91" t="e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#N/A</v>
      </c>
      <c r="U113" s="91" t="e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#N/A</v>
      </c>
      <c r="V113" s="91" t="e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#N/A</v>
      </c>
      <c r="W113" s="91" t="e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#N/A</v>
      </c>
      <c r="X113" s="91" t="e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#N/A</v>
      </c>
      <c r="Y113" s="98" t="e">
        <f t="shared" ca="1" si="10"/>
        <v>#N/A</v>
      </c>
    </row>
    <row r="114" spans="1:25" x14ac:dyDescent="0.25">
      <c r="A114" s="93">
        <f>+Hoja1!A113</f>
        <v>5590</v>
      </c>
      <c r="B114" s="91" t="e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#N/A</v>
      </c>
      <c r="C114" s="91" t="e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#N/A</v>
      </c>
      <c r="D114" s="91" t="e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#N/A</v>
      </c>
      <c r="E114" s="91" t="e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#N/A</v>
      </c>
      <c r="F114" s="91" t="e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#N/A</v>
      </c>
      <c r="G114" s="91" t="e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#N/A</v>
      </c>
      <c r="H114" s="91" t="e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#N/A</v>
      </c>
      <c r="I114" s="91" t="e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#N/A</v>
      </c>
      <c r="J114" s="91" t="e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#N/A</v>
      </c>
      <c r="K114" s="91" t="e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#N/A</v>
      </c>
      <c r="L114" s="91" t="e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#N/A</v>
      </c>
      <c r="M114" s="91" t="e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#N/A</v>
      </c>
      <c r="N114" s="91" t="e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#N/A</v>
      </c>
      <c r="O114" s="91" t="e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#N/A</v>
      </c>
      <c r="P114" s="91" t="e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#N/A</v>
      </c>
      <c r="Q114" s="91" t="e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#N/A</v>
      </c>
      <c r="R114" s="91" t="e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#N/A</v>
      </c>
      <c r="S114" s="91" t="e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#N/A</v>
      </c>
      <c r="T114" s="91" t="e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#N/A</v>
      </c>
      <c r="U114" s="91" t="e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#N/A</v>
      </c>
      <c r="V114" s="91" t="e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#N/A</v>
      </c>
      <c r="W114" s="91" t="e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#N/A</v>
      </c>
      <c r="X114" s="91" t="e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#N/A</v>
      </c>
      <c r="Y114" s="98" t="e">
        <f t="shared" ca="1" si="10"/>
        <v>#N/A</v>
      </c>
    </row>
    <row r="115" spans="1:25" x14ac:dyDescent="0.25">
      <c r="A115" s="93">
        <f>+Hoja1!A114</f>
        <v>5580</v>
      </c>
      <c r="B115" s="91" t="e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#N/A</v>
      </c>
      <c r="C115" s="91" t="e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#N/A</v>
      </c>
      <c r="D115" s="91" t="e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#N/A</v>
      </c>
      <c r="E115" s="91" t="e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#N/A</v>
      </c>
      <c r="F115" s="91" t="e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#N/A</v>
      </c>
      <c r="G115" s="91" t="e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#N/A</v>
      </c>
      <c r="H115" s="91" t="e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#N/A</v>
      </c>
      <c r="I115" s="91" t="e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#N/A</v>
      </c>
      <c r="J115" s="91" t="e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#N/A</v>
      </c>
      <c r="K115" s="91" t="e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#N/A</v>
      </c>
      <c r="L115" s="91" t="e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#N/A</v>
      </c>
      <c r="M115" s="91" t="e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#N/A</v>
      </c>
      <c r="N115" s="91" t="e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#N/A</v>
      </c>
      <c r="O115" s="91" t="e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#N/A</v>
      </c>
      <c r="P115" s="91" t="e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#N/A</v>
      </c>
      <c r="Q115" s="91" t="e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#N/A</v>
      </c>
      <c r="R115" s="91" t="e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#N/A</v>
      </c>
      <c r="S115" s="91" t="e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#N/A</v>
      </c>
      <c r="T115" s="91" t="e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#N/A</v>
      </c>
      <c r="U115" s="91" t="e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#N/A</v>
      </c>
      <c r="V115" s="91" t="e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#N/A</v>
      </c>
      <c r="W115" s="91" t="e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#N/A</v>
      </c>
      <c r="X115" s="91" t="e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#N/A</v>
      </c>
      <c r="Y115" s="98" t="e">
        <f t="shared" ca="1" si="10"/>
        <v>#N/A</v>
      </c>
    </row>
    <row r="116" spans="1:25" x14ac:dyDescent="0.25">
      <c r="A116" s="93">
        <f>+Hoja1!A115</f>
        <v>5570</v>
      </c>
      <c r="B116" s="91" t="e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#N/A</v>
      </c>
      <c r="C116" s="91" t="e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#N/A</v>
      </c>
      <c r="D116" s="91" t="e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#N/A</v>
      </c>
      <c r="E116" s="91" t="e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#N/A</v>
      </c>
      <c r="F116" s="91" t="e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#N/A</v>
      </c>
      <c r="G116" s="91" t="e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#N/A</v>
      </c>
      <c r="H116" s="91" t="e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#N/A</v>
      </c>
      <c r="I116" s="91" t="e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#N/A</v>
      </c>
      <c r="J116" s="91" t="e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#N/A</v>
      </c>
      <c r="K116" s="91" t="e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#N/A</v>
      </c>
      <c r="L116" s="91" t="e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#N/A</v>
      </c>
      <c r="M116" s="91" t="e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#N/A</v>
      </c>
      <c r="N116" s="91" t="e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#N/A</v>
      </c>
      <c r="O116" s="91" t="e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#N/A</v>
      </c>
      <c r="P116" s="91" t="e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#N/A</v>
      </c>
      <c r="Q116" s="91" t="e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#N/A</v>
      </c>
      <c r="R116" s="91" t="e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#N/A</v>
      </c>
      <c r="S116" s="91" t="e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#N/A</v>
      </c>
      <c r="T116" s="91" t="e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#N/A</v>
      </c>
      <c r="U116" s="91" t="e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#N/A</v>
      </c>
      <c r="V116" s="91" t="e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#N/A</v>
      </c>
      <c r="W116" s="91" t="e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#N/A</v>
      </c>
      <c r="X116" s="91" t="e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#N/A</v>
      </c>
      <c r="Y116" s="98" t="e">
        <f t="shared" ca="1" si="10"/>
        <v>#N/A</v>
      </c>
    </row>
    <row r="117" spans="1:25" x14ac:dyDescent="0.25">
      <c r="A117" s="93">
        <f>+Hoja1!A116</f>
        <v>5560</v>
      </c>
      <c r="B117" s="91" t="e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#N/A</v>
      </c>
      <c r="C117" s="91" t="e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#N/A</v>
      </c>
      <c r="D117" s="91" t="e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#N/A</v>
      </c>
      <c r="E117" s="91" t="e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#N/A</v>
      </c>
      <c r="F117" s="91" t="e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#N/A</v>
      </c>
      <c r="G117" s="91" t="e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#N/A</v>
      </c>
      <c r="H117" s="91" t="e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#N/A</v>
      </c>
      <c r="I117" s="91" t="e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#N/A</v>
      </c>
      <c r="J117" s="91" t="e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#N/A</v>
      </c>
      <c r="K117" s="91" t="e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#N/A</v>
      </c>
      <c r="L117" s="91" t="e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#N/A</v>
      </c>
      <c r="M117" s="91" t="e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#N/A</v>
      </c>
      <c r="N117" s="91" t="e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#N/A</v>
      </c>
      <c r="O117" s="91" t="e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#N/A</v>
      </c>
      <c r="P117" s="91" t="e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#N/A</v>
      </c>
      <c r="Q117" s="91" t="e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#N/A</v>
      </c>
      <c r="R117" s="91" t="e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#N/A</v>
      </c>
      <c r="S117" s="91" t="e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#N/A</v>
      </c>
      <c r="T117" s="91" t="e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#N/A</v>
      </c>
      <c r="U117" s="91" t="e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#N/A</v>
      </c>
      <c r="V117" s="91" t="e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#N/A</v>
      </c>
      <c r="W117" s="91" t="e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#N/A</v>
      </c>
      <c r="X117" s="91" t="e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#N/A</v>
      </c>
      <c r="Y117" s="98" t="e">
        <f t="shared" ca="1" si="10"/>
        <v>#N/A</v>
      </c>
    </row>
    <row r="118" spans="1:25" x14ac:dyDescent="0.25">
      <c r="A118" s="93">
        <f>+Hoja1!A117</f>
        <v>5550</v>
      </c>
      <c r="B118" s="91" t="e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#N/A</v>
      </c>
      <c r="C118" s="91" t="e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#N/A</v>
      </c>
      <c r="D118" s="91" t="e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#N/A</v>
      </c>
      <c r="E118" s="91" t="e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#N/A</v>
      </c>
      <c r="F118" s="91" t="e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#N/A</v>
      </c>
      <c r="G118" s="91" t="e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#N/A</v>
      </c>
      <c r="H118" s="91" t="e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#N/A</v>
      </c>
      <c r="I118" s="91" t="e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#N/A</v>
      </c>
      <c r="J118" s="91" t="e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#N/A</v>
      </c>
      <c r="K118" s="91" t="e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#N/A</v>
      </c>
      <c r="L118" s="91" t="e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#N/A</v>
      </c>
      <c r="M118" s="91" t="e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#N/A</v>
      </c>
      <c r="N118" s="91" t="e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#N/A</v>
      </c>
      <c r="O118" s="91" t="e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#N/A</v>
      </c>
      <c r="P118" s="91" t="e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#N/A</v>
      </c>
      <c r="Q118" s="91" t="e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#N/A</v>
      </c>
      <c r="R118" s="91" t="e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#N/A</v>
      </c>
      <c r="S118" s="91" t="e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#N/A</v>
      </c>
      <c r="T118" s="91" t="e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#N/A</v>
      </c>
      <c r="U118" s="91" t="e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#N/A</v>
      </c>
      <c r="V118" s="91" t="e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#N/A</v>
      </c>
      <c r="W118" s="91" t="e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#N/A</v>
      </c>
      <c r="X118" s="91" t="e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#N/A</v>
      </c>
      <c r="Y118" s="98" t="e">
        <f t="shared" ca="1" si="10"/>
        <v>#N/A</v>
      </c>
    </row>
    <row r="119" spans="1:25" x14ac:dyDescent="0.25">
      <c r="A119" s="93">
        <f>+Hoja1!A118</f>
        <v>5540</v>
      </c>
      <c r="B119" s="91" t="e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#N/A</v>
      </c>
      <c r="C119" s="91" t="e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#N/A</v>
      </c>
      <c r="D119" s="91" t="e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#N/A</v>
      </c>
      <c r="E119" s="91" t="e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#N/A</v>
      </c>
      <c r="F119" s="91" t="e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#N/A</v>
      </c>
      <c r="G119" s="91" t="e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#N/A</v>
      </c>
      <c r="H119" s="91" t="e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#N/A</v>
      </c>
      <c r="I119" s="91" t="e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#N/A</v>
      </c>
      <c r="J119" s="91" t="e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#N/A</v>
      </c>
      <c r="K119" s="91" t="e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#N/A</v>
      </c>
      <c r="L119" s="91" t="e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#N/A</v>
      </c>
      <c r="M119" s="91" t="e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#N/A</v>
      </c>
      <c r="N119" s="91" t="e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#N/A</v>
      </c>
      <c r="O119" s="91" t="e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#N/A</v>
      </c>
      <c r="P119" s="91" t="e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#N/A</v>
      </c>
      <c r="Q119" s="91" t="e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#N/A</v>
      </c>
      <c r="R119" s="91" t="e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#N/A</v>
      </c>
      <c r="S119" s="91" t="e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#N/A</v>
      </c>
      <c r="T119" s="91" t="e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#N/A</v>
      </c>
      <c r="U119" s="91" t="e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#N/A</v>
      </c>
      <c r="V119" s="91" t="e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#N/A</v>
      </c>
      <c r="W119" s="91" t="e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#N/A</v>
      </c>
      <c r="X119" s="91" t="e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#N/A</v>
      </c>
      <c r="Y119" s="98" t="e">
        <f t="shared" ca="1" si="10"/>
        <v>#N/A</v>
      </c>
    </row>
    <row r="120" spans="1:25" x14ac:dyDescent="0.25">
      <c r="A120" s="93">
        <f>+Hoja1!A119</f>
        <v>5530</v>
      </c>
      <c r="B120" s="91" t="e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#N/A</v>
      </c>
      <c r="C120" s="91" t="e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#N/A</v>
      </c>
      <c r="D120" s="91" t="e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#N/A</v>
      </c>
      <c r="E120" s="91" t="e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#N/A</v>
      </c>
      <c r="F120" s="91" t="e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#N/A</v>
      </c>
      <c r="G120" s="91" t="e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#N/A</v>
      </c>
      <c r="H120" s="91" t="e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#N/A</v>
      </c>
      <c r="I120" s="91" t="e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#N/A</v>
      </c>
      <c r="J120" s="91" t="e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#N/A</v>
      </c>
      <c r="K120" s="91" t="e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#N/A</v>
      </c>
      <c r="L120" s="91" t="e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#N/A</v>
      </c>
      <c r="M120" s="91" t="e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#N/A</v>
      </c>
      <c r="N120" s="91" t="e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#N/A</v>
      </c>
      <c r="O120" s="91" t="e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#N/A</v>
      </c>
      <c r="P120" s="91" t="e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#N/A</v>
      </c>
      <c r="Q120" s="91" t="e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#N/A</v>
      </c>
      <c r="R120" s="91" t="e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#N/A</v>
      </c>
      <c r="S120" s="91" t="e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#N/A</v>
      </c>
      <c r="T120" s="91" t="e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#N/A</v>
      </c>
      <c r="U120" s="91" t="e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#N/A</v>
      </c>
      <c r="V120" s="91" t="e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#N/A</v>
      </c>
      <c r="W120" s="91" t="e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#N/A</v>
      </c>
      <c r="X120" s="91" t="e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#N/A</v>
      </c>
      <c r="Y120" s="98" t="e">
        <f t="shared" ca="1" si="10"/>
        <v>#N/A</v>
      </c>
    </row>
    <row r="121" spans="1:25" x14ac:dyDescent="0.25">
      <c r="A121" s="93">
        <f>+Hoja1!A120</f>
        <v>5520</v>
      </c>
      <c r="B121" s="91" t="e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#N/A</v>
      </c>
      <c r="C121" s="91" t="e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#N/A</v>
      </c>
      <c r="D121" s="91" t="e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#N/A</v>
      </c>
      <c r="E121" s="91" t="e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#N/A</v>
      </c>
      <c r="F121" s="91" t="e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#N/A</v>
      </c>
      <c r="G121" s="91" t="e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#N/A</v>
      </c>
      <c r="H121" s="91" t="e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#N/A</v>
      </c>
      <c r="I121" s="91" t="e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#N/A</v>
      </c>
      <c r="J121" s="91" t="e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#N/A</v>
      </c>
      <c r="K121" s="91" t="e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#N/A</v>
      </c>
      <c r="L121" s="91" t="e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#N/A</v>
      </c>
      <c r="M121" s="91" t="e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#N/A</v>
      </c>
      <c r="N121" s="91" t="e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#N/A</v>
      </c>
      <c r="O121" s="91" t="e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#N/A</v>
      </c>
      <c r="P121" s="91" t="e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#N/A</v>
      </c>
      <c r="Q121" s="91" t="e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#N/A</v>
      </c>
      <c r="R121" s="91" t="e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#N/A</v>
      </c>
      <c r="S121" s="91" t="e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#N/A</v>
      </c>
      <c r="T121" s="91" t="e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#N/A</v>
      </c>
      <c r="U121" s="91" t="e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#N/A</v>
      </c>
      <c r="V121" s="91" t="e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#N/A</v>
      </c>
      <c r="W121" s="91" t="e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#N/A</v>
      </c>
      <c r="X121" s="91" t="e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#N/A</v>
      </c>
      <c r="Y121" s="98" t="e">
        <f t="shared" ca="1" si="10"/>
        <v>#N/A</v>
      </c>
    </row>
    <row r="122" spans="1:25" x14ac:dyDescent="0.25">
      <c r="A122" s="93">
        <f>+Hoja1!A121</f>
        <v>5510</v>
      </c>
      <c r="B122" s="91" t="e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#N/A</v>
      </c>
      <c r="C122" s="91" t="e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#N/A</v>
      </c>
      <c r="D122" s="91" t="e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#N/A</v>
      </c>
      <c r="E122" s="91" t="e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#N/A</v>
      </c>
      <c r="F122" s="91" t="e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#N/A</v>
      </c>
      <c r="G122" s="91" t="e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#N/A</v>
      </c>
      <c r="H122" s="91" t="e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#N/A</v>
      </c>
      <c r="I122" s="91" t="e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#N/A</v>
      </c>
      <c r="J122" s="91" t="e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#N/A</v>
      </c>
      <c r="K122" s="91" t="e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#N/A</v>
      </c>
      <c r="L122" s="91" t="e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#N/A</v>
      </c>
      <c r="M122" s="91" t="e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#N/A</v>
      </c>
      <c r="N122" s="91" t="e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#N/A</v>
      </c>
      <c r="O122" s="91" t="e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#N/A</v>
      </c>
      <c r="P122" s="91" t="e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#N/A</v>
      </c>
      <c r="Q122" s="91" t="e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#N/A</v>
      </c>
      <c r="R122" s="91" t="e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#N/A</v>
      </c>
      <c r="S122" s="91" t="e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#N/A</v>
      </c>
      <c r="T122" s="91" t="e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#N/A</v>
      </c>
      <c r="U122" s="91" t="e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#N/A</v>
      </c>
      <c r="V122" s="91" t="e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#N/A</v>
      </c>
      <c r="W122" s="91" t="e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#N/A</v>
      </c>
      <c r="X122" s="91" t="e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#N/A</v>
      </c>
      <c r="Y122" s="98" t="e">
        <f t="shared" ca="1" si="10"/>
        <v>#N/A</v>
      </c>
    </row>
    <row r="123" spans="1:25" x14ac:dyDescent="0.25">
      <c r="A123" s="93">
        <f>+Hoja1!A122</f>
        <v>5500</v>
      </c>
      <c r="B123" s="91" t="e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#N/A</v>
      </c>
      <c r="C123" s="91" t="e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#N/A</v>
      </c>
      <c r="D123" s="91" t="e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#N/A</v>
      </c>
      <c r="E123" s="91" t="e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#N/A</v>
      </c>
      <c r="F123" s="91" t="e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#N/A</v>
      </c>
      <c r="G123" s="91" t="e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#N/A</v>
      </c>
      <c r="H123" s="91" t="e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#N/A</v>
      </c>
      <c r="I123" s="91" t="e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#N/A</v>
      </c>
      <c r="J123" s="91" t="e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#N/A</v>
      </c>
      <c r="K123" s="91" t="e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#N/A</v>
      </c>
      <c r="L123" s="91" t="e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#N/A</v>
      </c>
      <c r="M123" s="91" t="e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#N/A</v>
      </c>
      <c r="N123" s="91" t="e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#N/A</v>
      </c>
      <c r="O123" s="91" t="e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#N/A</v>
      </c>
      <c r="P123" s="91" t="e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#N/A</v>
      </c>
      <c r="Q123" s="91" t="e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#N/A</v>
      </c>
      <c r="R123" s="91" t="e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#N/A</v>
      </c>
      <c r="S123" s="91" t="e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#N/A</v>
      </c>
      <c r="T123" s="91" t="e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#N/A</v>
      </c>
      <c r="U123" s="91" t="e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#N/A</v>
      </c>
      <c r="V123" s="91" t="e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#N/A</v>
      </c>
      <c r="W123" s="91" t="e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#N/A</v>
      </c>
      <c r="X123" s="91" t="e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#N/A</v>
      </c>
      <c r="Y123" s="98" t="e">
        <f t="shared" ca="1" si="10"/>
        <v>#N/A</v>
      </c>
    </row>
    <row r="124" spans="1:25" x14ac:dyDescent="0.25">
      <c r="A124" s="93">
        <f>+Hoja1!A123</f>
        <v>5490</v>
      </c>
      <c r="B124" s="91" t="e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#N/A</v>
      </c>
      <c r="C124" s="91" t="e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#N/A</v>
      </c>
      <c r="D124" s="91" t="e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#N/A</v>
      </c>
      <c r="E124" s="91" t="e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#N/A</v>
      </c>
      <c r="F124" s="91" t="e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#N/A</v>
      </c>
      <c r="G124" s="91" t="e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#N/A</v>
      </c>
      <c r="H124" s="91" t="e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#N/A</v>
      </c>
      <c r="I124" s="91" t="e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#N/A</v>
      </c>
      <c r="J124" s="91" t="e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#N/A</v>
      </c>
      <c r="K124" s="91" t="e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#N/A</v>
      </c>
      <c r="L124" s="91" t="e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#N/A</v>
      </c>
      <c r="M124" s="91" t="e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#N/A</v>
      </c>
      <c r="N124" s="91" t="e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#N/A</v>
      </c>
      <c r="O124" s="91" t="e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#N/A</v>
      </c>
      <c r="P124" s="91" t="e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#N/A</v>
      </c>
      <c r="Q124" s="91" t="e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#N/A</v>
      </c>
      <c r="R124" s="91" t="e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#N/A</v>
      </c>
      <c r="S124" s="91" t="e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#N/A</v>
      </c>
      <c r="T124" s="91" t="e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#N/A</v>
      </c>
      <c r="U124" s="91" t="e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#N/A</v>
      </c>
      <c r="V124" s="91" t="e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#N/A</v>
      </c>
      <c r="W124" s="91" t="e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#N/A</v>
      </c>
      <c r="X124" s="91" t="e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#N/A</v>
      </c>
      <c r="Y124" s="98" t="e">
        <f t="shared" ca="1" si="10"/>
        <v>#N/A</v>
      </c>
    </row>
    <row r="125" spans="1:25" x14ac:dyDescent="0.25">
      <c r="A125" s="93">
        <f>+Hoja1!A124</f>
        <v>5480</v>
      </c>
      <c r="B125" s="91" t="e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#N/A</v>
      </c>
      <c r="C125" s="91" t="e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#N/A</v>
      </c>
      <c r="D125" s="91" t="e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#N/A</v>
      </c>
      <c r="E125" s="91" t="e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#N/A</v>
      </c>
      <c r="F125" s="91" t="e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#N/A</v>
      </c>
      <c r="G125" s="91" t="e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#N/A</v>
      </c>
      <c r="H125" s="91" t="e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#N/A</v>
      </c>
      <c r="I125" s="91" t="e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#N/A</v>
      </c>
      <c r="J125" s="91" t="e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#N/A</v>
      </c>
      <c r="K125" s="91" t="e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#N/A</v>
      </c>
      <c r="L125" s="91" t="e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#N/A</v>
      </c>
      <c r="M125" s="91" t="e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#N/A</v>
      </c>
      <c r="N125" s="91" t="e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#N/A</v>
      </c>
      <c r="O125" s="91" t="e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#N/A</v>
      </c>
      <c r="P125" s="91" t="e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#N/A</v>
      </c>
      <c r="Q125" s="91" t="e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#N/A</v>
      </c>
      <c r="R125" s="91" t="e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#N/A</v>
      </c>
      <c r="S125" s="91" t="e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#N/A</v>
      </c>
      <c r="T125" s="91" t="e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#N/A</v>
      </c>
      <c r="U125" s="91" t="e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#N/A</v>
      </c>
      <c r="V125" s="91" t="e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#N/A</v>
      </c>
      <c r="W125" s="91" t="e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#N/A</v>
      </c>
      <c r="X125" s="91" t="e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#N/A</v>
      </c>
      <c r="Y125" s="98" t="e">
        <f t="shared" ca="1" si="10"/>
        <v>#N/A</v>
      </c>
    </row>
    <row r="126" spans="1:25" x14ac:dyDescent="0.25">
      <c r="A126" s="93">
        <f>+Hoja1!A125</f>
        <v>5470</v>
      </c>
      <c r="B126" s="91" t="e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#N/A</v>
      </c>
      <c r="C126" s="91" t="e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#N/A</v>
      </c>
      <c r="D126" s="91" t="e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#N/A</v>
      </c>
      <c r="E126" s="91" t="e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#N/A</v>
      </c>
      <c r="F126" s="91" t="e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#N/A</v>
      </c>
      <c r="G126" s="91" t="e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#N/A</v>
      </c>
      <c r="H126" s="91" t="e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#N/A</v>
      </c>
      <c r="I126" s="91" t="e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#N/A</v>
      </c>
      <c r="J126" s="91" t="e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#N/A</v>
      </c>
      <c r="K126" s="91" t="e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#N/A</v>
      </c>
      <c r="L126" s="91" t="e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#N/A</v>
      </c>
      <c r="M126" s="91" t="e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#N/A</v>
      </c>
      <c r="N126" s="91" t="e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#N/A</v>
      </c>
      <c r="O126" s="91" t="e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#N/A</v>
      </c>
      <c r="P126" s="91" t="e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#N/A</v>
      </c>
      <c r="Q126" s="91" t="e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#N/A</v>
      </c>
      <c r="R126" s="91" t="e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#N/A</v>
      </c>
      <c r="S126" s="91" t="e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#N/A</v>
      </c>
      <c r="T126" s="91" t="e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#N/A</v>
      </c>
      <c r="U126" s="91" t="e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#N/A</v>
      </c>
      <c r="V126" s="91" t="e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#N/A</v>
      </c>
      <c r="W126" s="91" t="e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#N/A</v>
      </c>
      <c r="X126" s="91" t="e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#N/A</v>
      </c>
      <c r="Y126" s="98" t="e">
        <f t="shared" ca="1" si="10"/>
        <v>#N/A</v>
      </c>
    </row>
    <row r="127" spans="1:25" x14ac:dyDescent="0.25">
      <c r="A127" s="93">
        <f>+Hoja1!A126</f>
        <v>5460</v>
      </c>
      <c r="B127" s="91" t="e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#N/A</v>
      </c>
      <c r="C127" s="91" t="e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#N/A</v>
      </c>
      <c r="D127" s="91" t="e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#N/A</v>
      </c>
      <c r="E127" s="91" t="e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#N/A</v>
      </c>
      <c r="F127" s="91" t="e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#N/A</v>
      </c>
      <c r="G127" s="91" t="e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#N/A</v>
      </c>
      <c r="H127" s="91" t="e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#N/A</v>
      </c>
      <c r="I127" s="91" t="e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#N/A</v>
      </c>
      <c r="J127" s="91" t="e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#N/A</v>
      </c>
      <c r="K127" s="91" t="e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#N/A</v>
      </c>
      <c r="L127" s="91" t="e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#N/A</v>
      </c>
      <c r="M127" s="91" t="e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#N/A</v>
      </c>
      <c r="N127" s="91" t="e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#N/A</v>
      </c>
      <c r="O127" s="91" t="e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#N/A</v>
      </c>
      <c r="P127" s="91" t="e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#N/A</v>
      </c>
      <c r="Q127" s="91" t="e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#N/A</v>
      </c>
      <c r="R127" s="91" t="e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#N/A</v>
      </c>
      <c r="S127" s="91" t="e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#N/A</v>
      </c>
      <c r="T127" s="91" t="e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#N/A</v>
      </c>
      <c r="U127" s="91" t="e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#N/A</v>
      </c>
      <c r="V127" s="91" t="e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#N/A</v>
      </c>
      <c r="W127" s="91" t="e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#N/A</v>
      </c>
      <c r="X127" s="91" t="e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#N/A</v>
      </c>
      <c r="Y127" s="98" t="e">
        <f t="shared" ca="1" si="10"/>
        <v>#N/A</v>
      </c>
    </row>
    <row r="128" spans="1:25" x14ac:dyDescent="0.25">
      <c r="A128" s="93">
        <f>+Hoja1!A127</f>
        <v>5450</v>
      </c>
      <c r="B128" s="91" t="e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#N/A</v>
      </c>
      <c r="C128" s="91" t="e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#N/A</v>
      </c>
      <c r="D128" s="91" t="e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#N/A</v>
      </c>
      <c r="E128" s="91" t="e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#N/A</v>
      </c>
      <c r="F128" s="91" t="e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#N/A</v>
      </c>
      <c r="G128" s="91" t="e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#N/A</v>
      </c>
      <c r="H128" s="91" t="e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#N/A</v>
      </c>
      <c r="I128" s="91" t="e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#N/A</v>
      </c>
      <c r="J128" s="91" t="e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#N/A</v>
      </c>
      <c r="K128" s="91" t="e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#N/A</v>
      </c>
      <c r="L128" s="91" t="e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#N/A</v>
      </c>
      <c r="M128" s="91" t="e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#N/A</v>
      </c>
      <c r="N128" s="91" t="e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#N/A</v>
      </c>
      <c r="O128" s="91" t="e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#N/A</v>
      </c>
      <c r="P128" s="91" t="e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#N/A</v>
      </c>
      <c r="Q128" s="91" t="e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#N/A</v>
      </c>
      <c r="R128" s="91" t="e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#N/A</v>
      </c>
      <c r="S128" s="91" t="e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#N/A</v>
      </c>
      <c r="T128" s="91" t="e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#N/A</v>
      </c>
      <c r="U128" s="91" t="e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#N/A</v>
      </c>
      <c r="V128" s="91" t="e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#N/A</v>
      </c>
      <c r="W128" s="91" t="e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#N/A</v>
      </c>
      <c r="X128" s="91" t="e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#N/A</v>
      </c>
      <c r="Y128" s="98" t="e">
        <f t="shared" ca="1" si="10"/>
        <v>#N/A</v>
      </c>
    </row>
    <row r="129" spans="1:27" x14ac:dyDescent="0.25">
      <c r="A129" s="93">
        <f>+Hoja1!A128</f>
        <v>5440</v>
      </c>
      <c r="B129" s="91" t="e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#N/A</v>
      </c>
      <c r="C129" s="91" t="e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#N/A</v>
      </c>
      <c r="D129" s="91" t="e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#N/A</v>
      </c>
      <c r="E129" s="91" t="e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#N/A</v>
      </c>
      <c r="F129" s="91" t="e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#N/A</v>
      </c>
      <c r="G129" s="91" t="e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#N/A</v>
      </c>
      <c r="H129" s="91" t="e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#N/A</v>
      </c>
      <c r="I129" s="91" t="e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#N/A</v>
      </c>
      <c r="J129" s="91" t="e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#N/A</v>
      </c>
      <c r="K129" s="91" t="e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#N/A</v>
      </c>
      <c r="L129" s="91" t="e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#N/A</v>
      </c>
      <c r="M129" s="91" t="e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#N/A</v>
      </c>
      <c r="N129" s="91" t="e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#N/A</v>
      </c>
      <c r="O129" s="91" t="e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#N/A</v>
      </c>
      <c r="P129" s="91" t="e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#N/A</v>
      </c>
      <c r="Q129" s="91" t="e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#N/A</v>
      </c>
      <c r="R129" s="91" t="e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#N/A</v>
      </c>
      <c r="S129" s="91" t="e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#N/A</v>
      </c>
      <c r="T129" s="91" t="e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#N/A</v>
      </c>
      <c r="U129" s="91" t="e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#N/A</v>
      </c>
      <c r="V129" s="91" t="e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#N/A</v>
      </c>
      <c r="W129" s="91" t="e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#N/A</v>
      </c>
      <c r="X129" s="91" t="e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#N/A</v>
      </c>
      <c r="Y129" s="98" t="e">
        <f t="shared" ca="1" si="10"/>
        <v>#N/A</v>
      </c>
    </row>
    <row r="130" spans="1:27" x14ac:dyDescent="0.25">
      <c r="A130" s="93">
        <f>+Hoja1!A129</f>
        <v>5430</v>
      </c>
      <c r="B130" s="91" t="e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#N/A</v>
      </c>
      <c r="C130" s="91" t="e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#N/A</v>
      </c>
      <c r="D130" s="91" t="e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#N/A</v>
      </c>
      <c r="E130" s="91" t="e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#N/A</v>
      </c>
      <c r="F130" s="91" t="e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#N/A</v>
      </c>
      <c r="G130" s="91" t="e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#N/A</v>
      </c>
      <c r="H130" s="91" t="e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#N/A</v>
      </c>
      <c r="I130" s="91" t="e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#N/A</v>
      </c>
      <c r="J130" s="91" t="e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#N/A</v>
      </c>
      <c r="K130" s="91" t="e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#N/A</v>
      </c>
      <c r="L130" s="91" t="e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#N/A</v>
      </c>
      <c r="M130" s="91" t="e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#N/A</v>
      </c>
      <c r="N130" s="91" t="e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#N/A</v>
      </c>
      <c r="O130" s="91" t="e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#N/A</v>
      </c>
      <c r="P130" s="91" t="e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#N/A</v>
      </c>
      <c r="Q130" s="91" t="e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#N/A</v>
      </c>
      <c r="R130" s="91" t="e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#N/A</v>
      </c>
      <c r="S130" s="91" t="e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#N/A</v>
      </c>
      <c r="T130" s="91" t="e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#N/A</v>
      </c>
      <c r="U130" s="91" t="e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#N/A</v>
      </c>
      <c r="V130" s="91" t="e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#N/A</v>
      </c>
      <c r="W130" s="91" t="e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#N/A</v>
      </c>
      <c r="X130" s="91" t="e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#N/A</v>
      </c>
      <c r="Y130" s="98" t="e">
        <f t="shared" ca="1" si="10"/>
        <v>#N/A</v>
      </c>
    </row>
    <row r="131" spans="1:27" x14ac:dyDescent="0.25">
      <c r="A131" s="93">
        <f>+Hoja1!A130</f>
        <v>5420</v>
      </c>
      <c r="B131" s="91" t="e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#N/A</v>
      </c>
      <c r="C131" s="91" t="e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#N/A</v>
      </c>
      <c r="D131" s="91" t="e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#N/A</v>
      </c>
      <c r="E131" s="91" t="e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#N/A</v>
      </c>
      <c r="F131" s="91" t="e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#N/A</v>
      </c>
      <c r="G131" s="91" t="e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#N/A</v>
      </c>
      <c r="H131" s="91" t="e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#N/A</v>
      </c>
      <c r="I131" s="91" t="e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#N/A</v>
      </c>
      <c r="J131" s="91" t="e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#N/A</v>
      </c>
      <c r="K131" s="91" t="e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#N/A</v>
      </c>
      <c r="L131" s="91" t="e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#N/A</v>
      </c>
      <c r="M131" s="91" t="e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#N/A</v>
      </c>
      <c r="N131" s="91" t="e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#N/A</v>
      </c>
      <c r="O131" s="91" t="e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#N/A</v>
      </c>
      <c r="P131" s="91" t="e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#N/A</v>
      </c>
      <c r="Q131" s="91" t="e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#N/A</v>
      </c>
      <c r="R131" s="91" t="e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#N/A</v>
      </c>
      <c r="S131" s="91" t="e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#N/A</v>
      </c>
      <c r="T131" s="91" t="e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#N/A</v>
      </c>
      <c r="U131" s="91" t="e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#N/A</v>
      </c>
      <c r="V131" s="91" t="e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#N/A</v>
      </c>
      <c r="W131" s="91" t="e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#N/A</v>
      </c>
      <c r="X131" s="91" t="e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#N/A</v>
      </c>
      <c r="Y131" s="98" t="e">
        <f t="shared" ca="1" si="10"/>
        <v>#N/A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20</v>
      </c>
      <c r="B134" s="92" t="str">
        <f ca="1">+B82</f>
        <v>250505</v>
      </c>
      <c r="C134" s="92" t="str">
        <f t="shared" ref="C134:X134" ca="1" si="11">+C82</f>
        <v>250506</v>
      </c>
      <c r="D134" s="92" t="str">
        <f t="shared" ca="1" si="11"/>
        <v>250507</v>
      </c>
      <c r="E134" s="92" t="str">
        <f t="shared" ca="1" si="11"/>
        <v>250508</v>
      </c>
      <c r="F134" s="92" t="str">
        <f t="shared" ca="1" si="11"/>
        <v/>
      </c>
      <c r="G134" s="92" t="str">
        <f t="shared" ca="1" si="11"/>
        <v/>
      </c>
      <c r="H134" s="92" t="str">
        <f t="shared" ca="1" si="11"/>
        <v>250523</v>
      </c>
      <c r="I134" s="92" t="str">
        <f t="shared" ca="1" si="11"/>
        <v>250530</v>
      </c>
      <c r="J134" s="92" t="str">
        <f t="shared" ca="1" si="11"/>
        <v>250606</v>
      </c>
      <c r="K134" s="92" t="str">
        <f t="shared" ca="1" si="11"/>
        <v>250620</v>
      </c>
      <c r="L134" s="92" t="str">
        <f t="shared" ca="1" si="11"/>
        <v>250630</v>
      </c>
      <c r="M134" s="92" t="str">
        <f t="shared" ca="1" si="11"/>
        <v>250718</v>
      </c>
      <c r="N134" s="92" t="str">
        <f t="shared" ca="1" si="11"/>
        <v>250731</v>
      </c>
      <c r="O134" s="92" t="str">
        <f t="shared" ca="1" si="11"/>
        <v>250815</v>
      </c>
      <c r="P134" s="92" t="str">
        <f t="shared" ca="1" si="11"/>
        <v>250829</v>
      </c>
      <c r="Q134" s="92" t="str">
        <f t="shared" ca="1" si="11"/>
        <v>250919</v>
      </c>
      <c r="R134" s="92" t="str">
        <f t="shared" ca="1" si="11"/>
        <v>250930</v>
      </c>
      <c r="S134" s="92" t="str">
        <f t="shared" ca="1" si="11"/>
        <v>251017</v>
      </c>
      <c r="T134" s="92" t="str">
        <f t="shared" ca="1" si="11"/>
        <v>251031</v>
      </c>
      <c r="U134" s="92" t="str">
        <f t="shared" ca="1" si="11"/>
        <v>251121</v>
      </c>
      <c r="V134" s="92" t="str">
        <f t="shared" ca="1" si="11"/>
        <v>251128</v>
      </c>
      <c r="W134" s="92" t="str">
        <f t="shared" ca="1" si="11"/>
        <v>251219</v>
      </c>
      <c r="X134" s="92" t="str">
        <f t="shared" ca="1" si="11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45782</v>
      </c>
      <c r="C136" s="94">
        <f t="shared" ref="C136:X136" si="12">+C84</f>
        <v>45783</v>
      </c>
      <c r="D136" s="94">
        <f t="shared" si="12"/>
        <v>45784</v>
      </c>
      <c r="E136" s="94">
        <f t="shared" si="12"/>
        <v>45785</v>
      </c>
      <c r="F136" s="94">
        <f t="shared" si="12"/>
        <v>45786</v>
      </c>
      <c r="G136" s="94">
        <f t="shared" si="12"/>
        <v>45793</v>
      </c>
      <c r="H136" s="94">
        <f t="shared" si="12"/>
        <v>45800</v>
      </c>
      <c r="I136" s="94">
        <f t="shared" si="12"/>
        <v>45807</v>
      </c>
      <c r="J136" s="94">
        <f t="shared" si="12"/>
        <v>45814</v>
      </c>
      <c r="K136" s="94">
        <f t="shared" si="12"/>
        <v>45828</v>
      </c>
      <c r="L136" s="94">
        <f t="shared" si="12"/>
        <v>45838</v>
      </c>
      <c r="M136" s="94">
        <f t="shared" si="12"/>
        <v>45856</v>
      </c>
      <c r="N136" s="94">
        <f t="shared" si="12"/>
        <v>45869</v>
      </c>
      <c r="O136" s="94">
        <f t="shared" si="12"/>
        <v>45884</v>
      </c>
      <c r="P136" s="94">
        <f t="shared" si="12"/>
        <v>45898</v>
      </c>
      <c r="Q136" s="94">
        <f t="shared" si="12"/>
        <v>45919</v>
      </c>
      <c r="R136" s="94">
        <f t="shared" si="12"/>
        <v>45930</v>
      </c>
      <c r="S136" s="94">
        <f t="shared" si="12"/>
        <v>45947</v>
      </c>
      <c r="T136" s="94">
        <f t="shared" si="12"/>
        <v>45961</v>
      </c>
      <c r="U136" s="94">
        <f t="shared" si="12"/>
        <v>45982</v>
      </c>
      <c r="V136" s="94">
        <f t="shared" si="12"/>
        <v>45989</v>
      </c>
      <c r="W136" s="94">
        <f t="shared" si="12"/>
        <v>46010</v>
      </c>
      <c r="X136" s="94">
        <f t="shared" si="12"/>
        <v>46022</v>
      </c>
    </row>
    <row r="137" spans="1:27" x14ac:dyDescent="0.25">
      <c r="A137" s="93">
        <f>+Hoja1!A136</f>
        <v>20092</v>
      </c>
      <c r="B137" s="92"/>
      <c r="X137" s="91"/>
    </row>
    <row r="138" spans="1:27" x14ac:dyDescent="0.25">
      <c r="A138" s="93">
        <f>+Hoja1!A137</f>
        <v>20440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4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0</v>
      </c>
      <c r="D138" s="91" t="e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#N/A</v>
      </c>
      <c r="E138" s="91" t="e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#N/A</v>
      </c>
      <c r="F138" s="91" t="e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#N/A</v>
      </c>
      <c r="G138" s="91" t="e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#N/A</v>
      </c>
      <c r="H138" s="91" t="e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#N/A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0</v>
      </c>
      <c r="J138" s="91" t="e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#N/A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0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 t="e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#N/A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 t="e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#N/A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 t="e">
        <f t="shared" ref="Y138:Y190" ca="1" si="13">SUM(B138:X138)</f>
        <v>#N/A</v>
      </c>
      <c r="Z138" s="91"/>
      <c r="AA138" s="91"/>
    </row>
    <row r="139" spans="1:27" x14ac:dyDescent="0.25">
      <c r="A139" s="93">
        <f>+Hoja1!A138</f>
        <v>20420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14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 t="e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#N/A</v>
      </c>
      <c r="E139" s="91" t="e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#N/A</v>
      </c>
      <c r="F139" s="91" t="e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#N/A</v>
      </c>
      <c r="G139" s="91" t="e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#N/A</v>
      </c>
      <c r="H139" s="91" t="e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#N/A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0</v>
      </c>
      <c r="J139" s="91" t="e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#N/A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0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 t="e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#N/A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 t="e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#N/A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 t="e">
        <f t="shared" ca="1" si="13"/>
        <v>#N/A</v>
      </c>
      <c r="Z139" s="91"/>
      <c r="AA139" s="91"/>
    </row>
    <row r="140" spans="1:27" x14ac:dyDescent="0.25">
      <c r="A140" s="93">
        <f>+Hoja1!A139</f>
        <v>20400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116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4</v>
      </c>
      <c r="D140" s="91" t="e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#N/A</v>
      </c>
      <c r="E140" s="91" t="e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#N/A</v>
      </c>
      <c r="F140" s="91" t="e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#N/A</v>
      </c>
      <c r="G140" s="91" t="e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#N/A</v>
      </c>
      <c r="H140" s="91" t="e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#N/A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31</v>
      </c>
      <c r="J140" s="91" t="e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#N/A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0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0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1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1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-4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1</v>
      </c>
      <c r="T140" s="91" t="e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#N/A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2</v>
      </c>
      <c r="V140" s="91" t="e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#N/A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0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 t="e">
        <f t="shared" ca="1" si="13"/>
        <v>#N/A</v>
      </c>
      <c r="Z140" s="91"/>
      <c r="AA140" s="91"/>
    </row>
    <row r="141" spans="1:27" x14ac:dyDescent="0.25">
      <c r="A141" s="93">
        <f>+Hoja1!A140</f>
        <v>20380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4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0</v>
      </c>
      <c r="D141" s="91" t="e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#N/A</v>
      </c>
      <c r="E141" s="91" t="e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#N/A</v>
      </c>
      <c r="F141" s="91" t="e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#N/A</v>
      </c>
      <c r="G141" s="91" t="e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#N/A</v>
      </c>
      <c r="H141" s="91" t="e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#N/A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0</v>
      </c>
      <c r="J141" s="91" t="e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#N/A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 t="e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#N/A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 t="e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#N/A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 t="e">
        <f t="shared" ca="1" si="13"/>
        <v>#N/A</v>
      </c>
      <c r="Z141" s="91"/>
      <c r="AA141" s="91"/>
    </row>
    <row r="142" spans="1:27" x14ac:dyDescent="0.25">
      <c r="A142" s="93">
        <f>+Hoja1!A141</f>
        <v>20360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1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1</v>
      </c>
      <c r="D142" s="91" t="e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#N/A</v>
      </c>
      <c r="E142" s="91" t="e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#N/A</v>
      </c>
      <c r="F142" s="91" t="e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#N/A</v>
      </c>
      <c r="G142" s="91" t="e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#N/A</v>
      </c>
      <c r="H142" s="91" t="e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#N/A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0</v>
      </c>
      <c r="J142" s="91" t="e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#N/A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0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 t="e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#N/A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 t="e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#N/A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 t="e">
        <f t="shared" ca="1" si="13"/>
        <v>#N/A</v>
      </c>
      <c r="Z142" s="91"/>
      <c r="AA142" s="91"/>
    </row>
    <row r="143" spans="1:27" x14ac:dyDescent="0.25">
      <c r="A143" s="93">
        <f>+Hoja1!A142</f>
        <v>20340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97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12</v>
      </c>
      <c r="D143" s="91" t="e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#N/A</v>
      </c>
      <c r="E143" s="91" t="e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#N/A</v>
      </c>
      <c r="F143" s="91" t="e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#N/A</v>
      </c>
      <c r="G143" s="91" t="e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#N/A</v>
      </c>
      <c r="H143" s="91" t="e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#N/A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0</v>
      </c>
      <c r="J143" s="91" t="e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#N/A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0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0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 t="e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#N/A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 t="e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#N/A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 t="e">
        <f t="shared" ca="1" si="13"/>
        <v>#N/A</v>
      </c>
      <c r="Z143" s="91"/>
      <c r="AA143" s="91"/>
    </row>
    <row r="144" spans="1:27" x14ac:dyDescent="0.25">
      <c r="A144" s="93">
        <f>+Hoja1!A143</f>
        <v>20320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11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2</v>
      </c>
      <c r="D144" s="91" t="e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#N/A</v>
      </c>
      <c r="E144" s="91" t="e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#N/A</v>
      </c>
      <c r="F144" s="91" t="e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#N/A</v>
      </c>
      <c r="G144" s="91" t="e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#N/A</v>
      </c>
      <c r="H144" s="91" t="e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#N/A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0</v>
      </c>
      <c r="J144" s="91" t="e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#N/A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0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0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0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0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 t="e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#N/A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 t="e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#N/A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0</v>
      </c>
      <c r="Y144" s="98" t="e">
        <f t="shared" ca="1" si="13"/>
        <v>#N/A</v>
      </c>
      <c r="Z144" s="91"/>
      <c r="AA144" s="91"/>
    </row>
    <row r="145" spans="1:27" x14ac:dyDescent="0.25">
      <c r="A145" s="93">
        <f>+Hoja1!A144</f>
        <v>20300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615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5</v>
      </c>
      <c r="D145" s="91" t="e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#N/A</v>
      </c>
      <c r="E145" s="91" t="e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#N/A</v>
      </c>
      <c r="F145" s="91" t="e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#N/A</v>
      </c>
      <c r="G145" s="91" t="e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#N/A</v>
      </c>
      <c r="H145" s="91" t="e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#N/A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13</v>
      </c>
      <c r="J145" s="91" t="e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#N/A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0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0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1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1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 t="e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#N/A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 t="e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#N/A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 t="e">
        <f t="shared" ca="1" si="13"/>
        <v>#N/A</v>
      </c>
      <c r="Z145" s="91"/>
      <c r="AA145" s="91"/>
    </row>
    <row r="146" spans="1:27" x14ac:dyDescent="0.25">
      <c r="A146" s="93">
        <f>+Hoja1!A145</f>
        <v>20280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13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0</v>
      </c>
      <c r="D146" s="91" t="e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#N/A</v>
      </c>
      <c r="E146" s="91" t="e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#N/A</v>
      </c>
      <c r="F146" s="91" t="e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#N/A</v>
      </c>
      <c r="G146" s="91" t="e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#N/A</v>
      </c>
      <c r="H146" s="91" t="e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#N/A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 t="e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#N/A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0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0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 t="e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#N/A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 t="e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#N/A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 t="e">
        <f t="shared" ca="1" si="13"/>
        <v>#N/A</v>
      </c>
      <c r="Z146" s="91"/>
      <c r="AA146" s="91"/>
    </row>
    <row r="147" spans="1:27" x14ac:dyDescent="0.25">
      <c r="A147" s="93">
        <f>+Hoja1!A146</f>
        <v>20260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3</v>
      </c>
      <c r="D147" s="91" t="e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#N/A</v>
      </c>
      <c r="E147" s="91" t="e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#N/A</v>
      </c>
      <c r="F147" s="91" t="e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#N/A</v>
      </c>
      <c r="G147" s="91" t="e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#N/A</v>
      </c>
      <c r="H147" s="91" t="e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#N/A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 t="e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#N/A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0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 t="e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#N/A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 t="e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#N/A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 t="e">
        <f t="shared" ca="1" si="13"/>
        <v>#N/A</v>
      </c>
      <c r="Z147" s="91"/>
      <c r="AA147" s="91"/>
    </row>
    <row r="148" spans="1:27" x14ac:dyDescent="0.25">
      <c r="A148" s="93">
        <f>+Hoja1!A147</f>
        <v>20240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25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-4</v>
      </c>
      <c r="D148" s="91" t="e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#N/A</v>
      </c>
      <c r="E148" s="91" t="e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#N/A</v>
      </c>
      <c r="F148" s="91" t="e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#N/A</v>
      </c>
      <c r="G148" s="91" t="e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#N/A</v>
      </c>
      <c r="H148" s="91" t="e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#N/A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0</v>
      </c>
      <c r="J148" s="91" t="e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#N/A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0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0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0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0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0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 t="e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#N/A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 t="e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#N/A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 t="e">
        <f t="shared" ca="1" si="13"/>
        <v>#N/A</v>
      </c>
      <c r="Z148" s="91"/>
      <c r="AA148" s="91"/>
    </row>
    <row r="149" spans="1:27" x14ac:dyDescent="0.25">
      <c r="A149" s="93">
        <f>+Hoja1!A148</f>
        <v>20220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9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0</v>
      </c>
      <c r="D149" s="91" t="e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#N/A</v>
      </c>
      <c r="E149" s="91" t="e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#N/A</v>
      </c>
      <c r="F149" s="91" t="e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#N/A</v>
      </c>
      <c r="G149" s="91" t="e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#N/A</v>
      </c>
      <c r="H149" s="91" t="e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#N/A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0</v>
      </c>
      <c r="J149" s="91" t="e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#N/A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0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0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 t="e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#N/A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 t="e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#N/A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 t="e">
        <f t="shared" ca="1" si="13"/>
        <v>#N/A</v>
      </c>
      <c r="Z149" s="91"/>
      <c r="AA149" s="91"/>
    </row>
    <row r="150" spans="1:27" x14ac:dyDescent="0.25">
      <c r="A150" s="93">
        <f>+Hoja1!A149</f>
        <v>20200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56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2</v>
      </c>
      <c r="D150" s="91" t="e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#N/A</v>
      </c>
      <c r="E150" s="91" t="e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#N/A</v>
      </c>
      <c r="F150" s="91" t="e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#N/A</v>
      </c>
      <c r="G150" s="91" t="e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#N/A</v>
      </c>
      <c r="H150" s="91" t="e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#N/A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7</v>
      </c>
      <c r="J150" s="91" t="e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#N/A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-3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0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2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2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4</v>
      </c>
      <c r="T150" s="91" t="e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#N/A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 t="e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#N/A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 t="e">
        <f t="shared" ca="1" si="13"/>
        <v>#N/A</v>
      </c>
      <c r="Z150" s="91"/>
      <c r="AA150" s="91"/>
    </row>
    <row r="151" spans="1:27" x14ac:dyDescent="0.25">
      <c r="A151" s="93">
        <f>+Hoja1!A150</f>
        <v>20180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7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2</v>
      </c>
      <c r="D151" s="91" t="e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#N/A</v>
      </c>
      <c r="E151" s="91" t="e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#N/A</v>
      </c>
      <c r="F151" s="91" t="e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#N/A</v>
      </c>
      <c r="G151" s="91" t="e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#N/A</v>
      </c>
      <c r="H151" s="91" t="e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#N/A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0</v>
      </c>
      <c r="J151" s="91" t="e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#N/A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0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 t="e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#N/A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 t="e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#N/A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 t="e">
        <f t="shared" ca="1" si="13"/>
        <v>#N/A</v>
      </c>
      <c r="Z151" s="91"/>
      <c r="AA151" s="91"/>
    </row>
    <row r="152" spans="1:27" x14ac:dyDescent="0.25">
      <c r="A152" s="93">
        <f>+Hoja1!A151</f>
        <v>20160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-76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-1</v>
      </c>
      <c r="D152" s="91" t="e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#N/A</v>
      </c>
      <c r="E152" s="91" t="e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#N/A</v>
      </c>
      <c r="F152" s="91" t="e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#N/A</v>
      </c>
      <c r="G152" s="91" t="e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#N/A</v>
      </c>
      <c r="H152" s="91" t="e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#N/A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0</v>
      </c>
      <c r="J152" s="91" t="e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#N/A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0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0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0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0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0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0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 t="e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#N/A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0</v>
      </c>
      <c r="V152" s="91" t="e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#N/A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0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0</v>
      </c>
      <c r="Y152" s="98" t="e">
        <f t="shared" ca="1" si="13"/>
        <v>#N/A</v>
      </c>
      <c r="Z152" s="91"/>
      <c r="AA152" s="91"/>
    </row>
    <row r="153" spans="1:27" x14ac:dyDescent="0.25">
      <c r="A153" s="93">
        <f>+Hoja1!A152</f>
        <v>20140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-22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11</v>
      </c>
      <c r="D153" s="91" t="e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#N/A</v>
      </c>
      <c r="E153" s="91" t="e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#N/A</v>
      </c>
      <c r="F153" s="91" t="e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#N/A</v>
      </c>
      <c r="G153" s="91" t="e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#N/A</v>
      </c>
      <c r="H153" s="91" t="e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#N/A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0</v>
      </c>
      <c r="J153" s="91" t="e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#N/A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0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0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 t="e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#N/A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 t="e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#N/A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 t="e">
        <f t="shared" ca="1" si="13"/>
        <v>#N/A</v>
      </c>
      <c r="Z153" s="91"/>
      <c r="AA153" s="91"/>
    </row>
    <row r="154" spans="1:27" x14ac:dyDescent="0.25">
      <c r="A154" s="93">
        <f>+Hoja1!A153</f>
        <v>20120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4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7</v>
      </c>
      <c r="D154" s="91" t="e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#N/A</v>
      </c>
      <c r="E154" s="91" t="e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#N/A</v>
      </c>
      <c r="F154" s="91" t="e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#N/A</v>
      </c>
      <c r="G154" s="91" t="e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#N/A</v>
      </c>
      <c r="H154" s="91" t="e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#N/A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0</v>
      </c>
      <c r="J154" s="91" t="e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#N/A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0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0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 t="e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#N/A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 t="e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#N/A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 t="e">
        <f t="shared" ca="1" si="13"/>
        <v>#N/A</v>
      </c>
      <c r="Z154" s="91"/>
      <c r="AA154" s="91"/>
    </row>
    <row r="155" spans="1:27" x14ac:dyDescent="0.25">
      <c r="A155" s="93">
        <f>+Hoja1!A154</f>
        <v>20100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24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66</v>
      </c>
      <c r="D155" s="91" t="e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#N/A</v>
      </c>
      <c r="E155" s="91" t="e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#N/A</v>
      </c>
      <c r="F155" s="91" t="e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#N/A</v>
      </c>
      <c r="G155" s="91" t="e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#N/A</v>
      </c>
      <c r="H155" s="91" t="e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#N/A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4</v>
      </c>
      <c r="J155" s="91" t="e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#N/A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5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0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-3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20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2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 t="e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#N/A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 t="e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#N/A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-2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 t="e">
        <f t="shared" ca="1" si="13"/>
        <v>#N/A</v>
      </c>
      <c r="Z155" s="91"/>
      <c r="AA155" s="91"/>
    </row>
    <row r="156" spans="1:27" x14ac:dyDescent="0.25">
      <c r="A156" s="93">
        <f>+Hoja1!A155</f>
        <v>20080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-7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-1</v>
      </c>
      <c r="D156" s="91" t="e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#N/A</v>
      </c>
      <c r="E156" s="91" t="e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#N/A</v>
      </c>
      <c r="F156" s="91" t="e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#N/A</v>
      </c>
      <c r="G156" s="91" t="e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#N/A</v>
      </c>
      <c r="H156" s="91" t="e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#N/A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0</v>
      </c>
      <c r="J156" s="91" t="e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#N/A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0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0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0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0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0</v>
      </c>
      <c r="T156" s="91" t="e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#N/A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 t="e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#N/A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0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0</v>
      </c>
      <c r="Y156" s="98" t="e">
        <f t="shared" ca="1" si="13"/>
        <v>#N/A</v>
      </c>
      <c r="Z156" s="91"/>
      <c r="AA156" s="91"/>
    </row>
    <row r="157" spans="1:27" x14ac:dyDescent="0.25">
      <c r="A157" s="93">
        <f>+Hoja1!A156</f>
        <v>20060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5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1</v>
      </c>
      <c r="D157" s="91" t="e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#N/A</v>
      </c>
      <c r="E157" s="91" t="e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#N/A</v>
      </c>
      <c r="F157" s="91" t="e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#N/A</v>
      </c>
      <c r="G157" s="91" t="e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#N/A</v>
      </c>
      <c r="H157" s="91" t="e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#N/A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0</v>
      </c>
      <c r="J157" s="91" t="e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#N/A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0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0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 t="e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#N/A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 t="e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#N/A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 t="e">
        <f t="shared" ca="1" si="13"/>
        <v>#N/A</v>
      </c>
      <c r="Z157" s="91"/>
      <c r="AA157" s="91"/>
    </row>
    <row r="158" spans="1:27" x14ac:dyDescent="0.25">
      <c r="A158" s="93">
        <f>+Hoja1!A157</f>
        <v>20040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-25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0</v>
      </c>
      <c r="D158" s="91" t="e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#N/A</v>
      </c>
      <c r="E158" s="91" t="e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#N/A</v>
      </c>
      <c r="F158" s="91" t="e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#N/A</v>
      </c>
      <c r="G158" s="91" t="e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#N/A</v>
      </c>
      <c r="H158" s="91" t="e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#N/A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0</v>
      </c>
      <c r="J158" s="91" t="e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#N/A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0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0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 t="e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#N/A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 t="e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#N/A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 t="e">
        <f t="shared" ca="1" si="13"/>
        <v>#N/A</v>
      </c>
      <c r="Z158" s="91"/>
      <c r="AA158" s="91"/>
    </row>
    <row r="159" spans="1:27" x14ac:dyDescent="0.25">
      <c r="A159" s="93">
        <f>+Hoja1!A158</f>
        <v>20020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5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-1</v>
      </c>
      <c r="D159" s="91" t="e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#N/A</v>
      </c>
      <c r="E159" s="91" t="e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#N/A</v>
      </c>
      <c r="F159" s="91" t="e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#N/A</v>
      </c>
      <c r="G159" s="91" t="e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#N/A</v>
      </c>
      <c r="H159" s="91" t="e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#N/A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0</v>
      </c>
      <c r="J159" s="91" t="e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#N/A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0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 t="e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#N/A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 t="e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#N/A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 t="e">
        <f t="shared" ca="1" si="13"/>
        <v>#N/A</v>
      </c>
      <c r="Z159" s="91"/>
      <c r="AA159" s="91"/>
    </row>
    <row r="160" spans="1:27" x14ac:dyDescent="0.25">
      <c r="A160" s="93">
        <f>+Hoja1!A159</f>
        <v>20000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31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16</v>
      </c>
      <c r="D160" s="91" t="e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#N/A</v>
      </c>
      <c r="E160" s="91" t="e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#N/A</v>
      </c>
      <c r="F160" s="91" t="e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#N/A</v>
      </c>
      <c r="G160" s="91" t="e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#N/A</v>
      </c>
      <c r="H160" s="91" t="e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#N/A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0</v>
      </c>
      <c r="J160" s="91" t="e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#N/A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24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12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-1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2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603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2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2</v>
      </c>
      <c r="T160" s="91" t="e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#N/A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 t="e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#N/A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81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 t="e">
        <f t="shared" ca="1" si="13"/>
        <v>#N/A</v>
      </c>
      <c r="Z160" s="91"/>
      <c r="AA160" s="91"/>
    </row>
    <row r="161" spans="1:27" x14ac:dyDescent="0.25">
      <c r="A161" s="93">
        <f>+Hoja1!A160</f>
        <v>19980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6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1</v>
      </c>
      <c r="D161" s="91" t="e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#N/A</v>
      </c>
      <c r="E161" s="91" t="e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#N/A</v>
      </c>
      <c r="F161" s="91" t="e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#N/A</v>
      </c>
      <c r="G161" s="91" t="e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#N/A</v>
      </c>
      <c r="H161" s="91" t="e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#N/A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0</v>
      </c>
      <c r="J161" s="91" t="e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#N/A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0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0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 t="e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#N/A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 t="e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#N/A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 t="e">
        <f t="shared" ca="1" si="13"/>
        <v>#N/A</v>
      </c>
      <c r="Z161" s="91"/>
      <c r="AA161" s="91"/>
    </row>
    <row r="162" spans="1:27" x14ac:dyDescent="0.25">
      <c r="A162" s="93">
        <f>+Hoja1!A161</f>
        <v>19960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-9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0</v>
      </c>
      <c r="D162" s="91" t="e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#N/A</v>
      </c>
      <c r="E162" s="91" t="e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#N/A</v>
      </c>
      <c r="F162" s="91" t="e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#N/A</v>
      </c>
      <c r="G162" s="91" t="e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#N/A</v>
      </c>
      <c r="H162" s="91" t="e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#N/A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0</v>
      </c>
      <c r="J162" s="91" t="e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#N/A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0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0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 t="e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#N/A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 t="e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#N/A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 t="e">
        <f t="shared" ca="1" si="13"/>
        <v>#N/A</v>
      </c>
      <c r="Z162" s="91"/>
      <c r="AA162" s="91"/>
    </row>
    <row r="163" spans="1:27" x14ac:dyDescent="0.25">
      <c r="A163" s="93">
        <f>+Hoja1!A162</f>
        <v>19940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4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0</v>
      </c>
      <c r="D163" s="91" t="e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#N/A</v>
      </c>
      <c r="E163" s="91" t="e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#N/A</v>
      </c>
      <c r="F163" s="91" t="e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#N/A</v>
      </c>
      <c r="G163" s="91" t="e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#N/A</v>
      </c>
      <c r="H163" s="91" t="e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#N/A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0</v>
      </c>
      <c r="J163" s="91" t="e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#N/A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0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 t="e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#N/A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 t="e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#N/A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 t="e">
        <f t="shared" ca="1" si="13"/>
        <v>#N/A</v>
      </c>
      <c r="Z163" s="91"/>
      <c r="AA163" s="91"/>
    </row>
    <row r="164" spans="1:27" x14ac:dyDescent="0.25">
      <c r="A164" s="93">
        <f>+Hoja1!A163</f>
        <v>19920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-7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0</v>
      </c>
      <c r="D164" s="91" t="e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#N/A</v>
      </c>
      <c r="E164" s="91" t="e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#N/A</v>
      </c>
      <c r="F164" s="91" t="e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#N/A</v>
      </c>
      <c r="G164" s="91" t="e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#N/A</v>
      </c>
      <c r="H164" s="91" t="e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#N/A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0</v>
      </c>
      <c r="J164" s="91" t="e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#N/A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0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0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0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0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0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 t="e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#N/A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 t="e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#N/A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0</v>
      </c>
      <c r="Y164" s="98" t="e">
        <f t="shared" ca="1" si="13"/>
        <v>#N/A</v>
      </c>
      <c r="Z164" s="91"/>
      <c r="AA164" s="91"/>
    </row>
    <row r="165" spans="1:27" x14ac:dyDescent="0.25">
      <c r="A165" s="93">
        <f>+Hoja1!A164</f>
        <v>19900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-103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7</v>
      </c>
      <c r="D165" s="91" t="e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#N/A</v>
      </c>
      <c r="E165" s="91" t="e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#N/A</v>
      </c>
      <c r="F165" s="91" t="e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#N/A</v>
      </c>
      <c r="G165" s="91" t="e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#N/A</v>
      </c>
      <c r="H165" s="91" t="e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#N/A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0</v>
      </c>
      <c r="J165" s="91" t="e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#N/A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-11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0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-3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 t="e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#N/A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 t="e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#N/A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 t="e">
        <f t="shared" ca="1" si="13"/>
        <v>#N/A</v>
      </c>
      <c r="Z165" s="91"/>
      <c r="AA165" s="91"/>
    </row>
    <row r="166" spans="1:27" x14ac:dyDescent="0.25">
      <c r="A166" s="93">
        <f>+Hoja1!A165</f>
        <v>19880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-26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0</v>
      </c>
      <c r="D166" s="91" t="e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#N/A</v>
      </c>
      <c r="E166" s="91" t="e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#N/A</v>
      </c>
      <c r="F166" s="91" t="e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#N/A</v>
      </c>
      <c r="G166" s="91" t="e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#N/A</v>
      </c>
      <c r="H166" s="91" t="e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#N/A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0</v>
      </c>
      <c r="J166" s="91" t="e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#N/A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0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0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 t="e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#N/A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 t="e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#N/A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 t="e">
        <f t="shared" ca="1" si="13"/>
        <v>#N/A</v>
      </c>
      <c r="Z166" s="91"/>
      <c r="AA166" s="91"/>
    </row>
    <row r="167" spans="1:27" x14ac:dyDescent="0.25">
      <c r="A167" s="93">
        <f>+Hoja1!A166</f>
        <v>19860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0</v>
      </c>
      <c r="D167" s="91" t="e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#N/A</v>
      </c>
      <c r="E167" s="91" t="e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#N/A</v>
      </c>
      <c r="F167" s="91" t="e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#N/A</v>
      </c>
      <c r="G167" s="91" t="e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#N/A</v>
      </c>
      <c r="H167" s="91" t="e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#N/A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0</v>
      </c>
      <c r="J167" s="91" t="e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#N/A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0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0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 t="e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#N/A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 t="e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#N/A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 t="e">
        <f t="shared" ca="1" si="13"/>
        <v>#N/A</v>
      </c>
      <c r="Z167" s="91"/>
      <c r="AA167" s="91"/>
    </row>
    <row r="168" spans="1:27" x14ac:dyDescent="0.25">
      <c r="A168" s="93">
        <f>+Hoja1!A167</f>
        <v>19840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-7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-1</v>
      </c>
      <c r="D168" s="91" t="e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#N/A</v>
      </c>
      <c r="E168" s="91" t="e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#N/A</v>
      </c>
      <c r="F168" s="91" t="e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#N/A</v>
      </c>
      <c r="G168" s="91" t="e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#N/A</v>
      </c>
      <c r="H168" s="91" t="e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#N/A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0</v>
      </c>
      <c r="J168" s="91" t="e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#N/A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0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0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0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0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0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0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0</v>
      </c>
      <c r="T168" s="91" t="e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#N/A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 t="e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#N/A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0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 t="e">
        <f t="shared" ca="1" si="13"/>
        <v>#N/A</v>
      </c>
      <c r="Z168" s="91"/>
      <c r="AA168" s="91"/>
    </row>
    <row r="169" spans="1:27" x14ac:dyDescent="0.25">
      <c r="A169" s="93">
        <f>+Hoja1!A168</f>
        <v>19820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-12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-2</v>
      </c>
      <c r="D169" s="91" t="e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#N/A</v>
      </c>
      <c r="E169" s="91" t="e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#N/A</v>
      </c>
      <c r="F169" s="91" t="e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#N/A</v>
      </c>
      <c r="G169" s="91" t="e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#N/A</v>
      </c>
      <c r="H169" s="91" t="e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#N/A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0</v>
      </c>
      <c r="J169" s="91" t="e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#N/A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0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0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 t="e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#N/A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 t="e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#N/A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 t="e">
        <f t="shared" ca="1" si="13"/>
        <v>#N/A</v>
      </c>
      <c r="Z169" s="91"/>
      <c r="AA169" s="91"/>
    </row>
    <row r="170" spans="1:27" x14ac:dyDescent="0.25">
      <c r="A170" s="93">
        <f>+Hoja1!A169</f>
        <v>19800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-49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-13</v>
      </c>
      <c r="D170" s="91" t="e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#N/A</v>
      </c>
      <c r="E170" s="91" t="e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#N/A</v>
      </c>
      <c r="F170" s="91" t="e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#N/A</v>
      </c>
      <c r="G170" s="91" t="e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#N/A</v>
      </c>
      <c r="H170" s="91" t="e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#N/A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1</v>
      </c>
      <c r="J170" s="91" t="e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#N/A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0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-6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-5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 t="e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#N/A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 t="e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#N/A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 t="e">
        <f t="shared" ca="1" si="13"/>
        <v>#N/A</v>
      </c>
      <c r="Z170" s="91"/>
      <c r="AA170" s="91"/>
    </row>
    <row r="171" spans="1:27" x14ac:dyDescent="0.25">
      <c r="A171" s="93">
        <f>+Hoja1!A170</f>
        <v>19780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-1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-2</v>
      </c>
      <c r="D171" s="91" t="e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#N/A</v>
      </c>
      <c r="E171" s="91" t="e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#N/A</v>
      </c>
      <c r="F171" s="91" t="e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#N/A</v>
      </c>
      <c r="G171" s="91" t="e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#N/A</v>
      </c>
      <c r="H171" s="91" t="e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#N/A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0</v>
      </c>
      <c r="J171" s="91" t="e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#N/A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0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 t="e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#N/A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 t="e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#N/A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 t="e">
        <f t="shared" ca="1" si="13"/>
        <v>#N/A</v>
      </c>
      <c r="Z171" s="91"/>
      <c r="AA171" s="91"/>
    </row>
    <row r="172" spans="1:27" x14ac:dyDescent="0.25">
      <c r="A172" s="93">
        <f>+Hoja1!A171</f>
        <v>19760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-4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0</v>
      </c>
      <c r="D172" s="91" t="e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#N/A</v>
      </c>
      <c r="E172" s="91" t="e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#N/A</v>
      </c>
      <c r="F172" s="91" t="e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#N/A</v>
      </c>
      <c r="G172" s="91" t="e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#N/A</v>
      </c>
      <c r="H172" s="91" t="e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#N/A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0</v>
      </c>
      <c r="J172" s="91" t="e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#N/A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0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0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0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0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0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0</v>
      </c>
      <c r="T172" s="91" t="e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#N/A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 t="e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#N/A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0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 t="e">
        <f t="shared" ca="1" si="13"/>
        <v>#N/A</v>
      </c>
      <c r="Z172" s="91"/>
      <c r="AA172" s="91"/>
    </row>
    <row r="173" spans="1:27" x14ac:dyDescent="0.25">
      <c r="A173" s="93">
        <f>+Hoja1!A172</f>
        <v>19740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-10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-3</v>
      </c>
      <c r="D173" s="91" t="e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#N/A</v>
      </c>
      <c r="E173" s="91" t="e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#N/A</v>
      </c>
      <c r="F173" s="91" t="e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#N/A</v>
      </c>
      <c r="G173" s="91" t="e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#N/A</v>
      </c>
      <c r="H173" s="91" t="e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#N/A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0</v>
      </c>
      <c r="J173" s="91" t="e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#N/A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0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0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 t="e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#N/A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 t="e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#N/A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 t="e">
        <f t="shared" ca="1" si="13"/>
        <v>#N/A</v>
      </c>
      <c r="Z173" s="91"/>
      <c r="AA173" s="91"/>
    </row>
    <row r="174" spans="1:27" x14ac:dyDescent="0.25">
      <c r="A174" s="93">
        <f>+Hoja1!A173</f>
        <v>19720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-6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0</v>
      </c>
      <c r="D174" s="91" t="e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#N/A</v>
      </c>
      <c r="E174" s="91" t="e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#N/A</v>
      </c>
      <c r="F174" s="91" t="e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#N/A</v>
      </c>
      <c r="G174" s="91" t="e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#N/A</v>
      </c>
      <c r="H174" s="91" t="e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#N/A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0</v>
      </c>
      <c r="J174" s="91" t="e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#N/A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0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 t="e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#N/A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 t="e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#N/A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 t="e">
        <f t="shared" ca="1" si="13"/>
        <v>#N/A</v>
      </c>
      <c r="Z174" s="91"/>
      <c r="AA174" s="91"/>
    </row>
    <row r="175" spans="1:27" x14ac:dyDescent="0.25">
      <c r="A175" s="93">
        <f>+Hoja1!A174</f>
        <v>19700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-17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-11</v>
      </c>
      <c r="D175" s="91" t="e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#N/A</v>
      </c>
      <c r="E175" s="91" t="e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#N/A</v>
      </c>
      <c r="F175" s="91" t="e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#N/A</v>
      </c>
      <c r="G175" s="91" t="e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#N/A</v>
      </c>
      <c r="H175" s="91" t="e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#N/A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-2</v>
      </c>
      <c r="J175" s="91" t="e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#N/A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-75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-12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0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 t="e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#N/A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 t="e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#N/A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 t="e">
        <f t="shared" ca="1" si="13"/>
        <v>#N/A</v>
      </c>
      <c r="Z175" s="91"/>
      <c r="AA175" s="91"/>
    </row>
    <row r="176" spans="1:27" x14ac:dyDescent="0.25">
      <c r="A176" s="93">
        <f>+Hoja1!A175</f>
        <v>19680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-3</v>
      </c>
      <c r="D176" s="91" t="e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#N/A</v>
      </c>
      <c r="E176" s="91" t="e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#N/A</v>
      </c>
      <c r="F176" s="91" t="e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#N/A</v>
      </c>
      <c r="G176" s="91" t="e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#N/A</v>
      </c>
      <c r="H176" s="91" t="e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#N/A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0</v>
      </c>
      <c r="J176" s="91" t="e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#N/A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0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0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0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0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0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 t="e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#N/A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 t="e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#N/A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0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 t="e">
        <f t="shared" ca="1" si="13"/>
        <v>#N/A</v>
      </c>
      <c r="Z176" s="91"/>
      <c r="AA176" s="91"/>
    </row>
    <row r="177" spans="1:27" x14ac:dyDescent="0.25">
      <c r="A177" s="93">
        <f>+Hoja1!A176</f>
        <v>19660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-6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0</v>
      </c>
      <c r="D177" s="91" t="e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#N/A</v>
      </c>
      <c r="E177" s="91" t="e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#N/A</v>
      </c>
      <c r="F177" s="91" t="e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#N/A</v>
      </c>
      <c r="G177" s="91" t="e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#N/A</v>
      </c>
      <c r="H177" s="91" t="e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#N/A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0</v>
      </c>
      <c r="J177" s="91" t="e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#N/A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0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0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 t="e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#N/A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 t="e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#N/A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 t="e">
        <f t="shared" ca="1" si="13"/>
        <v>#N/A</v>
      </c>
      <c r="Z177" s="91"/>
      <c r="AA177" s="91"/>
    </row>
    <row r="178" spans="1:27" x14ac:dyDescent="0.25">
      <c r="A178" s="93">
        <f>+Hoja1!A177</f>
        <v>19640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-1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0</v>
      </c>
      <c r="D178" s="91" t="e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#N/A</v>
      </c>
      <c r="E178" s="91" t="e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#N/A</v>
      </c>
      <c r="F178" s="91" t="e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#N/A</v>
      </c>
      <c r="G178" s="91" t="e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#N/A</v>
      </c>
      <c r="H178" s="91" t="e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#N/A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0</v>
      </c>
      <c r="J178" s="91" t="e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#N/A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0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0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0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 t="e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#N/A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 t="e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#N/A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 t="e">
        <f t="shared" ca="1" si="13"/>
        <v>#N/A</v>
      </c>
      <c r="Z178" s="91"/>
      <c r="AA178" s="91"/>
    </row>
    <row r="179" spans="1:27" x14ac:dyDescent="0.25">
      <c r="A179" s="93">
        <f>+Hoja1!A178</f>
        <v>19620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0</v>
      </c>
      <c r="D179" s="91" t="e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#N/A</v>
      </c>
      <c r="E179" s="91" t="e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#N/A</v>
      </c>
      <c r="F179" s="91" t="e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#N/A</v>
      </c>
      <c r="G179" s="91" t="e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#N/A</v>
      </c>
      <c r="H179" s="91" t="e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#N/A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0</v>
      </c>
      <c r="J179" s="91" t="e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#N/A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0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0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 t="e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#N/A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 t="e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#N/A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 t="e">
        <f t="shared" ca="1" si="13"/>
        <v>#N/A</v>
      </c>
      <c r="Z179" s="91"/>
      <c r="AA179" s="91"/>
    </row>
    <row r="180" spans="1:27" x14ac:dyDescent="0.25">
      <c r="A180" s="93">
        <f>+Hoja1!A179</f>
        <v>19600</v>
      </c>
      <c r="B180" s="91" t="e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#N/A</v>
      </c>
      <c r="C180" s="91" t="e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#N/A</v>
      </c>
      <c r="D180" s="91" t="e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#N/A</v>
      </c>
      <c r="E180" s="91" t="e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#N/A</v>
      </c>
      <c r="F180" s="91" t="e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#N/A</v>
      </c>
      <c r="G180" s="91" t="e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#N/A</v>
      </c>
      <c r="H180" s="91" t="e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#N/A</v>
      </c>
      <c r="I180" s="91" t="e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#N/A</v>
      </c>
      <c r="J180" s="91" t="e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#N/A</v>
      </c>
      <c r="K180" s="91" t="e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#N/A</v>
      </c>
      <c r="L180" s="91" t="e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#N/A</v>
      </c>
      <c r="M180" s="91" t="e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#N/A</v>
      </c>
      <c r="N180" s="91" t="e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#N/A</v>
      </c>
      <c r="O180" s="91" t="e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#N/A</v>
      </c>
      <c r="P180" s="91" t="e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#N/A</v>
      </c>
      <c r="Q180" s="91" t="e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#N/A</v>
      </c>
      <c r="R180" s="91" t="e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#N/A</v>
      </c>
      <c r="S180" s="91" t="e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#N/A</v>
      </c>
      <c r="T180" s="91" t="e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#N/A</v>
      </c>
      <c r="U180" s="91" t="e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#N/A</v>
      </c>
      <c r="V180" s="91" t="e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#N/A</v>
      </c>
      <c r="W180" s="91" t="e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#N/A</v>
      </c>
      <c r="X180" s="91" t="e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#N/A</v>
      </c>
      <c r="Y180" s="98" t="e">
        <f t="shared" ca="1" si="13"/>
        <v>#N/A</v>
      </c>
      <c r="Z180" s="91"/>
      <c r="AA180" s="91"/>
    </row>
    <row r="181" spans="1:27" x14ac:dyDescent="0.25">
      <c r="A181" s="93">
        <f>+Hoja1!A180</f>
        <v>19580</v>
      </c>
      <c r="B181" s="91" t="e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#N/A</v>
      </c>
      <c r="C181" s="91" t="e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#N/A</v>
      </c>
      <c r="D181" s="91" t="e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#N/A</v>
      </c>
      <c r="E181" s="91" t="e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#N/A</v>
      </c>
      <c r="F181" s="91" t="e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#N/A</v>
      </c>
      <c r="G181" s="91" t="e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#N/A</v>
      </c>
      <c r="H181" s="91" t="e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#N/A</v>
      </c>
      <c r="I181" s="91" t="e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#N/A</v>
      </c>
      <c r="J181" s="91" t="e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#N/A</v>
      </c>
      <c r="K181" s="91" t="e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#N/A</v>
      </c>
      <c r="L181" s="91" t="e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#N/A</v>
      </c>
      <c r="M181" s="91" t="e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#N/A</v>
      </c>
      <c r="N181" s="91" t="e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#N/A</v>
      </c>
      <c r="O181" s="91" t="e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#N/A</v>
      </c>
      <c r="P181" s="91" t="e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#N/A</v>
      </c>
      <c r="Q181" s="91" t="e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#N/A</v>
      </c>
      <c r="R181" s="91" t="e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#N/A</v>
      </c>
      <c r="S181" s="91" t="e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#N/A</v>
      </c>
      <c r="T181" s="91" t="e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#N/A</v>
      </c>
      <c r="U181" s="91" t="e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#N/A</v>
      </c>
      <c r="V181" s="91" t="e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#N/A</v>
      </c>
      <c r="W181" s="91" t="e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#N/A</v>
      </c>
      <c r="X181" s="91" t="e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#N/A</v>
      </c>
      <c r="Y181" s="98" t="e">
        <f t="shared" ca="1" si="13"/>
        <v>#N/A</v>
      </c>
      <c r="Z181" s="91"/>
      <c r="AA181" s="91"/>
    </row>
    <row r="182" spans="1:27" x14ac:dyDescent="0.25">
      <c r="A182" s="93">
        <f>+Hoja1!A181</f>
        <v>19560</v>
      </c>
      <c r="B182" s="91" t="e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#N/A</v>
      </c>
      <c r="C182" s="91" t="e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#N/A</v>
      </c>
      <c r="D182" s="91" t="e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#N/A</v>
      </c>
      <c r="E182" s="91" t="e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#N/A</v>
      </c>
      <c r="F182" s="91" t="e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#N/A</v>
      </c>
      <c r="G182" s="91" t="e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#N/A</v>
      </c>
      <c r="H182" s="91" t="e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#N/A</v>
      </c>
      <c r="I182" s="91" t="e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#N/A</v>
      </c>
      <c r="J182" s="91" t="e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#N/A</v>
      </c>
      <c r="K182" s="91" t="e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#N/A</v>
      </c>
      <c r="L182" s="91" t="e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#N/A</v>
      </c>
      <c r="M182" s="91" t="e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#N/A</v>
      </c>
      <c r="N182" s="91" t="e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#N/A</v>
      </c>
      <c r="O182" s="91" t="e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#N/A</v>
      </c>
      <c r="P182" s="91" t="e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#N/A</v>
      </c>
      <c r="Q182" s="91" t="e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#N/A</v>
      </c>
      <c r="R182" s="91" t="e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#N/A</v>
      </c>
      <c r="S182" s="91" t="e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#N/A</v>
      </c>
      <c r="T182" s="91" t="e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#N/A</v>
      </c>
      <c r="U182" s="91" t="e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#N/A</v>
      </c>
      <c r="V182" s="91" t="e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#N/A</v>
      </c>
      <c r="W182" s="91" t="e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#N/A</v>
      </c>
      <c r="X182" s="91" t="e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#N/A</v>
      </c>
      <c r="Y182" s="98" t="e">
        <f t="shared" ca="1" si="13"/>
        <v>#N/A</v>
      </c>
      <c r="Z182" s="91"/>
      <c r="AA182" s="91"/>
    </row>
    <row r="183" spans="1:27" x14ac:dyDescent="0.25">
      <c r="A183" s="93">
        <f>+Hoja1!A182</f>
        <v>19540</v>
      </c>
      <c r="B183" s="91" t="e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#N/A</v>
      </c>
      <c r="C183" s="91" t="e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#N/A</v>
      </c>
      <c r="D183" s="91" t="e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#N/A</v>
      </c>
      <c r="E183" s="91" t="e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#N/A</v>
      </c>
      <c r="F183" s="91" t="e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#N/A</v>
      </c>
      <c r="G183" s="91" t="e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#N/A</v>
      </c>
      <c r="H183" s="91" t="e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#N/A</v>
      </c>
      <c r="I183" s="91" t="e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#N/A</v>
      </c>
      <c r="J183" s="91" t="e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#N/A</v>
      </c>
      <c r="K183" s="91" t="e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#N/A</v>
      </c>
      <c r="L183" s="91" t="e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#N/A</v>
      </c>
      <c r="M183" s="91" t="e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#N/A</v>
      </c>
      <c r="N183" s="91" t="e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#N/A</v>
      </c>
      <c r="O183" s="91" t="e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#N/A</v>
      </c>
      <c r="P183" s="91" t="e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#N/A</v>
      </c>
      <c r="Q183" s="91" t="e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#N/A</v>
      </c>
      <c r="R183" s="91" t="e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#N/A</v>
      </c>
      <c r="S183" s="91" t="e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#N/A</v>
      </c>
      <c r="T183" s="91" t="e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#N/A</v>
      </c>
      <c r="U183" s="91" t="e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#N/A</v>
      </c>
      <c r="V183" s="91" t="e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#N/A</v>
      </c>
      <c r="W183" s="91" t="e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#N/A</v>
      </c>
      <c r="X183" s="91" t="e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#N/A</v>
      </c>
      <c r="Y183" s="98" t="e">
        <f t="shared" ca="1" si="13"/>
        <v>#N/A</v>
      </c>
      <c r="Z183" s="91"/>
      <c r="AA183" s="91"/>
    </row>
    <row r="184" spans="1:27" x14ac:dyDescent="0.25">
      <c r="A184" s="93">
        <f>+Hoja1!A183</f>
        <v>19520</v>
      </c>
      <c r="B184" s="91" t="e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#N/A</v>
      </c>
      <c r="C184" s="91" t="e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#N/A</v>
      </c>
      <c r="D184" s="91" t="e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#N/A</v>
      </c>
      <c r="E184" s="91" t="e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#N/A</v>
      </c>
      <c r="F184" s="91" t="e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#N/A</v>
      </c>
      <c r="G184" s="91" t="e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#N/A</v>
      </c>
      <c r="H184" s="91" t="e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#N/A</v>
      </c>
      <c r="I184" s="91" t="e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#N/A</v>
      </c>
      <c r="J184" s="91" t="e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#N/A</v>
      </c>
      <c r="K184" s="91" t="e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#N/A</v>
      </c>
      <c r="L184" s="91" t="e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#N/A</v>
      </c>
      <c r="M184" s="91" t="e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#N/A</v>
      </c>
      <c r="N184" s="91" t="e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#N/A</v>
      </c>
      <c r="O184" s="91" t="e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#N/A</v>
      </c>
      <c r="P184" s="91" t="e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#N/A</v>
      </c>
      <c r="Q184" s="91" t="e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#N/A</v>
      </c>
      <c r="R184" s="91" t="e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#N/A</v>
      </c>
      <c r="S184" s="91" t="e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#N/A</v>
      </c>
      <c r="T184" s="91" t="e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#N/A</v>
      </c>
      <c r="U184" s="91" t="e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#N/A</v>
      </c>
      <c r="V184" s="91" t="e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#N/A</v>
      </c>
      <c r="W184" s="91" t="e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#N/A</v>
      </c>
      <c r="X184" s="91" t="e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#N/A</v>
      </c>
      <c r="Y184" s="98" t="e">
        <f t="shared" ca="1" si="13"/>
        <v>#N/A</v>
      </c>
      <c r="Z184" s="91"/>
      <c r="AA184" s="91"/>
    </row>
    <row r="185" spans="1:27" x14ac:dyDescent="0.25">
      <c r="A185" s="93">
        <f>+Hoja1!A184</f>
        <v>19500</v>
      </c>
      <c r="B185" s="91" t="e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#N/A</v>
      </c>
      <c r="C185" s="91" t="e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#N/A</v>
      </c>
      <c r="D185" s="91" t="e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#N/A</v>
      </c>
      <c r="E185" s="91" t="e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#N/A</v>
      </c>
      <c r="F185" s="91" t="e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#N/A</v>
      </c>
      <c r="G185" s="91" t="e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#N/A</v>
      </c>
      <c r="H185" s="91" t="e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#N/A</v>
      </c>
      <c r="I185" s="91" t="e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#N/A</v>
      </c>
      <c r="J185" s="91" t="e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#N/A</v>
      </c>
      <c r="K185" s="91" t="e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#N/A</v>
      </c>
      <c r="L185" s="91" t="e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#N/A</v>
      </c>
      <c r="M185" s="91" t="e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#N/A</v>
      </c>
      <c r="N185" s="91" t="e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#N/A</v>
      </c>
      <c r="O185" s="91" t="e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#N/A</v>
      </c>
      <c r="P185" s="91" t="e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#N/A</v>
      </c>
      <c r="Q185" s="91" t="e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#N/A</v>
      </c>
      <c r="R185" s="91" t="e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#N/A</v>
      </c>
      <c r="S185" s="91" t="e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#N/A</v>
      </c>
      <c r="T185" s="91" t="e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#N/A</v>
      </c>
      <c r="U185" s="91" t="e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#N/A</v>
      </c>
      <c r="V185" s="91" t="e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#N/A</v>
      </c>
      <c r="W185" s="91" t="e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#N/A</v>
      </c>
      <c r="X185" s="91" t="e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#N/A</v>
      </c>
      <c r="Y185" s="98" t="e">
        <f t="shared" ca="1" si="13"/>
        <v>#N/A</v>
      </c>
      <c r="Z185" s="91"/>
      <c r="AA185" s="91"/>
    </row>
    <row r="186" spans="1:27" x14ac:dyDescent="0.25">
      <c r="A186" s="93">
        <f>+Hoja1!A185</f>
        <v>19480</v>
      </c>
      <c r="B186" s="91" t="e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#N/A</v>
      </c>
      <c r="C186" s="91" t="e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#N/A</v>
      </c>
      <c r="D186" s="91" t="e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#N/A</v>
      </c>
      <c r="E186" s="91" t="e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#N/A</v>
      </c>
      <c r="F186" s="91" t="e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#N/A</v>
      </c>
      <c r="G186" s="91" t="e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#N/A</v>
      </c>
      <c r="H186" s="91" t="e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#N/A</v>
      </c>
      <c r="I186" s="91" t="e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#N/A</v>
      </c>
      <c r="J186" s="91" t="e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#N/A</v>
      </c>
      <c r="K186" s="91" t="e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#N/A</v>
      </c>
      <c r="L186" s="91" t="e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#N/A</v>
      </c>
      <c r="M186" s="91" t="e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#N/A</v>
      </c>
      <c r="N186" s="91" t="e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#N/A</v>
      </c>
      <c r="O186" s="91" t="e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#N/A</v>
      </c>
      <c r="P186" s="91" t="e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#N/A</v>
      </c>
      <c r="Q186" s="91" t="e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#N/A</v>
      </c>
      <c r="R186" s="91" t="e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#N/A</v>
      </c>
      <c r="S186" s="91" t="e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#N/A</v>
      </c>
      <c r="T186" s="91" t="e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#N/A</v>
      </c>
      <c r="U186" s="91" t="e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#N/A</v>
      </c>
      <c r="V186" s="91" t="e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#N/A</v>
      </c>
      <c r="W186" s="91" t="e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#N/A</v>
      </c>
      <c r="X186" s="91" t="e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#N/A</v>
      </c>
      <c r="Y186" s="98" t="e">
        <f t="shared" ca="1" si="13"/>
        <v>#N/A</v>
      </c>
      <c r="Z186" s="91"/>
      <c r="AA186" s="91"/>
    </row>
    <row r="187" spans="1:27" x14ac:dyDescent="0.25">
      <c r="A187" s="93">
        <f>+Hoja1!A186</f>
        <v>19460</v>
      </c>
      <c r="B187" s="91" t="e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#N/A</v>
      </c>
      <c r="C187" s="91" t="e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#N/A</v>
      </c>
      <c r="D187" s="91" t="e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#N/A</v>
      </c>
      <c r="E187" s="91" t="e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#N/A</v>
      </c>
      <c r="F187" s="91" t="e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#N/A</v>
      </c>
      <c r="G187" s="91" t="e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#N/A</v>
      </c>
      <c r="H187" s="91" t="e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#N/A</v>
      </c>
      <c r="I187" s="91" t="e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#N/A</v>
      </c>
      <c r="J187" s="91" t="e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#N/A</v>
      </c>
      <c r="K187" s="91" t="e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#N/A</v>
      </c>
      <c r="L187" s="91" t="e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#N/A</v>
      </c>
      <c r="M187" s="91" t="e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#N/A</v>
      </c>
      <c r="N187" s="91" t="e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#N/A</v>
      </c>
      <c r="O187" s="91" t="e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#N/A</v>
      </c>
      <c r="P187" s="91" t="e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#N/A</v>
      </c>
      <c r="Q187" s="91" t="e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#N/A</v>
      </c>
      <c r="R187" s="91" t="e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#N/A</v>
      </c>
      <c r="S187" s="91" t="e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#N/A</v>
      </c>
      <c r="T187" s="91" t="e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#N/A</v>
      </c>
      <c r="U187" s="91" t="e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#N/A</v>
      </c>
      <c r="V187" s="91" t="e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#N/A</v>
      </c>
      <c r="W187" s="91" t="e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#N/A</v>
      </c>
      <c r="X187" s="91" t="e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#N/A</v>
      </c>
      <c r="Y187" s="98" t="e">
        <f t="shared" ca="1" si="13"/>
        <v>#N/A</v>
      </c>
      <c r="Z187" s="91"/>
      <c r="AA187" s="91"/>
    </row>
    <row r="188" spans="1:27" x14ac:dyDescent="0.25">
      <c r="A188" s="93">
        <f>+Hoja1!A187</f>
        <v>19440</v>
      </c>
      <c r="B188" s="91" t="e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#N/A</v>
      </c>
      <c r="C188" s="91" t="e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#N/A</v>
      </c>
      <c r="D188" s="91" t="e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#N/A</v>
      </c>
      <c r="E188" s="91" t="e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#N/A</v>
      </c>
      <c r="F188" s="91" t="e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#N/A</v>
      </c>
      <c r="G188" s="91" t="e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#N/A</v>
      </c>
      <c r="H188" s="91" t="e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#N/A</v>
      </c>
      <c r="I188" s="91" t="e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#N/A</v>
      </c>
      <c r="J188" s="91" t="e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#N/A</v>
      </c>
      <c r="K188" s="91" t="e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#N/A</v>
      </c>
      <c r="L188" s="91" t="e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#N/A</v>
      </c>
      <c r="M188" s="91" t="e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#N/A</v>
      </c>
      <c r="N188" s="91" t="e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#N/A</v>
      </c>
      <c r="O188" s="91" t="e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#N/A</v>
      </c>
      <c r="P188" s="91" t="e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#N/A</v>
      </c>
      <c r="Q188" s="91" t="e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#N/A</v>
      </c>
      <c r="R188" s="91" t="e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#N/A</v>
      </c>
      <c r="S188" s="91" t="e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#N/A</v>
      </c>
      <c r="T188" s="91" t="e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#N/A</v>
      </c>
      <c r="U188" s="91" t="e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#N/A</v>
      </c>
      <c r="V188" s="91" t="e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#N/A</v>
      </c>
      <c r="W188" s="91" t="e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#N/A</v>
      </c>
      <c r="X188" s="91" t="e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#N/A</v>
      </c>
      <c r="Y188" s="98" t="e">
        <f t="shared" ca="1" si="13"/>
        <v>#N/A</v>
      </c>
      <c r="Z188" s="91"/>
      <c r="AA188" s="91"/>
    </row>
    <row r="189" spans="1:27" x14ac:dyDescent="0.25">
      <c r="A189" s="93">
        <f>+Hoja1!A188</f>
        <v>19420</v>
      </c>
      <c r="B189" s="91" t="e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#N/A</v>
      </c>
      <c r="C189" s="91" t="e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#N/A</v>
      </c>
      <c r="D189" s="91" t="e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#N/A</v>
      </c>
      <c r="E189" s="91" t="e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#N/A</v>
      </c>
      <c r="F189" s="91" t="e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#N/A</v>
      </c>
      <c r="G189" s="91" t="e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#N/A</v>
      </c>
      <c r="H189" s="91" t="e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#N/A</v>
      </c>
      <c r="I189" s="91" t="e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#N/A</v>
      </c>
      <c r="J189" s="91" t="e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#N/A</v>
      </c>
      <c r="K189" s="91" t="e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#N/A</v>
      </c>
      <c r="L189" s="91" t="e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#N/A</v>
      </c>
      <c r="M189" s="91" t="e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#N/A</v>
      </c>
      <c r="N189" s="91" t="e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#N/A</v>
      </c>
      <c r="O189" s="91" t="e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#N/A</v>
      </c>
      <c r="P189" s="91" t="e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#N/A</v>
      </c>
      <c r="Q189" s="91" t="e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#N/A</v>
      </c>
      <c r="R189" s="91" t="e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#N/A</v>
      </c>
      <c r="S189" s="91" t="e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#N/A</v>
      </c>
      <c r="T189" s="91" t="e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#N/A</v>
      </c>
      <c r="U189" s="91" t="e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#N/A</v>
      </c>
      <c r="V189" s="91" t="e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#N/A</v>
      </c>
      <c r="W189" s="91" t="e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#N/A</v>
      </c>
      <c r="X189" s="91" t="e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#N/A</v>
      </c>
      <c r="Y189" s="98" t="e">
        <f t="shared" ca="1" si="13"/>
        <v>#N/A</v>
      </c>
      <c r="Z189" s="91"/>
      <c r="AA189" s="91"/>
    </row>
    <row r="190" spans="1:27" x14ac:dyDescent="0.25">
      <c r="A190" s="93">
        <f>+Hoja1!A189</f>
        <v>19400</v>
      </c>
      <c r="B190" s="91" t="e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#N/A</v>
      </c>
      <c r="C190" s="91" t="e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#N/A</v>
      </c>
      <c r="D190" s="91" t="e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#N/A</v>
      </c>
      <c r="E190" s="91" t="e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#N/A</v>
      </c>
      <c r="F190" s="91" t="e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#N/A</v>
      </c>
      <c r="G190" s="91" t="e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#N/A</v>
      </c>
      <c r="H190" s="91" t="e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#N/A</v>
      </c>
      <c r="I190" s="91" t="e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#N/A</v>
      </c>
      <c r="J190" s="91" t="e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#N/A</v>
      </c>
      <c r="K190" s="91" t="e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#N/A</v>
      </c>
      <c r="L190" s="91" t="e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#N/A</v>
      </c>
      <c r="M190" s="91" t="e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#N/A</v>
      </c>
      <c r="N190" s="91" t="e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#N/A</v>
      </c>
      <c r="O190" s="91" t="e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#N/A</v>
      </c>
      <c r="P190" s="91" t="e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#N/A</v>
      </c>
      <c r="Q190" s="91" t="e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#N/A</v>
      </c>
      <c r="R190" s="91" t="e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#N/A</v>
      </c>
      <c r="S190" s="91" t="e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#N/A</v>
      </c>
      <c r="T190" s="91" t="e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#N/A</v>
      </c>
      <c r="U190" s="91" t="e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#N/A</v>
      </c>
      <c r="V190" s="91" t="e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#N/A</v>
      </c>
      <c r="W190" s="91" t="e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#N/A</v>
      </c>
      <c r="X190" s="91" t="e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#N/A</v>
      </c>
      <c r="Y190" s="98" t="e">
        <f t="shared" ca="1" si="13"/>
        <v>#N/A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2025-05-02T21:51:24Z</dcterms:modified>
</cp:coreProperties>
</file>